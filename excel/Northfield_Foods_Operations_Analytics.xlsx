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hanj\Downloads\"/>
    </mc:Choice>
  </mc:AlternateContent>
  <xr:revisionPtr revIDLastSave="0" documentId="13_ncr:1_{AAB7A813-8DBB-4455-890B-3E9E11B0837A}" xr6:coauthVersionLast="47" xr6:coauthVersionMax="47" xr10:uidLastSave="{00000000-0000-0000-0000-000000000000}"/>
  <bookViews>
    <workbookView xWindow="-108" yWindow="-108" windowWidth="23256" windowHeight="12456" tabRatio="923" firstSheet="24" activeTab="31" xr2:uid="{1FFFCF76-273B-43A3-92AA-936EDC5FD4A6}"/>
  </bookViews>
  <sheets>
    <sheet name="Product_Master" sheetId="1" r:id="rId1"/>
    <sheet name="Customer_Master" sheetId="2" r:id="rId2"/>
    <sheet name="Production_Line_Master" sheetId="4" r:id="rId3"/>
    <sheet name="Product_Line_Map" sheetId="5" r:id="rId4"/>
    <sheet name="Material_Master" sheetId="6" r:id="rId5"/>
    <sheet name="BOM" sheetId="7" r:id="rId6"/>
    <sheet name="Forecast" sheetId="8" r:id="rId7"/>
    <sheet name="Actual_Orders" sheetId="9" r:id="rId8"/>
    <sheet name="Finished_Goods_Inventory" sheetId="10" r:id="rId9"/>
    <sheet name="Production_Plan" sheetId="11" r:id="rId10"/>
    <sheet name="Production_Actuals" sheetId="12" r:id="rId11"/>
    <sheet name="Raw_Material_Inventory" sheetId="13" r:id="rId12"/>
    <sheet name="Weekly_Capacity" sheetId="14" r:id="rId13"/>
    <sheet name="Demand_Assumptions" sheetId="15" r:id="rId14"/>
    <sheet name="Scenario_Assumptions" sheetId="16" r:id="rId15"/>
    <sheet name="Calendar_Weeks" sheetId="17" r:id="rId16"/>
    <sheet name="Demand_Base" sheetId="18" r:id="rId17"/>
    <sheet name="Weekly_Product_Demand" sheetId="20" r:id="rId18"/>
    <sheet name="Weekly_Inventory_Flow" sheetId="21" r:id="rId19"/>
    <sheet name="Weekly_Material_Requirements" sheetId="22" r:id="rId20"/>
    <sheet name="Weekly_Material_Summary" sheetId="23" r:id="rId21"/>
    <sheet name="Weekly_Material_Inventory" sheetId="24" r:id="rId22"/>
    <sheet name="Weekly_Line_Capacity" sheetId="26" r:id="rId23"/>
    <sheet name="Data_Validation" sheetId="27" r:id="rId24"/>
    <sheet name="Operations_Planner" sheetId="28" r:id="rId25"/>
    <sheet name="KPI_Summary" sheetId="29" r:id="rId26"/>
    <sheet name="Product_KPI_Summary" sheetId="30" r:id="rId27"/>
    <sheet name="Line_KPI_Summary" sheetId="31" r:id="rId28"/>
    <sheet name="Material_KPI_Summary" sheetId="32" r:id="rId29"/>
    <sheet name="KPI_Interpretation" sheetId="33" r:id="rId30"/>
    <sheet name="Exception_Engine" sheetId="34" r:id="rId31"/>
    <sheet name="Exception_Summary" sheetId="3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35" l="1"/>
  <c r="B11" i="35"/>
  <c r="B10" i="35" a="1"/>
  <c r="B10" i="35" s="1"/>
  <c r="B9" i="35"/>
  <c r="B7" i="35"/>
  <c r="B6" i="35"/>
  <c r="K3" i="34"/>
  <c r="K4" i="34"/>
  <c r="K5" i="34"/>
  <c r="K6" i="34"/>
  <c r="K7" i="34"/>
  <c r="K8" i="34"/>
  <c r="K9"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66" i="34"/>
  <c r="K67" i="34"/>
  <c r="K68" i="34"/>
  <c r="K69" i="34"/>
  <c r="K70" i="34"/>
  <c r="K71" i="34"/>
  <c r="K72" i="34"/>
  <c r="K73" i="34"/>
  <c r="K74" i="34"/>
  <c r="K75" i="34"/>
  <c r="K76" i="34"/>
  <c r="K77" i="34"/>
  <c r="K78" i="34"/>
  <c r="K79" i="34"/>
  <c r="K80" i="34"/>
  <c r="K81" i="34"/>
  <c r="K82" i="34"/>
  <c r="K83" i="34"/>
  <c r="K84" i="34"/>
  <c r="K85" i="34"/>
  <c r="K86" i="34"/>
  <c r="K87" i="34"/>
  <c r="K88" i="34"/>
  <c r="K89" i="34"/>
  <c r="K90" i="34"/>
  <c r="K91" i="34"/>
  <c r="K92" i="34"/>
  <c r="K93" i="34"/>
  <c r="K94" i="34"/>
  <c r="K95" i="34"/>
  <c r="K96" i="34"/>
  <c r="K97" i="34"/>
  <c r="K98" i="34"/>
  <c r="K99" i="34"/>
  <c r="K100" i="34"/>
  <c r="K101" i="34"/>
  <c r="K102" i="34"/>
  <c r="K103" i="34"/>
  <c r="K104" i="34"/>
  <c r="K105" i="34"/>
  <c r="K106" i="34"/>
  <c r="K107" i="34"/>
  <c r="K108" i="34"/>
  <c r="K109" i="34"/>
  <c r="K110" i="34"/>
  <c r="K111" i="34"/>
  <c r="K112" i="34"/>
  <c r="K113" i="34"/>
  <c r="K114" i="34"/>
  <c r="K115" i="34"/>
  <c r="K116" i="34"/>
  <c r="K117" i="34"/>
  <c r="K118" i="34"/>
  <c r="K119" i="34"/>
  <c r="K120" i="34"/>
  <c r="K121" i="34"/>
  <c r="K122" i="34"/>
  <c r="K123" i="34"/>
  <c r="K124" i="34"/>
  <c r="K125" i="34"/>
  <c r="K126" i="34"/>
  <c r="K127" i="34"/>
  <c r="K128" i="34"/>
  <c r="K129" i="34"/>
  <c r="K130" i="34"/>
  <c r="K131" i="34"/>
  <c r="K132" i="34"/>
  <c r="K133" i="34"/>
  <c r="K134" i="34"/>
  <c r="K135" i="34"/>
  <c r="K136" i="34"/>
  <c r="K137" i="34"/>
  <c r="K138" i="34"/>
  <c r="K139" i="34"/>
  <c r="K140" i="34"/>
  <c r="K141" i="34"/>
  <c r="K142" i="34"/>
  <c r="K143" i="34"/>
  <c r="K144" i="34"/>
  <c r="K145" i="34"/>
  <c r="K146" i="34"/>
  <c r="K147" i="34"/>
  <c r="K148" i="34"/>
  <c r="K149" i="34"/>
  <c r="K150" i="34"/>
  <c r="K151" i="34"/>
  <c r="K152" i="34"/>
  <c r="K153" i="34"/>
  <c r="K154" i="34"/>
  <c r="K155" i="34"/>
  <c r="K156" i="34"/>
  <c r="K157" i="34"/>
  <c r="K158" i="34"/>
  <c r="K159" i="34"/>
  <c r="K160" i="34"/>
  <c r="K161" i="34"/>
  <c r="K162" i="34"/>
  <c r="K163" i="34"/>
  <c r="K164" i="34"/>
  <c r="K165" i="34"/>
  <c r="K166" i="34"/>
  <c r="K167" i="34"/>
  <c r="K168" i="34"/>
  <c r="K169" i="34"/>
  <c r="K170" i="34"/>
  <c r="K171" i="34"/>
  <c r="K172" i="34"/>
  <c r="K173" i="34"/>
  <c r="K174" i="34"/>
  <c r="K175" i="34"/>
  <c r="K176" i="34"/>
  <c r="K177" i="34"/>
  <c r="K178" i="34"/>
  <c r="K179" i="34"/>
  <c r="K180" i="34"/>
  <c r="K181" i="34"/>
  <c r="K182" i="34"/>
  <c r="K183" i="34"/>
  <c r="K184" i="34"/>
  <c r="K185" i="34"/>
  <c r="K186" i="34"/>
  <c r="K187" i="34"/>
  <c r="K188" i="34"/>
  <c r="K189" i="34"/>
  <c r="K190" i="34"/>
  <c r="K191" i="34"/>
  <c r="K192" i="34"/>
  <c r="K193" i="34"/>
  <c r="K194" i="34"/>
  <c r="K195" i="34"/>
  <c r="K196" i="34"/>
  <c r="K197" i="34"/>
  <c r="K198" i="34"/>
  <c r="K199" i="34"/>
  <c r="K200" i="34"/>
  <c r="K201" i="34"/>
  <c r="K202" i="34"/>
  <c r="K203" i="34"/>
  <c r="K204" i="34"/>
  <c r="K205" i="34"/>
  <c r="K206" i="34"/>
  <c r="K207" i="34"/>
  <c r="K208" i="34"/>
  <c r="K209" i="34"/>
  <c r="K210" i="34"/>
  <c r="K211" i="34"/>
  <c r="K212" i="34"/>
  <c r="K213" i="34"/>
  <c r="K214" i="34"/>
  <c r="K215" i="34"/>
  <c r="K216" i="34"/>
  <c r="K217" i="34"/>
  <c r="K218" i="34"/>
  <c r="K219" i="34"/>
  <c r="K220" i="34"/>
  <c r="K221" i="34"/>
  <c r="K222" i="34"/>
  <c r="K223" i="34"/>
  <c r="K224" i="34"/>
  <c r="K225" i="34"/>
  <c r="K226" i="34"/>
  <c r="K227" i="34"/>
  <c r="K228" i="34"/>
  <c r="K229" i="34"/>
  <c r="K230" i="34"/>
  <c r="K231" i="34"/>
  <c r="K232" i="34"/>
  <c r="K233" i="34"/>
  <c r="K234" i="34"/>
  <c r="K235" i="34"/>
  <c r="K236" i="34"/>
  <c r="K237" i="34"/>
  <c r="K238" i="34"/>
  <c r="K239" i="34"/>
  <c r="K240" i="34"/>
  <c r="K241" i="34"/>
  <c r="K242" i="34"/>
  <c r="K243" i="34"/>
  <c r="K244" i="34"/>
  <c r="K245" i="34"/>
  <c r="K246" i="34"/>
  <c r="K247" i="34"/>
  <c r="K248" i="34"/>
  <c r="K249" i="34"/>
  <c r="K250" i="34"/>
  <c r="K251" i="34"/>
  <c r="K252" i="34"/>
  <c r="K253" i="34"/>
  <c r="K254" i="34"/>
  <c r="K255" i="34"/>
  <c r="K256" i="34"/>
  <c r="K257" i="34"/>
  <c r="K258" i="34"/>
  <c r="K259" i="34"/>
  <c r="K260" i="34"/>
  <c r="K261" i="34"/>
  <c r="B3" i="34"/>
  <c r="B4" i="34"/>
  <c r="B5" i="34"/>
  <c r="B6" i="34"/>
  <c r="F6" i="34" s="1"/>
  <c r="B7" i="34"/>
  <c r="F7" i="34" s="1"/>
  <c r="B8" i="34"/>
  <c r="B9" i="34"/>
  <c r="D9" i="34" s="1"/>
  <c r="B10" i="34"/>
  <c r="D10" i="34" s="1"/>
  <c r="B11" i="34"/>
  <c r="B12" i="34"/>
  <c r="F12" i="34" s="1"/>
  <c r="B13" i="34"/>
  <c r="B14" i="34"/>
  <c r="B15" i="34"/>
  <c r="B16" i="34"/>
  <c r="B17" i="34"/>
  <c r="B18" i="34"/>
  <c r="F18" i="34" s="1"/>
  <c r="B19" i="34"/>
  <c r="F19" i="34" s="1"/>
  <c r="B20" i="34"/>
  <c r="B21" i="34"/>
  <c r="B22" i="34"/>
  <c r="B23" i="34"/>
  <c r="B24" i="34"/>
  <c r="B25" i="34"/>
  <c r="B26" i="34"/>
  <c r="F26" i="34" s="1"/>
  <c r="B27" i="34"/>
  <c r="B28" i="34"/>
  <c r="B29" i="34"/>
  <c r="B30" i="34"/>
  <c r="F30" i="34" s="1"/>
  <c r="B31" i="34"/>
  <c r="F31" i="34" s="1"/>
  <c r="B32" i="34"/>
  <c r="B33" i="34"/>
  <c r="B34" i="34"/>
  <c r="B35" i="34"/>
  <c r="E35" i="34" s="1"/>
  <c r="B36" i="34"/>
  <c r="D36" i="34" s="1"/>
  <c r="B37" i="34"/>
  <c r="B38" i="34"/>
  <c r="B39" i="34"/>
  <c r="B40" i="34"/>
  <c r="B41" i="34"/>
  <c r="B42" i="34"/>
  <c r="F42" i="34" s="1"/>
  <c r="B43" i="34"/>
  <c r="F43" i="34" s="1"/>
  <c r="B44" i="34"/>
  <c r="B45" i="34"/>
  <c r="B46" i="34"/>
  <c r="B47" i="34"/>
  <c r="B48" i="34"/>
  <c r="E48" i="34" s="1"/>
  <c r="B49" i="34"/>
  <c r="B50" i="34"/>
  <c r="B51" i="34"/>
  <c r="B52" i="34"/>
  <c r="B53" i="34"/>
  <c r="B54" i="34"/>
  <c r="F54" i="34" s="1"/>
  <c r="B55" i="34"/>
  <c r="F55" i="34" s="1"/>
  <c r="B56" i="34"/>
  <c r="B57" i="34"/>
  <c r="G57" i="34" s="1"/>
  <c r="B58" i="34"/>
  <c r="B59" i="34"/>
  <c r="B60" i="34"/>
  <c r="B61" i="34"/>
  <c r="B62" i="34"/>
  <c r="B63" i="34"/>
  <c r="B64" i="34"/>
  <c r="B65" i="34"/>
  <c r="B66" i="34"/>
  <c r="F66" i="34" s="1"/>
  <c r="B67" i="34"/>
  <c r="F67" i="34" s="1"/>
  <c r="B68" i="34"/>
  <c r="B69" i="34"/>
  <c r="B70" i="34"/>
  <c r="B71" i="34"/>
  <c r="B72" i="34"/>
  <c r="B73" i="34"/>
  <c r="B74" i="34"/>
  <c r="F74" i="34" s="1"/>
  <c r="B75" i="34"/>
  <c r="B76" i="34"/>
  <c r="B77" i="34"/>
  <c r="B78" i="34"/>
  <c r="F78" i="34" s="1"/>
  <c r="B79" i="34"/>
  <c r="F79" i="34" s="1"/>
  <c r="B80" i="34"/>
  <c r="B81" i="34"/>
  <c r="B82" i="34"/>
  <c r="F82" i="34" s="1"/>
  <c r="B83" i="34"/>
  <c r="E83" i="34" s="1"/>
  <c r="B84" i="34"/>
  <c r="B85" i="34"/>
  <c r="D85" i="34" s="1"/>
  <c r="B86" i="34"/>
  <c r="B87" i="34"/>
  <c r="B88" i="34"/>
  <c r="B89" i="34"/>
  <c r="B90" i="34"/>
  <c r="F90" i="34" s="1"/>
  <c r="B91" i="34"/>
  <c r="F91" i="34" s="1"/>
  <c r="B92" i="34"/>
  <c r="B93" i="34"/>
  <c r="B94" i="34"/>
  <c r="B95" i="34"/>
  <c r="E95" i="34" s="1"/>
  <c r="B96" i="34"/>
  <c r="D96" i="34" s="1"/>
  <c r="B97" i="34"/>
  <c r="B98" i="34"/>
  <c r="B99" i="34"/>
  <c r="B100" i="34"/>
  <c r="B101" i="34"/>
  <c r="B102" i="34"/>
  <c r="F102" i="34" s="1"/>
  <c r="B103" i="34"/>
  <c r="F103" i="34" s="1"/>
  <c r="B104" i="34"/>
  <c r="B105" i="34"/>
  <c r="B106" i="34"/>
  <c r="B107" i="34"/>
  <c r="D107" i="34" s="1"/>
  <c r="B108" i="34"/>
  <c r="B109" i="34"/>
  <c r="D109" i="34" s="1"/>
  <c r="B110" i="34"/>
  <c r="B111" i="34"/>
  <c r="B112" i="34"/>
  <c r="B113" i="34"/>
  <c r="B114" i="34"/>
  <c r="F114" i="34" s="1"/>
  <c r="B115" i="34"/>
  <c r="F115" i="34" s="1"/>
  <c r="B116" i="34"/>
  <c r="F116" i="34" s="1"/>
  <c r="B117" i="34"/>
  <c r="F117" i="34" s="1"/>
  <c r="B118" i="34"/>
  <c r="F118" i="34" s="1"/>
  <c r="B119" i="34"/>
  <c r="F119" i="34" s="1"/>
  <c r="B120" i="34"/>
  <c r="C120" i="34" s="1"/>
  <c r="B121" i="34"/>
  <c r="B122" i="34"/>
  <c r="B123" i="34"/>
  <c r="B124" i="34"/>
  <c r="B125" i="34"/>
  <c r="B126" i="34"/>
  <c r="F126" i="34" s="1"/>
  <c r="B127" i="34"/>
  <c r="F127" i="34" s="1"/>
  <c r="B128" i="34"/>
  <c r="B129" i="34"/>
  <c r="G129" i="34" s="1"/>
  <c r="B130" i="34"/>
  <c r="G130" i="34" s="1"/>
  <c r="B131" i="34"/>
  <c r="G131" i="34" s="1"/>
  <c r="B132" i="34"/>
  <c r="B133" i="34"/>
  <c r="C133" i="34" s="1"/>
  <c r="B134" i="34"/>
  <c r="B135" i="34"/>
  <c r="B136" i="34"/>
  <c r="B137" i="34"/>
  <c r="B138" i="34"/>
  <c r="F138" i="34" s="1"/>
  <c r="B139" i="34"/>
  <c r="F139" i="34" s="1"/>
  <c r="B140" i="34"/>
  <c r="F140" i="34" s="1"/>
  <c r="B141" i="34"/>
  <c r="B142" i="34"/>
  <c r="B143" i="34"/>
  <c r="E143" i="34" s="1"/>
  <c r="B144" i="34"/>
  <c r="E144" i="34" s="1"/>
  <c r="B145" i="34"/>
  <c r="B146" i="34"/>
  <c r="B147" i="34"/>
  <c r="B148" i="34"/>
  <c r="B149" i="34"/>
  <c r="B150" i="34"/>
  <c r="F150" i="34" s="1"/>
  <c r="B151" i="34"/>
  <c r="F151" i="34" s="1"/>
  <c r="B152" i="34"/>
  <c r="B153" i="34"/>
  <c r="B154" i="34"/>
  <c r="B155" i="34"/>
  <c r="B156" i="34"/>
  <c r="B157" i="34"/>
  <c r="C157" i="34" s="1"/>
  <c r="B158" i="34"/>
  <c r="B159" i="34"/>
  <c r="B160" i="34"/>
  <c r="B161" i="34"/>
  <c r="B162" i="34"/>
  <c r="F162" i="34" s="1"/>
  <c r="B163" i="34"/>
  <c r="F163" i="34" s="1"/>
  <c r="B164" i="34"/>
  <c r="B165" i="34"/>
  <c r="B166" i="34"/>
  <c r="B167" i="34"/>
  <c r="B168" i="34"/>
  <c r="D168" i="34" s="1"/>
  <c r="B169" i="34"/>
  <c r="F169" i="34" s="1"/>
  <c r="B170" i="34"/>
  <c r="B171" i="34"/>
  <c r="B172" i="34"/>
  <c r="B173" i="34"/>
  <c r="B174" i="34"/>
  <c r="F174" i="34" s="1"/>
  <c r="B175" i="34"/>
  <c r="F175" i="34" s="1"/>
  <c r="B176" i="34"/>
  <c r="B177" i="34"/>
  <c r="B178" i="34"/>
  <c r="B179" i="34"/>
  <c r="D179" i="34" s="1"/>
  <c r="B180" i="34"/>
  <c r="B181" i="34"/>
  <c r="B182" i="34"/>
  <c r="B183" i="34"/>
  <c r="B184" i="34"/>
  <c r="B185" i="34"/>
  <c r="B186" i="34"/>
  <c r="F186" i="34" s="1"/>
  <c r="B187" i="34"/>
  <c r="F187" i="34" s="1"/>
  <c r="B188" i="34"/>
  <c r="B189" i="34"/>
  <c r="F189" i="34" s="1"/>
  <c r="B190" i="34"/>
  <c r="F190" i="34" s="1"/>
  <c r="B191" i="34"/>
  <c r="E191" i="34" s="1"/>
  <c r="B192" i="34"/>
  <c r="B193" i="34"/>
  <c r="E193" i="34" s="1"/>
  <c r="B194" i="34"/>
  <c r="B195" i="34"/>
  <c r="B196" i="34"/>
  <c r="B197" i="34"/>
  <c r="B198" i="34"/>
  <c r="F198" i="34" s="1"/>
  <c r="B199" i="34"/>
  <c r="F199" i="34" s="1"/>
  <c r="B200" i="34"/>
  <c r="B201" i="34"/>
  <c r="G201" i="34" s="1"/>
  <c r="B202" i="34"/>
  <c r="G202" i="34" s="1"/>
  <c r="B203" i="34"/>
  <c r="G203" i="34" s="1"/>
  <c r="B204" i="34"/>
  <c r="B205" i="34"/>
  <c r="B206" i="34"/>
  <c r="C206" i="34" s="1"/>
  <c r="B207" i="34"/>
  <c r="B208" i="34"/>
  <c r="B209" i="34"/>
  <c r="B210" i="34"/>
  <c r="F210" i="34" s="1"/>
  <c r="B211" i="34"/>
  <c r="F211" i="34" s="1"/>
  <c r="B212" i="34"/>
  <c r="B213" i="34"/>
  <c r="B214" i="34"/>
  <c r="F214" i="34" s="1"/>
  <c r="B215" i="34"/>
  <c r="D215" i="34" s="1"/>
  <c r="B216" i="34"/>
  <c r="B217" i="34"/>
  <c r="B218" i="34"/>
  <c r="B219" i="34"/>
  <c r="B220" i="34"/>
  <c r="B221" i="34"/>
  <c r="B222" i="34"/>
  <c r="F222" i="34" s="1"/>
  <c r="B223" i="34"/>
  <c r="F223" i="34" s="1"/>
  <c r="B224" i="34"/>
  <c r="B225" i="34"/>
  <c r="B226" i="34"/>
  <c r="D226" i="34" s="1"/>
  <c r="B227" i="34"/>
  <c r="G227" i="34" s="1"/>
  <c r="B228" i="34"/>
  <c r="B229" i="34"/>
  <c r="B230" i="34"/>
  <c r="F230" i="34" s="1"/>
  <c r="B231" i="34"/>
  <c r="B232" i="34"/>
  <c r="B233" i="34"/>
  <c r="B234" i="34"/>
  <c r="F234" i="34" s="1"/>
  <c r="B235" i="34"/>
  <c r="F235" i="34" s="1"/>
  <c r="B236" i="34"/>
  <c r="B237" i="34"/>
  <c r="B238" i="34"/>
  <c r="E238" i="34" s="1"/>
  <c r="B239" i="34"/>
  <c r="E239" i="34" s="1"/>
  <c r="B240" i="34"/>
  <c r="F240" i="34" s="1"/>
  <c r="B241" i="34"/>
  <c r="B242" i="34"/>
  <c r="B243" i="34"/>
  <c r="B244" i="34"/>
  <c r="B245" i="34"/>
  <c r="B246" i="34"/>
  <c r="B247" i="34"/>
  <c r="F247" i="34" s="1"/>
  <c r="B248" i="34"/>
  <c r="B249" i="34"/>
  <c r="B250" i="34"/>
  <c r="B251" i="34"/>
  <c r="B252" i="34"/>
  <c r="D252" i="34" s="1"/>
  <c r="B253" i="34"/>
  <c r="B254" i="34"/>
  <c r="B255" i="34"/>
  <c r="B256" i="34"/>
  <c r="B257" i="34"/>
  <c r="B258" i="34"/>
  <c r="F258" i="34" s="1"/>
  <c r="B259" i="34"/>
  <c r="F259" i="34" s="1"/>
  <c r="B260" i="34"/>
  <c r="B261" i="34"/>
  <c r="G3" i="34"/>
  <c r="G4" i="34"/>
  <c r="G5" i="34"/>
  <c r="G15" i="34"/>
  <c r="G16" i="34"/>
  <c r="G17" i="34"/>
  <c r="G18" i="34"/>
  <c r="G19" i="34"/>
  <c r="G27" i="34"/>
  <c r="G28" i="34"/>
  <c r="G29" i="34"/>
  <c r="G30" i="34"/>
  <c r="G31" i="34"/>
  <c r="G39" i="34"/>
  <c r="G40" i="34"/>
  <c r="G41" i="34"/>
  <c r="G42" i="34"/>
  <c r="G43" i="34"/>
  <c r="G51" i="34"/>
  <c r="G52" i="34"/>
  <c r="G53" i="34"/>
  <c r="G54" i="34"/>
  <c r="G55" i="34"/>
  <c r="G63" i="34"/>
  <c r="G64" i="34"/>
  <c r="G65" i="34"/>
  <c r="G68" i="34"/>
  <c r="G69" i="34"/>
  <c r="G70" i="34"/>
  <c r="G71" i="34"/>
  <c r="G72" i="34"/>
  <c r="G75" i="34"/>
  <c r="G76" i="34"/>
  <c r="G77" i="34"/>
  <c r="G87" i="34"/>
  <c r="G88" i="34"/>
  <c r="G89" i="34"/>
  <c r="G90" i="34"/>
  <c r="G91" i="34"/>
  <c r="G99" i="34"/>
  <c r="G100" i="34"/>
  <c r="G101" i="34"/>
  <c r="G102" i="34"/>
  <c r="G103" i="34"/>
  <c r="G111" i="34"/>
  <c r="G112" i="34"/>
  <c r="G113" i="34"/>
  <c r="G114" i="34"/>
  <c r="G115" i="34"/>
  <c r="G116" i="34"/>
  <c r="G123" i="34"/>
  <c r="G124" i="34"/>
  <c r="G125" i="34"/>
  <c r="G126" i="34"/>
  <c r="G127" i="34"/>
  <c r="G135" i="34"/>
  <c r="G136" i="34"/>
  <c r="G137" i="34"/>
  <c r="G141" i="34"/>
  <c r="G142" i="34"/>
  <c r="G143" i="34"/>
  <c r="G144" i="34"/>
  <c r="G147" i="34"/>
  <c r="G148" i="34"/>
  <c r="G149" i="34"/>
  <c r="G159" i="34"/>
  <c r="G160" i="34"/>
  <c r="G161" i="34"/>
  <c r="G162" i="34"/>
  <c r="G163" i="34"/>
  <c r="G171" i="34"/>
  <c r="G172" i="34"/>
  <c r="G173" i="34"/>
  <c r="G174" i="34"/>
  <c r="G175" i="34"/>
  <c r="G183" i="34"/>
  <c r="G184" i="34"/>
  <c r="G185" i="34"/>
  <c r="G186" i="34"/>
  <c r="G187" i="34"/>
  <c r="G188" i="34"/>
  <c r="G189" i="34"/>
  <c r="G190" i="34"/>
  <c r="G195" i="34"/>
  <c r="G196" i="34"/>
  <c r="G197" i="34"/>
  <c r="G198" i="34"/>
  <c r="G199" i="34"/>
  <c r="G207" i="34"/>
  <c r="G208" i="34"/>
  <c r="G209" i="34"/>
  <c r="G215" i="34"/>
  <c r="G219" i="34"/>
  <c r="G220" i="34"/>
  <c r="G221" i="34"/>
  <c r="G231" i="34"/>
  <c r="G232" i="34"/>
  <c r="G233" i="34"/>
  <c r="G234" i="34"/>
  <c r="G235" i="34"/>
  <c r="G240" i="34"/>
  <c r="G243" i="34"/>
  <c r="G244" i="34"/>
  <c r="G245" i="34"/>
  <c r="G246" i="34"/>
  <c r="G247" i="34"/>
  <c r="G255" i="34"/>
  <c r="G256" i="34"/>
  <c r="G257" i="34"/>
  <c r="G258" i="34"/>
  <c r="G259" i="34"/>
  <c r="G260" i="34"/>
  <c r="G261" i="34"/>
  <c r="G2" i="34"/>
  <c r="F3" i="34"/>
  <c r="F4" i="34"/>
  <c r="F5" i="34"/>
  <c r="F15" i="34"/>
  <c r="F16" i="34"/>
  <c r="F17" i="34"/>
  <c r="F27" i="34"/>
  <c r="F28" i="34"/>
  <c r="F29" i="34"/>
  <c r="F39" i="34"/>
  <c r="F40" i="34"/>
  <c r="F41" i="34"/>
  <c r="F44" i="34"/>
  <c r="F45" i="34"/>
  <c r="F46" i="34"/>
  <c r="F51" i="34"/>
  <c r="F52" i="34"/>
  <c r="F53" i="34"/>
  <c r="F63" i="34"/>
  <c r="F64" i="34"/>
  <c r="F65" i="34"/>
  <c r="F75" i="34"/>
  <c r="F76" i="34"/>
  <c r="F77" i="34"/>
  <c r="F87" i="34"/>
  <c r="F88" i="34"/>
  <c r="F89" i="34"/>
  <c r="F99" i="34"/>
  <c r="F100" i="34"/>
  <c r="F101" i="34"/>
  <c r="F111" i="34"/>
  <c r="F112" i="34"/>
  <c r="F113" i="34"/>
  <c r="F123" i="34"/>
  <c r="F124" i="34"/>
  <c r="F125" i="34"/>
  <c r="F131" i="34"/>
  <c r="F132" i="34"/>
  <c r="F135" i="34"/>
  <c r="F136" i="34"/>
  <c r="F137" i="34"/>
  <c r="F147" i="34"/>
  <c r="F148" i="34"/>
  <c r="F149" i="34"/>
  <c r="F154" i="34"/>
  <c r="F155" i="34"/>
  <c r="F156" i="34"/>
  <c r="F159" i="34"/>
  <c r="F160" i="34"/>
  <c r="F161" i="34"/>
  <c r="F171" i="34"/>
  <c r="F172" i="34"/>
  <c r="F173" i="34"/>
  <c r="F176" i="34"/>
  <c r="F183" i="34"/>
  <c r="F184" i="34"/>
  <c r="F185" i="34"/>
  <c r="F195" i="34"/>
  <c r="F196" i="34"/>
  <c r="F197" i="34"/>
  <c r="F207" i="34"/>
  <c r="F208" i="34"/>
  <c r="F209" i="34"/>
  <c r="F219" i="34"/>
  <c r="F220" i="34"/>
  <c r="F221" i="34"/>
  <c r="F231" i="34"/>
  <c r="F232" i="34"/>
  <c r="F233" i="34"/>
  <c r="F243" i="34"/>
  <c r="F244" i="34"/>
  <c r="F245" i="34"/>
  <c r="F248" i="34"/>
  <c r="F249" i="34"/>
  <c r="F255" i="34"/>
  <c r="F257" i="34"/>
  <c r="D15" i="34"/>
  <c r="D16" i="34"/>
  <c r="D17" i="34"/>
  <c r="D18" i="34"/>
  <c r="D19" i="34"/>
  <c r="D27" i="34"/>
  <c r="D28" i="34"/>
  <c r="D29" i="34"/>
  <c r="D30" i="34"/>
  <c r="D34" i="34"/>
  <c r="D39" i="34"/>
  <c r="D40" i="34"/>
  <c r="D41" i="34"/>
  <c r="D42" i="34"/>
  <c r="D51" i="34"/>
  <c r="D52" i="34"/>
  <c r="D53" i="34"/>
  <c r="D54" i="34"/>
  <c r="D55" i="34"/>
  <c r="D63" i="34"/>
  <c r="D64" i="34"/>
  <c r="D65" i="34"/>
  <c r="D66" i="34"/>
  <c r="D67" i="34"/>
  <c r="D70" i="34"/>
  <c r="D71" i="34"/>
  <c r="D75" i="34"/>
  <c r="D76" i="34"/>
  <c r="D77" i="34"/>
  <c r="D78" i="34"/>
  <c r="D79" i="34"/>
  <c r="D87" i="34"/>
  <c r="D88" i="34"/>
  <c r="D89" i="34"/>
  <c r="D90" i="34"/>
  <c r="D91" i="34"/>
  <c r="D99" i="34"/>
  <c r="D100" i="34"/>
  <c r="D101" i="34"/>
  <c r="D111" i="34"/>
  <c r="D112" i="34"/>
  <c r="D113" i="34"/>
  <c r="D123" i="34"/>
  <c r="D124" i="34"/>
  <c r="D125" i="34"/>
  <c r="D126" i="34"/>
  <c r="D127" i="34"/>
  <c r="D135" i="34"/>
  <c r="D136" i="34"/>
  <c r="D137" i="34"/>
  <c r="D138" i="34"/>
  <c r="D139" i="34"/>
  <c r="D142" i="34"/>
  <c r="D143" i="34"/>
  <c r="D147" i="34"/>
  <c r="D148" i="34"/>
  <c r="D149" i="34"/>
  <c r="D150" i="34"/>
  <c r="D151" i="34"/>
  <c r="D159" i="34"/>
  <c r="D160" i="34"/>
  <c r="D161" i="34"/>
  <c r="D162" i="34"/>
  <c r="D163" i="34"/>
  <c r="D166" i="34"/>
  <c r="D167" i="34"/>
  <c r="D171" i="34"/>
  <c r="D172" i="34"/>
  <c r="D173" i="34"/>
  <c r="D183" i="34"/>
  <c r="D184" i="34"/>
  <c r="D185" i="34"/>
  <c r="D195" i="34"/>
  <c r="D196" i="34"/>
  <c r="D197" i="34"/>
  <c r="D198" i="34"/>
  <c r="D199" i="34"/>
  <c r="D207" i="34"/>
  <c r="D208" i="34"/>
  <c r="D209" i="34"/>
  <c r="D210" i="34"/>
  <c r="D211" i="34"/>
  <c r="D219" i="34"/>
  <c r="D220" i="34"/>
  <c r="D221" i="34"/>
  <c r="D222" i="34"/>
  <c r="D223" i="34"/>
  <c r="D231" i="34"/>
  <c r="D232" i="34"/>
  <c r="D233" i="34"/>
  <c r="D234" i="34"/>
  <c r="D235" i="34"/>
  <c r="D238" i="34"/>
  <c r="D239" i="34"/>
  <c r="D240" i="34"/>
  <c r="D241" i="34"/>
  <c r="D243" i="34"/>
  <c r="D244" i="34"/>
  <c r="D245" i="34"/>
  <c r="D255" i="34"/>
  <c r="D257" i="34"/>
  <c r="D3" i="34"/>
  <c r="D4" i="34"/>
  <c r="D5" i="34"/>
  <c r="D6" i="34"/>
  <c r="D7" i="34"/>
  <c r="E3" i="34"/>
  <c r="E4" i="34"/>
  <c r="E5" i="34"/>
  <c r="E6" i="34"/>
  <c r="E7" i="34"/>
  <c r="E11" i="34"/>
  <c r="E15" i="34"/>
  <c r="E16" i="34"/>
  <c r="E17" i="34"/>
  <c r="E18" i="34"/>
  <c r="E19" i="34"/>
  <c r="E23" i="34"/>
  <c r="E24" i="34"/>
  <c r="E25" i="34"/>
  <c r="E27" i="34"/>
  <c r="E28" i="34"/>
  <c r="E29" i="34"/>
  <c r="E30" i="34"/>
  <c r="E31" i="34"/>
  <c r="E39" i="34"/>
  <c r="E40" i="34"/>
  <c r="E41" i="34"/>
  <c r="E42" i="34"/>
  <c r="E43" i="34"/>
  <c r="E51" i="34"/>
  <c r="E52" i="34"/>
  <c r="E53" i="34"/>
  <c r="E54" i="34"/>
  <c r="E55" i="34"/>
  <c r="E59" i="34"/>
  <c r="E63" i="34"/>
  <c r="E64" i="34"/>
  <c r="E65" i="34"/>
  <c r="E66" i="34"/>
  <c r="E67" i="34"/>
  <c r="E71" i="34"/>
  <c r="E72" i="34"/>
  <c r="E73" i="34"/>
  <c r="E75" i="34"/>
  <c r="E76" i="34"/>
  <c r="E77" i="34"/>
  <c r="E78" i="34"/>
  <c r="E79" i="34"/>
  <c r="E87" i="34"/>
  <c r="E88" i="34"/>
  <c r="E89" i="34"/>
  <c r="E90" i="34"/>
  <c r="E91" i="34"/>
  <c r="E99" i="34"/>
  <c r="E100" i="34"/>
  <c r="E101" i="34"/>
  <c r="E102" i="34"/>
  <c r="E103" i="34"/>
  <c r="E107" i="34"/>
  <c r="E111" i="34"/>
  <c r="E112" i="34"/>
  <c r="E113" i="34"/>
  <c r="E114" i="34"/>
  <c r="E115" i="34"/>
  <c r="E119" i="34"/>
  <c r="E120" i="34"/>
  <c r="E121" i="34"/>
  <c r="E122" i="34"/>
  <c r="E123" i="34"/>
  <c r="E124" i="34"/>
  <c r="E125" i="34"/>
  <c r="E126" i="34"/>
  <c r="E127" i="34"/>
  <c r="E135" i="34"/>
  <c r="E136" i="34"/>
  <c r="E137" i="34"/>
  <c r="E138" i="34"/>
  <c r="E139" i="34"/>
  <c r="E147" i="34"/>
  <c r="E148" i="34"/>
  <c r="E149" i="34"/>
  <c r="E150" i="34"/>
  <c r="E151" i="34"/>
  <c r="E155" i="34"/>
  <c r="E159" i="34"/>
  <c r="E160" i="34"/>
  <c r="E161" i="34"/>
  <c r="E162" i="34"/>
  <c r="E163" i="34"/>
  <c r="E167" i="34"/>
  <c r="E168" i="34"/>
  <c r="E169" i="34"/>
  <c r="E171" i="34"/>
  <c r="E172" i="34"/>
  <c r="E173" i="34"/>
  <c r="E174" i="34"/>
  <c r="E175" i="34"/>
  <c r="E183" i="34"/>
  <c r="E184" i="34"/>
  <c r="E185" i="34"/>
  <c r="E186" i="34"/>
  <c r="E187" i="34"/>
  <c r="E195" i="34"/>
  <c r="E196" i="34"/>
  <c r="E197" i="34"/>
  <c r="E198" i="34"/>
  <c r="E199" i="34"/>
  <c r="E203" i="34"/>
  <c r="E207" i="34"/>
  <c r="E208" i="34"/>
  <c r="E209" i="34"/>
  <c r="E210" i="34"/>
  <c r="E211" i="34"/>
  <c r="E215" i="34"/>
  <c r="E216" i="34"/>
  <c r="E217" i="34"/>
  <c r="E219" i="34"/>
  <c r="E220" i="34"/>
  <c r="E221" i="34"/>
  <c r="E222" i="34"/>
  <c r="E223" i="34"/>
  <c r="E231" i="34"/>
  <c r="E232" i="34"/>
  <c r="E233" i="34"/>
  <c r="E234" i="34"/>
  <c r="E235" i="34"/>
  <c r="E243" i="34"/>
  <c r="E244" i="34"/>
  <c r="E245" i="34"/>
  <c r="E247" i="34"/>
  <c r="E255" i="34"/>
  <c r="E257" i="34"/>
  <c r="E258" i="34"/>
  <c r="E259" i="34"/>
  <c r="C3" i="34"/>
  <c r="C4" i="34"/>
  <c r="C5" i="34"/>
  <c r="C6" i="34"/>
  <c r="C7" i="34"/>
  <c r="C15" i="34"/>
  <c r="C16" i="34"/>
  <c r="C17" i="34"/>
  <c r="C18" i="34"/>
  <c r="C19" i="34"/>
  <c r="C24" i="34"/>
  <c r="C27" i="34"/>
  <c r="C28" i="34"/>
  <c r="C29" i="34"/>
  <c r="C30" i="34"/>
  <c r="C31" i="34"/>
  <c r="C39" i="34"/>
  <c r="C40" i="34"/>
  <c r="C41" i="34"/>
  <c r="C42" i="34"/>
  <c r="C43" i="34"/>
  <c r="C51" i="34"/>
  <c r="C52" i="34"/>
  <c r="C53" i="34"/>
  <c r="C54" i="34"/>
  <c r="C55" i="34"/>
  <c r="C63" i="34"/>
  <c r="C64" i="34"/>
  <c r="C65" i="34"/>
  <c r="C66" i="34"/>
  <c r="C67" i="34"/>
  <c r="C75" i="34"/>
  <c r="C76" i="34"/>
  <c r="C77" i="34"/>
  <c r="C78" i="34"/>
  <c r="C79" i="34"/>
  <c r="C84" i="34"/>
  <c r="C85" i="34"/>
  <c r="C87" i="34"/>
  <c r="C88" i="34"/>
  <c r="C89" i="34"/>
  <c r="C90" i="34"/>
  <c r="C91" i="34"/>
  <c r="C99" i="34"/>
  <c r="C100" i="34"/>
  <c r="C101" i="34"/>
  <c r="C102" i="34"/>
  <c r="C103" i="34"/>
  <c r="C111" i="34"/>
  <c r="C112" i="34"/>
  <c r="C113" i="34"/>
  <c r="C114" i="34"/>
  <c r="C115" i="34"/>
  <c r="C123" i="34"/>
  <c r="C124" i="34"/>
  <c r="C125" i="34"/>
  <c r="C126" i="34"/>
  <c r="C127" i="34"/>
  <c r="C135" i="34"/>
  <c r="C136" i="34"/>
  <c r="C137" i="34"/>
  <c r="C138" i="34"/>
  <c r="C139" i="34"/>
  <c r="C147" i="34"/>
  <c r="C148" i="34"/>
  <c r="C149" i="34"/>
  <c r="C150" i="34"/>
  <c r="C151" i="34"/>
  <c r="C159" i="34"/>
  <c r="C160" i="34"/>
  <c r="C161" i="34"/>
  <c r="C162" i="34"/>
  <c r="C163" i="34"/>
  <c r="C168" i="34"/>
  <c r="C171" i="34"/>
  <c r="C172" i="34"/>
  <c r="C173" i="34"/>
  <c r="C174" i="34"/>
  <c r="C175" i="34"/>
  <c r="C183" i="34"/>
  <c r="C184" i="34"/>
  <c r="C185" i="34"/>
  <c r="C186" i="34"/>
  <c r="C187" i="34"/>
  <c r="C195" i="34"/>
  <c r="C196" i="34"/>
  <c r="C197" i="34"/>
  <c r="C198" i="34"/>
  <c r="C199" i="34"/>
  <c r="C207" i="34"/>
  <c r="C208" i="34"/>
  <c r="C209" i="34"/>
  <c r="C210" i="34"/>
  <c r="C211" i="34"/>
  <c r="C219" i="34"/>
  <c r="C220" i="34"/>
  <c r="C221" i="34"/>
  <c r="C222" i="34"/>
  <c r="C223" i="34"/>
  <c r="C228" i="34"/>
  <c r="C229" i="34"/>
  <c r="C231" i="34"/>
  <c r="C232" i="34"/>
  <c r="C233" i="34"/>
  <c r="C234" i="34"/>
  <c r="C235" i="34"/>
  <c r="C243" i="34"/>
  <c r="C244" i="34"/>
  <c r="C245" i="34"/>
  <c r="C246" i="34"/>
  <c r="C247" i="34"/>
  <c r="C255" i="34"/>
  <c r="C256" i="34"/>
  <c r="C257" i="34"/>
  <c r="C258" i="34"/>
  <c r="C259" i="34"/>
  <c r="C2" i="34"/>
  <c r="A3" i="34"/>
  <c r="A4" i="34"/>
  <c r="A5" i="34"/>
  <c r="A6" i="34"/>
  <c r="A7" i="34"/>
  <c r="A8" i="34"/>
  <c r="A9" i="34"/>
  <c r="A10" i="34"/>
  <c r="A11" i="34"/>
  <c r="A12" i="34"/>
  <c r="A13" i="34"/>
  <c r="A14" i="34"/>
  <c r="A15" i="34"/>
  <c r="A16" i="34"/>
  <c r="A17" i="34"/>
  <c r="A18" i="34"/>
  <c r="A19" i="34"/>
  <c r="A20" i="34"/>
  <c r="A21" i="34"/>
  <c r="A22" i="34"/>
  <c r="A23" i="34"/>
  <c r="A24" i="34"/>
  <c r="A25" i="34"/>
  <c r="A26" i="34"/>
  <c r="A27" i="34"/>
  <c r="A28" i="34"/>
  <c r="A29" i="34"/>
  <c r="A30" i="34"/>
  <c r="A31" i="34"/>
  <c r="A32" i="34"/>
  <c r="A33" i="34"/>
  <c r="A34" i="34"/>
  <c r="A35" i="34"/>
  <c r="A36" i="34"/>
  <c r="A37" i="34"/>
  <c r="A38" i="34"/>
  <c r="A39" i="34"/>
  <c r="A40" i="34"/>
  <c r="A41" i="34"/>
  <c r="A42" i="34"/>
  <c r="A43" i="34"/>
  <c r="A44" i="34"/>
  <c r="A45" i="34"/>
  <c r="A46" i="34"/>
  <c r="A47" i="34"/>
  <c r="A48" i="34"/>
  <c r="A49" i="34"/>
  <c r="A50" i="34"/>
  <c r="A51" i="34"/>
  <c r="A52" i="34"/>
  <c r="A53" i="34"/>
  <c r="A54" i="34"/>
  <c r="A55" i="34"/>
  <c r="A56" i="34"/>
  <c r="A57" i="34"/>
  <c r="A58" i="34"/>
  <c r="A59" i="34"/>
  <c r="A60" i="34"/>
  <c r="A61" i="34"/>
  <c r="A62" i="34"/>
  <c r="A63" i="34"/>
  <c r="A64" i="34"/>
  <c r="A65" i="34"/>
  <c r="A66" i="34"/>
  <c r="A67" i="34"/>
  <c r="A68" i="34"/>
  <c r="A69" i="34"/>
  <c r="A70" i="34"/>
  <c r="A71" i="34"/>
  <c r="A72" i="34"/>
  <c r="A73" i="34"/>
  <c r="A74" i="34"/>
  <c r="A75" i="34"/>
  <c r="A76" i="34"/>
  <c r="A77" i="34"/>
  <c r="A78" i="34"/>
  <c r="A79" i="34"/>
  <c r="A80" i="34"/>
  <c r="A81" i="34"/>
  <c r="A82" i="34"/>
  <c r="A83" i="34"/>
  <c r="A84" i="34"/>
  <c r="A85" i="34"/>
  <c r="A86" i="34"/>
  <c r="A87" i="34"/>
  <c r="A88" i="34"/>
  <c r="A89" i="34"/>
  <c r="A90" i="34"/>
  <c r="A91" i="34"/>
  <c r="A92" i="34"/>
  <c r="A93" i="34"/>
  <c r="A94" i="34"/>
  <c r="A95" i="34"/>
  <c r="A96" i="34"/>
  <c r="A97" i="34"/>
  <c r="A98" i="34"/>
  <c r="A99" i="34"/>
  <c r="A100" i="34"/>
  <c r="A101" i="34"/>
  <c r="A102" i="34"/>
  <c r="A103" i="34"/>
  <c r="A104" i="34"/>
  <c r="A105" i="34"/>
  <c r="A106" i="34"/>
  <c r="A107" i="34"/>
  <c r="A108" i="34"/>
  <c r="A109" i="34"/>
  <c r="A110" i="34"/>
  <c r="A111" i="34"/>
  <c r="A112" i="34"/>
  <c r="A113" i="34"/>
  <c r="A114" i="34"/>
  <c r="A115" i="34"/>
  <c r="A116" i="34"/>
  <c r="A117" i="34"/>
  <c r="A118" i="34"/>
  <c r="A119" i="34"/>
  <c r="A120" i="34"/>
  <c r="A121" i="34"/>
  <c r="A122" i="34"/>
  <c r="A123" i="34"/>
  <c r="A124" i="34"/>
  <c r="A125" i="34"/>
  <c r="A126" i="34"/>
  <c r="A127" i="34"/>
  <c r="A128" i="34"/>
  <c r="A129" i="34"/>
  <c r="A130" i="34"/>
  <c r="A131" i="34"/>
  <c r="A132" i="34"/>
  <c r="A133" i="34"/>
  <c r="A134" i="34"/>
  <c r="A135" i="34"/>
  <c r="A136" i="34"/>
  <c r="A137" i="34"/>
  <c r="A138" i="34"/>
  <c r="A139" i="34"/>
  <c r="A140" i="34"/>
  <c r="A141" i="34"/>
  <c r="A142" i="34"/>
  <c r="A143" i="34"/>
  <c r="A144" i="34"/>
  <c r="A145" i="34"/>
  <c r="A146" i="34"/>
  <c r="A147" i="34"/>
  <c r="A148" i="34"/>
  <c r="A149" i="34"/>
  <c r="A150" i="34"/>
  <c r="A151" i="34"/>
  <c r="A152" i="34"/>
  <c r="A153" i="34"/>
  <c r="A154" i="34"/>
  <c r="A155" i="34"/>
  <c r="A156" i="34"/>
  <c r="A157" i="34"/>
  <c r="A158" i="34"/>
  <c r="A159" i="34"/>
  <c r="A160" i="34"/>
  <c r="A161" i="34"/>
  <c r="A162" i="34"/>
  <c r="A163" i="34"/>
  <c r="A164" i="34"/>
  <c r="A165" i="34"/>
  <c r="A166" i="34"/>
  <c r="A167" i="34"/>
  <c r="A168" i="34"/>
  <c r="A169" i="34"/>
  <c r="A170" i="34"/>
  <c r="A171" i="34"/>
  <c r="A172" i="34"/>
  <c r="A173" i="34"/>
  <c r="A174" i="34"/>
  <c r="A175" i="34"/>
  <c r="A176" i="34"/>
  <c r="A177" i="34"/>
  <c r="A178" i="34"/>
  <c r="A179" i="34"/>
  <c r="A180" i="34"/>
  <c r="A181" i="34"/>
  <c r="A182" i="34"/>
  <c r="A183" i="34"/>
  <c r="A184" i="34"/>
  <c r="A185" i="34"/>
  <c r="A186" i="34"/>
  <c r="A187" i="34"/>
  <c r="A188" i="34"/>
  <c r="A189" i="34"/>
  <c r="A190" i="34"/>
  <c r="A191" i="34"/>
  <c r="A192" i="34"/>
  <c r="A193" i="34"/>
  <c r="A194" i="34"/>
  <c r="A195" i="34"/>
  <c r="A196" i="34"/>
  <c r="A197" i="34"/>
  <c r="A198" i="34"/>
  <c r="A199" i="34"/>
  <c r="A200" i="34"/>
  <c r="A201" i="34"/>
  <c r="A202" i="34"/>
  <c r="A203" i="34"/>
  <c r="A204" i="34"/>
  <c r="A205" i="34"/>
  <c r="A206" i="34"/>
  <c r="A207" i="34"/>
  <c r="A208" i="34"/>
  <c r="A209" i="34"/>
  <c r="A210" i="34"/>
  <c r="A211" i="34"/>
  <c r="A212" i="34"/>
  <c r="A213" i="34"/>
  <c r="A214" i="34"/>
  <c r="A215" i="34"/>
  <c r="A216" i="34"/>
  <c r="A217" i="34"/>
  <c r="A218" i="34"/>
  <c r="A219" i="34"/>
  <c r="A220" i="34"/>
  <c r="A221" i="34"/>
  <c r="A222" i="34"/>
  <c r="A223" i="34"/>
  <c r="A224" i="34"/>
  <c r="A225" i="34"/>
  <c r="A226" i="34"/>
  <c r="A227" i="34"/>
  <c r="A228" i="34"/>
  <c r="A229" i="34"/>
  <c r="A230" i="34"/>
  <c r="A231" i="34"/>
  <c r="A232" i="34"/>
  <c r="A233" i="34"/>
  <c r="A234" i="34"/>
  <c r="A235" i="34"/>
  <c r="A236" i="34"/>
  <c r="A237" i="34"/>
  <c r="A238" i="34"/>
  <c r="A239" i="34"/>
  <c r="A240" i="34"/>
  <c r="A241" i="34"/>
  <c r="A242" i="34"/>
  <c r="A243" i="34"/>
  <c r="A244" i="34"/>
  <c r="A245" i="34"/>
  <c r="A246" i="34"/>
  <c r="A247" i="34"/>
  <c r="A248" i="34"/>
  <c r="A249" i="34"/>
  <c r="A250" i="34"/>
  <c r="A251" i="34"/>
  <c r="A252" i="34"/>
  <c r="A253" i="34"/>
  <c r="A254" i="34"/>
  <c r="A255" i="34"/>
  <c r="A256" i="34"/>
  <c r="A257" i="34"/>
  <c r="A258" i="34"/>
  <c r="A259" i="34"/>
  <c r="A260" i="34"/>
  <c r="A261" i="34"/>
  <c r="B2" i="34"/>
  <c r="D2" i="34" s="1"/>
  <c r="K2" i="34"/>
  <c r="A2" i="34"/>
  <c r="C2" i="33"/>
  <c r="B2" i="33"/>
  <c r="A9" i="32"/>
  <c r="A3" i="32"/>
  <c r="A4" i="32"/>
  <c r="A5" i="32"/>
  <c r="A6" i="32"/>
  <c r="A7" i="32"/>
  <c r="A8" i="32"/>
  <c r="A2" i="32"/>
  <c r="D3" i="31"/>
  <c r="D4" i="31"/>
  <c r="D2" i="31"/>
  <c r="A3" i="31"/>
  <c r="A4" i="31"/>
  <c r="A2" i="31"/>
  <c r="D3" i="30"/>
  <c r="D4" i="30"/>
  <c r="D5" i="30"/>
  <c r="D6" i="30"/>
  <c r="H3" i="30"/>
  <c r="H4" i="30"/>
  <c r="H5" i="30"/>
  <c r="J3" i="30"/>
  <c r="J4" i="30"/>
  <c r="J5" i="30"/>
  <c r="I3" i="30"/>
  <c r="I4" i="30"/>
  <c r="I5" i="30"/>
  <c r="G3" i="30"/>
  <c r="G4" i="30"/>
  <c r="G5" i="30"/>
  <c r="F3" i="30"/>
  <c r="F4" i="30"/>
  <c r="F5" i="30"/>
  <c r="F6" i="30"/>
  <c r="E3" i="30"/>
  <c r="E4" i="30"/>
  <c r="E5" i="30"/>
  <c r="E6" i="30"/>
  <c r="C3" i="30"/>
  <c r="C4" i="30"/>
  <c r="C5" i="30"/>
  <c r="C6" i="30"/>
  <c r="B3" i="30"/>
  <c r="B4" i="30"/>
  <c r="B5" i="30"/>
  <c r="B6" i="30"/>
  <c r="J2" i="30"/>
  <c r="I2" i="30"/>
  <c r="H2" i="30"/>
  <c r="G2" i="30"/>
  <c r="F2" i="30"/>
  <c r="E2" i="30"/>
  <c r="D2" i="30"/>
  <c r="C2" i="30"/>
  <c r="B2" i="30"/>
  <c r="A3" i="30"/>
  <c r="A4" i="30"/>
  <c r="A5" i="30"/>
  <c r="A6" i="30"/>
  <c r="A2" i="30"/>
  <c r="B6" i="29"/>
  <c r="B5" i="29"/>
  <c r="B4" i="29"/>
  <c r="B3" i="29"/>
  <c r="B2" i="29"/>
  <c r="B7" i="28"/>
  <c r="B8" i="28"/>
  <c r="E7" i="28"/>
  <c r="A2" i="23" a="1"/>
  <c r="A2" i="23" s="1"/>
  <c r="B2" i="27"/>
  <c r="B11" i="27"/>
  <c r="B8" i="27"/>
  <c r="B1041" i="22" a="1"/>
  <c r="B1041" i="22" s="1"/>
  <c r="A1041" i="22" a="1"/>
  <c r="A1041" i="22" s="1"/>
  <c r="B4" i="27"/>
  <c r="B3" i="27"/>
  <c r="I3" i="26"/>
  <c r="I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H3" i="26"/>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G3" i="26"/>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F3" i="2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B3" i="26" a="1"/>
  <c r="B3" i="26" s="1"/>
  <c r="B4" i="26" a="1"/>
  <c r="B4" i="26"/>
  <c r="B5" i="26" a="1"/>
  <c r="B5" i="26"/>
  <c r="B6" i="26" a="1"/>
  <c r="B6" i="26"/>
  <c r="B7" i="26" a="1"/>
  <c r="B7" i="26"/>
  <c r="B8" i="26" a="1"/>
  <c r="B8" i="26"/>
  <c r="B9" i="26" a="1"/>
  <c r="B9" i="26" s="1"/>
  <c r="B10" i="26" a="1"/>
  <c r="B10" i="26"/>
  <c r="B11" i="26" a="1"/>
  <c r="B11" i="26"/>
  <c r="B12" i="26" a="1"/>
  <c r="B12" i="26"/>
  <c r="B13" i="26" a="1"/>
  <c r="B13" i="26"/>
  <c r="B14" i="26" a="1"/>
  <c r="B14" i="26"/>
  <c r="B15" i="26" a="1"/>
  <c r="B15" i="26" s="1"/>
  <c r="B16" i="26" a="1"/>
  <c r="B16" i="26"/>
  <c r="B17" i="26" a="1"/>
  <c r="B17" i="26"/>
  <c r="B18" i="26" a="1"/>
  <c r="B18" i="26"/>
  <c r="B19" i="26" a="1"/>
  <c r="B19" i="26"/>
  <c r="B20" i="26" a="1"/>
  <c r="B20" i="26"/>
  <c r="B21" i="26" a="1"/>
  <c r="B21" i="26" s="1"/>
  <c r="B22" i="26" a="1"/>
  <c r="B22" i="26"/>
  <c r="B23" i="26" a="1"/>
  <c r="B23" i="26"/>
  <c r="B24" i="26" a="1"/>
  <c r="B24" i="26"/>
  <c r="B25" i="26" a="1"/>
  <c r="B25" i="26"/>
  <c r="B26" i="26" a="1"/>
  <c r="B26" i="26"/>
  <c r="B27" i="26" a="1"/>
  <c r="B27" i="26" s="1"/>
  <c r="B28" i="26" a="1"/>
  <c r="B28" i="26"/>
  <c r="B29" i="26" a="1"/>
  <c r="B29" i="26"/>
  <c r="B30" i="26" a="1"/>
  <c r="B30" i="26"/>
  <c r="B31" i="26" a="1"/>
  <c r="B31" i="26"/>
  <c r="B32" i="26" a="1"/>
  <c r="B32" i="26"/>
  <c r="B33" i="26" a="1"/>
  <c r="B33" i="26" s="1"/>
  <c r="B34" i="26" a="1"/>
  <c r="B34" i="26"/>
  <c r="B35" i="26" a="1"/>
  <c r="B35" i="26"/>
  <c r="B36" i="26" a="1"/>
  <c r="B36" i="26"/>
  <c r="B37" i="26" a="1"/>
  <c r="B37" i="26"/>
  <c r="B38" i="26" a="1"/>
  <c r="B38" i="26"/>
  <c r="B39" i="26" a="1"/>
  <c r="B39" i="26" s="1"/>
  <c r="B40" i="26" a="1"/>
  <c r="B40" i="26"/>
  <c r="B41" i="26" a="1"/>
  <c r="B41" i="26"/>
  <c r="B42" i="26" a="1"/>
  <c r="B42" i="26"/>
  <c r="B43" i="26" a="1"/>
  <c r="B43" i="26"/>
  <c r="B44" i="26" a="1"/>
  <c r="B44" i="26"/>
  <c r="B45" i="26" a="1"/>
  <c r="B45" i="26" s="1"/>
  <c r="B46" i="26" a="1"/>
  <c r="B46" i="26"/>
  <c r="B47" i="26" a="1"/>
  <c r="B47" i="26"/>
  <c r="B48" i="26" a="1"/>
  <c r="B48" i="26"/>
  <c r="B49" i="26" a="1"/>
  <c r="B49" i="26"/>
  <c r="B50" i="26" a="1"/>
  <c r="B50" i="26"/>
  <c r="B51" i="26" a="1"/>
  <c r="B51" i="26" s="1"/>
  <c r="B52" i="26" a="1"/>
  <c r="B52" i="26"/>
  <c r="B53" i="26" a="1"/>
  <c r="B53" i="26"/>
  <c r="B54" i="26" a="1"/>
  <c r="B54" i="26"/>
  <c r="B55" i="26" a="1"/>
  <c r="B55" i="26"/>
  <c r="B56" i="26" a="1"/>
  <c r="B56" i="26"/>
  <c r="B57" i="26" a="1"/>
  <c r="B57" i="26" s="1"/>
  <c r="B58" i="26" a="1"/>
  <c r="B58" i="26"/>
  <c r="B59" i="26" a="1"/>
  <c r="B59" i="26"/>
  <c r="B60" i="26" a="1"/>
  <c r="B60" i="26"/>
  <c r="B61" i="26" a="1"/>
  <c r="B61" i="26"/>
  <c r="B62" i="26" a="1"/>
  <c r="B62" i="26"/>
  <c r="B63" i="26" a="1"/>
  <c r="B63" i="26" s="1"/>
  <c r="B64" i="26" a="1"/>
  <c r="B64" i="26"/>
  <c r="B65" i="26" a="1"/>
  <c r="B65" i="26"/>
  <c r="B66" i="26" a="1"/>
  <c r="B66" i="26"/>
  <c r="B67" i="26" a="1"/>
  <c r="B67" i="26"/>
  <c r="B68" i="26" a="1"/>
  <c r="B68" i="26"/>
  <c r="B69" i="26" a="1"/>
  <c r="B69" i="26" s="1"/>
  <c r="B70" i="26" a="1"/>
  <c r="B70" i="26"/>
  <c r="B71" i="26" a="1"/>
  <c r="B71" i="26"/>
  <c r="B72" i="26" a="1"/>
  <c r="B72" i="26"/>
  <c r="B73" i="26" a="1"/>
  <c r="B73" i="26"/>
  <c r="B74" i="26" a="1"/>
  <c r="B74" i="26"/>
  <c r="B75" i="26" a="1"/>
  <c r="B75" i="26" s="1"/>
  <c r="B76" i="26" a="1"/>
  <c r="B76" i="26"/>
  <c r="B77" i="26" a="1"/>
  <c r="B77" i="26"/>
  <c r="B78" i="26" a="1"/>
  <c r="B78" i="26"/>
  <c r="B79" i="26" a="1"/>
  <c r="B79" i="26"/>
  <c r="B80" i="26" a="1"/>
  <c r="B80" i="26"/>
  <c r="B81" i="26" a="1"/>
  <c r="B81" i="26" s="1"/>
  <c r="B82" i="26" a="1"/>
  <c r="B82" i="26"/>
  <c r="B83" i="26" a="1"/>
  <c r="B83" i="26"/>
  <c r="B84" i="26" a="1"/>
  <c r="B84" i="26"/>
  <c r="B85" i="26" a="1"/>
  <c r="B85" i="26"/>
  <c r="B86" i="26" a="1"/>
  <c r="B86" i="26"/>
  <c r="B87" i="26" a="1"/>
  <c r="B87" i="26" s="1"/>
  <c r="B88" i="26" a="1"/>
  <c r="B88" i="26"/>
  <c r="B89" i="26" a="1"/>
  <c r="B89" i="26"/>
  <c r="B90" i="26" a="1"/>
  <c r="B90" i="26"/>
  <c r="B91" i="26" a="1"/>
  <c r="B91" i="26"/>
  <c r="B92" i="26" a="1"/>
  <c r="B92" i="26"/>
  <c r="B93" i="26" a="1"/>
  <c r="B93" i="26" s="1"/>
  <c r="B94" i="26" a="1"/>
  <c r="B94" i="26"/>
  <c r="B95" i="26" a="1"/>
  <c r="B95" i="26"/>
  <c r="B96" i="26" a="1"/>
  <c r="B96" i="26"/>
  <c r="B97" i="26" a="1"/>
  <c r="B97" i="26"/>
  <c r="B98" i="26" a="1"/>
  <c r="B98" i="26"/>
  <c r="B99" i="26" a="1"/>
  <c r="B99" i="26" s="1"/>
  <c r="B100" i="26" a="1"/>
  <c r="B100" i="26"/>
  <c r="B101" i="26" a="1"/>
  <c r="B101" i="26"/>
  <c r="B102" i="26" a="1"/>
  <c r="B102" i="26"/>
  <c r="B103" i="26" a="1"/>
  <c r="B103" i="26"/>
  <c r="B104" i="26" a="1"/>
  <c r="B104" i="26"/>
  <c r="B105" i="26" a="1"/>
  <c r="B105" i="26" s="1"/>
  <c r="B106" i="26" a="1"/>
  <c r="B106" i="26"/>
  <c r="B107" i="26" a="1"/>
  <c r="B107" i="26"/>
  <c r="B108" i="26" a="1"/>
  <c r="B108" i="26"/>
  <c r="B109" i="26" a="1"/>
  <c r="B109" i="26"/>
  <c r="B110" i="26" a="1"/>
  <c r="B110" i="26"/>
  <c r="B111" i="26" a="1"/>
  <c r="B111" i="26" s="1"/>
  <c r="B112" i="26" a="1"/>
  <c r="B112" i="26"/>
  <c r="B113" i="26" a="1"/>
  <c r="B113" i="26"/>
  <c r="B114" i="26" a="1"/>
  <c r="B114" i="26"/>
  <c r="B115" i="26" a="1"/>
  <c r="B115" i="26"/>
  <c r="B116" i="26" a="1"/>
  <c r="B116" i="26"/>
  <c r="B117" i="26" a="1"/>
  <c r="B117" i="26" s="1"/>
  <c r="B118" i="26" a="1"/>
  <c r="B118" i="26"/>
  <c r="B119" i="26" a="1"/>
  <c r="B119" i="26"/>
  <c r="B120" i="26" a="1"/>
  <c r="B120" i="26"/>
  <c r="B121" i="26" a="1"/>
  <c r="B121" i="26"/>
  <c r="B122" i="26" a="1"/>
  <c r="B122" i="26"/>
  <c r="B123" i="26" a="1"/>
  <c r="B123" i="26" s="1"/>
  <c r="B124" i="26" a="1"/>
  <c r="B124" i="26"/>
  <c r="B125" i="26" a="1"/>
  <c r="B125" i="26"/>
  <c r="B126" i="26" a="1"/>
  <c r="B126" i="26"/>
  <c r="B127" i="26" a="1"/>
  <c r="B127" i="26"/>
  <c r="B128" i="26" a="1"/>
  <c r="B128" i="26"/>
  <c r="B129" i="26" a="1"/>
  <c r="B129" i="26" s="1"/>
  <c r="B130" i="26" a="1"/>
  <c r="B130" i="26"/>
  <c r="B131" i="26" a="1"/>
  <c r="B131" i="26"/>
  <c r="B132" i="26" a="1"/>
  <c r="B132" i="26"/>
  <c r="B133" i="26" a="1"/>
  <c r="B133" i="26"/>
  <c r="B134" i="26" a="1"/>
  <c r="B134" i="26"/>
  <c r="B135" i="26" a="1"/>
  <c r="B135" i="26" s="1"/>
  <c r="B136" i="26" a="1"/>
  <c r="B136" i="26"/>
  <c r="B137" i="26" a="1"/>
  <c r="B137" i="26"/>
  <c r="B138" i="26" a="1"/>
  <c r="B138" i="26"/>
  <c r="B139" i="26" a="1"/>
  <c r="B139" i="26"/>
  <c r="B140" i="26" a="1"/>
  <c r="B140" i="26"/>
  <c r="B141" i="26" a="1"/>
  <c r="B141" i="26" s="1"/>
  <c r="B142" i="26" a="1"/>
  <c r="B142" i="26"/>
  <c r="B143" i="26" a="1"/>
  <c r="B143" i="26"/>
  <c r="B144" i="26" a="1"/>
  <c r="B144" i="26"/>
  <c r="B145" i="26" a="1"/>
  <c r="B145" i="26"/>
  <c r="B146" i="26" a="1"/>
  <c r="B146" i="26"/>
  <c r="B147" i="26" a="1"/>
  <c r="B147" i="26" s="1"/>
  <c r="B148" i="26" a="1"/>
  <c r="B148" i="26"/>
  <c r="B149" i="26" a="1"/>
  <c r="B149" i="26"/>
  <c r="B150" i="26" a="1"/>
  <c r="B150" i="26"/>
  <c r="B151" i="26" a="1"/>
  <c r="B151" i="26"/>
  <c r="B152" i="26" a="1"/>
  <c r="B152" i="26"/>
  <c r="B153" i="26" a="1"/>
  <c r="B153" i="26" s="1"/>
  <c r="B154" i="26" a="1"/>
  <c r="B154" i="26" s="1"/>
  <c r="B155" i="26" a="1"/>
  <c r="B155" i="26"/>
  <c r="B156" i="26" a="1"/>
  <c r="B156" i="26"/>
  <c r="B157" i="26" a="1"/>
  <c r="B157" i="26"/>
  <c r="A3" i="26" a="1"/>
  <c r="A3" i="26"/>
  <c r="A4" i="26" a="1"/>
  <c r="A4" i="26" s="1"/>
  <c r="A5" i="26" a="1"/>
  <c r="A5" i="26" s="1"/>
  <c r="A6" i="26" a="1"/>
  <c r="A6" i="26" s="1"/>
  <c r="A7" i="26" a="1"/>
  <c r="A7" i="26" s="1"/>
  <c r="A8" i="26" a="1"/>
  <c r="A8" i="26" s="1"/>
  <c r="A9" i="26" a="1"/>
  <c r="A9" i="26"/>
  <c r="A10" i="26" a="1"/>
  <c r="A10" i="26" s="1"/>
  <c r="A11" i="26" a="1"/>
  <c r="A11" i="26" s="1"/>
  <c r="A12" i="26" a="1"/>
  <c r="A12" i="26" s="1"/>
  <c r="A13" i="26" a="1"/>
  <c r="A13" i="26" s="1"/>
  <c r="A14" i="26" a="1"/>
  <c r="A14" i="26"/>
  <c r="A15" i="26" a="1"/>
  <c r="A15" i="26"/>
  <c r="A16" i="26" a="1"/>
  <c r="A16" i="26" s="1"/>
  <c r="A17" i="26" a="1"/>
  <c r="A17" i="26" s="1"/>
  <c r="A18" i="26" a="1"/>
  <c r="A18" i="26" s="1"/>
  <c r="A19" i="26" a="1"/>
  <c r="A19" i="26" s="1"/>
  <c r="A20" i="26" a="1"/>
  <c r="A20" i="26"/>
  <c r="A21" i="26" a="1"/>
  <c r="A21" i="26" s="1"/>
  <c r="A22" i="26" a="1"/>
  <c r="A22" i="26" s="1"/>
  <c r="A23" i="26" a="1"/>
  <c r="A23" i="26" s="1"/>
  <c r="A24" i="26" a="1"/>
  <c r="A24" i="26" s="1"/>
  <c r="A25" i="26" a="1"/>
  <c r="A25" i="26" s="1"/>
  <c r="A26" i="26" a="1"/>
  <c r="A26" i="26" s="1"/>
  <c r="A27" i="26" a="1"/>
  <c r="A27" i="26"/>
  <c r="A28" i="26" a="1"/>
  <c r="A28" i="26" s="1"/>
  <c r="A29" i="26" a="1"/>
  <c r="A29" i="26" s="1"/>
  <c r="A30" i="26" a="1"/>
  <c r="A30" i="26" s="1"/>
  <c r="A31" i="26" a="1"/>
  <c r="A31" i="26" s="1"/>
  <c r="A32" i="26" a="1"/>
  <c r="A32" i="26"/>
  <c r="A33" i="26" a="1"/>
  <c r="A33" i="26"/>
  <c r="A34" i="26" a="1"/>
  <c r="A34" i="26" s="1"/>
  <c r="A35" i="26" a="1"/>
  <c r="A35" i="26" s="1"/>
  <c r="A36" i="26" a="1"/>
  <c r="A36" i="26" s="1"/>
  <c r="A37" i="26" a="1"/>
  <c r="A37" i="26" s="1"/>
  <c r="A38" i="26" a="1"/>
  <c r="A38" i="26"/>
  <c r="A39" i="26" a="1"/>
  <c r="A39" i="26" s="1"/>
  <c r="A40" i="26" a="1"/>
  <c r="A40" i="26" s="1"/>
  <c r="A41" i="26" a="1"/>
  <c r="A41" i="26" s="1"/>
  <c r="A42" i="26" a="1"/>
  <c r="A42" i="26" s="1"/>
  <c r="A43" i="26" a="1"/>
  <c r="A43" i="26" s="1"/>
  <c r="A44" i="26" a="1"/>
  <c r="A44" i="26" s="1"/>
  <c r="A45" i="26" a="1"/>
  <c r="A45" i="26"/>
  <c r="A46" i="26" a="1"/>
  <c r="A46" i="26" s="1"/>
  <c r="A47" i="26" a="1"/>
  <c r="A47" i="26" s="1"/>
  <c r="A48" i="26" a="1"/>
  <c r="A48" i="26" s="1"/>
  <c r="A49" i="26" a="1"/>
  <c r="A49" i="26" s="1"/>
  <c r="A50" i="26" a="1"/>
  <c r="A50" i="26"/>
  <c r="A51" i="26" a="1"/>
  <c r="A51" i="26"/>
  <c r="A52" i="26" a="1"/>
  <c r="A52" i="26" s="1"/>
  <c r="A53" i="26" a="1"/>
  <c r="A53" i="26" s="1"/>
  <c r="A54" i="26" a="1"/>
  <c r="A54" i="26" s="1"/>
  <c r="A55" i="26" a="1"/>
  <c r="A55" i="26" s="1"/>
  <c r="A56" i="26" a="1"/>
  <c r="A56" i="26"/>
  <c r="A57" i="26" a="1"/>
  <c r="A57" i="26" s="1"/>
  <c r="A58" i="26" a="1"/>
  <c r="A58" i="26" s="1"/>
  <c r="A59" i="26" a="1"/>
  <c r="A59" i="26" s="1"/>
  <c r="A60" i="26" a="1"/>
  <c r="A60" i="26" s="1"/>
  <c r="A61" i="26" a="1"/>
  <c r="A61" i="26" s="1"/>
  <c r="A62" i="26" a="1"/>
  <c r="A62" i="26" s="1"/>
  <c r="A63" i="26" a="1"/>
  <c r="A63" i="26"/>
  <c r="A64" i="26" a="1"/>
  <c r="A64" i="26" s="1"/>
  <c r="A65" i="26" a="1"/>
  <c r="A65" i="26" s="1"/>
  <c r="A66" i="26" a="1"/>
  <c r="A66" i="26" s="1"/>
  <c r="A67" i="26" a="1"/>
  <c r="A67" i="26" s="1"/>
  <c r="A68" i="26" a="1"/>
  <c r="A68" i="26"/>
  <c r="A69" i="26" a="1"/>
  <c r="A69" i="26"/>
  <c r="A70" i="26" a="1"/>
  <c r="A70" i="26" s="1"/>
  <c r="A71" i="26" a="1"/>
  <c r="A71" i="26" s="1"/>
  <c r="A72" i="26" a="1"/>
  <c r="A72" i="26" s="1"/>
  <c r="A73" i="26" a="1"/>
  <c r="A73" i="26" s="1"/>
  <c r="A74" i="26" a="1"/>
  <c r="A74" i="26"/>
  <c r="A75" i="26" a="1"/>
  <c r="A75" i="26" s="1"/>
  <c r="A76" i="26" a="1"/>
  <c r="A76" i="26" s="1"/>
  <c r="A77" i="26" a="1"/>
  <c r="A77" i="26" s="1"/>
  <c r="A78" i="26" a="1"/>
  <c r="A78" i="26" s="1"/>
  <c r="A79" i="26" a="1"/>
  <c r="A79" i="26" s="1"/>
  <c r="A80" i="26" a="1"/>
  <c r="A80" i="26" s="1"/>
  <c r="A81" i="26" a="1"/>
  <c r="A81" i="26"/>
  <c r="A82" i="26" a="1"/>
  <c r="A82" i="26" s="1"/>
  <c r="A83" i="26" a="1"/>
  <c r="A83" i="26" s="1"/>
  <c r="A84" i="26" a="1"/>
  <c r="A84" i="26" s="1"/>
  <c r="A85" i="26" a="1"/>
  <c r="A85" i="26" s="1"/>
  <c r="A86" i="26" a="1"/>
  <c r="A86" i="26"/>
  <c r="A87" i="26" a="1"/>
  <c r="A87" i="26"/>
  <c r="A88" i="26" a="1"/>
  <c r="A88" i="26" s="1"/>
  <c r="A89" i="26" a="1"/>
  <c r="A89" i="26" s="1"/>
  <c r="A90" i="26" a="1"/>
  <c r="A90" i="26" s="1"/>
  <c r="A91" i="26" a="1"/>
  <c r="A91" i="26" s="1"/>
  <c r="A92" i="26" a="1"/>
  <c r="A92" i="26"/>
  <c r="A93" i="26" a="1"/>
  <c r="A93" i="26" s="1"/>
  <c r="A94" i="26" a="1"/>
  <c r="A94" i="26" s="1"/>
  <c r="A95" i="26" a="1"/>
  <c r="A95" i="26" s="1"/>
  <c r="A96" i="26" a="1"/>
  <c r="A96" i="26" s="1"/>
  <c r="A97" i="26" a="1"/>
  <c r="A97" i="26" s="1"/>
  <c r="A98" i="26" a="1"/>
  <c r="A98" i="26" s="1"/>
  <c r="A99" i="26" a="1"/>
  <c r="A99" i="26"/>
  <c r="A100" i="26" a="1"/>
  <c r="A100" i="26" s="1"/>
  <c r="A101" i="26" a="1"/>
  <c r="A101" i="26" s="1"/>
  <c r="A102" i="26" a="1"/>
  <c r="A102" i="26" s="1"/>
  <c r="A103" i="26" a="1"/>
  <c r="A103" i="26" s="1"/>
  <c r="A104" i="26" a="1"/>
  <c r="A104" i="26"/>
  <c r="A105" i="26" a="1"/>
  <c r="A105" i="26"/>
  <c r="A106" i="26" a="1"/>
  <c r="A106" i="26" s="1"/>
  <c r="A107" i="26" a="1"/>
  <c r="A107" i="26" s="1"/>
  <c r="A108" i="26" a="1"/>
  <c r="A108" i="26" s="1"/>
  <c r="A109" i="26" a="1"/>
  <c r="A109" i="26" s="1"/>
  <c r="A110" i="26" a="1"/>
  <c r="A110" i="26"/>
  <c r="A111" i="26" a="1"/>
  <c r="A111" i="26" s="1"/>
  <c r="A112" i="26" a="1"/>
  <c r="A112" i="26" s="1"/>
  <c r="A113" i="26" a="1"/>
  <c r="A113" i="26" s="1"/>
  <c r="A114" i="26" a="1"/>
  <c r="A114" i="26" s="1"/>
  <c r="A115" i="26" a="1"/>
  <c r="A115" i="26" s="1"/>
  <c r="A116" i="26" a="1"/>
  <c r="A116" i="26" s="1"/>
  <c r="A117" i="26" a="1"/>
  <c r="A117" i="26"/>
  <c r="A118" i="26" a="1"/>
  <c r="A118" i="26" s="1"/>
  <c r="A119" i="26" a="1"/>
  <c r="A119" i="26" s="1"/>
  <c r="A120" i="26" a="1"/>
  <c r="A120" i="26" s="1"/>
  <c r="A121" i="26" a="1"/>
  <c r="A121" i="26" s="1"/>
  <c r="A122" i="26" a="1"/>
  <c r="A122" i="26"/>
  <c r="A123" i="26" a="1"/>
  <c r="A123" i="26"/>
  <c r="A124" i="26" a="1"/>
  <c r="A124" i="26" s="1"/>
  <c r="A125" i="26" a="1"/>
  <c r="A125" i="26" s="1"/>
  <c r="A126" i="26" a="1"/>
  <c r="A126" i="26" s="1"/>
  <c r="A127" i="26" a="1"/>
  <c r="A127" i="26" s="1"/>
  <c r="A128" i="26" a="1"/>
  <c r="A128" i="26"/>
  <c r="A129" i="26" a="1"/>
  <c r="A129" i="26" s="1"/>
  <c r="A130" i="26" a="1"/>
  <c r="A130" i="26" s="1"/>
  <c r="A131" i="26" a="1"/>
  <c r="A131" i="26" s="1"/>
  <c r="A132" i="26" a="1"/>
  <c r="A132" i="26" s="1"/>
  <c r="A133" i="26" a="1"/>
  <c r="A133" i="26" s="1"/>
  <c r="A134" i="26" a="1"/>
  <c r="A134" i="26" s="1"/>
  <c r="A135" i="26" a="1"/>
  <c r="A135" i="26"/>
  <c r="A136" i="26" a="1"/>
  <c r="A136" i="26" s="1"/>
  <c r="A137" i="26" a="1"/>
  <c r="A137" i="26" s="1"/>
  <c r="A138" i="26" a="1"/>
  <c r="A138" i="26" s="1"/>
  <c r="A139" i="26" a="1"/>
  <c r="A139" i="26" s="1"/>
  <c r="A140" i="26" a="1"/>
  <c r="A140" i="26"/>
  <c r="A141" i="26" a="1"/>
  <c r="A141" i="26"/>
  <c r="A142" i="26" a="1"/>
  <c r="A142" i="26" s="1"/>
  <c r="A143" i="26" a="1"/>
  <c r="A143" i="26" s="1"/>
  <c r="A144" i="26" a="1"/>
  <c r="A144" i="26" s="1"/>
  <c r="A145" i="26" a="1"/>
  <c r="A145" i="26" s="1"/>
  <c r="A146" i="26" a="1"/>
  <c r="A146" i="26"/>
  <c r="A147" i="26" a="1"/>
  <c r="A147" i="26" s="1"/>
  <c r="A148" i="26" a="1"/>
  <c r="A148" i="26" s="1"/>
  <c r="A149" i="26" a="1"/>
  <c r="A149" i="26" s="1"/>
  <c r="A150" i="26" a="1"/>
  <c r="A150" i="26" s="1"/>
  <c r="A151" i="26" a="1"/>
  <c r="A151" i="26" s="1"/>
  <c r="A152" i="26" a="1"/>
  <c r="A152" i="26" s="1"/>
  <c r="A153" i="26" a="1"/>
  <c r="A153" i="26"/>
  <c r="A154" i="26" a="1"/>
  <c r="A154" i="26" s="1"/>
  <c r="A155" i="26" a="1"/>
  <c r="A155" i="26" s="1"/>
  <c r="A156" i="26" a="1"/>
  <c r="A156" i="26" s="1"/>
  <c r="A157" i="26" a="1"/>
  <c r="A157" i="26" s="1"/>
  <c r="B2" i="26" a="1"/>
  <c r="B2" i="26" s="1"/>
  <c r="A2" i="26" a="1"/>
  <c r="A2" i="26" s="1"/>
  <c r="R2" i="21"/>
  <c r="R3" i="21"/>
  <c r="R4" i="21"/>
  <c r="R5" i="21"/>
  <c r="R6" i="21"/>
  <c r="R7" i="21"/>
  <c r="R8" i="21"/>
  <c r="R9" i="21"/>
  <c r="R10" i="21"/>
  <c r="R11" i="21"/>
  <c r="R12" i="21"/>
  <c r="R13" i="21"/>
  <c r="R14" i="21"/>
  <c r="R15" i="21"/>
  <c r="R16" i="21"/>
  <c r="R17" i="21"/>
  <c r="R18" i="21"/>
  <c r="R19" i="21"/>
  <c r="R20" i="21"/>
  <c r="R21" i="21"/>
  <c r="R22" i="21"/>
  <c r="R23" i="21"/>
  <c r="R24" i="21"/>
  <c r="R25" i="21"/>
  <c r="R26" i="21"/>
  <c r="R27" i="21"/>
  <c r="R28" i="21"/>
  <c r="R29" i="21"/>
  <c r="R30" i="21"/>
  <c r="R31" i="21"/>
  <c r="R32" i="21"/>
  <c r="R33" i="21"/>
  <c r="R34" i="21"/>
  <c r="R35" i="21"/>
  <c r="R36" i="21"/>
  <c r="R37" i="21"/>
  <c r="R38" i="21"/>
  <c r="R39" i="21"/>
  <c r="R40" i="21"/>
  <c r="R41" i="21"/>
  <c r="R42" i="21"/>
  <c r="R43" i="21"/>
  <c r="R44" i="21"/>
  <c r="R45" i="21"/>
  <c r="R46" i="21"/>
  <c r="R47" i="21"/>
  <c r="R48" i="21"/>
  <c r="R49" i="21"/>
  <c r="R50" i="21"/>
  <c r="R51" i="21"/>
  <c r="R52" i="21"/>
  <c r="R53" i="21"/>
  <c r="R54" i="21"/>
  <c r="R55" i="21"/>
  <c r="R56" i="21"/>
  <c r="R57" i="21"/>
  <c r="R58" i="21"/>
  <c r="R59" i="21"/>
  <c r="R60" i="21"/>
  <c r="R61" i="21"/>
  <c r="R62" i="21"/>
  <c r="R63" i="21"/>
  <c r="R64" i="21"/>
  <c r="R65" i="21"/>
  <c r="R66" i="21"/>
  <c r="R67" i="21"/>
  <c r="R68" i="21"/>
  <c r="R69" i="21"/>
  <c r="R70" i="21"/>
  <c r="R71" i="21"/>
  <c r="R72" i="21"/>
  <c r="R73" i="21"/>
  <c r="R74" i="21"/>
  <c r="R75" i="21"/>
  <c r="R76" i="21"/>
  <c r="R77" i="21"/>
  <c r="R78" i="21"/>
  <c r="R79" i="21"/>
  <c r="R80" i="21"/>
  <c r="R81" i="21"/>
  <c r="R82" i="21"/>
  <c r="R83" i="21"/>
  <c r="R84" i="21"/>
  <c r="R85" i="21"/>
  <c r="R86" i="21"/>
  <c r="R87" i="21"/>
  <c r="R88" i="21"/>
  <c r="R89" i="21"/>
  <c r="R90" i="21"/>
  <c r="R91" i="21"/>
  <c r="R92" i="21"/>
  <c r="R93" i="21"/>
  <c r="R94" i="21"/>
  <c r="R95" i="21"/>
  <c r="R96" i="21"/>
  <c r="R97" i="21"/>
  <c r="R98" i="21"/>
  <c r="R99" i="21"/>
  <c r="R100" i="21"/>
  <c r="R101" i="21"/>
  <c r="R102" i="21"/>
  <c r="R103" i="21"/>
  <c r="R104" i="21"/>
  <c r="R105" i="21"/>
  <c r="R106" i="21"/>
  <c r="R107" i="21"/>
  <c r="R108" i="21"/>
  <c r="R109" i="21"/>
  <c r="R110" i="21"/>
  <c r="R111" i="21"/>
  <c r="R112" i="21"/>
  <c r="R113" i="21"/>
  <c r="R114" i="21"/>
  <c r="R115" i="21"/>
  <c r="R116" i="21"/>
  <c r="R117" i="21"/>
  <c r="R118" i="21"/>
  <c r="R119" i="21"/>
  <c r="R120" i="21"/>
  <c r="R121" i="21"/>
  <c r="R122" i="21"/>
  <c r="R123" i="21"/>
  <c r="R124" i="21"/>
  <c r="R125" i="21"/>
  <c r="R126" i="21"/>
  <c r="R127" i="21"/>
  <c r="R128" i="21"/>
  <c r="R129" i="21"/>
  <c r="R130" i="21"/>
  <c r="R131" i="21"/>
  <c r="R132" i="21"/>
  <c r="R133" i="21"/>
  <c r="R134" i="21"/>
  <c r="R135" i="21"/>
  <c r="R136" i="21"/>
  <c r="R137" i="21"/>
  <c r="R138" i="21"/>
  <c r="R139" i="21"/>
  <c r="R140" i="21"/>
  <c r="R141" i="21"/>
  <c r="R142" i="21"/>
  <c r="R143" i="21"/>
  <c r="R144" i="21"/>
  <c r="R145" i="21"/>
  <c r="R146" i="21"/>
  <c r="R147" i="21"/>
  <c r="R148" i="21"/>
  <c r="R149" i="21"/>
  <c r="R150" i="21"/>
  <c r="R151" i="21"/>
  <c r="R152" i="21"/>
  <c r="R153" i="21"/>
  <c r="R154" i="21"/>
  <c r="R155" i="21"/>
  <c r="R156" i="21"/>
  <c r="R157" i="21"/>
  <c r="R158" i="21"/>
  <c r="R159" i="21"/>
  <c r="R160" i="21"/>
  <c r="R161" i="21"/>
  <c r="R162" i="21"/>
  <c r="R163" i="21"/>
  <c r="R164" i="21"/>
  <c r="R165" i="21"/>
  <c r="R166" i="21"/>
  <c r="R167" i="21"/>
  <c r="R168" i="21"/>
  <c r="R169" i="21"/>
  <c r="R170" i="21"/>
  <c r="R171" i="21"/>
  <c r="R172" i="21"/>
  <c r="R173" i="21"/>
  <c r="R174" i="21"/>
  <c r="R175" i="21"/>
  <c r="R176" i="21"/>
  <c r="R177" i="21"/>
  <c r="R178" i="21"/>
  <c r="R179" i="21"/>
  <c r="R180" i="21"/>
  <c r="R181" i="21"/>
  <c r="R182" i="21"/>
  <c r="R183" i="21"/>
  <c r="R184" i="21"/>
  <c r="R185" i="21"/>
  <c r="R186" i="21"/>
  <c r="R187" i="21"/>
  <c r="R188" i="21"/>
  <c r="R189" i="21"/>
  <c r="R190" i="21"/>
  <c r="R191" i="21"/>
  <c r="R192" i="21"/>
  <c r="R193" i="21"/>
  <c r="R194" i="21"/>
  <c r="R195" i="21"/>
  <c r="R196" i="21"/>
  <c r="R197" i="21"/>
  <c r="R198" i="21"/>
  <c r="R199" i="21"/>
  <c r="R200" i="21"/>
  <c r="R201" i="21"/>
  <c r="R202" i="21"/>
  <c r="R203" i="21"/>
  <c r="R204" i="21"/>
  <c r="R205" i="21"/>
  <c r="R206" i="21"/>
  <c r="R207" i="21"/>
  <c r="R208" i="21"/>
  <c r="R209" i="21"/>
  <c r="R210" i="21"/>
  <c r="R211" i="21"/>
  <c r="R212" i="21"/>
  <c r="R213" i="21"/>
  <c r="R214" i="21"/>
  <c r="R215" i="21"/>
  <c r="R216" i="21"/>
  <c r="R217" i="21"/>
  <c r="R218" i="21"/>
  <c r="B19" i="28" s="1" a="1"/>
  <c r="B19" i="28" s="1"/>
  <c r="R219" i="21"/>
  <c r="R220" i="21"/>
  <c r="R221" i="21"/>
  <c r="R222" i="21"/>
  <c r="R223" i="21"/>
  <c r="R224" i="21"/>
  <c r="R225" i="21"/>
  <c r="R226" i="21"/>
  <c r="R227" i="21"/>
  <c r="R228" i="21"/>
  <c r="R229" i="21"/>
  <c r="R230" i="21"/>
  <c r="R231" i="21"/>
  <c r="R232" i="21"/>
  <c r="R233" i="21"/>
  <c r="R234" i="21"/>
  <c r="R235" i="21"/>
  <c r="R236" i="21"/>
  <c r="R237" i="21"/>
  <c r="R238" i="21"/>
  <c r="R239" i="21"/>
  <c r="R240" i="21"/>
  <c r="R241" i="21"/>
  <c r="R242" i="21"/>
  <c r="R243" i="21"/>
  <c r="R244" i="21"/>
  <c r="R245" i="21"/>
  <c r="R246" i="21"/>
  <c r="R247" i="21"/>
  <c r="R248" i="21"/>
  <c r="R249" i="21"/>
  <c r="R250" i="21"/>
  <c r="R251" i="21"/>
  <c r="R252" i="21"/>
  <c r="R253" i="21"/>
  <c r="R254" i="21"/>
  <c r="R255" i="21"/>
  <c r="R256" i="21"/>
  <c r="R257" i="21"/>
  <c r="R258" i="21"/>
  <c r="R259" i="21"/>
  <c r="R260" i="21"/>
  <c r="R261" i="21"/>
  <c r="C3" i="24"/>
  <c r="C4" i="24"/>
  <c r="C5" i="24"/>
  <c r="C6" i="24"/>
  <c r="C7" i="24"/>
  <c r="C8" i="24"/>
  <c r="C9" i="24"/>
  <c r="B3" i="24"/>
  <c r="B4" i="24"/>
  <c r="B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163" i="24"/>
  <c r="B164" i="24"/>
  <c r="B165" i="24"/>
  <c r="B166" i="24"/>
  <c r="B167" i="24"/>
  <c r="B168" i="24"/>
  <c r="B169" i="24"/>
  <c r="B170" i="24"/>
  <c r="B171" i="24"/>
  <c r="B172" i="24"/>
  <c r="B173" i="24"/>
  <c r="B174" i="24"/>
  <c r="B175" i="24"/>
  <c r="B176" i="24"/>
  <c r="B177" i="24"/>
  <c r="B178" i="24"/>
  <c r="B179" i="24"/>
  <c r="B180" i="24"/>
  <c r="B181" i="24"/>
  <c r="B182" i="24"/>
  <c r="B183" i="24"/>
  <c r="B184" i="24"/>
  <c r="B185" i="24"/>
  <c r="B186" i="24"/>
  <c r="B187" i="24"/>
  <c r="B188" i="24"/>
  <c r="B189" i="24"/>
  <c r="B190" i="24"/>
  <c r="B191" i="24"/>
  <c r="B192" i="24"/>
  <c r="B193" i="24"/>
  <c r="B194" i="24"/>
  <c r="B195" i="24"/>
  <c r="B196" i="24"/>
  <c r="B197" i="24"/>
  <c r="B198" i="24"/>
  <c r="B199" i="24"/>
  <c r="B200" i="24"/>
  <c r="B201" i="24"/>
  <c r="B202" i="24"/>
  <c r="B203" i="24"/>
  <c r="B204" i="24"/>
  <c r="B205" i="24"/>
  <c r="B206" i="24"/>
  <c r="B207" i="24"/>
  <c r="B208" i="24"/>
  <c r="B209" i="24"/>
  <c r="B210" i="24"/>
  <c r="B211" i="24"/>
  <c r="B212" i="24"/>
  <c r="B213" i="24"/>
  <c r="B214" i="24"/>
  <c r="B215" i="24"/>
  <c r="B216" i="24"/>
  <c r="B217" i="24"/>
  <c r="B218" i="24"/>
  <c r="B219" i="24"/>
  <c r="B220" i="24"/>
  <c r="B221" i="24"/>
  <c r="B222" i="24"/>
  <c r="B223" i="24"/>
  <c r="B224" i="24"/>
  <c r="B225" i="24"/>
  <c r="B226" i="24"/>
  <c r="B227" i="24"/>
  <c r="B228" i="24"/>
  <c r="B229" i="24"/>
  <c r="B230" i="24"/>
  <c r="B231" i="24"/>
  <c r="B232" i="24"/>
  <c r="B233" i="24"/>
  <c r="B234" i="24"/>
  <c r="B235" i="24"/>
  <c r="B236" i="24"/>
  <c r="B237" i="24"/>
  <c r="B238" i="24"/>
  <c r="B239" i="24"/>
  <c r="B240" i="24"/>
  <c r="B241" i="24"/>
  <c r="B242" i="24"/>
  <c r="B243" i="24"/>
  <c r="B244" i="24"/>
  <c r="B245" i="24"/>
  <c r="B246" i="24"/>
  <c r="B247" i="24"/>
  <c r="B248" i="24"/>
  <c r="B249" i="24"/>
  <c r="B250" i="24"/>
  <c r="B251" i="24"/>
  <c r="B252" i="24"/>
  <c r="B253" i="24"/>
  <c r="B254" i="24"/>
  <c r="B255" i="24"/>
  <c r="B256" i="24"/>
  <c r="B257" i="24"/>
  <c r="B258" i="24"/>
  <c r="B259" i="24"/>
  <c r="B260" i="24"/>
  <c r="B261" i="24"/>
  <c r="B262" i="24"/>
  <c r="B263" i="24"/>
  <c r="B264" i="24"/>
  <c r="B265" i="24"/>
  <c r="B266" i="24"/>
  <c r="B267" i="24"/>
  <c r="B268" i="24"/>
  <c r="B269" i="24"/>
  <c r="B270" i="24"/>
  <c r="B271" i="24"/>
  <c r="B272" i="24"/>
  <c r="B273" i="24"/>
  <c r="B274" i="24"/>
  <c r="B275" i="24"/>
  <c r="B276" i="24"/>
  <c r="B277" i="24"/>
  <c r="B278" i="24"/>
  <c r="B279" i="24"/>
  <c r="B280" i="24"/>
  <c r="B281" i="24"/>
  <c r="B282" i="24"/>
  <c r="B283" i="24"/>
  <c r="B284" i="24"/>
  <c r="B285" i="24"/>
  <c r="B286" i="24"/>
  <c r="B287" i="24"/>
  <c r="B288" i="24"/>
  <c r="B289" i="24"/>
  <c r="B290" i="24"/>
  <c r="B291" i="24"/>
  <c r="B292" i="24"/>
  <c r="B293" i="24"/>
  <c r="B294" i="24"/>
  <c r="B295" i="24"/>
  <c r="B296" i="24"/>
  <c r="B297" i="24"/>
  <c r="B298" i="24"/>
  <c r="B299" i="24"/>
  <c r="B300" i="24"/>
  <c r="B301" i="24"/>
  <c r="B302" i="24"/>
  <c r="B303" i="24"/>
  <c r="B304" i="24"/>
  <c r="B305" i="24"/>
  <c r="B306" i="24"/>
  <c r="B307" i="24"/>
  <c r="B308" i="24"/>
  <c r="B309" i="24"/>
  <c r="B310" i="24"/>
  <c r="B311" i="24"/>
  <c r="B312" i="24"/>
  <c r="B313" i="24"/>
  <c r="B314" i="24"/>
  <c r="B315" i="24"/>
  <c r="B316" i="24"/>
  <c r="B317" i="24"/>
  <c r="B318" i="24"/>
  <c r="B319" i="24"/>
  <c r="B320" i="24"/>
  <c r="B321" i="24"/>
  <c r="B322" i="24"/>
  <c r="B323" i="24"/>
  <c r="B324" i="24"/>
  <c r="B325" i="24"/>
  <c r="B326" i="24"/>
  <c r="B327" i="24"/>
  <c r="B328" i="24"/>
  <c r="B329" i="24"/>
  <c r="B330" i="24"/>
  <c r="B331" i="24"/>
  <c r="B332" i="24"/>
  <c r="B333" i="24"/>
  <c r="B334" i="24"/>
  <c r="B335" i="24"/>
  <c r="B336" i="24"/>
  <c r="B337" i="24"/>
  <c r="B338" i="24"/>
  <c r="B339" i="24"/>
  <c r="B340" i="24"/>
  <c r="B341" i="24"/>
  <c r="B342" i="24"/>
  <c r="B343" i="24"/>
  <c r="B344" i="24"/>
  <c r="B345" i="24"/>
  <c r="B346" i="24"/>
  <c r="B347" i="24"/>
  <c r="B348" i="24"/>
  <c r="B349" i="24"/>
  <c r="B350" i="24"/>
  <c r="B351" i="24"/>
  <c r="B352" i="24"/>
  <c r="B353" i="24"/>
  <c r="B354" i="24"/>
  <c r="B355" i="24"/>
  <c r="B356" i="24"/>
  <c r="B357" i="24"/>
  <c r="B358" i="24"/>
  <c r="B359" i="24"/>
  <c r="B360" i="24"/>
  <c r="B361" i="24"/>
  <c r="B362" i="24"/>
  <c r="B363" i="24"/>
  <c r="B364" i="24"/>
  <c r="B365" i="24"/>
  <c r="B366" i="24"/>
  <c r="B367" i="24"/>
  <c r="B368" i="24"/>
  <c r="B369" i="24"/>
  <c r="B370" i="24"/>
  <c r="B371" i="24"/>
  <c r="B372" i="24"/>
  <c r="B373" i="24"/>
  <c r="B374" i="24"/>
  <c r="B375" i="24"/>
  <c r="B376" i="24"/>
  <c r="B377" i="24"/>
  <c r="B378" i="24"/>
  <c r="B379" i="24"/>
  <c r="B380" i="24"/>
  <c r="B381" i="24"/>
  <c r="B382" i="24"/>
  <c r="B383" i="24"/>
  <c r="B384" i="24"/>
  <c r="B385" i="24"/>
  <c r="B386" i="24"/>
  <c r="B387" i="24"/>
  <c r="B388" i="24"/>
  <c r="B389" i="24"/>
  <c r="B390" i="24"/>
  <c r="B391" i="24"/>
  <c r="B392" i="24"/>
  <c r="B393" i="24"/>
  <c r="B394" i="24"/>
  <c r="B395" i="24"/>
  <c r="B396" i="24"/>
  <c r="B397" i="24"/>
  <c r="B398" i="24"/>
  <c r="B399" i="24"/>
  <c r="B400" i="24"/>
  <c r="B401" i="24"/>
  <c r="B402" i="24"/>
  <c r="B403" i="24"/>
  <c r="B404" i="24"/>
  <c r="B405" i="24"/>
  <c r="B406" i="24"/>
  <c r="B407" i="24"/>
  <c r="B408" i="24"/>
  <c r="B409" i="24"/>
  <c r="B410" i="24"/>
  <c r="B411" i="24"/>
  <c r="B412" i="24"/>
  <c r="B413" i="24"/>
  <c r="B414" i="24"/>
  <c r="B415" i="24"/>
  <c r="B416" i="24"/>
  <c r="B417" i="24"/>
  <c r="B2" i="24"/>
  <c r="A3" i="24"/>
  <c r="A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74" i="24"/>
  <c r="A75" i="24"/>
  <c r="A76" i="24"/>
  <c r="A77" i="24"/>
  <c r="A78" i="24"/>
  <c r="A79" i="24"/>
  <c r="A80" i="24"/>
  <c r="A81" i="24"/>
  <c r="A82" i="24"/>
  <c r="A83" i="24"/>
  <c r="A84" i="24"/>
  <c r="A85" i="24"/>
  <c r="A86" i="24"/>
  <c r="A87" i="24"/>
  <c r="A88" i="24"/>
  <c r="A89" i="24"/>
  <c r="A90" i="24"/>
  <c r="A91" i="24"/>
  <c r="A92" i="24"/>
  <c r="A93" i="24"/>
  <c r="A94" i="24"/>
  <c r="A95" i="24"/>
  <c r="A96" i="24"/>
  <c r="A97" i="24"/>
  <c r="A98" i="24"/>
  <c r="A99" i="24"/>
  <c r="A100" i="24"/>
  <c r="A101" i="24"/>
  <c r="A102" i="24"/>
  <c r="A103" i="24"/>
  <c r="A104" i="24"/>
  <c r="A105" i="24"/>
  <c r="A106" i="24"/>
  <c r="A107" i="24"/>
  <c r="A108" i="24"/>
  <c r="A109" i="24"/>
  <c r="A110" i="24"/>
  <c r="A111" i="24"/>
  <c r="A112" i="24"/>
  <c r="A113" i="24"/>
  <c r="A114" i="24"/>
  <c r="A115" i="24"/>
  <c r="A116" i="24"/>
  <c r="A117" i="24"/>
  <c r="A118" i="24"/>
  <c r="A119" i="24"/>
  <c r="A120" i="24"/>
  <c r="A121" i="24"/>
  <c r="A122" i="24"/>
  <c r="A123" i="24"/>
  <c r="A124" i="24"/>
  <c r="A125" i="24"/>
  <c r="A126" i="24"/>
  <c r="A127" i="24"/>
  <c r="A128" i="24"/>
  <c r="A129" i="24"/>
  <c r="A130" i="24"/>
  <c r="A131" i="24"/>
  <c r="A132" i="24"/>
  <c r="A133" i="24"/>
  <c r="A134" i="24"/>
  <c r="A135" i="24"/>
  <c r="A136" i="24"/>
  <c r="A137" i="24"/>
  <c r="A138" i="24"/>
  <c r="A139" i="24"/>
  <c r="A140" i="24"/>
  <c r="A141" i="24"/>
  <c r="A142" i="24"/>
  <c r="A143" i="24"/>
  <c r="A144" i="24"/>
  <c r="A145" i="24"/>
  <c r="A146" i="24"/>
  <c r="A147" i="24"/>
  <c r="A148" i="24"/>
  <c r="A149" i="24"/>
  <c r="A150" i="24"/>
  <c r="A151" i="24"/>
  <c r="A152" i="24"/>
  <c r="A153" i="24"/>
  <c r="A154" i="24"/>
  <c r="A155" i="24"/>
  <c r="A156" i="24"/>
  <c r="A157" i="24"/>
  <c r="A158" i="24"/>
  <c r="A159" i="24"/>
  <c r="A160" i="24"/>
  <c r="A161" i="24"/>
  <c r="A162" i="24"/>
  <c r="A163" i="24"/>
  <c r="A164" i="24"/>
  <c r="A165" i="24"/>
  <c r="A166" i="24"/>
  <c r="A167" i="24"/>
  <c r="A168" i="24"/>
  <c r="A169" i="24"/>
  <c r="A170" i="24"/>
  <c r="A171" i="24"/>
  <c r="A172" i="24"/>
  <c r="A173" i="24"/>
  <c r="A174" i="24"/>
  <c r="A175" i="24"/>
  <c r="A176" i="24"/>
  <c r="A177" i="24"/>
  <c r="A178" i="24"/>
  <c r="A179" i="24"/>
  <c r="A180" i="24"/>
  <c r="A181" i="24"/>
  <c r="A182" i="24"/>
  <c r="A183" i="24"/>
  <c r="A184" i="24"/>
  <c r="A185" i="24"/>
  <c r="A186" i="24"/>
  <c r="A187" i="24"/>
  <c r="A188" i="24"/>
  <c r="A189" i="24"/>
  <c r="A190" i="24"/>
  <c r="A191" i="24"/>
  <c r="A192" i="24"/>
  <c r="A193" i="24"/>
  <c r="A194" i="24"/>
  <c r="A195" i="24"/>
  <c r="A196" i="24"/>
  <c r="A197" i="24"/>
  <c r="A198" i="24"/>
  <c r="A199" i="24"/>
  <c r="A200" i="24"/>
  <c r="A201" i="24"/>
  <c r="A202" i="24"/>
  <c r="A203" i="24"/>
  <c r="A204" i="24"/>
  <c r="A205" i="24"/>
  <c r="A206" i="24"/>
  <c r="A207" i="24"/>
  <c r="A208" i="24"/>
  <c r="A209" i="24"/>
  <c r="A210" i="24"/>
  <c r="A211" i="24"/>
  <c r="A212" i="24"/>
  <c r="A213" i="24"/>
  <c r="A214" i="24"/>
  <c r="A215" i="24"/>
  <c r="A216" i="24"/>
  <c r="A217" i="24"/>
  <c r="A218" i="24"/>
  <c r="A219" i="24"/>
  <c r="A220" i="24"/>
  <c r="A221" i="24"/>
  <c r="A222" i="24"/>
  <c r="A223" i="24"/>
  <c r="A224" i="24"/>
  <c r="A225" i="24"/>
  <c r="A226" i="24"/>
  <c r="A227" i="24"/>
  <c r="A228" i="24"/>
  <c r="A229" i="24"/>
  <c r="A230" i="24"/>
  <c r="A231" i="24"/>
  <c r="A232" i="24"/>
  <c r="A233" i="24"/>
  <c r="A234" i="24"/>
  <c r="A235" i="24"/>
  <c r="A236" i="24"/>
  <c r="A237" i="24"/>
  <c r="A238" i="24"/>
  <c r="A239" i="24"/>
  <c r="A240" i="24"/>
  <c r="A241" i="24"/>
  <c r="A242" i="24"/>
  <c r="A243" i="24"/>
  <c r="A244" i="24"/>
  <c r="A245" i="24"/>
  <c r="A246" i="24"/>
  <c r="A247" i="24"/>
  <c r="A248" i="24"/>
  <c r="A249" i="24"/>
  <c r="A250" i="24"/>
  <c r="A251" i="24"/>
  <c r="A252" i="24"/>
  <c r="A253" i="24"/>
  <c r="A254" i="24"/>
  <c r="A255" i="24"/>
  <c r="A256" i="24"/>
  <c r="A257" i="24"/>
  <c r="A258" i="24"/>
  <c r="A259" i="24"/>
  <c r="A260" i="24"/>
  <c r="A261" i="24"/>
  <c r="A262" i="24"/>
  <c r="A263" i="24"/>
  <c r="A264" i="24"/>
  <c r="A265" i="24"/>
  <c r="A266" i="24"/>
  <c r="A267" i="24"/>
  <c r="A268" i="24"/>
  <c r="A269" i="24"/>
  <c r="A270" i="24"/>
  <c r="A271" i="24"/>
  <c r="A272" i="24"/>
  <c r="A273" i="24"/>
  <c r="A274" i="24"/>
  <c r="A275" i="24"/>
  <c r="A276" i="24"/>
  <c r="A277" i="24"/>
  <c r="A278" i="24"/>
  <c r="A279" i="24"/>
  <c r="A280" i="24"/>
  <c r="A281" i="24"/>
  <c r="A282" i="24"/>
  <c r="A283" i="24"/>
  <c r="A284" i="24"/>
  <c r="A285" i="24"/>
  <c r="A286" i="24"/>
  <c r="A287" i="24"/>
  <c r="A288" i="24"/>
  <c r="A289" i="24"/>
  <c r="A290" i="24"/>
  <c r="A291" i="24"/>
  <c r="A292" i="24"/>
  <c r="A293" i="24"/>
  <c r="A294" i="24"/>
  <c r="A295" i="24"/>
  <c r="A296" i="24"/>
  <c r="A297" i="24"/>
  <c r="A298" i="24"/>
  <c r="A299" i="24"/>
  <c r="A300" i="24"/>
  <c r="A301" i="24"/>
  <c r="A302" i="24"/>
  <c r="A303" i="24"/>
  <c r="A304" i="24"/>
  <c r="A305" i="24"/>
  <c r="A306" i="24"/>
  <c r="A307" i="24"/>
  <c r="A308" i="24"/>
  <c r="A309" i="24"/>
  <c r="A310" i="24"/>
  <c r="A311" i="24"/>
  <c r="A312" i="24"/>
  <c r="A313" i="24"/>
  <c r="A314" i="24"/>
  <c r="A315" i="24"/>
  <c r="A316" i="24"/>
  <c r="A317" i="24"/>
  <c r="A318" i="24"/>
  <c r="A319" i="24"/>
  <c r="A320" i="24"/>
  <c r="A321" i="24"/>
  <c r="A322" i="24"/>
  <c r="A323" i="24"/>
  <c r="A324" i="24"/>
  <c r="A325" i="24"/>
  <c r="A326" i="24"/>
  <c r="A327" i="24"/>
  <c r="A328" i="24"/>
  <c r="A329" i="24"/>
  <c r="A330" i="24"/>
  <c r="A331" i="24"/>
  <c r="A332" i="24"/>
  <c r="A333" i="24"/>
  <c r="A334" i="24"/>
  <c r="A335" i="24"/>
  <c r="A336" i="24"/>
  <c r="A337" i="24"/>
  <c r="A338" i="24"/>
  <c r="A339" i="24"/>
  <c r="A340" i="24"/>
  <c r="A341" i="24"/>
  <c r="A342" i="24"/>
  <c r="A343" i="24"/>
  <c r="A344" i="24"/>
  <c r="A345" i="24"/>
  <c r="A346" i="24"/>
  <c r="A347" i="24"/>
  <c r="A348" i="24"/>
  <c r="A349" i="24"/>
  <c r="A350" i="24"/>
  <c r="A351" i="24"/>
  <c r="A352" i="24"/>
  <c r="A353" i="24"/>
  <c r="A354" i="24"/>
  <c r="A355" i="24"/>
  <c r="A356" i="24"/>
  <c r="A357" i="24"/>
  <c r="A358" i="24"/>
  <c r="A359" i="24"/>
  <c r="A360" i="24"/>
  <c r="A361" i="24"/>
  <c r="A362" i="24"/>
  <c r="A363" i="24"/>
  <c r="A364" i="24"/>
  <c r="A365" i="24"/>
  <c r="A366" i="24"/>
  <c r="A367" i="24"/>
  <c r="A368" i="24"/>
  <c r="A369" i="24"/>
  <c r="A370" i="24"/>
  <c r="A371" i="24"/>
  <c r="A372" i="24"/>
  <c r="A373" i="24"/>
  <c r="A374" i="24"/>
  <c r="A375" i="24"/>
  <c r="A376" i="24"/>
  <c r="A377" i="24"/>
  <c r="A378" i="24"/>
  <c r="A379" i="24"/>
  <c r="A380" i="24"/>
  <c r="A381" i="24"/>
  <c r="A382" i="24"/>
  <c r="A383" i="24"/>
  <c r="A384" i="24"/>
  <c r="A385" i="24"/>
  <c r="A386" i="24"/>
  <c r="A387" i="24"/>
  <c r="A388" i="24"/>
  <c r="A389" i="24"/>
  <c r="A390" i="24"/>
  <c r="A391" i="24"/>
  <c r="A392" i="24"/>
  <c r="A393" i="24"/>
  <c r="A394" i="24"/>
  <c r="A395" i="24"/>
  <c r="A396" i="24"/>
  <c r="A397" i="24"/>
  <c r="A398" i="24"/>
  <c r="A399" i="24"/>
  <c r="A400" i="24"/>
  <c r="A401" i="24"/>
  <c r="A402" i="24"/>
  <c r="A403" i="24"/>
  <c r="A404" i="24"/>
  <c r="A405" i="24"/>
  <c r="A406" i="24"/>
  <c r="A407" i="24"/>
  <c r="A408" i="24"/>
  <c r="A409" i="24"/>
  <c r="A410" i="24"/>
  <c r="A411" i="24"/>
  <c r="A412" i="24"/>
  <c r="A413" i="24"/>
  <c r="A414" i="24"/>
  <c r="A415" i="24"/>
  <c r="A416" i="24"/>
  <c r="A417" i="24"/>
  <c r="B3" i="23" a="1"/>
  <c r="B3" i="23"/>
  <c r="B4" i="23" a="1"/>
  <c r="B4" i="23"/>
  <c r="B5" i="23" a="1"/>
  <c r="B5" i="23"/>
  <c r="B6" i="23" a="1"/>
  <c r="B6" i="23"/>
  <c r="B7" i="23" a="1"/>
  <c r="B7" i="23"/>
  <c r="B8" i="23" a="1"/>
  <c r="B8" i="23"/>
  <c r="B9" i="23" a="1"/>
  <c r="B9" i="23"/>
  <c r="B10" i="23" a="1"/>
  <c r="B10" i="23"/>
  <c r="B11" i="23" a="1"/>
  <c r="B11" i="23"/>
  <c r="B12" i="23" a="1"/>
  <c r="B12" i="23"/>
  <c r="B13" i="23" a="1"/>
  <c r="B13" i="23"/>
  <c r="B14" i="23" a="1"/>
  <c r="B14" i="23"/>
  <c r="B15" i="23" a="1"/>
  <c r="B15" i="23"/>
  <c r="B16" i="23" a="1"/>
  <c r="B16" i="23"/>
  <c r="B17" i="23" a="1"/>
  <c r="B17" i="23"/>
  <c r="B18" i="23" a="1"/>
  <c r="B18" i="23"/>
  <c r="B19" i="23" a="1"/>
  <c r="B19" i="23"/>
  <c r="B20" i="23" a="1"/>
  <c r="B20" i="23"/>
  <c r="B21" i="23" a="1"/>
  <c r="B21" i="23"/>
  <c r="B22" i="23" a="1"/>
  <c r="B22" i="23"/>
  <c r="B23" i="23" a="1"/>
  <c r="B23" i="23"/>
  <c r="B24" i="23" a="1"/>
  <c r="B24" i="23"/>
  <c r="B25" i="23" a="1"/>
  <c r="B25" i="23"/>
  <c r="B26" i="23" a="1"/>
  <c r="B26" i="23"/>
  <c r="B27" i="23" a="1"/>
  <c r="B27" i="23"/>
  <c r="B28" i="23" a="1"/>
  <c r="B28" i="23"/>
  <c r="B29" i="23" a="1"/>
  <c r="B29" i="23"/>
  <c r="B30" i="23" a="1"/>
  <c r="B30" i="23"/>
  <c r="B31" i="23" a="1"/>
  <c r="B31" i="23"/>
  <c r="B32" i="23" a="1"/>
  <c r="B32" i="23"/>
  <c r="B33" i="23" a="1"/>
  <c r="B33" i="23"/>
  <c r="B34" i="23" a="1"/>
  <c r="B34" i="23"/>
  <c r="B35" i="23" a="1"/>
  <c r="B35" i="23"/>
  <c r="B36" i="23" a="1"/>
  <c r="B36" i="23"/>
  <c r="B37" i="23" a="1"/>
  <c r="B37" i="23"/>
  <c r="B38" i="23" a="1"/>
  <c r="B38" i="23"/>
  <c r="B39" i="23" a="1"/>
  <c r="B39" i="23"/>
  <c r="B40" i="23" a="1"/>
  <c r="B40" i="23"/>
  <c r="B41" i="23" a="1"/>
  <c r="B41" i="23"/>
  <c r="B42" i="23" a="1"/>
  <c r="B42" i="23"/>
  <c r="B43" i="23" a="1"/>
  <c r="B43" i="23"/>
  <c r="B44" i="23" a="1"/>
  <c r="B44" i="23"/>
  <c r="B45" i="23" a="1"/>
  <c r="B45" i="23"/>
  <c r="B46" i="23" a="1"/>
  <c r="B46" i="23"/>
  <c r="B47" i="23" a="1"/>
  <c r="B47" i="23"/>
  <c r="B48" i="23" a="1"/>
  <c r="B48" i="23"/>
  <c r="B49" i="23" a="1"/>
  <c r="B49" i="23"/>
  <c r="B50" i="23" a="1"/>
  <c r="B50" i="23"/>
  <c r="B51" i="23" a="1"/>
  <c r="B51" i="23"/>
  <c r="B52" i="23" a="1"/>
  <c r="B52" i="23"/>
  <c r="B53" i="23" a="1"/>
  <c r="B53" i="23"/>
  <c r="B54" i="23" a="1"/>
  <c r="B54" i="23"/>
  <c r="B55" i="23" a="1"/>
  <c r="B55" i="23"/>
  <c r="B56" i="23" a="1"/>
  <c r="B56" i="23"/>
  <c r="B57" i="23" a="1"/>
  <c r="B57" i="23"/>
  <c r="B58" i="23" a="1"/>
  <c r="B58" i="23"/>
  <c r="B59" i="23" a="1"/>
  <c r="B59" i="23"/>
  <c r="B60" i="23" a="1"/>
  <c r="B60" i="23"/>
  <c r="B61" i="23" a="1"/>
  <c r="B61" i="23"/>
  <c r="B62" i="23" a="1"/>
  <c r="B62" i="23"/>
  <c r="B63" i="23" a="1"/>
  <c r="B63" i="23"/>
  <c r="B64" i="23" a="1"/>
  <c r="B64" i="23"/>
  <c r="B65" i="23" a="1"/>
  <c r="B65" i="23"/>
  <c r="B66" i="23" a="1"/>
  <c r="B66" i="23"/>
  <c r="B67" i="23" a="1"/>
  <c r="B67" i="23"/>
  <c r="B68" i="23" a="1"/>
  <c r="B68" i="23"/>
  <c r="B69" i="23" a="1"/>
  <c r="B69" i="23"/>
  <c r="B70" i="23" a="1"/>
  <c r="B70" i="23"/>
  <c r="B71" i="23" a="1"/>
  <c r="B71" i="23"/>
  <c r="B72" i="23" a="1"/>
  <c r="B72" i="23"/>
  <c r="B73" i="23" a="1"/>
  <c r="B73" i="23"/>
  <c r="B74" i="23" a="1"/>
  <c r="B74" i="23"/>
  <c r="B75" i="23" a="1"/>
  <c r="B75" i="23"/>
  <c r="B76" i="23" a="1"/>
  <c r="B76" i="23"/>
  <c r="B77" i="23" a="1"/>
  <c r="B77" i="23"/>
  <c r="B78" i="23" a="1"/>
  <c r="B78" i="23"/>
  <c r="B79" i="23" a="1"/>
  <c r="B79" i="23"/>
  <c r="B80" i="23" a="1"/>
  <c r="B80" i="23"/>
  <c r="B81" i="23" a="1"/>
  <c r="B81" i="23"/>
  <c r="B82" i="23" a="1"/>
  <c r="B82" i="23"/>
  <c r="B83" i="23" a="1"/>
  <c r="B83" i="23"/>
  <c r="B84" i="23" a="1"/>
  <c r="B84" i="23"/>
  <c r="B85" i="23" a="1"/>
  <c r="B85" i="23"/>
  <c r="B86" i="23" a="1"/>
  <c r="B86" i="23"/>
  <c r="B87" i="23" a="1"/>
  <c r="B87" i="23"/>
  <c r="B88" i="23" a="1"/>
  <c r="B88" i="23"/>
  <c r="B89" i="23" a="1"/>
  <c r="B89" i="23"/>
  <c r="B90" i="23" a="1"/>
  <c r="B90" i="23"/>
  <c r="B91" i="23" a="1"/>
  <c r="B91" i="23"/>
  <c r="B92" i="23" a="1"/>
  <c r="B92" i="23"/>
  <c r="B93" i="23" a="1"/>
  <c r="B93" i="23"/>
  <c r="B94" i="23" a="1"/>
  <c r="B94" i="23"/>
  <c r="B95" i="23" a="1"/>
  <c r="B95" i="23"/>
  <c r="B96" i="23" a="1"/>
  <c r="B96" i="23"/>
  <c r="B97" i="23" a="1"/>
  <c r="B97" i="23"/>
  <c r="B98" i="23" a="1"/>
  <c r="B98" i="23"/>
  <c r="B99" i="23" a="1"/>
  <c r="B99" i="23"/>
  <c r="B100" i="23" a="1"/>
  <c r="B100" i="23"/>
  <c r="B101" i="23" a="1"/>
  <c r="B101" i="23"/>
  <c r="B102" i="23" a="1"/>
  <c r="B102" i="23"/>
  <c r="B103" i="23" a="1"/>
  <c r="B103" i="23"/>
  <c r="B104" i="23" a="1"/>
  <c r="B104" i="23"/>
  <c r="B105" i="23" a="1"/>
  <c r="B105" i="23"/>
  <c r="B106" i="23" a="1"/>
  <c r="B106" i="23"/>
  <c r="B107" i="23" a="1"/>
  <c r="B107" i="23"/>
  <c r="B108" i="23" a="1"/>
  <c r="B108" i="23"/>
  <c r="B109" i="23" a="1"/>
  <c r="B109" i="23"/>
  <c r="B110" i="23" a="1"/>
  <c r="B110" i="23"/>
  <c r="B111" i="23" a="1"/>
  <c r="B111" i="23"/>
  <c r="B112" i="23" a="1"/>
  <c r="B112" i="23"/>
  <c r="B113" i="23" a="1"/>
  <c r="B113" i="23"/>
  <c r="B114" i="23" a="1"/>
  <c r="B114" i="23"/>
  <c r="B115" i="23" a="1"/>
  <c r="B115" i="23"/>
  <c r="B116" i="23" a="1"/>
  <c r="B116" i="23"/>
  <c r="B117" i="23" a="1"/>
  <c r="B117" i="23"/>
  <c r="B118" i="23" a="1"/>
  <c r="B118" i="23"/>
  <c r="B119" i="23" a="1"/>
  <c r="B119" i="23"/>
  <c r="B120" i="23" a="1"/>
  <c r="B120" i="23"/>
  <c r="B121" i="23" a="1"/>
  <c r="B121" i="23"/>
  <c r="B122" i="23" a="1"/>
  <c r="B122" i="23"/>
  <c r="B123" i="23" a="1"/>
  <c r="B123" i="23"/>
  <c r="B124" i="23" a="1"/>
  <c r="B124" i="23"/>
  <c r="B125" i="23" a="1"/>
  <c r="B125" i="23"/>
  <c r="B126" i="23" a="1"/>
  <c r="B126" i="23"/>
  <c r="B127" i="23" a="1"/>
  <c r="B127" i="23"/>
  <c r="B128" i="23" a="1"/>
  <c r="B128" i="23"/>
  <c r="B129" i="23" a="1"/>
  <c r="B129" i="23"/>
  <c r="B130" i="23" a="1"/>
  <c r="B130" i="23"/>
  <c r="B131" i="23" a="1"/>
  <c r="B131" i="23"/>
  <c r="B132" i="23" a="1"/>
  <c r="B132" i="23"/>
  <c r="B133" i="23" a="1"/>
  <c r="B133" i="23"/>
  <c r="B134" i="23" a="1"/>
  <c r="B134" i="23"/>
  <c r="B135" i="23" a="1"/>
  <c r="B135" i="23"/>
  <c r="B136" i="23" a="1"/>
  <c r="B136" i="23"/>
  <c r="B137" i="23" a="1"/>
  <c r="B137" i="23"/>
  <c r="B138" i="23" a="1"/>
  <c r="B138" i="23"/>
  <c r="B139" i="23" a="1"/>
  <c r="B139" i="23"/>
  <c r="B140" i="23" a="1"/>
  <c r="B140" i="23"/>
  <c r="B141" i="23" a="1"/>
  <c r="B141" i="23"/>
  <c r="B142" i="23" a="1"/>
  <c r="B142" i="23"/>
  <c r="B143" i="23" a="1"/>
  <c r="B143" i="23"/>
  <c r="B144" i="23" a="1"/>
  <c r="B144" i="23"/>
  <c r="B145" i="23" a="1"/>
  <c r="B145" i="23"/>
  <c r="B146" i="23" a="1"/>
  <c r="B146" i="23"/>
  <c r="B147" i="23" a="1"/>
  <c r="B147" i="23"/>
  <c r="B148" i="23" a="1"/>
  <c r="B148" i="23"/>
  <c r="B149" i="23" a="1"/>
  <c r="B149" i="23"/>
  <c r="B150" i="23" a="1"/>
  <c r="B150" i="23"/>
  <c r="B151" i="23" a="1"/>
  <c r="B151" i="23"/>
  <c r="B152" i="23" a="1"/>
  <c r="B152" i="23"/>
  <c r="B153" i="23" a="1"/>
  <c r="B153" i="23"/>
  <c r="B154" i="23" a="1"/>
  <c r="B154" i="23"/>
  <c r="B155" i="23" a="1"/>
  <c r="B155" i="23"/>
  <c r="B156" i="23" a="1"/>
  <c r="B156" i="23"/>
  <c r="B157" i="23" a="1"/>
  <c r="B157" i="23"/>
  <c r="B158" i="23" a="1"/>
  <c r="B158" i="23"/>
  <c r="B159" i="23" a="1"/>
  <c r="B159" i="23"/>
  <c r="B160" i="23" a="1"/>
  <c r="B160" i="23"/>
  <c r="B161" i="23" a="1"/>
  <c r="B161" i="23"/>
  <c r="B162" i="23" a="1"/>
  <c r="B162" i="23"/>
  <c r="B163" i="23" a="1"/>
  <c r="B163" i="23"/>
  <c r="B164" i="23" a="1"/>
  <c r="B164" i="23"/>
  <c r="B165" i="23" a="1"/>
  <c r="B165" i="23"/>
  <c r="B166" i="23" a="1"/>
  <c r="B166" i="23"/>
  <c r="B167" i="23" a="1"/>
  <c r="B167" i="23"/>
  <c r="B168" i="23" a="1"/>
  <c r="B168" i="23"/>
  <c r="B169" i="23" a="1"/>
  <c r="B169" i="23"/>
  <c r="B170" i="23" a="1"/>
  <c r="B170" i="23"/>
  <c r="B171" i="23" a="1"/>
  <c r="B171" i="23"/>
  <c r="B172" i="23" a="1"/>
  <c r="B172" i="23"/>
  <c r="B173" i="23" a="1"/>
  <c r="B173" i="23"/>
  <c r="B174" i="23" a="1"/>
  <c r="B174" i="23"/>
  <c r="B175" i="23" a="1"/>
  <c r="B175" i="23"/>
  <c r="B176" i="23" a="1"/>
  <c r="B176" i="23"/>
  <c r="B177" i="23" a="1"/>
  <c r="B177" i="23"/>
  <c r="B178" i="23" a="1"/>
  <c r="B178" i="23"/>
  <c r="B179" i="23" a="1"/>
  <c r="B179" i="23"/>
  <c r="B180" i="23" a="1"/>
  <c r="B180" i="23"/>
  <c r="B181" i="23" a="1"/>
  <c r="B181" i="23"/>
  <c r="B182" i="23" a="1"/>
  <c r="B182" i="23"/>
  <c r="B183" i="23" a="1"/>
  <c r="B183" i="23"/>
  <c r="B184" i="23" a="1"/>
  <c r="B184" i="23"/>
  <c r="B185" i="23" a="1"/>
  <c r="B185" i="23"/>
  <c r="B186" i="23" a="1"/>
  <c r="B186" i="23"/>
  <c r="B187" i="23" a="1"/>
  <c r="B187" i="23"/>
  <c r="B188" i="23" a="1"/>
  <c r="B188" i="23"/>
  <c r="B189" i="23" a="1"/>
  <c r="B189" i="23"/>
  <c r="B190" i="23" a="1"/>
  <c r="B190" i="23"/>
  <c r="B191" i="23" a="1"/>
  <c r="B191" i="23"/>
  <c r="B192" i="23" a="1"/>
  <c r="B192" i="23"/>
  <c r="B193" i="23" a="1"/>
  <c r="B193" i="23"/>
  <c r="B194" i="23" a="1"/>
  <c r="B194" i="23"/>
  <c r="B195" i="23" a="1"/>
  <c r="B195" i="23"/>
  <c r="B196" i="23" a="1"/>
  <c r="B196" i="23"/>
  <c r="B197" i="23" a="1"/>
  <c r="B197" i="23"/>
  <c r="B198" i="23" a="1"/>
  <c r="B198" i="23"/>
  <c r="B199" i="23" a="1"/>
  <c r="B199" i="23"/>
  <c r="B200" i="23" a="1"/>
  <c r="B200" i="23"/>
  <c r="B201" i="23" a="1"/>
  <c r="B201" i="23"/>
  <c r="B202" i="23" a="1"/>
  <c r="B202" i="23"/>
  <c r="B203" i="23" a="1"/>
  <c r="B203" i="23"/>
  <c r="B204" i="23" a="1"/>
  <c r="B204" i="23"/>
  <c r="B205" i="23" a="1"/>
  <c r="B205" i="23"/>
  <c r="B206" i="23" a="1"/>
  <c r="B206" i="23"/>
  <c r="B207" i="23" a="1"/>
  <c r="B207" i="23"/>
  <c r="B208" i="23" a="1"/>
  <c r="B208" i="23"/>
  <c r="B209" i="23" a="1"/>
  <c r="B209" i="23"/>
  <c r="B210" i="23" a="1"/>
  <c r="B210" i="23"/>
  <c r="B211" i="23" a="1"/>
  <c r="B211" i="23"/>
  <c r="B212" i="23" a="1"/>
  <c r="B212" i="23"/>
  <c r="B213" i="23" a="1"/>
  <c r="B213" i="23"/>
  <c r="B214" i="23" a="1"/>
  <c r="B214" i="23"/>
  <c r="B215" i="23" a="1"/>
  <c r="B215" i="23"/>
  <c r="B216" i="23" a="1"/>
  <c r="B216" i="23"/>
  <c r="B217" i="23" a="1"/>
  <c r="B217" i="23"/>
  <c r="B218" i="23" a="1"/>
  <c r="B218" i="23"/>
  <c r="B219" i="23" a="1"/>
  <c r="B219" i="23"/>
  <c r="B220" i="23" a="1"/>
  <c r="B220" i="23"/>
  <c r="B221" i="23" a="1"/>
  <c r="B221" i="23"/>
  <c r="B222" i="23" a="1"/>
  <c r="B222" i="23"/>
  <c r="B223" i="23" a="1"/>
  <c r="B223" i="23"/>
  <c r="B224" i="23" a="1"/>
  <c r="B224" i="23"/>
  <c r="B225" i="23" a="1"/>
  <c r="B225" i="23"/>
  <c r="B226" i="23" a="1"/>
  <c r="B226" i="23"/>
  <c r="B227" i="23" a="1"/>
  <c r="B227" i="23"/>
  <c r="B228" i="23" a="1"/>
  <c r="B228" i="23"/>
  <c r="B229" i="23" a="1"/>
  <c r="B229" i="23"/>
  <c r="B230" i="23" a="1"/>
  <c r="B230" i="23"/>
  <c r="B231" i="23" a="1"/>
  <c r="B231" i="23"/>
  <c r="B232" i="23" a="1"/>
  <c r="B232" i="23"/>
  <c r="B233" i="23" a="1"/>
  <c r="B233" i="23"/>
  <c r="B234" i="23" a="1"/>
  <c r="B234" i="23"/>
  <c r="B235" i="23" a="1"/>
  <c r="B235" i="23"/>
  <c r="B236" i="23" a="1"/>
  <c r="B236" i="23"/>
  <c r="B237" i="23" a="1"/>
  <c r="B237" i="23"/>
  <c r="B238" i="23" a="1"/>
  <c r="B238" i="23"/>
  <c r="B239" i="23" a="1"/>
  <c r="B239" i="23"/>
  <c r="B240" i="23" a="1"/>
  <c r="B240" i="23"/>
  <c r="B241" i="23" a="1"/>
  <c r="B241" i="23"/>
  <c r="B242" i="23" a="1"/>
  <c r="B242" i="23"/>
  <c r="B243" i="23" a="1"/>
  <c r="B243" i="23"/>
  <c r="B244" i="23" a="1"/>
  <c r="B244" i="23"/>
  <c r="B245" i="23" a="1"/>
  <c r="B245" i="23"/>
  <c r="B246" i="23" a="1"/>
  <c r="B246" i="23"/>
  <c r="B247" i="23" a="1"/>
  <c r="B247" i="23"/>
  <c r="B248" i="23" a="1"/>
  <c r="B248" i="23"/>
  <c r="B249" i="23" a="1"/>
  <c r="B249" i="23"/>
  <c r="B250" i="23" a="1"/>
  <c r="B250" i="23"/>
  <c r="B251" i="23" a="1"/>
  <c r="B251" i="23"/>
  <c r="B252" i="23" a="1"/>
  <c r="B252" i="23"/>
  <c r="B253" i="23" a="1"/>
  <c r="B253" i="23"/>
  <c r="B254" i="23" a="1"/>
  <c r="B254" i="23"/>
  <c r="B255" i="23" a="1"/>
  <c r="B255" i="23"/>
  <c r="B256" i="23" a="1"/>
  <c r="B256" i="23"/>
  <c r="B257" i="23" a="1"/>
  <c r="B257" i="23"/>
  <c r="B258" i="23" a="1"/>
  <c r="B258" i="23"/>
  <c r="B259" i="23" a="1"/>
  <c r="B259" i="23"/>
  <c r="B260" i="23" a="1"/>
  <c r="B260" i="23"/>
  <c r="B261" i="23" a="1"/>
  <c r="B261" i="23"/>
  <c r="B262" i="23" a="1"/>
  <c r="B262" i="23"/>
  <c r="B263" i="23" a="1"/>
  <c r="B263" i="23"/>
  <c r="B264" i="23" a="1"/>
  <c r="B264" i="23"/>
  <c r="B265" i="23" a="1"/>
  <c r="B265" i="23"/>
  <c r="B266" i="23" a="1"/>
  <c r="B266" i="23"/>
  <c r="B267" i="23" a="1"/>
  <c r="B267" i="23"/>
  <c r="B268" i="23" a="1"/>
  <c r="B268" i="23"/>
  <c r="B269" i="23" a="1"/>
  <c r="B269" i="23"/>
  <c r="B270" i="23" a="1"/>
  <c r="B270" i="23"/>
  <c r="B271" i="23" a="1"/>
  <c r="B271" i="23"/>
  <c r="B272" i="23" a="1"/>
  <c r="B272" i="23"/>
  <c r="B273" i="23" a="1"/>
  <c r="B273" i="23"/>
  <c r="B274" i="23" a="1"/>
  <c r="B274" i="23"/>
  <c r="B275" i="23" a="1"/>
  <c r="B275" i="23"/>
  <c r="B276" i="23" a="1"/>
  <c r="B276" i="23"/>
  <c r="B277" i="23" a="1"/>
  <c r="B277" i="23"/>
  <c r="B278" i="23" a="1"/>
  <c r="B278" i="23"/>
  <c r="B279" i="23" a="1"/>
  <c r="B279" i="23"/>
  <c r="B280" i="23" a="1"/>
  <c r="B280" i="23"/>
  <c r="B281" i="23" a="1"/>
  <c r="B281" i="23"/>
  <c r="B282" i="23" a="1"/>
  <c r="B282" i="23"/>
  <c r="B283" i="23" a="1"/>
  <c r="B283" i="23"/>
  <c r="B284" i="23" a="1"/>
  <c r="B284" i="23"/>
  <c r="B285" i="23" a="1"/>
  <c r="B285" i="23"/>
  <c r="B286" i="23" a="1"/>
  <c r="B286" i="23"/>
  <c r="B287" i="23" a="1"/>
  <c r="B287" i="23"/>
  <c r="B288" i="23" a="1"/>
  <c r="B288" i="23"/>
  <c r="B289" i="23" a="1"/>
  <c r="B289" i="23"/>
  <c r="B290" i="23" a="1"/>
  <c r="B290" i="23"/>
  <c r="B291" i="23" a="1"/>
  <c r="B291" i="23"/>
  <c r="B292" i="23" a="1"/>
  <c r="B292" i="23"/>
  <c r="B293" i="23" a="1"/>
  <c r="B293" i="23"/>
  <c r="B294" i="23" a="1"/>
  <c r="B294" i="23"/>
  <c r="B295" i="23" a="1"/>
  <c r="B295" i="23"/>
  <c r="B296" i="23" a="1"/>
  <c r="B296" i="23"/>
  <c r="B297" i="23" a="1"/>
  <c r="B297" i="23"/>
  <c r="B298" i="23" a="1"/>
  <c r="B298" i="23"/>
  <c r="B299" i="23" a="1"/>
  <c r="B299" i="23"/>
  <c r="B300" i="23" a="1"/>
  <c r="B300" i="23"/>
  <c r="B301" i="23" a="1"/>
  <c r="B301" i="23"/>
  <c r="B302" i="23" a="1"/>
  <c r="B302" i="23"/>
  <c r="B303" i="23" a="1"/>
  <c r="B303" i="23"/>
  <c r="B304" i="23" a="1"/>
  <c r="B304" i="23"/>
  <c r="B305" i="23" a="1"/>
  <c r="B305" i="23"/>
  <c r="B306" i="23" a="1"/>
  <c r="B306" i="23"/>
  <c r="B307" i="23" a="1"/>
  <c r="B307" i="23"/>
  <c r="B308" i="23" a="1"/>
  <c r="B308" i="23"/>
  <c r="B309" i="23" a="1"/>
  <c r="B309" i="23"/>
  <c r="B310" i="23" a="1"/>
  <c r="B310" i="23"/>
  <c r="B311" i="23" a="1"/>
  <c r="B311" i="23"/>
  <c r="B312" i="23" a="1"/>
  <c r="B312" i="23"/>
  <c r="B313" i="23" a="1"/>
  <c r="B313" i="23"/>
  <c r="B314" i="23" a="1"/>
  <c r="B314" i="23"/>
  <c r="B315" i="23" a="1"/>
  <c r="B315" i="23"/>
  <c r="B316" i="23" a="1"/>
  <c r="B316" i="23"/>
  <c r="B317" i="23" a="1"/>
  <c r="B317" i="23"/>
  <c r="B318" i="23" a="1"/>
  <c r="B318" i="23"/>
  <c r="B319" i="23" a="1"/>
  <c r="B319" i="23"/>
  <c r="B320" i="23" a="1"/>
  <c r="B320" i="23"/>
  <c r="B321" i="23" a="1"/>
  <c r="B321" i="23"/>
  <c r="B322" i="23" a="1"/>
  <c r="B322" i="23"/>
  <c r="B323" i="23" a="1"/>
  <c r="B323" i="23"/>
  <c r="B324" i="23" a="1"/>
  <c r="B324" i="23"/>
  <c r="B325" i="23" a="1"/>
  <c r="B325" i="23"/>
  <c r="B326" i="23" a="1"/>
  <c r="B326" i="23"/>
  <c r="B327" i="23" a="1"/>
  <c r="B327" i="23"/>
  <c r="B328" i="23" a="1"/>
  <c r="B328" i="23"/>
  <c r="B329" i="23" a="1"/>
  <c r="B329" i="23"/>
  <c r="B330" i="23" a="1"/>
  <c r="B330" i="23"/>
  <c r="B331" i="23" a="1"/>
  <c r="B331" i="23"/>
  <c r="B332" i="23" a="1"/>
  <c r="B332" i="23"/>
  <c r="B333" i="23" a="1"/>
  <c r="B333" i="23"/>
  <c r="B334" i="23" a="1"/>
  <c r="B334" i="23"/>
  <c r="B335" i="23" a="1"/>
  <c r="B335" i="23"/>
  <c r="B336" i="23" a="1"/>
  <c r="B336" i="23"/>
  <c r="B337" i="23" a="1"/>
  <c r="B337" i="23"/>
  <c r="B338" i="23" a="1"/>
  <c r="B338" i="23"/>
  <c r="B339" i="23" a="1"/>
  <c r="B339" i="23"/>
  <c r="B340" i="23" a="1"/>
  <c r="B340" i="23"/>
  <c r="B341" i="23" a="1"/>
  <c r="B341" i="23"/>
  <c r="B342" i="23" a="1"/>
  <c r="B342" i="23"/>
  <c r="B343" i="23" a="1"/>
  <c r="B343" i="23"/>
  <c r="B344" i="23" a="1"/>
  <c r="B344" i="23"/>
  <c r="B345" i="23" a="1"/>
  <c r="B345" i="23"/>
  <c r="B346" i="23" a="1"/>
  <c r="B346" i="23"/>
  <c r="B347" i="23" a="1"/>
  <c r="B347" i="23"/>
  <c r="B348" i="23" a="1"/>
  <c r="B348" i="23"/>
  <c r="B349" i="23" a="1"/>
  <c r="B349" i="23"/>
  <c r="B350" i="23" a="1"/>
  <c r="B350" i="23"/>
  <c r="B351" i="23" a="1"/>
  <c r="B351" i="23"/>
  <c r="B352" i="23" a="1"/>
  <c r="B352" i="23"/>
  <c r="B353" i="23" a="1"/>
  <c r="B353" i="23"/>
  <c r="B354" i="23" a="1"/>
  <c r="B354" i="23"/>
  <c r="B355" i="23" a="1"/>
  <c r="B355" i="23"/>
  <c r="B356" i="23" a="1"/>
  <c r="B356" i="23"/>
  <c r="B357" i="23" a="1"/>
  <c r="B357" i="23"/>
  <c r="B358" i="23" a="1"/>
  <c r="B358" i="23"/>
  <c r="B359" i="23" a="1"/>
  <c r="B359" i="23"/>
  <c r="B360" i="23" a="1"/>
  <c r="B360" i="23"/>
  <c r="B361" i="23" a="1"/>
  <c r="B361" i="23"/>
  <c r="B362" i="23" a="1"/>
  <c r="B362" i="23"/>
  <c r="B363" i="23" a="1"/>
  <c r="B363" i="23"/>
  <c r="B364" i="23" a="1"/>
  <c r="B364" i="23"/>
  <c r="B365" i="23" a="1"/>
  <c r="B365" i="23"/>
  <c r="B366" i="23" a="1"/>
  <c r="B366" i="23"/>
  <c r="B367" i="23" a="1"/>
  <c r="B367" i="23"/>
  <c r="B368" i="23" a="1"/>
  <c r="B368" i="23"/>
  <c r="B369" i="23" a="1"/>
  <c r="B369" i="23"/>
  <c r="B370" i="23" a="1"/>
  <c r="B370" i="23"/>
  <c r="B371" i="23" a="1"/>
  <c r="B371" i="23"/>
  <c r="B372" i="23" a="1"/>
  <c r="B372" i="23"/>
  <c r="B373" i="23" a="1"/>
  <c r="B373" i="23"/>
  <c r="B374" i="23" a="1"/>
  <c r="B374" i="23"/>
  <c r="B375" i="23" a="1"/>
  <c r="B375" i="23"/>
  <c r="B376" i="23" a="1"/>
  <c r="B376" i="23"/>
  <c r="B377" i="23" a="1"/>
  <c r="B377" i="23"/>
  <c r="B378" i="23" a="1"/>
  <c r="B378" i="23"/>
  <c r="B379" i="23" a="1"/>
  <c r="B379" i="23"/>
  <c r="B380" i="23" a="1"/>
  <c r="B380" i="23"/>
  <c r="B381" i="23" a="1"/>
  <c r="B381" i="23"/>
  <c r="B382" i="23" a="1"/>
  <c r="B382" i="23"/>
  <c r="B383" i="23" a="1"/>
  <c r="B383" i="23"/>
  <c r="B384" i="23" a="1"/>
  <c r="B384" i="23"/>
  <c r="B385" i="23" a="1"/>
  <c r="B385" i="23"/>
  <c r="B386" i="23" a="1"/>
  <c r="B386" i="23"/>
  <c r="B387" i="23" a="1"/>
  <c r="B387" i="23"/>
  <c r="B388" i="23" a="1"/>
  <c r="B388" i="23"/>
  <c r="B389" i="23" a="1"/>
  <c r="B389" i="23"/>
  <c r="B390" i="23" a="1"/>
  <c r="B390" i="23"/>
  <c r="B391" i="23" a="1"/>
  <c r="B391" i="23"/>
  <c r="B392" i="23" a="1"/>
  <c r="B392" i="23"/>
  <c r="B393" i="23" a="1"/>
  <c r="B393" i="23"/>
  <c r="B394" i="23" a="1"/>
  <c r="B394" i="23"/>
  <c r="B395" i="23" a="1"/>
  <c r="B395" i="23"/>
  <c r="B396" i="23" a="1"/>
  <c r="B396" i="23"/>
  <c r="B397" i="23" a="1"/>
  <c r="B397" i="23"/>
  <c r="B398" i="23" a="1"/>
  <c r="B398" i="23"/>
  <c r="B399" i="23" a="1"/>
  <c r="B399" i="23"/>
  <c r="B400" i="23" a="1"/>
  <c r="B400" i="23"/>
  <c r="B401" i="23" a="1"/>
  <c r="B401" i="23"/>
  <c r="B402" i="23" a="1"/>
  <c r="B402" i="23"/>
  <c r="B403" i="23" a="1"/>
  <c r="B403" i="23"/>
  <c r="B404" i="23" a="1"/>
  <c r="B404" i="23"/>
  <c r="B405" i="23" a="1"/>
  <c r="B405" i="23"/>
  <c r="B406" i="23" a="1"/>
  <c r="B406" i="23"/>
  <c r="B407" i="23" a="1"/>
  <c r="B407" i="23"/>
  <c r="B408" i="23" a="1"/>
  <c r="B408" i="23"/>
  <c r="B409" i="23" a="1"/>
  <c r="B409" i="23"/>
  <c r="B410" i="23" a="1"/>
  <c r="B410" i="23"/>
  <c r="B411" i="23" a="1"/>
  <c r="B411" i="23"/>
  <c r="B412" i="23" a="1"/>
  <c r="B412" i="23"/>
  <c r="B413" i="23" a="1"/>
  <c r="B413" i="23"/>
  <c r="B414" i="23" a="1"/>
  <c r="B414" i="23"/>
  <c r="B415" i="23" a="1"/>
  <c r="B415" i="23"/>
  <c r="B416" i="23" a="1"/>
  <c r="B416" i="23"/>
  <c r="B417" i="23" a="1"/>
  <c r="B417" i="23"/>
  <c r="A3" i="23" a="1"/>
  <c r="A3" i="23" s="1"/>
  <c r="A4" i="23" a="1"/>
  <c r="A4" i="23" s="1"/>
  <c r="A5" i="23" a="1"/>
  <c r="A5" i="23"/>
  <c r="A6" i="23" a="1"/>
  <c r="A6" i="23"/>
  <c r="A7" i="23" a="1"/>
  <c r="A7" i="23"/>
  <c r="A8" i="23" a="1"/>
  <c r="A8" i="23"/>
  <c r="A9" i="23" a="1"/>
  <c r="A9" i="23" s="1"/>
  <c r="A10" i="23" a="1"/>
  <c r="A10" i="23" s="1"/>
  <c r="A11" i="23" a="1"/>
  <c r="A11" i="23"/>
  <c r="A12" i="23" a="1"/>
  <c r="A12" i="23"/>
  <c r="A13" i="23" a="1"/>
  <c r="A13" i="23"/>
  <c r="A14" i="23" a="1"/>
  <c r="A14" i="23"/>
  <c r="A15" i="23" a="1"/>
  <c r="A15" i="23" s="1"/>
  <c r="A16" i="23" a="1"/>
  <c r="A16" i="23" s="1"/>
  <c r="A17" i="23" a="1"/>
  <c r="A17" i="23"/>
  <c r="A18" i="23" a="1"/>
  <c r="A18" i="23"/>
  <c r="A19" i="23" a="1"/>
  <c r="A19" i="23"/>
  <c r="A20" i="23" a="1"/>
  <c r="A20" i="23"/>
  <c r="A21" i="23" a="1"/>
  <c r="A21" i="23" s="1"/>
  <c r="A22" i="23" a="1"/>
  <c r="A22" i="23" s="1"/>
  <c r="A23" i="23" a="1"/>
  <c r="A23" i="23"/>
  <c r="A24" i="23" a="1"/>
  <c r="A24" i="23"/>
  <c r="A25" i="23" a="1"/>
  <c r="A25" i="23"/>
  <c r="A26" i="23" a="1"/>
  <c r="A26" i="23"/>
  <c r="A27" i="23" a="1"/>
  <c r="A27" i="23" s="1"/>
  <c r="A28" i="23" a="1"/>
  <c r="A28" i="23" s="1"/>
  <c r="A29" i="23" a="1"/>
  <c r="A29" i="23"/>
  <c r="A30" i="23" a="1"/>
  <c r="A30" i="23"/>
  <c r="A31" i="23" a="1"/>
  <c r="A31" i="23"/>
  <c r="A32" i="23" a="1"/>
  <c r="A32" i="23"/>
  <c r="A33" i="23" a="1"/>
  <c r="A33" i="23" s="1"/>
  <c r="A34" i="23" a="1"/>
  <c r="A34" i="23" s="1"/>
  <c r="A35" i="23" a="1"/>
  <c r="A35" i="23"/>
  <c r="A36" i="23" a="1"/>
  <c r="A36" i="23"/>
  <c r="A37" i="23" a="1"/>
  <c r="A37" i="23"/>
  <c r="A38" i="23" a="1"/>
  <c r="A38" i="23"/>
  <c r="A39" i="23" a="1"/>
  <c r="A39" i="23" s="1"/>
  <c r="A40" i="23" a="1"/>
  <c r="A40" i="23" s="1"/>
  <c r="A41" i="23" a="1"/>
  <c r="A41" i="23"/>
  <c r="A42" i="23" a="1"/>
  <c r="A42" i="23"/>
  <c r="A43" i="23" a="1"/>
  <c r="A43" i="23"/>
  <c r="A44" i="23" a="1"/>
  <c r="A44" i="23"/>
  <c r="A45" i="23" a="1"/>
  <c r="A45" i="23" s="1"/>
  <c r="A46" i="23" a="1"/>
  <c r="A46" i="23" s="1"/>
  <c r="A47" i="23" a="1"/>
  <c r="A47" i="23"/>
  <c r="A48" i="23" a="1"/>
  <c r="A48" i="23"/>
  <c r="A49" i="23" a="1"/>
  <c r="A49" i="23"/>
  <c r="A50" i="23" a="1"/>
  <c r="A50" i="23"/>
  <c r="A51" i="23" a="1"/>
  <c r="A51" i="23" s="1"/>
  <c r="A52" i="23" a="1"/>
  <c r="A52" i="23" s="1"/>
  <c r="A53" i="23" a="1"/>
  <c r="A53" i="23"/>
  <c r="A54" i="23" a="1"/>
  <c r="A54" i="23"/>
  <c r="A55" i="23" a="1"/>
  <c r="A55" i="23"/>
  <c r="A56" i="23" a="1"/>
  <c r="A56" i="23"/>
  <c r="A57" i="23" a="1"/>
  <c r="A57" i="23" s="1"/>
  <c r="A58" i="23" a="1"/>
  <c r="A58" i="23" s="1"/>
  <c r="A59" i="23" a="1"/>
  <c r="A59" i="23"/>
  <c r="A60" i="23" a="1"/>
  <c r="A60" i="23"/>
  <c r="A61" i="23" a="1"/>
  <c r="A61" i="23"/>
  <c r="A62" i="23" a="1"/>
  <c r="A62" i="23"/>
  <c r="A63" i="23" a="1"/>
  <c r="A63" i="23" s="1"/>
  <c r="A64" i="23" a="1"/>
  <c r="A64" i="23" s="1"/>
  <c r="A65" i="23" a="1"/>
  <c r="A65" i="23"/>
  <c r="A66" i="23" a="1"/>
  <c r="A66" i="23"/>
  <c r="A67" i="23" a="1"/>
  <c r="A67" i="23"/>
  <c r="A68" i="23" a="1"/>
  <c r="A68" i="23"/>
  <c r="A69" i="23" a="1"/>
  <c r="A69" i="23" s="1"/>
  <c r="A70" i="23" a="1"/>
  <c r="A70" i="23" s="1"/>
  <c r="A71" i="23" a="1"/>
  <c r="A71" i="23"/>
  <c r="A72" i="23" a="1"/>
  <c r="A72" i="23"/>
  <c r="A73" i="23" a="1"/>
  <c r="A73" i="23"/>
  <c r="A74" i="23" a="1"/>
  <c r="A74" i="23"/>
  <c r="A75" i="23" a="1"/>
  <c r="A75" i="23" s="1"/>
  <c r="A76" i="23" a="1"/>
  <c r="A76" i="23" s="1"/>
  <c r="A77" i="23" a="1"/>
  <c r="A77" i="23"/>
  <c r="A78" i="23" a="1"/>
  <c r="A78" i="23"/>
  <c r="A79" i="23" a="1"/>
  <c r="A79" i="23"/>
  <c r="A80" i="23" a="1"/>
  <c r="A80" i="23"/>
  <c r="A81" i="23" a="1"/>
  <c r="A81" i="23" s="1"/>
  <c r="A82" i="23" a="1"/>
  <c r="A82" i="23" s="1"/>
  <c r="A83" i="23" a="1"/>
  <c r="A83" i="23"/>
  <c r="A84" i="23" a="1"/>
  <c r="A84" i="23"/>
  <c r="A85" i="23" a="1"/>
  <c r="A85" i="23"/>
  <c r="A86" i="23" a="1"/>
  <c r="A86" i="23"/>
  <c r="A87" i="23" a="1"/>
  <c r="A87" i="23" s="1"/>
  <c r="A88" i="23" a="1"/>
  <c r="A88" i="23" s="1"/>
  <c r="A89" i="23" a="1"/>
  <c r="A89" i="23"/>
  <c r="A90" i="23" a="1"/>
  <c r="A90" i="23"/>
  <c r="A91" i="23" a="1"/>
  <c r="A91" i="23"/>
  <c r="A92" i="23" a="1"/>
  <c r="A92" i="23"/>
  <c r="A93" i="23" a="1"/>
  <c r="A93" i="23" s="1"/>
  <c r="A94" i="23" a="1"/>
  <c r="A94" i="23" s="1"/>
  <c r="A95" i="23" a="1"/>
  <c r="A95" i="23"/>
  <c r="A96" i="23" a="1"/>
  <c r="A96" i="23"/>
  <c r="A97" i="23" a="1"/>
  <c r="A97" i="23"/>
  <c r="A98" i="23" a="1"/>
  <c r="A98" i="23"/>
  <c r="A99" i="23" a="1"/>
  <c r="A99" i="23" s="1"/>
  <c r="A100" i="23" a="1"/>
  <c r="A100" i="23" s="1"/>
  <c r="A101" i="23" a="1"/>
  <c r="A101" i="23"/>
  <c r="A102" i="23" a="1"/>
  <c r="A102" i="23"/>
  <c r="A103" i="23" a="1"/>
  <c r="A103" i="23"/>
  <c r="A104" i="23" a="1"/>
  <c r="A104" i="23"/>
  <c r="A105" i="23" a="1"/>
  <c r="A105" i="23" s="1"/>
  <c r="A106" i="23" a="1"/>
  <c r="A106" i="23" s="1"/>
  <c r="A107" i="23" a="1"/>
  <c r="A107" i="23"/>
  <c r="A108" i="23" a="1"/>
  <c r="A108" i="23"/>
  <c r="A109" i="23" a="1"/>
  <c r="A109" i="23"/>
  <c r="A110" i="23" a="1"/>
  <c r="A110" i="23"/>
  <c r="A111" i="23" a="1"/>
  <c r="A111" i="23" s="1"/>
  <c r="A112" i="23" a="1"/>
  <c r="A112" i="23" s="1"/>
  <c r="A113" i="23" a="1"/>
  <c r="A113" i="23"/>
  <c r="A114" i="23" a="1"/>
  <c r="A114" i="23"/>
  <c r="A115" i="23" a="1"/>
  <c r="A115" i="23"/>
  <c r="A116" i="23" a="1"/>
  <c r="A116" i="23"/>
  <c r="A117" i="23" a="1"/>
  <c r="A117" i="23" s="1"/>
  <c r="A118" i="23" a="1"/>
  <c r="A118" i="23" s="1"/>
  <c r="A119" i="23" a="1"/>
  <c r="A119" i="23"/>
  <c r="A120" i="23" a="1"/>
  <c r="A120" i="23"/>
  <c r="A121" i="23" a="1"/>
  <c r="A121" i="23"/>
  <c r="A122" i="23" a="1"/>
  <c r="A122" i="23"/>
  <c r="A123" i="23" a="1"/>
  <c r="A123" i="23" s="1"/>
  <c r="A124" i="23" a="1"/>
  <c r="A124" i="23" s="1"/>
  <c r="A125" i="23" a="1"/>
  <c r="A125" i="23"/>
  <c r="A126" i="23" a="1"/>
  <c r="A126" i="23"/>
  <c r="A127" i="23" a="1"/>
  <c r="A127" i="23"/>
  <c r="A128" i="23" a="1"/>
  <c r="A128" i="23"/>
  <c r="A129" i="23" a="1"/>
  <c r="A129" i="23" s="1"/>
  <c r="A130" i="23" a="1"/>
  <c r="A130" i="23" s="1"/>
  <c r="A131" i="23" a="1"/>
  <c r="A131" i="23"/>
  <c r="A132" i="23" a="1"/>
  <c r="A132" i="23"/>
  <c r="A133" i="23" a="1"/>
  <c r="A133" i="23"/>
  <c r="A134" i="23" a="1"/>
  <c r="A134" i="23"/>
  <c r="A135" i="23" a="1"/>
  <c r="A135" i="23" s="1"/>
  <c r="A136" i="23" a="1"/>
  <c r="A136" i="23" s="1"/>
  <c r="A137" i="23" a="1"/>
  <c r="A137" i="23"/>
  <c r="A138" i="23" a="1"/>
  <c r="A138" i="23"/>
  <c r="A139" i="23" a="1"/>
  <c r="A139" i="23"/>
  <c r="A140" i="23" a="1"/>
  <c r="A140" i="23"/>
  <c r="A141" i="23" a="1"/>
  <c r="A141" i="23" s="1"/>
  <c r="A142" i="23" a="1"/>
  <c r="A142" i="23" s="1"/>
  <c r="A143" i="23" a="1"/>
  <c r="A143" i="23"/>
  <c r="A144" i="23" a="1"/>
  <c r="A144" i="23"/>
  <c r="A145" i="23" a="1"/>
  <c r="A145" i="23"/>
  <c r="A146" i="23" a="1"/>
  <c r="A146" i="23"/>
  <c r="A147" i="23" a="1"/>
  <c r="A147" i="23" s="1"/>
  <c r="A148" i="23" a="1"/>
  <c r="A148" i="23" s="1"/>
  <c r="A149" i="23" a="1"/>
  <c r="A149" i="23"/>
  <c r="A150" i="23" a="1"/>
  <c r="A150" i="23"/>
  <c r="A151" i="23" a="1"/>
  <c r="A151" i="23"/>
  <c r="A152" i="23" a="1"/>
  <c r="A152" i="23"/>
  <c r="A153" i="23" a="1"/>
  <c r="A153" i="23" s="1"/>
  <c r="A154" i="23" a="1"/>
  <c r="A154" i="23" s="1"/>
  <c r="A155" i="23" a="1"/>
  <c r="A155" i="23"/>
  <c r="A156" i="23" a="1"/>
  <c r="A156" i="23"/>
  <c r="A157" i="23" a="1"/>
  <c r="A157" i="23"/>
  <c r="A158" i="23" a="1"/>
  <c r="A158" i="23"/>
  <c r="A159" i="23" a="1"/>
  <c r="A159" i="23" s="1"/>
  <c r="A160" i="23" a="1"/>
  <c r="A160" i="23" s="1"/>
  <c r="A161" i="23" a="1"/>
  <c r="A161" i="23"/>
  <c r="A162" i="23" a="1"/>
  <c r="A162" i="23"/>
  <c r="A163" i="23" a="1"/>
  <c r="A163" i="23"/>
  <c r="A164" i="23" a="1"/>
  <c r="A164" i="23"/>
  <c r="A165" i="23" a="1"/>
  <c r="A165" i="23" s="1"/>
  <c r="A166" i="23" a="1"/>
  <c r="A166" i="23" s="1"/>
  <c r="A167" i="23" a="1"/>
  <c r="A167" i="23"/>
  <c r="A168" i="23" a="1"/>
  <c r="A168" i="23"/>
  <c r="A169" i="23" a="1"/>
  <c r="A169" i="23"/>
  <c r="A170" i="23" a="1"/>
  <c r="A170" i="23"/>
  <c r="A171" i="23" a="1"/>
  <c r="A171" i="23" s="1"/>
  <c r="A172" i="23" a="1"/>
  <c r="A172" i="23" s="1"/>
  <c r="A173" i="23" a="1"/>
  <c r="A173" i="23"/>
  <c r="A174" i="23" a="1"/>
  <c r="A174" i="23"/>
  <c r="A175" i="23" a="1"/>
  <c r="A175" i="23"/>
  <c r="A176" i="23" a="1"/>
  <c r="A176" i="23"/>
  <c r="A177" i="23" a="1"/>
  <c r="A177" i="23" s="1"/>
  <c r="A178" i="23" a="1"/>
  <c r="A178" i="23" s="1"/>
  <c r="A179" i="23" a="1"/>
  <c r="A179" i="23"/>
  <c r="A180" i="23" a="1"/>
  <c r="A180" i="23"/>
  <c r="A181" i="23" a="1"/>
  <c r="A181" i="23"/>
  <c r="A182" i="23" a="1"/>
  <c r="A182" i="23"/>
  <c r="A183" i="23" a="1"/>
  <c r="A183" i="23" s="1"/>
  <c r="A184" i="23" a="1"/>
  <c r="A184" i="23" s="1"/>
  <c r="A185" i="23" a="1"/>
  <c r="A185" i="23"/>
  <c r="A186" i="23" a="1"/>
  <c r="A186" i="23"/>
  <c r="A187" i="23" a="1"/>
  <c r="A187" i="23"/>
  <c r="A188" i="23" a="1"/>
  <c r="A188" i="23"/>
  <c r="A189" i="23" a="1"/>
  <c r="A189" i="23" s="1"/>
  <c r="A190" i="23" a="1"/>
  <c r="A190" i="23" s="1"/>
  <c r="A191" i="23" a="1"/>
  <c r="A191" i="23"/>
  <c r="A192" i="23" a="1"/>
  <c r="A192" i="23"/>
  <c r="A193" i="23" a="1"/>
  <c r="A193" i="23"/>
  <c r="A194" i="23" a="1"/>
  <c r="A194" i="23"/>
  <c r="A195" i="23" a="1"/>
  <c r="A195" i="23" s="1"/>
  <c r="A196" i="23" a="1"/>
  <c r="A196" i="23" s="1"/>
  <c r="A197" i="23" a="1"/>
  <c r="A197" i="23"/>
  <c r="A198" i="23" a="1"/>
  <c r="A198" i="23"/>
  <c r="A199" i="23" a="1"/>
  <c r="A199" i="23"/>
  <c r="A200" i="23" a="1"/>
  <c r="A200" i="23"/>
  <c r="A201" i="23" a="1"/>
  <c r="A201" i="23" s="1"/>
  <c r="A202" i="23" a="1"/>
  <c r="A202" i="23" s="1"/>
  <c r="A203" i="23" a="1"/>
  <c r="A203" i="23"/>
  <c r="A204" i="23" a="1"/>
  <c r="A204" i="23"/>
  <c r="A205" i="23" a="1"/>
  <c r="A205" i="23"/>
  <c r="A206" i="23" a="1"/>
  <c r="A206" i="23"/>
  <c r="A207" i="23" a="1"/>
  <c r="A207" i="23" s="1"/>
  <c r="A208" i="23" a="1"/>
  <c r="A208" i="23" s="1"/>
  <c r="A209" i="23" a="1"/>
  <c r="A209" i="23"/>
  <c r="A210" i="23" a="1"/>
  <c r="A210" i="23"/>
  <c r="A211" i="23" a="1"/>
  <c r="A211" i="23"/>
  <c r="A212" i="23" a="1"/>
  <c r="A212" i="23"/>
  <c r="A213" i="23" a="1"/>
  <c r="A213" i="23" s="1"/>
  <c r="A214" i="23" a="1"/>
  <c r="A214" i="23" s="1"/>
  <c r="A215" i="23" a="1"/>
  <c r="A215" i="23"/>
  <c r="A216" i="23" a="1"/>
  <c r="A216" i="23"/>
  <c r="A217" i="23" a="1"/>
  <c r="A217" i="23"/>
  <c r="A218" i="23" a="1"/>
  <c r="A218" i="23"/>
  <c r="A219" i="23" a="1"/>
  <c r="A219" i="23" s="1"/>
  <c r="A220" i="23" a="1"/>
  <c r="A220" i="23" s="1"/>
  <c r="A221" i="23" a="1"/>
  <c r="A221" i="23"/>
  <c r="A222" i="23" a="1"/>
  <c r="A222" i="23"/>
  <c r="A223" i="23" a="1"/>
  <c r="A223" i="23"/>
  <c r="A224" i="23" a="1"/>
  <c r="A224" i="23"/>
  <c r="A225" i="23" a="1"/>
  <c r="A225" i="23" s="1"/>
  <c r="A226" i="23" a="1"/>
  <c r="A226" i="23" s="1"/>
  <c r="A227" i="23" a="1"/>
  <c r="A227" i="23"/>
  <c r="A228" i="23" a="1"/>
  <c r="A228" i="23"/>
  <c r="A229" i="23" a="1"/>
  <c r="A229" i="23"/>
  <c r="A230" i="23" a="1"/>
  <c r="A230" i="23"/>
  <c r="A231" i="23" a="1"/>
  <c r="A231" i="23" s="1"/>
  <c r="A232" i="23" a="1"/>
  <c r="A232" i="23" s="1"/>
  <c r="A233" i="23" a="1"/>
  <c r="A233" i="23"/>
  <c r="A234" i="23" a="1"/>
  <c r="A234" i="23"/>
  <c r="A235" i="23" a="1"/>
  <c r="A235" i="23"/>
  <c r="A236" i="23" a="1"/>
  <c r="A236" i="23"/>
  <c r="A237" i="23" a="1"/>
  <c r="A237" i="23" s="1"/>
  <c r="A238" i="23" a="1"/>
  <c r="A238" i="23" s="1"/>
  <c r="A239" i="23" a="1"/>
  <c r="A239" i="23"/>
  <c r="A240" i="23" a="1"/>
  <c r="A240" i="23"/>
  <c r="A241" i="23" a="1"/>
  <c r="A241" i="23"/>
  <c r="A242" i="23" a="1"/>
  <c r="A242" i="23"/>
  <c r="A243" i="23" a="1"/>
  <c r="A243" i="23" s="1"/>
  <c r="A244" i="23" a="1"/>
  <c r="A244" i="23" s="1"/>
  <c r="A245" i="23" a="1"/>
  <c r="A245" i="23"/>
  <c r="A246" i="23" a="1"/>
  <c r="A246" i="23"/>
  <c r="A247" i="23" a="1"/>
  <c r="A247" i="23"/>
  <c r="A248" i="23" a="1"/>
  <c r="A248" i="23"/>
  <c r="A249" i="23" a="1"/>
  <c r="A249" i="23" s="1"/>
  <c r="A250" i="23" a="1"/>
  <c r="A250" i="23" s="1"/>
  <c r="A251" i="23" a="1"/>
  <c r="A251" i="23"/>
  <c r="A252" i="23" a="1"/>
  <c r="A252" i="23"/>
  <c r="A253" i="23" a="1"/>
  <c r="A253" i="23"/>
  <c r="A254" i="23" a="1"/>
  <c r="A254" i="23"/>
  <c r="A255" i="23" a="1"/>
  <c r="A255" i="23" s="1"/>
  <c r="A256" i="23" a="1"/>
  <c r="A256" i="23" s="1"/>
  <c r="A257" i="23" a="1"/>
  <c r="A257" i="23"/>
  <c r="A258" i="23" a="1"/>
  <c r="A258" i="23"/>
  <c r="A259" i="23" a="1"/>
  <c r="A259" i="23"/>
  <c r="A260" i="23" a="1"/>
  <c r="A260" i="23"/>
  <c r="A261" i="23" a="1"/>
  <c r="A261" i="23" s="1"/>
  <c r="A262" i="23" a="1"/>
  <c r="A262" i="23" s="1"/>
  <c r="A263" i="23" a="1"/>
  <c r="A263" i="23"/>
  <c r="A264" i="23" a="1"/>
  <c r="A264" i="23"/>
  <c r="A265" i="23" a="1"/>
  <c r="A265" i="23"/>
  <c r="A266" i="23" a="1"/>
  <c r="A266" i="23"/>
  <c r="A267" i="23" a="1"/>
  <c r="A267" i="23" s="1"/>
  <c r="A268" i="23" a="1"/>
  <c r="A268" i="23" s="1"/>
  <c r="A269" i="23" a="1"/>
  <c r="A269" i="23"/>
  <c r="A270" i="23" a="1"/>
  <c r="A270" i="23"/>
  <c r="A271" i="23" a="1"/>
  <c r="A271" i="23"/>
  <c r="A272" i="23" a="1"/>
  <c r="A272" i="23"/>
  <c r="A273" i="23" a="1"/>
  <c r="A273" i="23" s="1"/>
  <c r="A274" i="23" a="1"/>
  <c r="A274" i="23" s="1"/>
  <c r="A275" i="23" a="1"/>
  <c r="A275" i="23"/>
  <c r="A276" i="23" a="1"/>
  <c r="A276" i="23"/>
  <c r="A277" i="23" a="1"/>
  <c r="A277" i="23"/>
  <c r="A278" i="23" a="1"/>
  <c r="A278" i="23"/>
  <c r="A279" i="23" a="1"/>
  <c r="A279" i="23" s="1"/>
  <c r="A280" i="23" a="1"/>
  <c r="A280" i="23" s="1"/>
  <c r="A281" i="23" a="1"/>
  <c r="A281" i="23"/>
  <c r="A282" i="23" a="1"/>
  <c r="A282" i="23"/>
  <c r="A283" i="23" a="1"/>
  <c r="A283" i="23"/>
  <c r="A284" i="23" a="1"/>
  <c r="A284" i="23"/>
  <c r="A285" i="23" a="1"/>
  <c r="A285" i="23" s="1"/>
  <c r="A286" i="23" a="1"/>
  <c r="A286" i="23" s="1"/>
  <c r="A287" i="23" a="1"/>
  <c r="A287" i="23"/>
  <c r="A288" i="23" a="1"/>
  <c r="A288" i="23"/>
  <c r="A289" i="23" a="1"/>
  <c r="A289" i="23"/>
  <c r="A290" i="23" a="1"/>
  <c r="A290" i="23"/>
  <c r="A291" i="23" a="1"/>
  <c r="A291" i="23" s="1"/>
  <c r="A292" i="23" a="1"/>
  <c r="A292" i="23" s="1"/>
  <c r="A293" i="23" a="1"/>
  <c r="A293" i="23"/>
  <c r="A294" i="23" a="1"/>
  <c r="A294" i="23"/>
  <c r="A295" i="23" a="1"/>
  <c r="A295" i="23"/>
  <c r="A296" i="23" a="1"/>
  <c r="A296" i="23"/>
  <c r="A297" i="23" a="1"/>
  <c r="A297" i="23" s="1"/>
  <c r="A298" i="23" a="1"/>
  <c r="A298" i="23" s="1"/>
  <c r="A299" i="23" a="1"/>
  <c r="A299" i="23"/>
  <c r="A300" i="23" a="1"/>
  <c r="A300" i="23"/>
  <c r="A301" i="23" a="1"/>
  <c r="A301" i="23"/>
  <c r="A302" i="23" a="1"/>
  <c r="A302" i="23"/>
  <c r="A303" i="23" a="1"/>
  <c r="A303" i="23" s="1"/>
  <c r="A304" i="23" a="1"/>
  <c r="A304" i="23" s="1"/>
  <c r="A305" i="23" a="1"/>
  <c r="A305" i="23"/>
  <c r="A306" i="23" a="1"/>
  <c r="A306" i="23"/>
  <c r="A307" i="23" a="1"/>
  <c r="A307" i="23"/>
  <c r="A308" i="23" a="1"/>
  <c r="A308" i="23"/>
  <c r="A309" i="23" a="1"/>
  <c r="A309" i="23" s="1"/>
  <c r="A310" i="23" a="1"/>
  <c r="A310" i="23" s="1"/>
  <c r="A311" i="23" a="1"/>
  <c r="A311" i="23"/>
  <c r="A312" i="23" a="1"/>
  <c r="A312" i="23"/>
  <c r="A313" i="23" a="1"/>
  <c r="A313" i="23"/>
  <c r="A314" i="23" a="1"/>
  <c r="A314" i="23"/>
  <c r="A315" i="23" a="1"/>
  <c r="A315" i="23" s="1"/>
  <c r="A316" i="23" a="1"/>
  <c r="A316" i="23" s="1"/>
  <c r="A317" i="23" a="1"/>
  <c r="A317" i="23"/>
  <c r="A318" i="23" a="1"/>
  <c r="A318" i="23"/>
  <c r="A319" i="23" a="1"/>
  <c r="A319" i="23"/>
  <c r="A320" i="23" a="1"/>
  <c r="A320" i="23"/>
  <c r="A321" i="23" a="1"/>
  <c r="A321" i="23" s="1"/>
  <c r="A322" i="23" a="1"/>
  <c r="A322" i="23" s="1"/>
  <c r="A323" i="23" a="1"/>
  <c r="A323" i="23"/>
  <c r="A324" i="23" a="1"/>
  <c r="A324" i="23"/>
  <c r="A325" i="23" a="1"/>
  <c r="A325" i="23"/>
  <c r="A326" i="23" a="1"/>
  <c r="A326" i="23"/>
  <c r="A327" i="23" a="1"/>
  <c r="A327" i="23" s="1"/>
  <c r="A328" i="23" a="1"/>
  <c r="A328" i="23" s="1"/>
  <c r="A329" i="23" a="1"/>
  <c r="A329" i="23"/>
  <c r="A330" i="23" a="1"/>
  <c r="A330" i="23"/>
  <c r="A331" i="23" a="1"/>
  <c r="A331" i="23"/>
  <c r="A332" i="23" a="1"/>
  <c r="A332" i="23"/>
  <c r="A333" i="23" a="1"/>
  <c r="A333" i="23" s="1"/>
  <c r="A334" i="23" a="1"/>
  <c r="A334" i="23" s="1"/>
  <c r="A335" i="23" a="1"/>
  <c r="A335" i="23"/>
  <c r="A336" i="23" a="1"/>
  <c r="A336" i="23"/>
  <c r="A337" i="23" a="1"/>
  <c r="A337" i="23"/>
  <c r="A338" i="23" a="1"/>
  <c r="A338" i="23"/>
  <c r="A339" i="23" a="1"/>
  <c r="A339" i="23" s="1"/>
  <c r="A340" i="23" a="1"/>
  <c r="A340" i="23" s="1"/>
  <c r="A341" i="23" a="1"/>
  <c r="A341" i="23"/>
  <c r="A342" i="23" a="1"/>
  <c r="A342" i="23"/>
  <c r="A343" i="23" a="1"/>
  <c r="A343" i="23"/>
  <c r="A344" i="23" a="1"/>
  <c r="A344" i="23"/>
  <c r="A345" i="23" a="1"/>
  <c r="A345" i="23" s="1"/>
  <c r="A346" i="23" a="1"/>
  <c r="A346" i="23" s="1"/>
  <c r="A347" i="23" a="1"/>
  <c r="A347" i="23"/>
  <c r="A348" i="23" a="1"/>
  <c r="A348" i="23"/>
  <c r="A349" i="23" a="1"/>
  <c r="A349" i="23"/>
  <c r="A350" i="23" a="1"/>
  <c r="A350" i="23"/>
  <c r="A351" i="23" a="1"/>
  <c r="A351" i="23" s="1"/>
  <c r="A352" i="23" a="1"/>
  <c r="A352" i="23" s="1"/>
  <c r="A353" i="23" a="1"/>
  <c r="A353" i="23"/>
  <c r="A354" i="23" a="1"/>
  <c r="A354" i="23"/>
  <c r="A355" i="23" a="1"/>
  <c r="A355" i="23"/>
  <c r="A356" i="23" a="1"/>
  <c r="A356" i="23"/>
  <c r="A357" i="23" a="1"/>
  <c r="A357" i="23" s="1"/>
  <c r="A358" i="23" a="1"/>
  <c r="A358" i="23" s="1"/>
  <c r="A359" i="23" a="1"/>
  <c r="A359" i="23"/>
  <c r="A360" i="23" a="1"/>
  <c r="A360" i="23"/>
  <c r="A361" i="23" a="1"/>
  <c r="A361" i="23"/>
  <c r="A362" i="23" a="1"/>
  <c r="A362" i="23"/>
  <c r="A363" i="23" a="1"/>
  <c r="A363" i="23" s="1"/>
  <c r="A364" i="23" a="1"/>
  <c r="A364" i="23" s="1"/>
  <c r="A365" i="23" a="1"/>
  <c r="A365" i="23"/>
  <c r="A366" i="23" a="1"/>
  <c r="A366" i="23"/>
  <c r="A367" i="23" a="1"/>
  <c r="A367" i="23"/>
  <c r="A368" i="23" a="1"/>
  <c r="A368" i="23"/>
  <c r="A369" i="23" a="1"/>
  <c r="A369" i="23" s="1"/>
  <c r="A370" i="23" a="1"/>
  <c r="A370" i="23" s="1"/>
  <c r="A371" i="23" a="1"/>
  <c r="A371" i="23"/>
  <c r="A372" i="23" a="1"/>
  <c r="A372" i="23"/>
  <c r="A373" i="23" a="1"/>
  <c r="A373" i="23"/>
  <c r="A374" i="23" a="1"/>
  <c r="A374" i="23"/>
  <c r="A375" i="23" a="1"/>
  <c r="A375" i="23" s="1"/>
  <c r="A376" i="23" a="1"/>
  <c r="A376" i="23" s="1"/>
  <c r="A377" i="23" a="1"/>
  <c r="A377" i="23"/>
  <c r="A378" i="23" a="1"/>
  <c r="A378" i="23"/>
  <c r="A379" i="23" a="1"/>
  <c r="A379" i="23"/>
  <c r="A380" i="23" a="1"/>
  <c r="A380" i="23"/>
  <c r="A381" i="23" a="1"/>
  <c r="A381" i="23" s="1"/>
  <c r="A382" i="23" a="1"/>
  <c r="A382" i="23" s="1"/>
  <c r="A383" i="23" a="1"/>
  <c r="A383" i="23"/>
  <c r="A384" i="23" a="1"/>
  <c r="A384" i="23"/>
  <c r="A385" i="23" a="1"/>
  <c r="A385" i="23"/>
  <c r="A386" i="23" a="1"/>
  <c r="A386" i="23"/>
  <c r="A387" i="23" a="1"/>
  <c r="A387" i="23" s="1"/>
  <c r="A388" i="23" a="1"/>
  <c r="A388" i="23" s="1"/>
  <c r="A389" i="23" a="1"/>
  <c r="A389" i="23"/>
  <c r="A390" i="23" a="1"/>
  <c r="A390" i="23"/>
  <c r="A391" i="23" a="1"/>
  <c r="A391" i="23"/>
  <c r="A392" i="23" a="1"/>
  <c r="A392" i="23"/>
  <c r="A393" i="23" a="1"/>
  <c r="A393" i="23" s="1"/>
  <c r="A394" i="23" a="1"/>
  <c r="A394" i="23" s="1"/>
  <c r="A395" i="23" a="1"/>
  <c r="A395" i="23"/>
  <c r="A396" i="23" a="1"/>
  <c r="A396" i="23"/>
  <c r="A397" i="23" a="1"/>
  <c r="A397" i="23"/>
  <c r="A398" i="23" a="1"/>
  <c r="A398" i="23"/>
  <c r="A399" i="23" a="1"/>
  <c r="A399" i="23" s="1"/>
  <c r="A400" i="23" a="1"/>
  <c r="A400" i="23" s="1"/>
  <c r="A401" i="23" a="1"/>
  <c r="A401" i="23"/>
  <c r="A402" i="23" a="1"/>
  <c r="A402" i="23"/>
  <c r="A403" i="23" a="1"/>
  <c r="A403" i="23"/>
  <c r="A404" i="23" a="1"/>
  <c r="A404" i="23"/>
  <c r="A405" i="23" a="1"/>
  <c r="A405" i="23" s="1"/>
  <c r="A406" i="23" a="1"/>
  <c r="A406" i="23" s="1"/>
  <c r="A407" i="23" a="1"/>
  <c r="A407" i="23"/>
  <c r="A408" i="23" a="1"/>
  <c r="A408" i="23"/>
  <c r="A409" i="23" a="1"/>
  <c r="A409" i="23"/>
  <c r="A410" i="23" a="1"/>
  <c r="A410" i="23"/>
  <c r="A411" i="23" a="1"/>
  <c r="A411" i="23" s="1"/>
  <c r="A412" i="23" a="1"/>
  <c r="A412" i="23" s="1"/>
  <c r="A413" i="23" a="1"/>
  <c r="A413" i="23"/>
  <c r="A414" i="23" a="1"/>
  <c r="A414" i="23"/>
  <c r="A415" i="23" a="1"/>
  <c r="A415" i="23"/>
  <c r="A416" i="23" a="1"/>
  <c r="A416" i="23"/>
  <c r="A417" i="23" a="1"/>
  <c r="A417" i="23" s="1"/>
  <c r="B2" i="23" a="1"/>
  <c r="B2" i="23" s="1"/>
  <c r="B3" i="22" a="1"/>
  <c r="B3" i="22" s="1"/>
  <c r="B4" i="22" a="1"/>
  <c r="B4" i="22" s="1"/>
  <c r="E4" i="22" s="1" a="1"/>
  <c r="E4" i="22" s="1"/>
  <c r="B5" i="22" a="1"/>
  <c r="B5" i="22" s="1"/>
  <c r="B6" i="22" a="1"/>
  <c r="B6" i="22" s="1"/>
  <c r="B7" i="22" a="1"/>
  <c r="B7" i="22" s="1"/>
  <c r="B8" i="22" a="1"/>
  <c r="B8" i="22" s="1"/>
  <c r="B9" i="22" a="1"/>
  <c r="B9" i="22" s="1"/>
  <c r="B10" i="22" a="1"/>
  <c r="B10" i="22" s="1"/>
  <c r="B11" i="22" a="1"/>
  <c r="B11" i="22"/>
  <c r="B12" i="22" a="1"/>
  <c r="B12" i="22" s="1"/>
  <c r="E12" i="22" s="1" a="1"/>
  <c r="E12" i="22" s="1"/>
  <c r="B13" i="22" a="1"/>
  <c r="B13" i="22" s="1"/>
  <c r="B14" i="22" a="1"/>
  <c r="B14" i="22" s="1"/>
  <c r="B15" i="22" a="1"/>
  <c r="B15" i="22" s="1"/>
  <c r="B16" i="22" a="1"/>
  <c r="B16" i="22" s="1"/>
  <c r="B17" i="22" a="1"/>
  <c r="B17" i="22" s="1"/>
  <c r="B18" i="22" a="1"/>
  <c r="B18" i="22" s="1"/>
  <c r="B19" i="22" a="1"/>
  <c r="B19" i="22" s="1"/>
  <c r="B20" i="22" a="1"/>
  <c r="B20" i="22" s="1"/>
  <c r="E20" i="22" s="1" a="1"/>
  <c r="E20" i="22" s="1"/>
  <c r="B21" i="22" a="1"/>
  <c r="B21" i="22" s="1"/>
  <c r="B22" i="22" a="1"/>
  <c r="B22" i="22" s="1"/>
  <c r="B23" i="22" a="1"/>
  <c r="B23" i="22" s="1"/>
  <c r="B24" i="22" a="1"/>
  <c r="B24" i="22" s="1"/>
  <c r="B25" i="22" a="1"/>
  <c r="B25" i="22" s="1"/>
  <c r="E25" i="22" s="1" a="1"/>
  <c r="E25" i="22" s="1"/>
  <c r="B26" i="22" a="1"/>
  <c r="B26" i="22" s="1"/>
  <c r="B27" i="22" a="1"/>
  <c r="B27" i="22" s="1"/>
  <c r="B28" i="22" a="1"/>
  <c r="B28" i="22" s="1"/>
  <c r="E28" i="22" s="1" a="1"/>
  <c r="E28" i="22" s="1"/>
  <c r="B29" i="22" a="1"/>
  <c r="B29" i="22" s="1"/>
  <c r="B30" i="22" a="1"/>
  <c r="B30" i="22" s="1"/>
  <c r="B31" i="22" a="1"/>
  <c r="B31" i="22"/>
  <c r="B32" i="22" a="1"/>
  <c r="B32" i="22" s="1"/>
  <c r="B33" i="22" a="1"/>
  <c r="B33" i="22" s="1"/>
  <c r="E33" i="22" s="1" a="1"/>
  <c r="E33" i="22" s="1"/>
  <c r="B34" i="22" a="1"/>
  <c r="B34" i="22" s="1"/>
  <c r="C34" i="22" s="1" a="1"/>
  <c r="C34" i="22" s="1"/>
  <c r="B35" i="22" a="1"/>
  <c r="B35" i="22" s="1"/>
  <c r="E35" i="22" s="1" a="1"/>
  <c r="E35" i="22" s="1"/>
  <c r="B36" i="22" a="1"/>
  <c r="B36" i="22" s="1"/>
  <c r="B37" i="22" a="1"/>
  <c r="B37" i="22" s="1"/>
  <c r="B38" i="22" a="1"/>
  <c r="B38" i="22"/>
  <c r="B39" i="22" a="1"/>
  <c r="B39" i="22" s="1"/>
  <c r="B40" i="22" a="1"/>
  <c r="B40" i="22" s="1"/>
  <c r="E40" i="22" s="1" a="1"/>
  <c r="E40" i="22" s="1"/>
  <c r="B41" i="22" a="1"/>
  <c r="B41" i="22" s="1"/>
  <c r="B42" i="22" a="1"/>
  <c r="B42" i="22" s="1"/>
  <c r="B43" i="22" a="1"/>
  <c r="B43" i="22" s="1"/>
  <c r="B44" i="22" a="1"/>
  <c r="B44" i="22" s="1"/>
  <c r="B45" i="22" a="1"/>
  <c r="B45" i="22" s="1"/>
  <c r="E45" i="22" s="1" a="1"/>
  <c r="E45" i="22" s="1"/>
  <c r="B46" i="22" a="1"/>
  <c r="B46" i="22" s="1"/>
  <c r="B47" i="22" a="1"/>
  <c r="B47" i="22" s="1"/>
  <c r="B48" i="22" a="1"/>
  <c r="B48" i="22" s="1"/>
  <c r="B49" i="22" a="1"/>
  <c r="B49" i="22" s="1"/>
  <c r="E49" i="22" s="1" a="1"/>
  <c r="E49" i="22" s="1"/>
  <c r="B50" i="22" a="1"/>
  <c r="B50" i="22" s="1"/>
  <c r="B51" i="22" a="1"/>
  <c r="B51" i="22" s="1"/>
  <c r="B52" i="22" a="1"/>
  <c r="B52" i="22" s="1"/>
  <c r="B53" i="22" a="1"/>
  <c r="B53" i="22" s="1"/>
  <c r="B54" i="22" a="1"/>
  <c r="B54" i="22" s="1"/>
  <c r="B55" i="22" a="1"/>
  <c r="B55" i="22" s="1"/>
  <c r="B56" i="22" a="1"/>
  <c r="B56" i="22" s="1"/>
  <c r="B57" i="22" a="1"/>
  <c r="B57" i="22" s="1"/>
  <c r="B58" i="22" a="1"/>
  <c r="B58" i="22" s="1"/>
  <c r="B59" i="22" a="1"/>
  <c r="B59" i="22" s="1"/>
  <c r="B60" i="22" a="1"/>
  <c r="B60" i="22" s="1"/>
  <c r="B61" i="22" a="1"/>
  <c r="B61" i="22" s="1"/>
  <c r="B62" i="22" a="1"/>
  <c r="B62" i="22" s="1"/>
  <c r="E62" i="22" s="1" a="1"/>
  <c r="E62" i="22" s="1"/>
  <c r="B63" i="22" a="1"/>
  <c r="B63" i="22" s="1"/>
  <c r="E63" i="22" s="1" a="1"/>
  <c r="E63" i="22" s="1"/>
  <c r="B64" i="22" a="1"/>
  <c r="B64" i="22" s="1"/>
  <c r="E64" i="22" s="1" a="1"/>
  <c r="E64" i="22" s="1"/>
  <c r="B65" i="22" a="1"/>
  <c r="B65" i="22" s="1"/>
  <c r="B66" i="22" a="1"/>
  <c r="B66" i="22" s="1"/>
  <c r="B67" i="22" a="1"/>
  <c r="B67" i="22" s="1"/>
  <c r="B68" i="22" a="1"/>
  <c r="B68" i="22" s="1"/>
  <c r="B69" i="22" a="1"/>
  <c r="B69" i="22" s="1"/>
  <c r="E69" i="22" s="1" a="1"/>
  <c r="E69" i="22" s="1"/>
  <c r="B70" i="22" a="1"/>
  <c r="B70" i="22" s="1"/>
  <c r="E70" i="22" s="1" a="1"/>
  <c r="E70" i="22" s="1"/>
  <c r="B71" i="22" a="1"/>
  <c r="B71" i="22" s="1"/>
  <c r="E71" i="22" s="1" a="1"/>
  <c r="E71" i="22" s="1"/>
  <c r="B72" i="22" a="1"/>
  <c r="B72" i="22" s="1"/>
  <c r="B73" i="22" a="1"/>
  <c r="B73" i="22" s="1"/>
  <c r="B74" i="22" a="1"/>
  <c r="B74" i="22" s="1"/>
  <c r="B75" i="22" a="1"/>
  <c r="B75" i="22" s="1"/>
  <c r="B76" i="22" a="1"/>
  <c r="B76" i="22" s="1"/>
  <c r="B77" i="22" a="1"/>
  <c r="B77" i="22" s="1"/>
  <c r="B78" i="22" a="1"/>
  <c r="B78" i="22" s="1"/>
  <c r="B79" i="22" a="1"/>
  <c r="B79" i="22" s="1"/>
  <c r="B80" i="22" a="1"/>
  <c r="B80" i="22" s="1"/>
  <c r="B81" i="22" a="1"/>
  <c r="B81" i="22" s="1"/>
  <c r="B82" i="22" a="1"/>
  <c r="B82" i="22" s="1"/>
  <c r="E82" i="22" s="1" a="1"/>
  <c r="E82" i="22" s="1"/>
  <c r="B83" i="22" a="1"/>
  <c r="B83" i="22" s="1"/>
  <c r="B84" i="22" a="1"/>
  <c r="B84" i="22" s="1"/>
  <c r="B85" i="22" a="1"/>
  <c r="B85" i="22" s="1"/>
  <c r="B86" i="22" a="1"/>
  <c r="B86" i="22" s="1"/>
  <c r="B87" i="22" a="1"/>
  <c r="B87" i="22" s="1"/>
  <c r="B88" i="22" a="1"/>
  <c r="B88" i="22" s="1"/>
  <c r="B89" i="22" a="1"/>
  <c r="B89" i="22" s="1"/>
  <c r="B90" i="22" a="1"/>
  <c r="B90" i="22" s="1"/>
  <c r="B91" i="22" a="1"/>
  <c r="B91" i="22" s="1"/>
  <c r="E91" i="22" s="1" a="1"/>
  <c r="E91" i="22" s="1"/>
  <c r="B92" i="22" a="1"/>
  <c r="B92" i="22" s="1"/>
  <c r="B93" i="22" a="1"/>
  <c r="B93" i="22" s="1"/>
  <c r="B94" i="22" a="1"/>
  <c r="B94" i="22" s="1"/>
  <c r="E94" i="22" s="1" a="1"/>
  <c r="E94" i="22" s="1"/>
  <c r="B95" i="22" a="1"/>
  <c r="B95" i="22" s="1"/>
  <c r="E95" i="22" s="1" a="1"/>
  <c r="E95" i="22" s="1"/>
  <c r="B96" i="22" a="1"/>
  <c r="B96" i="22" s="1"/>
  <c r="B97" i="22" a="1"/>
  <c r="B97" i="22" s="1"/>
  <c r="B98" i="22" a="1"/>
  <c r="B98" i="22" s="1"/>
  <c r="B99" i="22" a="1"/>
  <c r="B99" i="22" s="1"/>
  <c r="E99" i="22" s="1" a="1"/>
  <c r="E99" i="22" s="1"/>
  <c r="B100" i="22" a="1"/>
  <c r="B100" i="22" s="1"/>
  <c r="B101" i="22" a="1"/>
  <c r="B101" i="22" s="1"/>
  <c r="B102" i="22" a="1"/>
  <c r="B102" i="22" s="1"/>
  <c r="B103" i="22" a="1"/>
  <c r="B103" i="22" s="1"/>
  <c r="B104" i="22" a="1"/>
  <c r="B104" i="22" s="1"/>
  <c r="B105" i="22" a="1"/>
  <c r="B105" i="22" s="1"/>
  <c r="B106" i="22" a="1"/>
  <c r="B106" i="22" s="1"/>
  <c r="B107" i="22" a="1"/>
  <c r="B107" i="22" s="1"/>
  <c r="B108" i="22" a="1"/>
  <c r="B108" i="22" s="1"/>
  <c r="B109" i="22" a="1"/>
  <c r="B109" i="22" s="1"/>
  <c r="B110" i="22" a="1"/>
  <c r="B110" i="22" s="1"/>
  <c r="B111" i="22" a="1"/>
  <c r="B111" i="22" s="1"/>
  <c r="B112" i="22" a="1"/>
  <c r="B112" i="22" s="1"/>
  <c r="B113" i="22" a="1"/>
  <c r="B113" i="22" s="1"/>
  <c r="E113" i="22" s="1" a="1"/>
  <c r="E113" i="22" s="1"/>
  <c r="B114" i="22" a="1"/>
  <c r="B114" i="22"/>
  <c r="B115" i="22" a="1"/>
  <c r="B115" i="22" s="1"/>
  <c r="B116" i="22" a="1"/>
  <c r="B116" i="22" s="1"/>
  <c r="B117" i="22" a="1"/>
  <c r="B117" i="22" s="1"/>
  <c r="B118" i="22" a="1"/>
  <c r="B118" i="22" s="1"/>
  <c r="B119" i="22" a="1"/>
  <c r="B119" i="22" s="1"/>
  <c r="B120" i="22" a="1"/>
  <c r="B120" i="22" s="1"/>
  <c r="E120" i="22" s="1" a="1"/>
  <c r="E120" i="22" s="1"/>
  <c r="B121" i="22" a="1"/>
  <c r="B121" i="22" s="1"/>
  <c r="E121" i="22" s="1" a="1"/>
  <c r="E121" i="22" s="1"/>
  <c r="B122" i="22" a="1"/>
  <c r="B122" i="22" s="1"/>
  <c r="B123" i="22" a="1"/>
  <c r="B123" i="22" s="1"/>
  <c r="B124" i="22" a="1"/>
  <c r="B124" i="22" s="1"/>
  <c r="C124" i="22" s="1" a="1"/>
  <c r="C124" i="22" s="1"/>
  <c r="B125" i="22" a="1"/>
  <c r="B125" i="22" s="1"/>
  <c r="B126" i="22" a="1"/>
  <c r="B126" i="22" s="1"/>
  <c r="B127" i="22" a="1"/>
  <c r="B127" i="22" s="1"/>
  <c r="E127" i="22" s="1" a="1"/>
  <c r="E127" i="22" s="1"/>
  <c r="B128" i="22" a="1"/>
  <c r="B128" i="22" s="1"/>
  <c r="B129" i="22" a="1"/>
  <c r="B129" i="22" s="1"/>
  <c r="E129" i="22" s="1" a="1"/>
  <c r="E129" i="22" s="1"/>
  <c r="B130" i="22" a="1"/>
  <c r="B130" i="22" s="1"/>
  <c r="E130" i="22" s="1" a="1"/>
  <c r="E130" i="22" s="1"/>
  <c r="B131" i="22" a="1"/>
  <c r="B131" i="22"/>
  <c r="B132" i="22" a="1"/>
  <c r="B132" i="22" s="1"/>
  <c r="B133" i="22" a="1"/>
  <c r="B133" i="22" s="1"/>
  <c r="B134" i="22" a="1"/>
  <c r="B134" i="22" s="1"/>
  <c r="B135" i="22" a="1"/>
  <c r="B135" i="22" s="1"/>
  <c r="E135" i="22" s="1" a="1"/>
  <c r="E135" i="22" s="1"/>
  <c r="B136" i="22" a="1"/>
  <c r="B136" i="22" s="1"/>
  <c r="B137" i="22" a="1"/>
  <c r="B137" i="22" s="1"/>
  <c r="E137" i="22" s="1" a="1"/>
  <c r="E137" i="22" s="1"/>
  <c r="B138" i="22" a="1"/>
  <c r="B138" i="22" s="1"/>
  <c r="B139" i="22" a="1"/>
  <c r="B139" i="22" s="1"/>
  <c r="C139" i="22" s="1" a="1"/>
  <c r="C139" i="22" s="1"/>
  <c r="B140" i="22" a="1"/>
  <c r="B140" i="22" s="1"/>
  <c r="E140" i="22" s="1" a="1"/>
  <c r="E140" i="22" s="1"/>
  <c r="B141" i="22" a="1"/>
  <c r="B141" i="22" s="1"/>
  <c r="B142" i="22" a="1"/>
  <c r="B142" i="22" s="1"/>
  <c r="B143" i="22" a="1"/>
  <c r="B143" i="22" s="1"/>
  <c r="B144" i="22" a="1"/>
  <c r="B144" i="22" s="1"/>
  <c r="B145" i="22" a="1"/>
  <c r="B145" i="22" s="1"/>
  <c r="B146" i="22" a="1"/>
  <c r="B146" i="22" s="1"/>
  <c r="E146" i="22" s="1" a="1"/>
  <c r="E146" i="22" s="1"/>
  <c r="B147" i="22" a="1"/>
  <c r="B147" i="22" s="1"/>
  <c r="E147" i="22" s="1" a="1"/>
  <c r="E147" i="22" s="1"/>
  <c r="B148" i="22" a="1"/>
  <c r="B148" i="22" s="1"/>
  <c r="B149" i="22" a="1"/>
  <c r="B149" i="22" s="1"/>
  <c r="B150" i="22" a="1"/>
  <c r="B150" i="22" s="1"/>
  <c r="B151" i="22" a="1"/>
  <c r="B151" i="22" s="1"/>
  <c r="B152" i="22" a="1"/>
  <c r="B152" i="22" s="1"/>
  <c r="B153" i="22" a="1"/>
  <c r="B153" i="22" s="1"/>
  <c r="B154" i="22" a="1"/>
  <c r="B154" i="22" s="1"/>
  <c r="B155" i="22" a="1"/>
  <c r="B155" i="22" s="1"/>
  <c r="B156" i="22" a="1"/>
  <c r="B156" i="22" s="1"/>
  <c r="B157" i="22" a="1"/>
  <c r="B157" i="22" s="1"/>
  <c r="E157" i="22" s="1" a="1"/>
  <c r="E157" i="22" s="1"/>
  <c r="B158" i="22" a="1"/>
  <c r="B158" i="22" s="1"/>
  <c r="B159" i="22" a="1"/>
  <c r="B159" i="22" s="1"/>
  <c r="E159" i="22" s="1" a="1"/>
  <c r="E159" i="22" s="1"/>
  <c r="B160" i="22" a="1"/>
  <c r="B160" i="22" s="1"/>
  <c r="B161" i="22" a="1"/>
  <c r="B161" i="22"/>
  <c r="B162" i="22" a="1"/>
  <c r="B162" i="22" s="1"/>
  <c r="B163" i="22" a="1"/>
  <c r="B163" i="22" s="1"/>
  <c r="B164" i="22" a="1"/>
  <c r="B164" i="22" s="1"/>
  <c r="B165" i="22" a="1"/>
  <c r="B165" i="22" s="1"/>
  <c r="B166" i="22" a="1"/>
  <c r="B166" i="22" s="1"/>
  <c r="B167" i="22" a="1"/>
  <c r="B167" i="22" s="1"/>
  <c r="E167" i="22" s="1" a="1"/>
  <c r="E167" i="22" s="1"/>
  <c r="B168" i="22" a="1"/>
  <c r="B168" i="22" s="1"/>
  <c r="B169" i="22" a="1"/>
  <c r="B169" i="22" s="1"/>
  <c r="B170" i="22" a="1"/>
  <c r="B170" i="22" s="1"/>
  <c r="B171" i="22" a="1"/>
  <c r="B171" i="22" s="1"/>
  <c r="B172" i="22" a="1"/>
  <c r="B172" i="22" s="1"/>
  <c r="B173" i="22" a="1"/>
  <c r="B173" i="22" s="1"/>
  <c r="B174" i="22" a="1"/>
  <c r="B174" i="22" s="1"/>
  <c r="B175" i="22" a="1"/>
  <c r="B175" i="22" s="1"/>
  <c r="E175" i="22" s="1" a="1"/>
  <c r="E175" i="22" s="1"/>
  <c r="B176" i="22" a="1"/>
  <c r="B176" i="22" s="1"/>
  <c r="B177" i="22" a="1"/>
  <c r="B177" i="22" s="1"/>
  <c r="B178" i="22" a="1"/>
  <c r="B178" i="22" s="1"/>
  <c r="B179" i="22" a="1"/>
  <c r="B179" i="22" s="1"/>
  <c r="B180" i="22" a="1"/>
  <c r="B180" i="22" s="1"/>
  <c r="B181" i="22" a="1"/>
  <c r="B181" i="22" s="1"/>
  <c r="B182" i="22" a="1"/>
  <c r="B182" i="22" s="1"/>
  <c r="E182" i="22" s="1" a="1"/>
  <c r="E182" i="22" s="1"/>
  <c r="B183" i="22" a="1"/>
  <c r="B183" i="22" s="1"/>
  <c r="B184" i="22" a="1"/>
  <c r="B184" i="22" s="1"/>
  <c r="B185" i="22" a="1"/>
  <c r="B185" i="22" s="1"/>
  <c r="B186" i="22" a="1"/>
  <c r="B186" i="22" s="1"/>
  <c r="B187" i="22" a="1"/>
  <c r="B187" i="22" s="1"/>
  <c r="E187" i="22" s="1" a="1"/>
  <c r="E187" i="22" s="1"/>
  <c r="B188" i="22" a="1"/>
  <c r="B188" i="22" s="1"/>
  <c r="B189" i="22" a="1"/>
  <c r="B189" i="22" s="1"/>
  <c r="B190" i="22" a="1"/>
  <c r="B190" i="22" s="1"/>
  <c r="B191" i="22" a="1"/>
  <c r="B191" i="22" s="1"/>
  <c r="E191" i="22" s="1" a="1"/>
  <c r="E191" i="22" s="1"/>
  <c r="B192" i="22" a="1"/>
  <c r="B192" i="22" s="1"/>
  <c r="B193" i="22" a="1"/>
  <c r="B193" i="22" s="1"/>
  <c r="B194" i="22" a="1"/>
  <c r="B194" i="22" s="1"/>
  <c r="B195" i="22" a="1"/>
  <c r="B195" i="22" s="1"/>
  <c r="B196" i="22" a="1"/>
  <c r="B196" i="22" s="1"/>
  <c r="B197" i="22" a="1"/>
  <c r="B197" i="22" s="1"/>
  <c r="B198" i="22" a="1"/>
  <c r="B198" i="22" s="1"/>
  <c r="B199" i="22" a="1"/>
  <c r="B199" i="22" s="1"/>
  <c r="B200" i="22" a="1"/>
  <c r="B200" i="22" s="1"/>
  <c r="B201" i="22" a="1"/>
  <c r="B201" i="22" s="1"/>
  <c r="B202" i="22" a="1"/>
  <c r="B202" i="22" s="1"/>
  <c r="B203" i="22" a="1"/>
  <c r="B203" i="22" s="1"/>
  <c r="B204" i="22" a="1"/>
  <c r="B204" i="22" s="1"/>
  <c r="B205" i="22" a="1"/>
  <c r="B205" i="22"/>
  <c r="B206" i="22" a="1"/>
  <c r="B206" i="22" s="1"/>
  <c r="B207" i="22" a="1"/>
  <c r="B207" i="22" s="1"/>
  <c r="B208" i="22" a="1"/>
  <c r="B208" i="22" s="1"/>
  <c r="B209" i="22" a="1"/>
  <c r="B209" i="22" s="1"/>
  <c r="B210" i="22" a="1"/>
  <c r="B210" i="22" s="1"/>
  <c r="B211" i="22" a="1"/>
  <c r="B211" i="22" s="1"/>
  <c r="E211" i="22" s="1" a="1"/>
  <c r="E211" i="22" s="1"/>
  <c r="B212" i="22" a="1"/>
  <c r="B212" i="22" s="1"/>
  <c r="B213" i="22" a="1"/>
  <c r="B213" i="22" s="1"/>
  <c r="B214" i="22" a="1"/>
  <c r="B214" i="22" s="1"/>
  <c r="E214" i="22" s="1" a="1"/>
  <c r="E214" i="22" s="1"/>
  <c r="B215" i="22" a="1"/>
  <c r="B215" i="22" s="1"/>
  <c r="E215" i="22" s="1" a="1"/>
  <c r="E215" i="22" s="1"/>
  <c r="B216" i="22" a="1"/>
  <c r="B216" i="22" s="1"/>
  <c r="B217" i="22" a="1"/>
  <c r="B217" i="22" s="1"/>
  <c r="B218" i="22" a="1"/>
  <c r="B218" i="22" s="1"/>
  <c r="E218" i="22" s="1" a="1"/>
  <c r="E218" i="22" s="1"/>
  <c r="B219" i="22" a="1"/>
  <c r="B219" i="22" s="1"/>
  <c r="B220" i="22" a="1"/>
  <c r="B220" i="22" s="1"/>
  <c r="B221" i="22" a="1"/>
  <c r="B221" i="22" s="1"/>
  <c r="B222" i="22" a="1"/>
  <c r="B222" i="22" s="1"/>
  <c r="E222" i="22" s="1" a="1"/>
  <c r="E222" i="22" s="1"/>
  <c r="B223" i="22" a="1"/>
  <c r="B223" i="22" s="1"/>
  <c r="B224" i="22" a="1"/>
  <c r="B224" i="22" s="1"/>
  <c r="B225" i="22" a="1"/>
  <c r="B225" i="22" s="1"/>
  <c r="B226" i="22" a="1"/>
  <c r="B226" i="22" s="1"/>
  <c r="B227" i="22" a="1"/>
  <c r="B227" i="22" s="1"/>
  <c r="E227" i="22" s="1" a="1"/>
  <c r="E227" i="22" s="1"/>
  <c r="B228" i="22" a="1"/>
  <c r="B228" i="22" s="1"/>
  <c r="B229" i="22" a="1"/>
  <c r="B229" i="22" s="1"/>
  <c r="B230" i="22" a="1"/>
  <c r="B230" i="22" s="1"/>
  <c r="E230" i="22" s="1" a="1"/>
  <c r="E230" i="22" s="1"/>
  <c r="B231" i="22" a="1"/>
  <c r="B231" i="22" s="1"/>
  <c r="B232" i="22" a="1"/>
  <c r="B232" i="22" s="1"/>
  <c r="B233" i="22" a="1"/>
  <c r="B233" i="22" s="1"/>
  <c r="B234" i="22" a="1"/>
  <c r="B234" i="22"/>
  <c r="B235" i="22" a="1"/>
  <c r="B235" i="22" s="1"/>
  <c r="B236" i="22" a="1"/>
  <c r="B236" i="22" s="1"/>
  <c r="B237" i="22" a="1"/>
  <c r="B237" i="22" s="1"/>
  <c r="B238" i="22" a="1"/>
  <c r="B238" i="22" s="1"/>
  <c r="E238" i="22" s="1" a="1"/>
  <c r="E238" i="22" s="1"/>
  <c r="B239" i="22" a="1"/>
  <c r="B239" i="22" s="1"/>
  <c r="E239" i="22" s="1" a="1"/>
  <c r="E239" i="22" s="1"/>
  <c r="B240" i="22" a="1"/>
  <c r="B240" i="22" s="1"/>
  <c r="B241" i="22" a="1"/>
  <c r="B241" i="22" s="1"/>
  <c r="E241" i="22" s="1" a="1"/>
  <c r="E241" i="22" s="1"/>
  <c r="B242" i="22" a="1"/>
  <c r="B242" i="22" s="1"/>
  <c r="B243" i="22" a="1"/>
  <c r="B243" i="22" s="1"/>
  <c r="B244" i="22" a="1"/>
  <c r="B244" i="22" s="1"/>
  <c r="B245" i="22" a="1"/>
  <c r="B245" i="22" s="1"/>
  <c r="B246" i="22" a="1"/>
  <c r="B246" i="22" s="1"/>
  <c r="B247" i="22" a="1"/>
  <c r="B247" i="22" s="1"/>
  <c r="B248" i="22" a="1"/>
  <c r="B248" i="22" s="1"/>
  <c r="E248" i="22" s="1" a="1"/>
  <c r="E248" i="22" s="1"/>
  <c r="B249" i="22" a="1"/>
  <c r="B249" i="22" s="1"/>
  <c r="B250" i="22" a="1"/>
  <c r="B250" i="22" s="1"/>
  <c r="B251" i="22" a="1"/>
  <c r="B251" i="22" s="1"/>
  <c r="B252" i="22" a="1"/>
  <c r="B252" i="22" s="1"/>
  <c r="B253" i="22" a="1"/>
  <c r="B253" i="22" s="1"/>
  <c r="B254" i="22" a="1"/>
  <c r="B254" i="22" s="1"/>
  <c r="B255" i="22" a="1"/>
  <c r="B255" i="22" s="1"/>
  <c r="E255" i="22" s="1" a="1"/>
  <c r="E255" i="22" s="1"/>
  <c r="B256" i="22" a="1"/>
  <c r="B256" i="22" s="1"/>
  <c r="B257" i="22" a="1"/>
  <c r="B257" i="22" s="1"/>
  <c r="B258" i="22" a="1"/>
  <c r="B258" i="22" s="1"/>
  <c r="B259" i="22" a="1"/>
  <c r="B259" i="22" s="1"/>
  <c r="B260" i="22" a="1"/>
  <c r="B260" i="22" s="1"/>
  <c r="B261" i="22" a="1"/>
  <c r="B261" i="22" s="1"/>
  <c r="B262" i="22" a="1"/>
  <c r="B262" i="22" s="1"/>
  <c r="B263" i="22" a="1"/>
  <c r="B263" i="22" s="1"/>
  <c r="B264" i="22" a="1"/>
  <c r="B264" i="22" s="1"/>
  <c r="B265" i="22" a="1"/>
  <c r="B265" i="22" s="1"/>
  <c r="E265" i="22" s="1" a="1"/>
  <c r="E265" i="22" s="1"/>
  <c r="B266" i="22" a="1"/>
  <c r="B266" i="22" s="1"/>
  <c r="B267" i="22" a="1"/>
  <c r="B267" i="22" s="1"/>
  <c r="B268" i="22" a="1"/>
  <c r="B268" i="22" s="1"/>
  <c r="B269" i="22" a="1"/>
  <c r="B269" i="22" s="1"/>
  <c r="B270" i="22" a="1"/>
  <c r="B270" i="22" s="1"/>
  <c r="B271" i="22" a="1"/>
  <c r="B271" i="22" s="1"/>
  <c r="B272" i="22" a="1"/>
  <c r="B272" i="22" s="1"/>
  <c r="B273" i="22" a="1"/>
  <c r="B273" i="22" s="1"/>
  <c r="B274" i="22" a="1"/>
  <c r="B274" i="22" s="1"/>
  <c r="B275" i="22" a="1"/>
  <c r="B275" i="22" s="1"/>
  <c r="B276" i="22" a="1"/>
  <c r="B276" i="22" s="1"/>
  <c r="B277" i="22" a="1"/>
  <c r="B277" i="22" s="1"/>
  <c r="E277" i="22" s="1" a="1"/>
  <c r="E277" i="22" s="1"/>
  <c r="B278" i="22" a="1"/>
  <c r="B278" i="22" s="1"/>
  <c r="B279" i="22" a="1"/>
  <c r="B279" i="22" s="1"/>
  <c r="E279" i="22" s="1" a="1"/>
  <c r="E279" i="22" s="1"/>
  <c r="B280" i="22" a="1"/>
  <c r="B280" i="22" s="1"/>
  <c r="B281" i="22" a="1"/>
  <c r="B281" i="22" s="1"/>
  <c r="B282" i="22" a="1"/>
  <c r="B282" i="22" s="1"/>
  <c r="B283" i="22" a="1"/>
  <c r="B283" i="22" s="1"/>
  <c r="B284" i="22" a="1"/>
  <c r="B284" i="22" s="1"/>
  <c r="C284" i="22" s="1" a="1"/>
  <c r="C284" i="22" s="1"/>
  <c r="B285" i="22" a="1"/>
  <c r="B285" i="22" s="1"/>
  <c r="B286" i="22" a="1"/>
  <c r="B286" i="22" s="1"/>
  <c r="B287" i="22" a="1"/>
  <c r="B287" i="22" s="1"/>
  <c r="B288" i="22" a="1"/>
  <c r="B288" i="22" s="1"/>
  <c r="B289" i="22" a="1"/>
  <c r="B289" i="22" s="1"/>
  <c r="B290" i="22" a="1"/>
  <c r="B290" i="22" s="1"/>
  <c r="B291" i="22" a="1"/>
  <c r="B291" i="22" s="1"/>
  <c r="B292" i="22" a="1"/>
  <c r="B292" i="22" s="1"/>
  <c r="B293" i="22" a="1"/>
  <c r="B293" i="22" s="1"/>
  <c r="B294" i="22" a="1"/>
  <c r="B294" i="22" s="1"/>
  <c r="B295" i="22" a="1"/>
  <c r="B295" i="22" s="1"/>
  <c r="B296" i="22" a="1"/>
  <c r="B296" i="22" s="1"/>
  <c r="B297" i="22" a="1"/>
  <c r="B297" i="22" s="1"/>
  <c r="E297" i="22" s="1" a="1"/>
  <c r="E297" i="22" s="1"/>
  <c r="B298" i="22" a="1"/>
  <c r="B298" i="22" s="1"/>
  <c r="B299" i="22" a="1"/>
  <c r="B299" i="22" s="1"/>
  <c r="E299" i="22" s="1" a="1"/>
  <c r="E299" i="22" s="1"/>
  <c r="B300" i="22" a="1"/>
  <c r="B300" i="22" s="1"/>
  <c r="B301" i="22" a="1"/>
  <c r="B301" i="22" s="1"/>
  <c r="B302" i="22" a="1"/>
  <c r="B302" i="22" s="1"/>
  <c r="B303" i="22" a="1"/>
  <c r="B303" i="22" s="1"/>
  <c r="B304" i="22" a="1"/>
  <c r="B304" i="22" s="1"/>
  <c r="B305" i="22" a="1"/>
  <c r="B305" i="22" s="1"/>
  <c r="B306" i="22" a="1"/>
  <c r="B306" i="22" s="1"/>
  <c r="B307" i="22" a="1"/>
  <c r="B307" i="22" s="1"/>
  <c r="B308" i="22" a="1"/>
  <c r="B308" i="22" s="1"/>
  <c r="B309" i="22" a="1"/>
  <c r="B309" i="22" s="1"/>
  <c r="B310" i="22" a="1"/>
  <c r="B310" i="22" s="1"/>
  <c r="B311" i="22" a="1"/>
  <c r="B311" i="22" s="1"/>
  <c r="B312" i="22" a="1"/>
  <c r="B312" i="22" s="1"/>
  <c r="B313" i="22" a="1"/>
  <c r="B313" i="22" s="1"/>
  <c r="B314" i="22" a="1"/>
  <c r="B314" i="22" s="1"/>
  <c r="B315" i="22" a="1"/>
  <c r="B315" i="22" s="1"/>
  <c r="B316" i="22" a="1"/>
  <c r="B316" i="22" s="1"/>
  <c r="B317" i="22" a="1"/>
  <c r="B317" i="22" s="1"/>
  <c r="B318" i="22" a="1"/>
  <c r="B318" i="22" s="1"/>
  <c r="B319" i="22" a="1"/>
  <c r="B319" i="22" s="1"/>
  <c r="B320" i="22" a="1"/>
  <c r="B320" i="22" s="1"/>
  <c r="B321" i="22" a="1"/>
  <c r="B321" i="22" s="1"/>
  <c r="B322" i="22" a="1"/>
  <c r="B322" i="22" s="1"/>
  <c r="B323" i="22" a="1"/>
  <c r="B323" i="22" s="1"/>
  <c r="E323" i="22" s="1" a="1"/>
  <c r="E323" i="22" s="1"/>
  <c r="B324" i="22" a="1"/>
  <c r="B324" i="22" s="1"/>
  <c r="B325" i="22" a="1"/>
  <c r="B325" i="22" s="1"/>
  <c r="B326" i="22" a="1"/>
  <c r="B326" i="22" s="1"/>
  <c r="B327" i="22" a="1"/>
  <c r="B327" i="22" s="1"/>
  <c r="B328" i="22" a="1"/>
  <c r="B328" i="22" s="1"/>
  <c r="B329" i="22" a="1"/>
  <c r="B329" i="22" s="1"/>
  <c r="E329" i="22" s="1" a="1"/>
  <c r="E329" i="22" s="1"/>
  <c r="B330" i="22" a="1"/>
  <c r="B330" i="22" s="1"/>
  <c r="E330" i="22" s="1" a="1"/>
  <c r="E330" i="22" s="1"/>
  <c r="B331" i="22" a="1"/>
  <c r="B331" i="22" s="1"/>
  <c r="B332" i="22" a="1"/>
  <c r="B332" i="22" s="1"/>
  <c r="B333" i="22" a="1"/>
  <c r="B333" i="22" s="1"/>
  <c r="B334" i="22" a="1"/>
  <c r="B334" i="22" s="1"/>
  <c r="B335" i="22" a="1"/>
  <c r="B335" i="22" s="1"/>
  <c r="B336" i="22" a="1"/>
  <c r="B336" i="22" s="1"/>
  <c r="B337" i="22" a="1"/>
  <c r="B337" i="22" s="1"/>
  <c r="B338" i="22" a="1"/>
  <c r="B338" i="22" s="1"/>
  <c r="E338" i="22" s="1" a="1"/>
  <c r="E338" i="22" s="1"/>
  <c r="B339" i="22" a="1"/>
  <c r="B339" i="22" s="1"/>
  <c r="E339" i="22" s="1" a="1"/>
  <c r="E339" i="22" s="1"/>
  <c r="B340" i="22" a="1"/>
  <c r="B340" i="22" s="1"/>
  <c r="E340" i="22" s="1" a="1"/>
  <c r="E340" i="22" s="1"/>
  <c r="B341" i="22" a="1"/>
  <c r="B341" i="22" s="1"/>
  <c r="E341" i="22" s="1" a="1"/>
  <c r="E341" i="22" s="1"/>
  <c r="B342" i="22" a="1"/>
  <c r="B342" i="22" s="1"/>
  <c r="B343" i="22" a="1"/>
  <c r="B343" i="22" s="1"/>
  <c r="B344" i="22" a="1"/>
  <c r="B344" i="22" s="1"/>
  <c r="B345" i="22" a="1"/>
  <c r="B345" i="22" s="1"/>
  <c r="E345" i="22" s="1" a="1"/>
  <c r="E345" i="22" s="1"/>
  <c r="B346" i="22" a="1"/>
  <c r="B346" i="22" s="1"/>
  <c r="B347" i="22" a="1"/>
  <c r="B347" i="22" s="1"/>
  <c r="B348" i="22" a="1"/>
  <c r="B348" i="22" s="1"/>
  <c r="B349" i="22" a="1"/>
  <c r="B349" i="22" s="1"/>
  <c r="B350" i="22" a="1"/>
  <c r="B350" i="22" s="1"/>
  <c r="B351" i="22" a="1"/>
  <c r="B351" i="22" s="1"/>
  <c r="B352" i="22" a="1"/>
  <c r="B352" i="22" s="1"/>
  <c r="B353" i="22" a="1"/>
  <c r="B353" i="22" s="1"/>
  <c r="B354" i="22" a="1"/>
  <c r="B354" i="22" s="1"/>
  <c r="B355" i="22" a="1"/>
  <c r="B355" i="22" s="1"/>
  <c r="E355" i="22" s="1" a="1"/>
  <c r="E355" i="22" s="1"/>
  <c r="B356" i="22" a="1"/>
  <c r="B356" i="22" s="1"/>
  <c r="B357" i="22" a="1"/>
  <c r="B357" i="22" s="1"/>
  <c r="B358" i="22" a="1"/>
  <c r="B358" i="22" s="1"/>
  <c r="B359" i="22" a="1"/>
  <c r="B359" i="22" s="1"/>
  <c r="B360" i="22" a="1"/>
  <c r="B360" i="22" s="1"/>
  <c r="B361" i="22" a="1"/>
  <c r="B361" i="22" s="1"/>
  <c r="B362" i="22" a="1"/>
  <c r="B362" i="22" s="1"/>
  <c r="E362" i="22" s="1" a="1"/>
  <c r="E362" i="22" s="1"/>
  <c r="B363" i="22" a="1"/>
  <c r="B363" i="22" s="1"/>
  <c r="B364" i="22" a="1"/>
  <c r="B364" i="22" s="1"/>
  <c r="B365" i="22" a="1"/>
  <c r="B365" i="22"/>
  <c r="B366" i="22" a="1"/>
  <c r="B366" i="22" s="1"/>
  <c r="B367" i="22" a="1"/>
  <c r="B367" i="22" s="1"/>
  <c r="E367" i="22" s="1" a="1"/>
  <c r="E367" i="22" s="1"/>
  <c r="B368" i="22" a="1"/>
  <c r="B368" i="22" s="1"/>
  <c r="B369" i="22" a="1"/>
  <c r="B369" i="22" s="1"/>
  <c r="B370" i="22" a="1"/>
  <c r="B370" i="22" s="1"/>
  <c r="B371" i="22" a="1"/>
  <c r="B371" i="22" s="1"/>
  <c r="B372" i="22" a="1"/>
  <c r="B372" i="22" s="1"/>
  <c r="E372" i="22" s="1" a="1"/>
  <c r="E372" i="22" s="1"/>
  <c r="B373" i="22" a="1"/>
  <c r="B373" i="22" s="1"/>
  <c r="B374" i="22" a="1"/>
  <c r="B374" i="22" s="1"/>
  <c r="B375" i="22" a="1"/>
  <c r="B375" i="22" s="1"/>
  <c r="B376" i="22" a="1"/>
  <c r="B376" i="22" s="1"/>
  <c r="B377" i="22" a="1"/>
  <c r="B377" i="22" s="1"/>
  <c r="B378" i="22" a="1"/>
  <c r="B378" i="22" s="1"/>
  <c r="B379" i="22" a="1"/>
  <c r="B379" i="22" s="1"/>
  <c r="B380" i="22" a="1"/>
  <c r="B380" i="22" s="1"/>
  <c r="B381" i="22" a="1"/>
  <c r="B381" i="22" s="1"/>
  <c r="B382" i="22" a="1"/>
  <c r="B382" i="22" s="1"/>
  <c r="B383" i="22" a="1"/>
  <c r="B383" i="22" s="1"/>
  <c r="B384" i="22" a="1"/>
  <c r="B384" i="22" s="1"/>
  <c r="E384" i="22" s="1" a="1"/>
  <c r="E384" i="22" s="1"/>
  <c r="B385" i="22" a="1"/>
  <c r="B385" i="22" s="1"/>
  <c r="E385" i="22" s="1" a="1"/>
  <c r="E385" i="22" s="1"/>
  <c r="B386" i="22" a="1"/>
  <c r="B386" i="22" s="1"/>
  <c r="B387" i="22" a="1"/>
  <c r="B387" i="22" s="1"/>
  <c r="B388" i="22" a="1"/>
  <c r="B388" i="22" s="1"/>
  <c r="B389" i="22" a="1"/>
  <c r="B389" i="22" s="1"/>
  <c r="B390" i="22" a="1"/>
  <c r="B390" i="22" s="1"/>
  <c r="B391" i="22" a="1"/>
  <c r="B391" i="22" s="1"/>
  <c r="B392" i="22" a="1"/>
  <c r="B392" i="22" s="1"/>
  <c r="B393" i="22" a="1"/>
  <c r="B393" i="22" s="1"/>
  <c r="B394" i="22" a="1"/>
  <c r="B394" i="22" s="1"/>
  <c r="B395" i="22" a="1"/>
  <c r="B395" i="22" s="1"/>
  <c r="B396" i="22" a="1"/>
  <c r="B396" i="22" s="1"/>
  <c r="B397" i="22" a="1"/>
  <c r="B397" i="22" s="1"/>
  <c r="B398" i="22" a="1"/>
  <c r="B398" i="22" s="1"/>
  <c r="B399" i="22" a="1"/>
  <c r="B399" i="22" s="1"/>
  <c r="E399" i="22" s="1" a="1"/>
  <c r="E399" i="22" s="1"/>
  <c r="B400" i="22" a="1"/>
  <c r="B400" i="22" s="1"/>
  <c r="B401" i="22" a="1"/>
  <c r="B401" i="22" s="1"/>
  <c r="B402" i="22" a="1"/>
  <c r="B402" i="22" s="1"/>
  <c r="B403" i="22" a="1"/>
  <c r="B403" i="22" s="1"/>
  <c r="B404" i="22" a="1"/>
  <c r="B404" i="22" s="1"/>
  <c r="B405" i="22" a="1"/>
  <c r="B405" i="22" s="1"/>
  <c r="B406" i="22" a="1"/>
  <c r="B406" i="22" s="1"/>
  <c r="C406" i="22" s="1" a="1"/>
  <c r="C406" i="22" s="1"/>
  <c r="B407" i="22" a="1"/>
  <c r="B407" i="22" s="1"/>
  <c r="B408" i="22" a="1"/>
  <c r="B408" i="22" s="1"/>
  <c r="E408" i="22" s="1" a="1"/>
  <c r="E408" i="22" s="1"/>
  <c r="B409" i="22" a="1"/>
  <c r="B409" i="22" s="1"/>
  <c r="E409" i="22" s="1" a="1"/>
  <c r="E409" i="22" s="1"/>
  <c r="B410" i="22" a="1"/>
  <c r="B410" i="22" s="1"/>
  <c r="B411" i="22" a="1"/>
  <c r="B411" i="22" s="1"/>
  <c r="B412" i="22" a="1"/>
  <c r="B412" i="22" s="1"/>
  <c r="B413" i="22" a="1"/>
  <c r="B413" i="22" s="1"/>
  <c r="B414" i="22" a="1"/>
  <c r="B414" i="22" s="1"/>
  <c r="B415" i="22" a="1"/>
  <c r="B415" i="22" s="1"/>
  <c r="B416" i="22" a="1"/>
  <c r="B416" i="22" s="1"/>
  <c r="B417" i="22" a="1"/>
  <c r="B417" i="22" s="1"/>
  <c r="B418" i="22" a="1"/>
  <c r="B418" i="22" s="1"/>
  <c r="B419" i="22" a="1"/>
  <c r="B419" i="22" s="1"/>
  <c r="B420" i="22" a="1"/>
  <c r="B420" i="22" s="1"/>
  <c r="B421" i="22" a="1"/>
  <c r="B421" i="22" s="1"/>
  <c r="B422" i="22" a="1"/>
  <c r="B422" i="22" s="1"/>
  <c r="B423" i="22" a="1"/>
  <c r="B423" i="22" s="1"/>
  <c r="B424" i="22" a="1"/>
  <c r="B424" i="22" s="1"/>
  <c r="B425" i="22" a="1"/>
  <c r="B425" i="22" s="1"/>
  <c r="B426" i="22" a="1"/>
  <c r="B426" i="22" s="1"/>
  <c r="E426" i="22" s="1" a="1"/>
  <c r="E426" i="22" s="1"/>
  <c r="B427" i="22" a="1"/>
  <c r="B427" i="22" s="1"/>
  <c r="B428" i="22" a="1"/>
  <c r="B428" i="22" s="1"/>
  <c r="B429" i="22" a="1"/>
  <c r="B429" i="22" s="1"/>
  <c r="B430" i="22" a="1"/>
  <c r="B430" i="22" s="1"/>
  <c r="B431" i="22" a="1"/>
  <c r="B431" i="22" s="1"/>
  <c r="B432" i="22" a="1"/>
  <c r="B432" i="22" s="1"/>
  <c r="B433" i="22" a="1"/>
  <c r="B433" i="22" s="1"/>
  <c r="B434" i="22" a="1"/>
  <c r="B434" i="22" s="1"/>
  <c r="B435" i="22" a="1"/>
  <c r="B435" i="22" s="1"/>
  <c r="B436" i="22" a="1"/>
  <c r="B436" i="22" s="1"/>
  <c r="B437" i="22" a="1"/>
  <c r="B437" i="22" s="1"/>
  <c r="B438" i="22" a="1"/>
  <c r="B438" i="22" s="1"/>
  <c r="B439" i="22" a="1"/>
  <c r="B439" i="22" s="1"/>
  <c r="B440" i="22" a="1"/>
  <c r="B440" i="22" s="1"/>
  <c r="B441" i="22" a="1"/>
  <c r="B441" i="22" s="1"/>
  <c r="E441" i="22" s="1" a="1"/>
  <c r="E441" i="22" s="1"/>
  <c r="B442" i="22" a="1"/>
  <c r="B442" i="22" s="1"/>
  <c r="B443" i="22" a="1"/>
  <c r="B443" i="22" s="1"/>
  <c r="B444" i="22" a="1"/>
  <c r="B444" i="22" s="1"/>
  <c r="B445" i="22" a="1"/>
  <c r="B445" i="22" s="1"/>
  <c r="B446" i="22" a="1"/>
  <c r="B446" i="22" s="1"/>
  <c r="B447" i="22" a="1"/>
  <c r="B447" i="22" s="1"/>
  <c r="B448" i="22" a="1"/>
  <c r="B448" i="22" s="1"/>
  <c r="B449" i="22" a="1"/>
  <c r="B449" i="22" s="1"/>
  <c r="E449" i="22" s="1" a="1"/>
  <c r="E449" i="22" s="1"/>
  <c r="B450" i="22" a="1"/>
  <c r="B450" i="22" s="1"/>
  <c r="B451" i="22" a="1"/>
  <c r="B451" i="22" s="1"/>
  <c r="B452" i="22" a="1"/>
  <c r="B452" i="22" s="1"/>
  <c r="E452" i="22" s="1" a="1"/>
  <c r="E452" i="22" s="1"/>
  <c r="B453" i="22" a="1"/>
  <c r="B453" i="22" s="1"/>
  <c r="B454" i="22" a="1"/>
  <c r="B454" i="22" s="1"/>
  <c r="B455" i="22" a="1"/>
  <c r="B455" i="22" s="1"/>
  <c r="B456" i="22" a="1"/>
  <c r="B456" i="22" s="1"/>
  <c r="B457" i="22" a="1"/>
  <c r="B457" i="22" s="1"/>
  <c r="B458" i="22" a="1"/>
  <c r="B458" i="22" s="1"/>
  <c r="B459" i="22" a="1"/>
  <c r="B459" i="22" s="1"/>
  <c r="E459" i="22" s="1" a="1"/>
  <c r="E459" i="22" s="1"/>
  <c r="B460" i="22" a="1"/>
  <c r="B460" i="22" s="1"/>
  <c r="B461" i="22" a="1"/>
  <c r="B461" i="22" s="1"/>
  <c r="E461" i="22" s="1" a="1"/>
  <c r="E461" i="22" s="1"/>
  <c r="B462" i="22" a="1"/>
  <c r="B462" i="22" s="1"/>
  <c r="B463" i="22" a="1"/>
  <c r="B463" i="22" s="1"/>
  <c r="B464" i="22" a="1"/>
  <c r="B464" i="22" s="1"/>
  <c r="E464" i="22" s="1" a="1"/>
  <c r="E464" i="22" s="1"/>
  <c r="B465" i="22" a="1"/>
  <c r="B465" i="22" s="1"/>
  <c r="B466" i="22" a="1"/>
  <c r="B466" i="22" s="1"/>
  <c r="B467" i="22" a="1"/>
  <c r="B467" i="22" s="1"/>
  <c r="B468" i="22" a="1"/>
  <c r="B468" i="22" s="1"/>
  <c r="B469" i="22" a="1"/>
  <c r="B469" i="22" s="1"/>
  <c r="E469" i="22" s="1" a="1"/>
  <c r="E469" i="22" s="1"/>
  <c r="B470" i="22" a="1"/>
  <c r="B470" i="22"/>
  <c r="B471" i="22" a="1"/>
  <c r="B471" i="22" s="1"/>
  <c r="B472" i="22" a="1"/>
  <c r="B472" i="22" s="1"/>
  <c r="B473" i="22" a="1"/>
  <c r="B473" i="22" s="1"/>
  <c r="E473" i="22" s="1" a="1"/>
  <c r="E473" i="22" s="1"/>
  <c r="B474" i="22" a="1"/>
  <c r="B474" i="22" s="1"/>
  <c r="E474" i="22" s="1" a="1"/>
  <c r="E474" i="22" s="1"/>
  <c r="B475" i="22" a="1"/>
  <c r="B475" i="22" s="1"/>
  <c r="B476" i="22" a="1"/>
  <c r="B476" i="22" s="1"/>
  <c r="B477" i="22" a="1"/>
  <c r="B477" i="22" s="1"/>
  <c r="B478" i="22" a="1"/>
  <c r="B478" i="22" s="1"/>
  <c r="B479" i="22" a="1"/>
  <c r="B479" i="22" s="1"/>
  <c r="B480" i="22" a="1"/>
  <c r="B480" i="22" s="1"/>
  <c r="B481" i="22" a="1"/>
  <c r="B481" i="22" s="1"/>
  <c r="B482" i="22" a="1"/>
  <c r="B482" i="22" s="1"/>
  <c r="B483" i="22" a="1"/>
  <c r="B483" i="22" s="1"/>
  <c r="B484" i="22" a="1"/>
  <c r="B484" i="22" s="1"/>
  <c r="B485" i="22" a="1"/>
  <c r="B485" i="22" s="1"/>
  <c r="B486" i="22" a="1"/>
  <c r="B486" i="22" s="1"/>
  <c r="B487" i="22" a="1"/>
  <c r="B487" i="22" s="1"/>
  <c r="B488" i="22" a="1"/>
  <c r="B488" i="22" s="1"/>
  <c r="B489" i="22" a="1"/>
  <c r="B489" i="22" s="1"/>
  <c r="B490" i="22" a="1"/>
  <c r="B490" i="22" s="1"/>
  <c r="E490" i="22" s="1" a="1"/>
  <c r="E490" i="22" s="1"/>
  <c r="B491" i="22" a="1"/>
  <c r="B491" i="22" s="1"/>
  <c r="B492" i="22" a="1"/>
  <c r="B492" i="22" s="1"/>
  <c r="B493" i="22" a="1"/>
  <c r="B493" i="22" s="1"/>
  <c r="B494" i="22" a="1"/>
  <c r="B494" i="22" s="1"/>
  <c r="B495" i="22" a="1"/>
  <c r="B495" i="22" s="1"/>
  <c r="E495" i="22" s="1" a="1"/>
  <c r="E495" i="22" s="1"/>
  <c r="B496" i="22" a="1"/>
  <c r="B496" i="22" s="1"/>
  <c r="C496" i="22" s="1" a="1"/>
  <c r="C496" i="22" s="1"/>
  <c r="B497" i="22" a="1"/>
  <c r="B497" i="22" s="1"/>
  <c r="B498" i="22" a="1"/>
  <c r="B498" i="22" s="1"/>
  <c r="B499" i="22" a="1"/>
  <c r="B499" i="22" s="1"/>
  <c r="B500" i="22" a="1"/>
  <c r="B500" i="22" s="1"/>
  <c r="E500" i="22" s="1" a="1"/>
  <c r="E500" i="22" s="1"/>
  <c r="B501" i="22" a="1"/>
  <c r="B501" i="22" s="1"/>
  <c r="B502" i="22" a="1"/>
  <c r="B502" i="22" s="1"/>
  <c r="B503" i="22" a="1"/>
  <c r="B503" i="22" s="1"/>
  <c r="B504" i="22" a="1"/>
  <c r="B504" i="22" s="1"/>
  <c r="B505" i="22" a="1"/>
  <c r="B505" i="22" s="1"/>
  <c r="B506" i="22" a="1"/>
  <c r="B506" i="22" s="1"/>
  <c r="B507" i="22" a="1"/>
  <c r="B507" i="22" s="1"/>
  <c r="B508" i="22" a="1"/>
  <c r="B508" i="22" s="1"/>
  <c r="B509" i="22" a="1"/>
  <c r="B509" i="22" s="1"/>
  <c r="E509" i="22" s="1" a="1"/>
  <c r="E509" i="22" s="1"/>
  <c r="B510" i="22" a="1"/>
  <c r="B510" i="22" s="1"/>
  <c r="B511" i="22" a="1"/>
  <c r="B511" i="22" s="1"/>
  <c r="B512" i="22" a="1"/>
  <c r="B512" i="22" s="1"/>
  <c r="E512" i="22" s="1" a="1"/>
  <c r="E512" i="22" s="1"/>
  <c r="B513" i="22" a="1"/>
  <c r="B513" i="22" s="1"/>
  <c r="B514" i="22" a="1"/>
  <c r="B514" i="22" s="1"/>
  <c r="B515" i="22" a="1"/>
  <c r="B515" i="22" s="1"/>
  <c r="E515" i="22" s="1" a="1"/>
  <c r="E515" i="22" s="1"/>
  <c r="B516" i="22" a="1"/>
  <c r="B516" i="22" s="1"/>
  <c r="B517" i="22" a="1"/>
  <c r="B517" i="22" s="1"/>
  <c r="C517" i="22" s="1" a="1"/>
  <c r="C517" i="22" s="1"/>
  <c r="B518" i="22" a="1"/>
  <c r="B518" i="22" s="1"/>
  <c r="C518" i="22" s="1" a="1"/>
  <c r="C518" i="22" s="1"/>
  <c r="B519" i="22" a="1"/>
  <c r="B519" i="22" s="1"/>
  <c r="E519" i="22" s="1" a="1"/>
  <c r="E519" i="22" s="1"/>
  <c r="B520" i="22" a="1"/>
  <c r="B520" i="22" s="1"/>
  <c r="B521" i="22" a="1"/>
  <c r="B521" i="22" s="1"/>
  <c r="B522" i="22" a="1"/>
  <c r="B522" i="22" s="1"/>
  <c r="B523" i="22" a="1"/>
  <c r="B523" i="22" s="1"/>
  <c r="B524" i="22" a="1"/>
  <c r="B524" i="22" s="1"/>
  <c r="B525" i="22" a="1"/>
  <c r="B525" i="22" s="1"/>
  <c r="B526" i="22" a="1"/>
  <c r="B526" i="22" s="1"/>
  <c r="B527" i="22" a="1"/>
  <c r="B527" i="22" s="1"/>
  <c r="B528" i="22" a="1"/>
  <c r="B528" i="22" s="1"/>
  <c r="B529" i="22" a="1"/>
  <c r="B529" i="22" s="1"/>
  <c r="B530" i="22" a="1"/>
  <c r="B530" i="22" s="1"/>
  <c r="B531" i="22" a="1"/>
  <c r="B531" i="22" s="1"/>
  <c r="E531" i="22" s="1" a="1"/>
  <c r="E531" i="22" s="1"/>
  <c r="B532" i="22" a="1"/>
  <c r="B532" i="22" s="1"/>
  <c r="B533" i="22" a="1"/>
  <c r="B533" i="22" s="1"/>
  <c r="E533" i="22" s="1" a="1"/>
  <c r="E533" i="22" s="1"/>
  <c r="B534" i="22" a="1"/>
  <c r="B534" i="22" s="1"/>
  <c r="B535" i="22" a="1"/>
  <c r="B535" i="22" s="1"/>
  <c r="B536" i="22" a="1"/>
  <c r="B536" i="22" s="1"/>
  <c r="B537" i="22" a="1"/>
  <c r="B537" i="22" s="1"/>
  <c r="B538" i="22" a="1"/>
  <c r="B538" i="22" s="1"/>
  <c r="E538" i="22" s="1" a="1"/>
  <c r="E538" i="22" s="1"/>
  <c r="B539" i="22" a="1"/>
  <c r="B539" i="22" s="1"/>
  <c r="B540" i="22" a="1"/>
  <c r="B540" i="22" s="1"/>
  <c r="E540" i="22" s="1" a="1"/>
  <c r="E540" i="22" s="1"/>
  <c r="B541" i="22" a="1"/>
  <c r="B541" i="22" s="1"/>
  <c r="B542" i="22" a="1"/>
  <c r="B542" i="22" s="1"/>
  <c r="E542" i="22" s="1" a="1"/>
  <c r="E542" i="22" s="1"/>
  <c r="B543" i="22" a="1"/>
  <c r="B543" i="22" s="1"/>
  <c r="B544" i="22" a="1"/>
  <c r="B544" i="22" s="1"/>
  <c r="B545" i="22" a="1"/>
  <c r="B545" i="22" s="1"/>
  <c r="B546" i="22" a="1"/>
  <c r="B546" i="22" s="1"/>
  <c r="B547" i="22" a="1"/>
  <c r="B547" i="22" s="1"/>
  <c r="E547" i="22" s="1" a="1"/>
  <c r="E547" i="22" s="1"/>
  <c r="B548" i="22" a="1"/>
  <c r="B548" i="22" s="1"/>
  <c r="B549" i="22" a="1"/>
  <c r="B549" i="22" s="1"/>
  <c r="B550" i="22" a="1"/>
  <c r="B550" i="22" s="1"/>
  <c r="B551" i="22" a="1"/>
  <c r="B551" i="22" s="1"/>
  <c r="B552" i="22" a="1"/>
  <c r="B552" i="22" s="1"/>
  <c r="E552" i="22" s="1" a="1"/>
  <c r="E552" i="22" s="1"/>
  <c r="B553" i="22" a="1"/>
  <c r="B553" i="22" s="1"/>
  <c r="B554" i="22" a="1"/>
  <c r="B554" i="22" s="1"/>
  <c r="B555" i="22" a="1"/>
  <c r="B555" i="22" s="1"/>
  <c r="B556" i="22" a="1"/>
  <c r="B556" i="22" s="1"/>
  <c r="B557" i="22" a="1"/>
  <c r="B557" i="22" s="1"/>
  <c r="B558" i="22" a="1"/>
  <c r="B558" i="22" s="1"/>
  <c r="B559" i="22" a="1"/>
  <c r="B559" i="22" s="1"/>
  <c r="B560" i="22" a="1"/>
  <c r="B560" i="22" s="1"/>
  <c r="B561" i="22" a="1"/>
  <c r="B561" i="22" s="1"/>
  <c r="E561" i="22" s="1" a="1"/>
  <c r="E561" i="22" s="1"/>
  <c r="B562" i="22" a="1"/>
  <c r="B562" i="22" s="1"/>
  <c r="B563" i="22" a="1"/>
  <c r="B563" i="22" s="1"/>
  <c r="B564" i="22" a="1"/>
  <c r="B564" i="22" s="1"/>
  <c r="B565" i="22" a="1"/>
  <c r="B565" i="22" s="1"/>
  <c r="B566" i="22" a="1"/>
  <c r="B566" i="22" s="1"/>
  <c r="B567" i="22" a="1"/>
  <c r="B567" i="22" s="1"/>
  <c r="E567" i="22" s="1" a="1"/>
  <c r="E567" i="22" s="1"/>
  <c r="B568" i="22" a="1"/>
  <c r="B568" i="22" s="1"/>
  <c r="B569" i="22" a="1"/>
  <c r="B569" i="22" s="1"/>
  <c r="B570" i="22" a="1"/>
  <c r="B570" i="22" s="1"/>
  <c r="E570" i="22" s="1" a="1"/>
  <c r="E570" i="22" s="1"/>
  <c r="B571" i="22" a="1"/>
  <c r="B571" i="22" s="1"/>
  <c r="B572" i="22" a="1"/>
  <c r="B572" i="22" s="1"/>
  <c r="B573" i="22" a="1"/>
  <c r="B573" i="22" s="1"/>
  <c r="B574" i="22" a="1"/>
  <c r="B574" i="22" s="1"/>
  <c r="B575" i="22" a="1"/>
  <c r="B575" i="22" s="1"/>
  <c r="E575" i="22" s="1" a="1"/>
  <c r="E575" i="22" s="1"/>
  <c r="B576" i="22" a="1"/>
  <c r="B576" i="22" s="1"/>
  <c r="B577" i="22" a="1"/>
  <c r="B577" i="22" s="1"/>
  <c r="B578" i="22" a="1"/>
  <c r="B578" i="22" s="1"/>
  <c r="B579" i="22" a="1"/>
  <c r="B579" i="22" s="1"/>
  <c r="E579" i="22" s="1" a="1"/>
  <c r="E579" i="22" s="1"/>
  <c r="B580" i="22" a="1"/>
  <c r="B580" i="22" s="1"/>
  <c r="B581" i="22" a="1"/>
  <c r="B581" i="22" s="1"/>
  <c r="B582" i="22" a="1"/>
  <c r="B582" i="22" s="1"/>
  <c r="B583" i="22" a="1"/>
  <c r="B583" i="22" s="1"/>
  <c r="B584" i="22" a="1"/>
  <c r="B584" i="22" s="1"/>
  <c r="B585" i="22" a="1"/>
  <c r="B585" i="22" s="1"/>
  <c r="B586" i="22" a="1"/>
  <c r="B586" i="22" s="1"/>
  <c r="E586" i="22" s="1" a="1"/>
  <c r="E586" i="22" s="1"/>
  <c r="B587" i="22" a="1"/>
  <c r="B587" i="22"/>
  <c r="B588" i="22" a="1"/>
  <c r="B588" i="22" s="1"/>
  <c r="C588" i="22" s="1" a="1"/>
  <c r="C588" i="22" s="1"/>
  <c r="B589" i="22" a="1"/>
  <c r="B589" i="22" s="1"/>
  <c r="B590" i="22" a="1"/>
  <c r="B590" i="22" s="1"/>
  <c r="B591" i="22" a="1"/>
  <c r="B591" i="22" s="1"/>
  <c r="B592" i="22" a="1"/>
  <c r="B592" i="22" s="1"/>
  <c r="B593" i="22" a="1"/>
  <c r="B593" i="22" s="1"/>
  <c r="B594" i="22" a="1"/>
  <c r="B594" i="22" s="1"/>
  <c r="E594" i="22" s="1" a="1"/>
  <c r="E594" i="22" s="1"/>
  <c r="B595" i="22" a="1"/>
  <c r="B595" i="22" s="1"/>
  <c r="B596" i="22" a="1"/>
  <c r="B596" i="22" s="1"/>
  <c r="B597" i="22" a="1"/>
  <c r="B597" i="22" s="1"/>
  <c r="B598" i="22" a="1"/>
  <c r="B598" i="22" s="1"/>
  <c r="B599" i="22" a="1"/>
  <c r="B599" i="22" s="1"/>
  <c r="B600" i="22" a="1"/>
  <c r="B600" i="22" s="1"/>
  <c r="B601" i="22" a="1"/>
  <c r="B601" i="22" s="1"/>
  <c r="B602" i="22" a="1"/>
  <c r="B602" i="22" s="1"/>
  <c r="C602" i="22" s="1" a="1"/>
  <c r="C602" i="22" s="1"/>
  <c r="B603" i="22" a="1"/>
  <c r="B603" i="22" s="1"/>
  <c r="B604" i="22" a="1"/>
  <c r="B604" i="22" s="1"/>
  <c r="B605" i="22" a="1"/>
  <c r="B605" i="22" s="1"/>
  <c r="B606" i="22" a="1"/>
  <c r="B606" i="22" s="1"/>
  <c r="B607" i="22" a="1"/>
  <c r="B607" i="22" s="1"/>
  <c r="E607" i="22" s="1" a="1"/>
  <c r="E607" i="22" s="1"/>
  <c r="B608" i="22" a="1"/>
  <c r="B608" i="22" s="1"/>
  <c r="B609" i="22" a="1"/>
  <c r="B609" i="22" s="1"/>
  <c r="B610" i="22" a="1"/>
  <c r="B610" i="22" s="1"/>
  <c r="B611" i="22" a="1"/>
  <c r="B611" i="22" s="1"/>
  <c r="B612" i="22" a="1"/>
  <c r="B612" i="22" s="1"/>
  <c r="E612" i="22" s="1" a="1"/>
  <c r="E612" i="22" s="1"/>
  <c r="B613" i="22" a="1"/>
  <c r="B613" i="22" s="1"/>
  <c r="B614" i="22" a="1"/>
  <c r="B614" i="22" s="1"/>
  <c r="B615" i="22" a="1"/>
  <c r="B615" i="22" s="1"/>
  <c r="B616" i="22" a="1"/>
  <c r="B616" i="22" s="1"/>
  <c r="B617" i="22" a="1"/>
  <c r="B617" i="22" s="1"/>
  <c r="B618" i="22" a="1"/>
  <c r="B618" i="22" s="1"/>
  <c r="B619" i="22" a="1"/>
  <c r="B619" i="22" s="1"/>
  <c r="B620" i="22" a="1"/>
  <c r="B620" i="22" s="1"/>
  <c r="B621" i="22" a="1"/>
  <c r="B621" i="22" s="1"/>
  <c r="B622" i="22" a="1"/>
  <c r="B622" i="22" s="1"/>
  <c r="B623" i="22" a="1"/>
  <c r="B623" i="22" s="1"/>
  <c r="E623" i="22" s="1" a="1"/>
  <c r="E623" i="22" s="1"/>
  <c r="B624" i="22" a="1"/>
  <c r="B624" i="22" s="1"/>
  <c r="E624" i="22" s="1" a="1"/>
  <c r="E624" i="22" s="1"/>
  <c r="B625" i="22" a="1"/>
  <c r="B625" i="22" s="1"/>
  <c r="E625" i="22" s="1" a="1"/>
  <c r="E625" i="22" s="1"/>
  <c r="B626" i="22" a="1"/>
  <c r="B626" i="22" s="1"/>
  <c r="B627" i="22" a="1"/>
  <c r="B627" i="22" s="1"/>
  <c r="B628" i="22" a="1"/>
  <c r="B628" i="22" s="1"/>
  <c r="B629" i="22" a="1"/>
  <c r="B629" i="22" s="1"/>
  <c r="B630" i="22" a="1"/>
  <c r="B630" i="22" s="1"/>
  <c r="E630" i="22" s="1" a="1"/>
  <c r="E630" i="22" s="1"/>
  <c r="B631" i="22" a="1"/>
  <c r="B631" i="22" s="1"/>
  <c r="B632" i="22" a="1"/>
  <c r="B632" i="22" s="1"/>
  <c r="B633" i="22" a="1"/>
  <c r="B633" i="22" s="1"/>
  <c r="B634" i="22" a="1"/>
  <c r="B634" i="22" s="1"/>
  <c r="E634" i="22" s="1" a="1"/>
  <c r="E634" i="22" s="1"/>
  <c r="B635" i="22" a="1"/>
  <c r="B635" i="22" s="1"/>
  <c r="B636" i="22" a="1"/>
  <c r="B636" i="22" s="1"/>
  <c r="B637" i="22" a="1"/>
  <c r="B637" i="22" s="1"/>
  <c r="B638" i="22" a="1"/>
  <c r="B638" i="22" s="1"/>
  <c r="B639" i="22" a="1"/>
  <c r="B639" i="22" s="1"/>
  <c r="B640" i="22" a="1"/>
  <c r="B640" i="22" s="1"/>
  <c r="E640" i="22" s="1" a="1"/>
  <c r="E640" i="22" s="1"/>
  <c r="B641" i="22" a="1"/>
  <c r="B641" i="22" s="1"/>
  <c r="B642" i="22" a="1"/>
  <c r="B642" i="22" s="1"/>
  <c r="B643" i="22" a="1"/>
  <c r="B643" i="22" s="1"/>
  <c r="E643" i="22" s="1" a="1"/>
  <c r="E643" i="22" s="1"/>
  <c r="B644" i="22" a="1"/>
  <c r="B644" i="22" s="1"/>
  <c r="E644" i="22" s="1" a="1"/>
  <c r="E644" i="22" s="1"/>
  <c r="B645" i="22" a="1"/>
  <c r="B645" i="22" s="1"/>
  <c r="B646" i="22" a="1"/>
  <c r="B646" i="22" s="1"/>
  <c r="B647" i="22" a="1"/>
  <c r="B647" i="22" s="1"/>
  <c r="B648" i="22" a="1"/>
  <c r="B648" i="22" s="1"/>
  <c r="E648" i="22" s="1" a="1"/>
  <c r="E648" i="22" s="1"/>
  <c r="B649" i="22" a="1"/>
  <c r="B649" i="22" s="1"/>
  <c r="E649" i="22" s="1" a="1"/>
  <c r="E649" i="22" s="1"/>
  <c r="B650" i="22" a="1"/>
  <c r="B650" i="22" s="1"/>
  <c r="B651" i="22" a="1"/>
  <c r="B651" i="22" s="1"/>
  <c r="B652" i="22" a="1"/>
  <c r="B652" i="22" s="1"/>
  <c r="B653" i="22" a="1"/>
  <c r="B653" i="22" s="1"/>
  <c r="B654" i="22" a="1"/>
  <c r="B654" i="22" s="1"/>
  <c r="B655" i="22" a="1"/>
  <c r="B655" i="22" s="1"/>
  <c r="B656" i="22" a="1"/>
  <c r="B656" i="22" s="1"/>
  <c r="B657" i="22" a="1"/>
  <c r="B657" i="22" s="1"/>
  <c r="E657" i="22" s="1" a="1"/>
  <c r="E657" i="22" s="1"/>
  <c r="B658" i="22" a="1"/>
  <c r="B658" i="22" s="1"/>
  <c r="E658" i="22" s="1" a="1"/>
  <c r="E658" i="22" s="1"/>
  <c r="B659" i="22" a="1"/>
  <c r="B659" i="22" s="1"/>
  <c r="E659" i="22" s="1" a="1"/>
  <c r="E659" i="22" s="1"/>
  <c r="B660" i="22" a="1"/>
  <c r="B660" i="22" s="1"/>
  <c r="B661" i="22" a="1"/>
  <c r="B661" i="22" s="1"/>
  <c r="E661" i="22" s="1" a="1"/>
  <c r="E661" i="22" s="1"/>
  <c r="B662" i="22" a="1"/>
  <c r="B662" i="22" s="1"/>
  <c r="B663" i="22" a="1"/>
  <c r="B663" i="22" s="1"/>
  <c r="B664" i="22" a="1"/>
  <c r="B664" i="22" s="1"/>
  <c r="B665" i="22" a="1"/>
  <c r="B665" i="22" s="1"/>
  <c r="B666" i="22" a="1"/>
  <c r="B666" i="22" s="1"/>
  <c r="B667" i="22" a="1"/>
  <c r="B667" i="22" s="1"/>
  <c r="B668" i="22" a="1"/>
  <c r="B668" i="22" s="1"/>
  <c r="B669" i="22" a="1"/>
  <c r="B669" i="22" s="1"/>
  <c r="B670" i="22" a="1"/>
  <c r="B670" i="22" s="1"/>
  <c r="B671" i="22" a="1"/>
  <c r="B671" i="22" s="1"/>
  <c r="B672" i="22" a="1"/>
  <c r="B672" i="22" s="1"/>
  <c r="B673" i="22" a="1"/>
  <c r="B673" i="22" s="1"/>
  <c r="B674" i="22" a="1"/>
  <c r="B674" i="22" s="1"/>
  <c r="B675" i="22" a="1"/>
  <c r="B675" i="22" s="1"/>
  <c r="B676" i="22" a="1"/>
  <c r="B676" i="22" s="1"/>
  <c r="B677" i="22" a="1"/>
  <c r="B677" i="22" s="1"/>
  <c r="B678" i="22" a="1"/>
  <c r="B678" i="22" s="1"/>
  <c r="B679" i="22" a="1"/>
  <c r="B679" i="22" s="1"/>
  <c r="B680" i="22" a="1"/>
  <c r="B680" i="22" s="1"/>
  <c r="B681" i="22" a="1"/>
  <c r="B681" i="22" s="1"/>
  <c r="B682" i="22" a="1"/>
  <c r="B682" i="22" s="1"/>
  <c r="C682" i="22" s="1" a="1"/>
  <c r="C682" i="22" s="1"/>
  <c r="B683" i="22" a="1"/>
  <c r="B683" i="22" s="1"/>
  <c r="E683" i="22" s="1" a="1"/>
  <c r="E683" i="22" s="1"/>
  <c r="B684" i="22" a="1"/>
  <c r="B684" i="22" s="1"/>
  <c r="B685" i="22" a="1"/>
  <c r="B685" i="22" s="1"/>
  <c r="B686" i="22" a="1"/>
  <c r="B686" i="22" s="1"/>
  <c r="B687" i="22" a="1"/>
  <c r="B687" i="22" s="1"/>
  <c r="E687" i="22" s="1" a="1"/>
  <c r="E687" i="22" s="1"/>
  <c r="B688" i="22" a="1"/>
  <c r="B688" i="22" s="1"/>
  <c r="B689" i="22" a="1"/>
  <c r="B689" i="22" s="1"/>
  <c r="B690" i="22" a="1"/>
  <c r="B690" i="22" s="1"/>
  <c r="B691" i="22" a="1"/>
  <c r="B691" i="22" s="1"/>
  <c r="B692" i="22" a="1"/>
  <c r="B692" i="22" s="1"/>
  <c r="B693" i="22" a="1"/>
  <c r="B693" i="22" s="1"/>
  <c r="E693" i="22" s="1" a="1"/>
  <c r="E693" i="22" s="1"/>
  <c r="B694" i="22" a="1"/>
  <c r="B694" i="22" s="1"/>
  <c r="B695" i="22" a="1"/>
  <c r="B695" i="22" s="1"/>
  <c r="B696" i="22" a="1"/>
  <c r="B696" i="22" s="1"/>
  <c r="B697" i="22" a="1"/>
  <c r="B697" i="22" s="1"/>
  <c r="E697" i="22" s="1" a="1"/>
  <c r="E697" i="22" s="1"/>
  <c r="B698" i="22" a="1"/>
  <c r="B698" i="22" s="1"/>
  <c r="B699" i="22" a="1"/>
  <c r="B699" i="22" s="1"/>
  <c r="B700" i="22" a="1"/>
  <c r="B700" i="22" s="1"/>
  <c r="B701" i="22" a="1"/>
  <c r="B701" i="22" s="1"/>
  <c r="B702" i="22" a="1"/>
  <c r="B702" i="22" s="1"/>
  <c r="B703" i="22" a="1"/>
  <c r="B703" i="22" s="1"/>
  <c r="B704" i="22" a="1"/>
  <c r="B704" i="22" s="1"/>
  <c r="B705" i="22" a="1"/>
  <c r="B705" i="22" s="1"/>
  <c r="E705" i="22" s="1" a="1"/>
  <c r="E705" i="22" s="1"/>
  <c r="B706" i="22" a="1"/>
  <c r="B706" i="22" s="1"/>
  <c r="B707" i="22" a="1"/>
  <c r="B707" i="22" s="1"/>
  <c r="B708" i="22" a="1"/>
  <c r="B708" i="22" s="1"/>
  <c r="B709" i="22" a="1"/>
  <c r="B709" i="22" s="1"/>
  <c r="B710" i="22" a="1"/>
  <c r="B710" i="22" s="1"/>
  <c r="B711" i="22" a="1"/>
  <c r="B711" i="22" s="1"/>
  <c r="E711" i="22" s="1" a="1"/>
  <c r="E711" i="22" s="1"/>
  <c r="B712" i="22" a="1"/>
  <c r="B712" i="22" s="1"/>
  <c r="B713" i="22" a="1"/>
  <c r="B713" i="22" s="1"/>
  <c r="B714" i="22" a="1"/>
  <c r="B714" i="22" s="1"/>
  <c r="E714" i="22" s="1" a="1"/>
  <c r="E714" i="22" s="1"/>
  <c r="B715" i="22" a="1"/>
  <c r="B715" i="22" s="1"/>
  <c r="B716" i="22" a="1"/>
  <c r="B716" i="22" s="1"/>
  <c r="B717" i="22" a="1"/>
  <c r="B717" i="22" s="1"/>
  <c r="B718" i="22" a="1"/>
  <c r="B718" i="22" s="1"/>
  <c r="E718" i="22" s="1" a="1"/>
  <c r="E718" i="22" s="1"/>
  <c r="B719" i="22" a="1"/>
  <c r="B719" i="22" s="1"/>
  <c r="B720" i="22" a="1"/>
  <c r="B720" i="22" s="1"/>
  <c r="B721" i="22" a="1"/>
  <c r="B721" i="22" s="1"/>
  <c r="B722" i="22" a="1"/>
  <c r="B722" i="22" s="1"/>
  <c r="B723" i="22" a="1"/>
  <c r="B723" i="22" s="1"/>
  <c r="B724" i="22" a="1"/>
  <c r="B724" i="22" s="1"/>
  <c r="B725" i="22" a="1"/>
  <c r="B725" i="22"/>
  <c r="B726" i="22" a="1"/>
  <c r="B726" i="22" s="1"/>
  <c r="B727" i="22" a="1"/>
  <c r="B727" i="22"/>
  <c r="B728" i="22" a="1"/>
  <c r="B728" i="22" s="1"/>
  <c r="B729" i="22" a="1"/>
  <c r="B729" i="22" s="1"/>
  <c r="E729" i="22" s="1" a="1"/>
  <c r="E729" i="22" s="1"/>
  <c r="B730" i="22" a="1"/>
  <c r="B730" i="22" s="1"/>
  <c r="B731" i="22" a="1"/>
  <c r="B731" i="22" s="1"/>
  <c r="B732" i="22" a="1"/>
  <c r="B732" i="22" s="1"/>
  <c r="E732" i="22" s="1" a="1"/>
  <c r="E732" i="22" s="1"/>
  <c r="B733" i="22" a="1"/>
  <c r="B733" i="22" s="1"/>
  <c r="B734" i="22" a="1"/>
  <c r="B734" i="22" s="1"/>
  <c r="B735" i="22" a="1"/>
  <c r="B735" i="22" s="1"/>
  <c r="B736" i="22" a="1"/>
  <c r="B736" i="22" s="1"/>
  <c r="E736" i="22" s="1" a="1"/>
  <c r="E736" i="22" s="1"/>
  <c r="B737" i="22" a="1"/>
  <c r="B737" i="22" s="1"/>
  <c r="B738" i="22" a="1"/>
  <c r="B738" i="22"/>
  <c r="B739" i="22" a="1"/>
  <c r="B739" i="22" s="1"/>
  <c r="C739" i="22" s="1" a="1"/>
  <c r="C739" i="22" s="1"/>
  <c r="B740" i="22" a="1"/>
  <c r="B740" i="22" s="1"/>
  <c r="E740" i="22" s="1" a="1"/>
  <c r="E740" i="22" s="1"/>
  <c r="B741" i="22" a="1"/>
  <c r="B741" i="22" s="1"/>
  <c r="E741" i="22" s="1" a="1"/>
  <c r="E741" i="22" s="1"/>
  <c r="B742" i="22" a="1"/>
  <c r="B742" i="22" s="1"/>
  <c r="B743" i="22" a="1"/>
  <c r="B743" i="22" s="1"/>
  <c r="B744" i="22" a="1"/>
  <c r="B744" i="22" s="1"/>
  <c r="B745" i="22" a="1"/>
  <c r="B745" i="22" s="1"/>
  <c r="B746" i="22" a="1"/>
  <c r="B746" i="22" s="1"/>
  <c r="B747" i="22" a="1"/>
  <c r="B747" i="22" s="1"/>
  <c r="E747" i="22" s="1" a="1"/>
  <c r="E747" i="22" s="1"/>
  <c r="B748" i="22" a="1"/>
  <c r="B748" i="22" s="1"/>
  <c r="B749" i="22" a="1"/>
  <c r="B749" i="22" s="1"/>
  <c r="E749" i="22" s="1" a="1"/>
  <c r="E749" i="22" s="1"/>
  <c r="B750" i="22" a="1"/>
  <c r="B750" i="22" s="1"/>
  <c r="E750" i="22" s="1" a="1"/>
  <c r="E750" i="22" s="1"/>
  <c r="B751" i="22" a="1"/>
  <c r="B751" i="22" s="1"/>
  <c r="B752" i="22" a="1"/>
  <c r="B752" i="22" s="1"/>
  <c r="B753" i="22" a="1"/>
  <c r="B753" i="22" s="1"/>
  <c r="B754" i="22" a="1"/>
  <c r="B754" i="22" s="1"/>
  <c r="B755" i="22" a="1"/>
  <c r="B755" i="22" s="1"/>
  <c r="B756" i="22" a="1"/>
  <c r="B756" i="22" s="1"/>
  <c r="B757" i="22" a="1"/>
  <c r="B757" i="22"/>
  <c r="B758" i="22" a="1"/>
  <c r="B758" i="22" s="1"/>
  <c r="B759" i="22" a="1"/>
  <c r="B759" i="22" s="1"/>
  <c r="B760" i="22" a="1"/>
  <c r="B760" i="22" s="1"/>
  <c r="B761" i="22" a="1"/>
  <c r="B761" i="22"/>
  <c r="B762" i="22" a="1"/>
  <c r="B762" i="22" s="1"/>
  <c r="B763" i="22" a="1"/>
  <c r="B763" i="22" s="1"/>
  <c r="E763" i="22" s="1" a="1"/>
  <c r="E763" i="22" s="1"/>
  <c r="B764" i="22" a="1"/>
  <c r="B764" i="22" s="1"/>
  <c r="B765" i="22" a="1"/>
  <c r="B765" i="22" s="1"/>
  <c r="B766" i="22" a="1"/>
  <c r="B766" i="22" s="1"/>
  <c r="B767" i="22" a="1"/>
  <c r="B767" i="22" s="1"/>
  <c r="B768" i="22" a="1"/>
  <c r="B768" i="22" s="1"/>
  <c r="E768" i="22" s="1" a="1"/>
  <c r="E768" i="22" s="1"/>
  <c r="B769" i="22" a="1"/>
  <c r="B769" i="22" s="1"/>
  <c r="B770" i="22" a="1"/>
  <c r="B770" i="22" s="1"/>
  <c r="B771" i="22" a="1"/>
  <c r="B771" i="22" s="1"/>
  <c r="B772" i="22" a="1"/>
  <c r="B772" i="22" s="1"/>
  <c r="B773" i="22" a="1"/>
  <c r="B773" i="22" s="1"/>
  <c r="B774" i="22" a="1"/>
  <c r="B774" i="22" s="1"/>
  <c r="B775" i="22" a="1"/>
  <c r="B775" i="22" s="1"/>
  <c r="B776" i="22" a="1"/>
  <c r="B776" i="22" s="1"/>
  <c r="B777" i="22" a="1"/>
  <c r="B777" i="22" s="1"/>
  <c r="B778" i="22" a="1"/>
  <c r="B778" i="22" s="1"/>
  <c r="B779" i="22" a="1"/>
  <c r="B779" i="22" s="1"/>
  <c r="B780" i="22" a="1"/>
  <c r="B780" i="22" s="1"/>
  <c r="B781" i="22" a="1"/>
  <c r="B781" i="22" s="1"/>
  <c r="B782" i="22" a="1"/>
  <c r="B782" i="22" s="1"/>
  <c r="B783" i="22" a="1"/>
  <c r="B783" i="22" s="1"/>
  <c r="B784" i="22" a="1"/>
  <c r="B784" i="22" s="1"/>
  <c r="E784" i="22" s="1" a="1"/>
  <c r="E784" i="22" s="1"/>
  <c r="B785" i="22" a="1"/>
  <c r="B785" i="22" s="1"/>
  <c r="B786" i="22" a="1"/>
  <c r="B786" i="22" s="1"/>
  <c r="B787" i="22" a="1"/>
  <c r="B787" i="22" s="1"/>
  <c r="E787" i="22" s="1" a="1"/>
  <c r="E787" i="22" s="1"/>
  <c r="B788" i="22" a="1"/>
  <c r="B788" i="22" s="1"/>
  <c r="E788" i="22" s="1" a="1"/>
  <c r="E788" i="22" s="1"/>
  <c r="B789" i="22" a="1"/>
  <c r="B789" i="22" s="1"/>
  <c r="B790" i="22" a="1"/>
  <c r="B790" i="22" s="1"/>
  <c r="B791" i="22" a="1"/>
  <c r="B791" i="22" s="1"/>
  <c r="E791" i="22" s="1" a="1"/>
  <c r="E791" i="22" s="1"/>
  <c r="B792" i="22" a="1"/>
  <c r="B792" i="22" s="1"/>
  <c r="B793" i="22" a="1"/>
  <c r="B793" i="22" s="1"/>
  <c r="B794" i="22" a="1"/>
  <c r="B794" i="22" s="1"/>
  <c r="B795" i="22" a="1"/>
  <c r="B795" i="22" s="1"/>
  <c r="E795" i="22" s="1" a="1"/>
  <c r="E795" i="22" s="1"/>
  <c r="B796" i="22" a="1"/>
  <c r="B796" i="22" s="1"/>
  <c r="B797" i="22" a="1"/>
  <c r="B797" i="22" s="1"/>
  <c r="B798" i="22" a="1"/>
  <c r="B798" i="22" s="1"/>
  <c r="B799" i="22" a="1"/>
  <c r="B799" i="22" s="1"/>
  <c r="B800" i="22" a="1"/>
  <c r="B800" i="22" s="1"/>
  <c r="B801" i="22" a="1"/>
  <c r="B801" i="22" s="1"/>
  <c r="E801" i="22" s="1" a="1"/>
  <c r="E801" i="22" s="1"/>
  <c r="B802" i="22" a="1"/>
  <c r="B802" i="22" s="1"/>
  <c r="E802" i="22" s="1" a="1"/>
  <c r="E802" i="22" s="1"/>
  <c r="B803" i="22" a="1"/>
  <c r="B803" i="22" s="1"/>
  <c r="B804" i="22" a="1"/>
  <c r="B804" i="22" s="1"/>
  <c r="E804" i="22" s="1" a="1"/>
  <c r="E804" i="22" s="1"/>
  <c r="B805" i="22" a="1"/>
  <c r="B805" i="22" s="1"/>
  <c r="B806" i="22" a="1"/>
  <c r="B806" i="22" s="1"/>
  <c r="E806" i="22" s="1" a="1"/>
  <c r="E806" i="22" s="1"/>
  <c r="B807" i="22" a="1"/>
  <c r="B807" i="22" s="1"/>
  <c r="B808" i="22" a="1"/>
  <c r="B808" i="22" s="1"/>
  <c r="B809" i="22" a="1"/>
  <c r="B809" i="22" s="1"/>
  <c r="B810" i="22" a="1"/>
  <c r="B810" i="22" s="1"/>
  <c r="B811" i="22" a="1"/>
  <c r="B811" i="22" s="1"/>
  <c r="B812" i="22" a="1"/>
  <c r="B812" i="22" s="1"/>
  <c r="B813" i="22" a="1"/>
  <c r="B813" i="22" s="1"/>
  <c r="B814" i="22" a="1"/>
  <c r="B814" i="22" s="1"/>
  <c r="B815" i="22" a="1"/>
  <c r="B815" i="22" s="1"/>
  <c r="B816" i="22" a="1"/>
  <c r="B816" i="22" s="1"/>
  <c r="B817" i="22" a="1"/>
  <c r="B817" i="22" s="1"/>
  <c r="B818" i="22" a="1"/>
  <c r="B818" i="22" s="1"/>
  <c r="E818" i="22" s="1" a="1"/>
  <c r="E818" i="22" s="1"/>
  <c r="B819" i="22" a="1"/>
  <c r="B819" i="22" s="1"/>
  <c r="B820" i="22" a="1"/>
  <c r="B820" i="22" s="1"/>
  <c r="B821" i="22" a="1"/>
  <c r="B821" i="22" s="1"/>
  <c r="B822" i="22" a="1"/>
  <c r="B822" i="22" s="1"/>
  <c r="B823" i="22" a="1"/>
  <c r="B823" i="22"/>
  <c r="B824" i="22" a="1"/>
  <c r="B824" i="22" s="1"/>
  <c r="E824" i="22" s="1" a="1"/>
  <c r="E824" i="22" s="1"/>
  <c r="B825" i="22" a="1"/>
  <c r="B825" i="22" s="1"/>
  <c r="E825" i="22" s="1" a="1"/>
  <c r="E825" i="22" s="1"/>
  <c r="B826" i="22" a="1"/>
  <c r="B826" i="22" s="1"/>
  <c r="B827" i="22" a="1"/>
  <c r="B827" i="22" s="1"/>
  <c r="B828" i="22" a="1"/>
  <c r="B828" i="22" s="1"/>
  <c r="B829" i="22" a="1"/>
  <c r="B829" i="22" s="1"/>
  <c r="B830" i="22" a="1"/>
  <c r="B830" i="22" s="1"/>
  <c r="E830" i="22" s="1" a="1"/>
  <c r="E830" i="22" s="1"/>
  <c r="B831" i="22" a="1"/>
  <c r="B831" i="22" s="1"/>
  <c r="B832" i="22" a="1"/>
  <c r="B832" i="22" s="1"/>
  <c r="B833" i="22" a="1"/>
  <c r="B833" i="22" s="1"/>
  <c r="B834" i="22" a="1"/>
  <c r="B834" i="22"/>
  <c r="B835" i="22" a="1"/>
  <c r="B835" i="22" s="1"/>
  <c r="B836" i="22" a="1"/>
  <c r="B836" i="22" s="1"/>
  <c r="E836" i="22" s="1" a="1"/>
  <c r="E836" i="22" s="1"/>
  <c r="B837" i="22" a="1"/>
  <c r="B837" i="22" s="1"/>
  <c r="B838" i="22" a="1"/>
  <c r="B838" i="22" s="1"/>
  <c r="B839" i="22" a="1"/>
  <c r="B839" i="22" s="1"/>
  <c r="B840" i="22" a="1"/>
  <c r="B840" i="22" s="1"/>
  <c r="B841" i="22" a="1"/>
  <c r="B841" i="22" s="1"/>
  <c r="E841" i="22" s="1" a="1"/>
  <c r="E841" i="22" s="1"/>
  <c r="B842" i="22" a="1"/>
  <c r="B842" i="22" s="1"/>
  <c r="B843" i="22" a="1"/>
  <c r="B843" i="22" s="1"/>
  <c r="E843" i="22" s="1" a="1"/>
  <c r="E843" i="22" s="1"/>
  <c r="B844" i="22" a="1"/>
  <c r="B844" i="22" s="1"/>
  <c r="B845" i="22" a="1"/>
  <c r="B845" i="22" s="1"/>
  <c r="B846" i="22" a="1"/>
  <c r="B846" i="22" s="1"/>
  <c r="B847" i="22" a="1"/>
  <c r="B847" i="22" s="1"/>
  <c r="E847" i="22" s="1" a="1"/>
  <c r="E847" i="22" s="1"/>
  <c r="B848" i="22" a="1"/>
  <c r="B848" i="22" s="1"/>
  <c r="B849" i="22" a="1"/>
  <c r="B849" i="22" s="1"/>
  <c r="B850" i="22" a="1"/>
  <c r="B850" i="22" s="1"/>
  <c r="B851" i="22" a="1"/>
  <c r="B851" i="22" s="1"/>
  <c r="B852" i="22" a="1"/>
  <c r="B852" i="22" s="1"/>
  <c r="E852" i="22" s="1" a="1"/>
  <c r="E852" i="22" s="1"/>
  <c r="B853" i="22" a="1"/>
  <c r="B853" i="22"/>
  <c r="B854" i="22" a="1"/>
  <c r="B854" i="22" s="1"/>
  <c r="B855" i="22" a="1"/>
  <c r="B855" i="22" s="1"/>
  <c r="B856" i="22" a="1"/>
  <c r="B856" i="22" s="1"/>
  <c r="B857" i="22" a="1"/>
  <c r="B857" i="22" s="1"/>
  <c r="B858" i="22" a="1"/>
  <c r="B858" i="22" s="1"/>
  <c r="E858" i="22" s="1" a="1"/>
  <c r="E858" i="22" s="1"/>
  <c r="B859" i="22" a="1"/>
  <c r="B859" i="22" s="1"/>
  <c r="B860" i="22" a="1"/>
  <c r="B860" i="22" s="1"/>
  <c r="B861" i="22" a="1"/>
  <c r="B861" i="22" s="1"/>
  <c r="B862" i="22" a="1"/>
  <c r="B862" i="22" s="1"/>
  <c r="B863" i="22" a="1"/>
  <c r="B863" i="22" s="1"/>
  <c r="E863" i="22" s="1" a="1"/>
  <c r="E863" i="22" s="1"/>
  <c r="B864" i="22" a="1"/>
  <c r="B864" i="22" s="1"/>
  <c r="B865" i="22" a="1"/>
  <c r="B865" i="22" s="1"/>
  <c r="E865" i="22" s="1" a="1"/>
  <c r="E865" i="22" s="1"/>
  <c r="B866" i="22" a="1"/>
  <c r="B866" i="22" s="1"/>
  <c r="E866" i="22" s="1" a="1"/>
  <c r="E866" i="22" s="1"/>
  <c r="B867" i="22" a="1"/>
  <c r="B867" i="22" s="1"/>
  <c r="B868" i="22" a="1"/>
  <c r="B868" i="22" s="1"/>
  <c r="B869" i="22" a="1"/>
  <c r="B869" i="22" s="1"/>
  <c r="E869" i="22" s="1" a="1"/>
  <c r="E869" i="22" s="1"/>
  <c r="B870" i="22" a="1"/>
  <c r="B870" i="22" s="1"/>
  <c r="B871" i="22" a="1"/>
  <c r="B871" i="22" s="1"/>
  <c r="B872" i="22" a="1"/>
  <c r="B872" i="22" s="1"/>
  <c r="B873" i="22" a="1"/>
  <c r="B873" i="22" s="1"/>
  <c r="B874" i="22" a="1"/>
  <c r="B874" i="22" s="1"/>
  <c r="B875" i="22" a="1"/>
  <c r="B875" i="22" s="1"/>
  <c r="B876" i="22" a="1"/>
  <c r="B876" i="22" s="1"/>
  <c r="B877" i="22" a="1"/>
  <c r="B877" i="22" s="1"/>
  <c r="B878" i="22" a="1"/>
  <c r="B878" i="22" s="1"/>
  <c r="B879" i="22" a="1"/>
  <c r="B879" i="22" s="1"/>
  <c r="E879" i="22" s="1" a="1"/>
  <c r="E879" i="22" s="1"/>
  <c r="B880" i="22" a="1"/>
  <c r="B880" i="22" s="1"/>
  <c r="B881" i="22" a="1"/>
  <c r="B881" i="22" s="1"/>
  <c r="B882" i="22" a="1"/>
  <c r="B882" i="22" s="1"/>
  <c r="B883" i="22" a="1"/>
  <c r="B883" i="22" s="1"/>
  <c r="B884" i="22" a="1"/>
  <c r="B884" i="22" s="1"/>
  <c r="B885" i="22" a="1"/>
  <c r="B885" i="22" s="1"/>
  <c r="B886" i="22" a="1"/>
  <c r="B886" i="22" s="1"/>
  <c r="B887" i="22" a="1"/>
  <c r="B887" i="22" s="1"/>
  <c r="B888" i="22" a="1"/>
  <c r="B888" i="22" s="1"/>
  <c r="B889" i="22" a="1"/>
  <c r="B889" i="22" s="1"/>
  <c r="B890" i="22" a="1"/>
  <c r="B890" i="22" s="1"/>
  <c r="B891" i="22" a="1"/>
  <c r="B891" i="22" s="1"/>
  <c r="B892" i="22" a="1"/>
  <c r="B892" i="22" s="1"/>
  <c r="E892" i="22" s="1" a="1"/>
  <c r="E892" i="22" s="1"/>
  <c r="B893" i="22" a="1"/>
  <c r="B893" i="22" s="1"/>
  <c r="B894" i="22" a="1"/>
  <c r="B894" i="22" s="1"/>
  <c r="C894" i="22" s="1" a="1"/>
  <c r="C894" i="22" s="1"/>
  <c r="B895" i="22" a="1"/>
  <c r="B895" i="22" s="1"/>
  <c r="B896" i="22" a="1"/>
  <c r="B896" i="22" s="1"/>
  <c r="B897" i="22" a="1"/>
  <c r="B897" i="22" s="1"/>
  <c r="B898" i="22" a="1"/>
  <c r="B898" i="22" s="1"/>
  <c r="B899" i="22" a="1"/>
  <c r="B899" i="22" s="1"/>
  <c r="B900" i="22" a="1"/>
  <c r="B900" i="22" s="1"/>
  <c r="B901" i="22" a="1"/>
  <c r="B901" i="22" s="1"/>
  <c r="B902" i="22" a="1"/>
  <c r="B902" i="22" s="1"/>
  <c r="E902" i="22" s="1" a="1"/>
  <c r="E902" i="22" s="1"/>
  <c r="B903" i="22" a="1"/>
  <c r="B903" i="22" s="1"/>
  <c r="B904" i="22" a="1"/>
  <c r="B904" i="22" s="1"/>
  <c r="B905" i="22" a="1"/>
  <c r="B905" i="22" s="1"/>
  <c r="B906" i="22" a="1"/>
  <c r="B906" i="22" s="1"/>
  <c r="B907" i="22" a="1"/>
  <c r="B907" i="22" s="1"/>
  <c r="B908" i="22" a="1"/>
  <c r="B908" i="22" s="1"/>
  <c r="B909" i="22" a="1"/>
  <c r="B909" i="22" s="1"/>
  <c r="E909" i="22" s="1" a="1"/>
  <c r="E909" i="22" s="1"/>
  <c r="B910" i="22" a="1"/>
  <c r="B910" i="22" s="1"/>
  <c r="B911" i="22" a="1"/>
  <c r="B911" i="22" s="1"/>
  <c r="E911" i="22" s="1" a="1"/>
  <c r="E911" i="22" s="1"/>
  <c r="B912" i="22" a="1"/>
  <c r="B912" i="22" s="1"/>
  <c r="B913" i="22" a="1"/>
  <c r="B913" i="22" s="1"/>
  <c r="B914" i="22" a="1"/>
  <c r="B914" i="22" s="1"/>
  <c r="B915" i="22" a="1"/>
  <c r="B915" i="22" s="1"/>
  <c r="B916" i="22" a="1"/>
  <c r="B916" i="22" s="1"/>
  <c r="B917" i="22" a="1"/>
  <c r="B917" i="22" s="1"/>
  <c r="B918" i="22" a="1"/>
  <c r="B918" i="22" s="1"/>
  <c r="C918" i="22" s="1" a="1"/>
  <c r="C918" i="22" s="1"/>
  <c r="B919" i="22" a="1"/>
  <c r="B919" i="22" s="1"/>
  <c r="B920" i="22" a="1"/>
  <c r="B920" i="22" s="1"/>
  <c r="B921" i="22" a="1"/>
  <c r="B921" i="22" s="1"/>
  <c r="E921" i="22" s="1" a="1"/>
  <c r="E921" i="22" s="1"/>
  <c r="B922" i="22" a="1"/>
  <c r="B922" i="22" s="1"/>
  <c r="E922" i="22" s="1" a="1"/>
  <c r="E922" i="22" s="1"/>
  <c r="B923" i="22" a="1"/>
  <c r="B923" i="22" s="1"/>
  <c r="B924" i="22" a="1"/>
  <c r="B924" i="22" s="1"/>
  <c r="B925" i="22" a="1"/>
  <c r="B925" i="22" s="1"/>
  <c r="B926" i="22" a="1"/>
  <c r="B926" i="22" s="1"/>
  <c r="B927" i="22" a="1"/>
  <c r="B927" i="22" s="1"/>
  <c r="B928" i="22" a="1"/>
  <c r="B928" i="22" s="1"/>
  <c r="B929" i="22" a="1"/>
  <c r="B929" i="22" s="1"/>
  <c r="E929" i="22" s="1" a="1"/>
  <c r="E929" i="22" s="1"/>
  <c r="B930" i="22" a="1"/>
  <c r="B930" i="22" s="1"/>
  <c r="B931" i="22" a="1"/>
  <c r="B931" i="22" s="1"/>
  <c r="B932" i="22" a="1"/>
  <c r="B932" i="22" s="1"/>
  <c r="B933" i="22" a="1"/>
  <c r="B933" i="22" s="1"/>
  <c r="B934" i="22" a="1"/>
  <c r="B934" i="22" s="1"/>
  <c r="B935" i="22" a="1"/>
  <c r="B935" i="22"/>
  <c r="B936" i="22" a="1"/>
  <c r="B936" i="22" s="1"/>
  <c r="B937" i="22" a="1"/>
  <c r="B937" i="22" s="1"/>
  <c r="E937" i="22" s="1" a="1"/>
  <c r="E937" i="22" s="1"/>
  <c r="B938" i="22" a="1"/>
  <c r="B938" i="22" s="1"/>
  <c r="B939" i="22" a="1"/>
  <c r="B939" i="22" s="1"/>
  <c r="E939" i="22" s="1" a="1"/>
  <c r="E939" i="22" s="1"/>
  <c r="B940" i="22" a="1"/>
  <c r="B940" i="22" s="1"/>
  <c r="E940" i="22" s="1" a="1"/>
  <c r="E940" i="22" s="1"/>
  <c r="B941" i="22" a="1"/>
  <c r="B941" i="22" s="1"/>
  <c r="B942" i="22" a="1"/>
  <c r="B942" i="22" s="1"/>
  <c r="B943" i="22" a="1"/>
  <c r="B943" i="22" s="1"/>
  <c r="C943" i="22" s="1" a="1"/>
  <c r="C943" i="22" s="1"/>
  <c r="B944" i="22" a="1"/>
  <c r="B944" i="22" s="1"/>
  <c r="B945" i="22" a="1"/>
  <c r="B945" i="22" s="1"/>
  <c r="B946" i="22" a="1"/>
  <c r="B946" i="22" s="1"/>
  <c r="B947" i="22" a="1"/>
  <c r="B947" i="22" s="1"/>
  <c r="B948" i="22" a="1"/>
  <c r="B948" i="22" s="1"/>
  <c r="B949" i="22" a="1"/>
  <c r="B949" i="22" s="1"/>
  <c r="E949" i="22" s="1" a="1"/>
  <c r="E949" i="22" s="1"/>
  <c r="B950" i="22" a="1"/>
  <c r="B950" i="22" s="1"/>
  <c r="E950" i="22" s="1" a="1"/>
  <c r="E950" i="22" s="1"/>
  <c r="B951" i="22" a="1"/>
  <c r="B951" i="22" s="1"/>
  <c r="B952" i="22" a="1"/>
  <c r="B952" i="22" s="1"/>
  <c r="B953" i="22" a="1"/>
  <c r="B953" i="22" s="1"/>
  <c r="E953" i="22" s="1" a="1"/>
  <c r="E953" i="22" s="1"/>
  <c r="B954" i="22" a="1"/>
  <c r="B954" i="22" s="1"/>
  <c r="B955" i="22" a="1"/>
  <c r="B955" i="22" s="1"/>
  <c r="B956" i="22" a="1"/>
  <c r="B956" i="22" s="1"/>
  <c r="B957" i="22" a="1"/>
  <c r="B957" i="22" s="1"/>
  <c r="B958" i="22" a="1"/>
  <c r="B958" i="22" s="1"/>
  <c r="E958" i="22" s="1" a="1"/>
  <c r="E958" i="22" s="1"/>
  <c r="B959" i="22" a="1"/>
  <c r="B959" i="22" s="1"/>
  <c r="B960" i="22" a="1"/>
  <c r="B960" i="22" s="1"/>
  <c r="B961" i="22" a="1"/>
  <c r="B961" i="22" s="1"/>
  <c r="B962" i="22" a="1"/>
  <c r="B962" i="22" s="1"/>
  <c r="B963" i="22" a="1"/>
  <c r="B963" i="22" s="1"/>
  <c r="B964" i="22" a="1"/>
  <c r="B964" i="22" s="1"/>
  <c r="E964" i="22" s="1" a="1"/>
  <c r="E964" i="22" s="1"/>
  <c r="B965" i="22" a="1"/>
  <c r="B965" i="22" s="1"/>
  <c r="B966" i="22" a="1"/>
  <c r="B966" i="22" s="1"/>
  <c r="B967" i="22" a="1"/>
  <c r="B967" i="22" s="1"/>
  <c r="B968" i="22" a="1"/>
  <c r="B968" i="22" s="1"/>
  <c r="E968" i="22" s="1" a="1"/>
  <c r="E968" i="22" s="1"/>
  <c r="B969" i="22" a="1"/>
  <c r="B969" i="22" s="1"/>
  <c r="B970" i="22" a="1"/>
  <c r="B970" i="22" s="1"/>
  <c r="E970" i="22" s="1" a="1"/>
  <c r="E970" i="22" s="1"/>
  <c r="B971" i="22" a="1"/>
  <c r="B971" i="22" s="1"/>
  <c r="B972" i="22" a="1"/>
  <c r="B972" i="22" s="1"/>
  <c r="B973" i="22" a="1"/>
  <c r="B973" i="22" s="1"/>
  <c r="E973" i="22" s="1" a="1"/>
  <c r="E973" i="22" s="1"/>
  <c r="B974" i="22" a="1"/>
  <c r="B974" i="22" s="1"/>
  <c r="B975" i="22" a="1"/>
  <c r="B975" i="22" s="1"/>
  <c r="B976" i="22" a="1"/>
  <c r="B976" i="22" s="1"/>
  <c r="B977" i="22" a="1"/>
  <c r="B977" i="22" s="1"/>
  <c r="B978" i="22" a="1"/>
  <c r="B978" i="22" s="1"/>
  <c r="E978" i="22" s="1" a="1"/>
  <c r="E978" i="22" s="1"/>
  <c r="B979" i="22" a="1"/>
  <c r="B979" i="22" s="1"/>
  <c r="B980" i="22" a="1"/>
  <c r="B980" i="22" s="1"/>
  <c r="C980" i="22" s="1" a="1"/>
  <c r="C980" i="22" s="1"/>
  <c r="B981" i="22" a="1"/>
  <c r="B981" i="22" s="1"/>
  <c r="B982" i="22" a="1"/>
  <c r="B982" i="22" s="1"/>
  <c r="B983" i="22" a="1"/>
  <c r="B983" i="22" s="1"/>
  <c r="B984" i="22" a="1"/>
  <c r="B984" i="22" s="1"/>
  <c r="E984" i="22" s="1" a="1"/>
  <c r="E984" i="22" s="1"/>
  <c r="B985" i="22" a="1"/>
  <c r="B985" i="22" s="1"/>
  <c r="B986" i="22" a="1"/>
  <c r="B986" i="22" s="1"/>
  <c r="C986" i="22" s="1" a="1"/>
  <c r="C986" i="22" s="1"/>
  <c r="B987" i="22" a="1"/>
  <c r="B987" i="22" s="1"/>
  <c r="B988" i="22" a="1"/>
  <c r="B988" i="22" s="1"/>
  <c r="B989" i="22" a="1"/>
  <c r="B989" i="22"/>
  <c r="B990" i="22" a="1"/>
  <c r="B990" i="22" s="1"/>
  <c r="E990" i="22" s="1" a="1"/>
  <c r="E990" i="22" s="1"/>
  <c r="B991" i="22" a="1"/>
  <c r="B991" i="22" s="1"/>
  <c r="E991" i="22" s="1" a="1"/>
  <c r="E991" i="22" s="1"/>
  <c r="B992" i="22" a="1"/>
  <c r="B992" i="22" s="1"/>
  <c r="B993" i="22" a="1"/>
  <c r="B993" i="22" s="1"/>
  <c r="E993" i="22" s="1" a="1"/>
  <c r="E993" i="22" s="1"/>
  <c r="B994" i="22" a="1"/>
  <c r="B994" i="22" s="1"/>
  <c r="E994" i="22" s="1" a="1"/>
  <c r="E994" i="22" s="1"/>
  <c r="B995" i="22" a="1"/>
  <c r="B995" i="22" s="1"/>
  <c r="B996" i="22" a="1"/>
  <c r="B996" i="22" s="1"/>
  <c r="B997" i="22" a="1"/>
  <c r="B997" i="22" s="1"/>
  <c r="B998" i="22" a="1"/>
  <c r="B998" i="22" s="1"/>
  <c r="B999" i="22" a="1"/>
  <c r="B999" i="22" s="1"/>
  <c r="E999" i="22" s="1" a="1"/>
  <c r="E999" i="22" s="1"/>
  <c r="B1000" i="22" a="1"/>
  <c r="B1000" i="22" s="1"/>
  <c r="B1001" i="22" a="1"/>
  <c r="B1001" i="22" s="1"/>
  <c r="B1002" i="22" a="1"/>
  <c r="B1002" i="22" s="1"/>
  <c r="B1003" i="22" a="1"/>
  <c r="B1003" i="22" s="1"/>
  <c r="B1004" i="22" a="1"/>
  <c r="B1004" i="22" s="1"/>
  <c r="E1004" i="22" s="1" a="1"/>
  <c r="E1004" i="22" s="1"/>
  <c r="B1005" i="22" a="1"/>
  <c r="B1005" i="22" s="1"/>
  <c r="B1006" i="22" a="1"/>
  <c r="B1006" i="22" s="1"/>
  <c r="B1007" i="22" a="1"/>
  <c r="B1007" i="22" s="1"/>
  <c r="B1008" i="22" a="1"/>
  <c r="B1008" i="22" s="1"/>
  <c r="B1009" i="22" a="1"/>
  <c r="B1009" i="22" s="1"/>
  <c r="B1010" i="22" a="1"/>
  <c r="B1010" i="22" s="1"/>
  <c r="B1011" i="22" a="1"/>
  <c r="B1011" i="22" s="1"/>
  <c r="E1011" i="22" s="1" a="1"/>
  <c r="E1011" i="22" s="1"/>
  <c r="B1012" i="22" a="1"/>
  <c r="B1012" i="22" s="1"/>
  <c r="E1012" i="22" s="1" a="1"/>
  <c r="E1012" i="22" s="1"/>
  <c r="B1013" i="22" a="1"/>
  <c r="B1013" i="22" s="1"/>
  <c r="B1014" i="22" a="1"/>
  <c r="B1014" i="22" s="1"/>
  <c r="E1014" i="22" s="1" a="1"/>
  <c r="E1014" i="22" s="1"/>
  <c r="B1015" i="22" a="1"/>
  <c r="B1015" i="22" s="1"/>
  <c r="B1016" i="22" a="1"/>
  <c r="B1016" i="22" s="1"/>
  <c r="B1017" i="22" a="1"/>
  <c r="B1017" i="22" s="1"/>
  <c r="B1018" i="22" a="1"/>
  <c r="B1018" i="22" s="1"/>
  <c r="B1019" i="22" a="1"/>
  <c r="B1019" i="22" s="1"/>
  <c r="B1020" i="22" a="1"/>
  <c r="B1020" i="22" s="1"/>
  <c r="B1021" i="22" a="1"/>
  <c r="B1021" i="22" s="1"/>
  <c r="B1022" i="22" a="1"/>
  <c r="B1022" i="22" s="1"/>
  <c r="E1022" i="22" s="1" a="1"/>
  <c r="E1022" i="22" s="1"/>
  <c r="B1023" i="22" a="1"/>
  <c r="B1023" i="22" s="1"/>
  <c r="B1024" i="22" a="1"/>
  <c r="B1024" i="22" s="1"/>
  <c r="B1025" i="22" a="1"/>
  <c r="B1025" i="22" s="1"/>
  <c r="B1026" i="22" a="1"/>
  <c r="B1026" i="22" s="1"/>
  <c r="B1027" i="22" a="1"/>
  <c r="B1027" i="22" s="1"/>
  <c r="B1028" i="22" a="1"/>
  <c r="B1028" i="22" s="1"/>
  <c r="C1028" i="22" s="1" a="1"/>
  <c r="C1028" i="22" s="1"/>
  <c r="B1029" i="22" a="1"/>
  <c r="B1029" i="22" s="1"/>
  <c r="C1029" i="22" s="1" a="1"/>
  <c r="C1029" i="22" s="1"/>
  <c r="B1030" i="22" a="1"/>
  <c r="B1030" i="22" s="1"/>
  <c r="E1030" i="22" s="1" a="1"/>
  <c r="E1030" i="22" s="1"/>
  <c r="B1031" i="22" a="1"/>
  <c r="B1031" i="22" s="1"/>
  <c r="E1031" i="22" s="1" a="1"/>
  <c r="E1031" i="22" s="1"/>
  <c r="B1032" i="22" a="1"/>
  <c r="B1032" i="22" s="1"/>
  <c r="E1032" i="22" s="1" a="1"/>
  <c r="E1032" i="22" s="1"/>
  <c r="B1033" i="22" a="1"/>
  <c r="B1033" i="22" s="1"/>
  <c r="B1034" i="22" a="1"/>
  <c r="B1034" i="22" s="1"/>
  <c r="B1035" i="22" a="1"/>
  <c r="B1035" i="22" s="1"/>
  <c r="E1035" i="22" s="1" a="1"/>
  <c r="E1035" i="22" s="1"/>
  <c r="B1036" i="22" a="1"/>
  <c r="B1036" i="22" s="1"/>
  <c r="B1037" i="22" a="1"/>
  <c r="B1037" i="22" s="1"/>
  <c r="B1038" i="22" a="1"/>
  <c r="B1038" i="22" s="1"/>
  <c r="B1039" i="22" a="1"/>
  <c r="B1039" i="22" s="1"/>
  <c r="B1040" i="22" a="1"/>
  <c r="B1040" i="22" s="1"/>
  <c r="E1040" i="22" s="1" a="1"/>
  <c r="E1040" i="22" s="1"/>
  <c r="A365" i="22" a="1"/>
  <c r="A365" i="22" s="1"/>
  <c r="A366" i="22" a="1"/>
  <c r="A366" i="22" s="1"/>
  <c r="A367" i="22" a="1"/>
  <c r="A367" i="22" s="1"/>
  <c r="A368" i="22" a="1"/>
  <c r="A368" i="22" s="1"/>
  <c r="A369" i="22" a="1"/>
  <c r="A369" i="22" s="1"/>
  <c r="A370" i="22" a="1"/>
  <c r="A370" i="22" s="1"/>
  <c r="A371" i="22" a="1"/>
  <c r="A371" i="22" s="1"/>
  <c r="A372" i="22" a="1"/>
  <c r="A372" i="22" s="1"/>
  <c r="A373" i="22" a="1"/>
  <c r="A373" i="22" s="1"/>
  <c r="A374" i="22" a="1"/>
  <c r="A374" i="22" s="1"/>
  <c r="A375" i="22" a="1"/>
  <c r="A375" i="22" s="1"/>
  <c r="A376" i="22" a="1"/>
  <c r="A376" i="22" s="1"/>
  <c r="A377" i="22" a="1"/>
  <c r="A377" i="22" s="1"/>
  <c r="A378" i="22" a="1"/>
  <c r="A378" i="22" s="1"/>
  <c r="A379" i="22" a="1"/>
  <c r="A379" i="22" s="1"/>
  <c r="A380" i="22" a="1"/>
  <c r="A380" i="22" s="1"/>
  <c r="A381" i="22" a="1"/>
  <c r="A381" i="22" s="1"/>
  <c r="A382" i="22" a="1"/>
  <c r="A382" i="22" s="1"/>
  <c r="A383" i="22" a="1"/>
  <c r="A383" i="22" s="1"/>
  <c r="A384" i="22" a="1"/>
  <c r="A384" i="22" s="1"/>
  <c r="A385" i="22" a="1"/>
  <c r="A385" i="22" s="1"/>
  <c r="A386" i="22" a="1"/>
  <c r="A386" i="22" s="1"/>
  <c r="A387" i="22" a="1"/>
  <c r="A387" i="22" s="1"/>
  <c r="A388" i="22" a="1"/>
  <c r="A388" i="22" s="1"/>
  <c r="A389" i="22" a="1"/>
  <c r="A389" i="22" s="1"/>
  <c r="A390" i="22" a="1"/>
  <c r="A390" i="22" s="1"/>
  <c r="A391" i="22" a="1"/>
  <c r="A391" i="22" s="1"/>
  <c r="A392" i="22" a="1"/>
  <c r="A392" i="22" s="1"/>
  <c r="A393" i="22" a="1"/>
  <c r="A393" i="22" s="1"/>
  <c r="A394" i="22" a="1"/>
  <c r="A394" i="22" s="1"/>
  <c r="A395" i="22" a="1"/>
  <c r="A395" i="22" s="1"/>
  <c r="A396" i="22" a="1"/>
  <c r="A396" i="22" s="1"/>
  <c r="A397" i="22" a="1"/>
  <c r="A397" i="22" s="1"/>
  <c r="A398" i="22" a="1"/>
  <c r="A398" i="22" s="1"/>
  <c r="A399" i="22" a="1"/>
  <c r="A399" i="22" s="1"/>
  <c r="A400" i="22" a="1"/>
  <c r="A400" i="22" s="1"/>
  <c r="A401" i="22" a="1"/>
  <c r="A401" i="22"/>
  <c r="A402" i="22" a="1"/>
  <c r="A402" i="22" s="1"/>
  <c r="A403" i="22" a="1"/>
  <c r="A403" i="22" s="1"/>
  <c r="A404" i="22" a="1"/>
  <c r="A404" i="22" s="1"/>
  <c r="A405" i="22" a="1"/>
  <c r="A405" i="22" s="1"/>
  <c r="A406" i="22" a="1"/>
  <c r="A406" i="22" s="1"/>
  <c r="A407" i="22" a="1"/>
  <c r="A407" i="22" s="1"/>
  <c r="A408" i="22" a="1"/>
  <c r="A408" i="22" s="1"/>
  <c r="A409" i="22" a="1"/>
  <c r="A409" i="22" s="1"/>
  <c r="A410" i="22" a="1"/>
  <c r="A410" i="22" s="1"/>
  <c r="A411" i="22" a="1"/>
  <c r="A411" i="22" s="1"/>
  <c r="A412" i="22" a="1"/>
  <c r="A412" i="22" s="1"/>
  <c r="A413" i="22" a="1"/>
  <c r="A413" i="22" s="1"/>
  <c r="A414" i="22" a="1"/>
  <c r="A414" i="22" s="1"/>
  <c r="A415" i="22" a="1"/>
  <c r="A415" i="22" s="1"/>
  <c r="A416" i="22" a="1"/>
  <c r="A416" i="22" s="1"/>
  <c r="A417" i="22" a="1"/>
  <c r="A417" i="22" s="1"/>
  <c r="A418" i="22" a="1"/>
  <c r="A418" i="22" s="1"/>
  <c r="A419" i="22" a="1"/>
  <c r="A419" i="22" s="1"/>
  <c r="A420" i="22" a="1"/>
  <c r="A420" i="22" s="1"/>
  <c r="A421" i="22" a="1"/>
  <c r="A421" i="22" s="1"/>
  <c r="A422" i="22" a="1"/>
  <c r="A422" i="22" s="1"/>
  <c r="A423" i="22" a="1"/>
  <c r="A423" i="22" s="1"/>
  <c r="A424" i="22" a="1"/>
  <c r="A424" i="22" s="1"/>
  <c r="A425" i="22" a="1"/>
  <c r="A425" i="22" s="1"/>
  <c r="A426" i="22" a="1"/>
  <c r="A426" i="22" s="1"/>
  <c r="A427" i="22" a="1"/>
  <c r="A427" i="22" s="1"/>
  <c r="A428" i="22" a="1"/>
  <c r="A428" i="22" s="1"/>
  <c r="A429" i="22" a="1"/>
  <c r="A429" i="22" s="1"/>
  <c r="A430" i="22" a="1"/>
  <c r="A430" i="22" s="1"/>
  <c r="A431" i="22" a="1"/>
  <c r="A431" i="22" s="1"/>
  <c r="A432" i="22" a="1"/>
  <c r="A432" i="22" s="1"/>
  <c r="A433" i="22" a="1"/>
  <c r="A433" i="22" s="1"/>
  <c r="A434" i="22" a="1"/>
  <c r="A434" i="22" s="1"/>
  <c r="A435" i="22" a="1"/>
  <c r="A435" i="22" s="1"/>
  <c r="A436" i="22" a="1"/>
  <c r="A436" i="22" s="1"/>
  <c r="A437" i="22" a="1"/>
  <c r="A437" i="22" s="1"/>
  <c r="A438" i="22" a="1"/>
  <c r="A438" i="22" s="1"/>
  <c r="A439" i="22" a="1"/>
  <c r="A439" i="22" s="1"/>
  <c r="A440" i="22" a="1"/>
  <c r="A440" i="22" s="1"/>
  <c r="A441" i="22" a="1"/>
  <c r="A441" i="22" s="1"/>
  <c r="A442" i="22" a="1"/>
  <c r="A442" i="22" s="1"/>
  <c r="A443" i="22" a="1"/>
  <c r="A443" i="22" s="1"/>
  <c r="A444" i="22" a="1"/>
  <c r="A444" i="22" s="1"/>
  <c r="A445" i="22" a="1"/>
  <c r="A445" i="22" s="1"/>
  <c r="A446" i="22" a="1"/>
  <c r="A446" i="22" s="1"/>
  <c r="A447" i="22" a="1"/>
  <c r="A447" i="22" s="1"/>
  <c r="A448" i="22" a="1"/>
  <c r="A448" i="22" s="1"/>
  <c r="A449" i="22" a="1"/>
  <c r="A449" i="22"/>
  <c r="A450" i="22" a="1"/>
  <c r="A450" i="22" s="1"/>
  <c r="A451" i="22" a="1"/>
  <c r="A451" i="22" s="1"/>
  <c r="A452" i="22" a="1"/>
  <c r="A452" i="22" s="1"/>
  <c r="A453" i="22" a="1"/>
  <c r="A453" i="22" s="1"/>
  <c r="A454" i="22" a="1"/>
  <c r="A454" i="22" s="1"/>
  <c r="A455" i="22" a="1"/>
  <c r="A455" i="22" s="1"/>
  <c r="A456" i="22" a="1"/>
  <c r="A456" i="22" s="1"/>
  <c r="A457" i="22" a="1"/>
  <c r="A457" i="22" s="1"/>
  <c r="A458" i="22" a="1"/>
  <c r="A458" i="22" s="1"/>
  <c r="A459" i="22" a="1"/>
  <c r="A459" i="22" s="1"/>
  <c r="A460" i="22" a="1"/>
  <c r="A460" i="22" s="1"/>
  <c r="A461" i="22" a="1"/>
  <c r="A461" i="22" s="1"/>
  <c r="A462" i="22" a="1"/>
  <c r="A462" i="22" s="1"/>
  <c r="A463" i="22" a="1"/>
  <c r="A463" i="22" s="1"/>
  <c r="A464" i="22" a="1"/>
  <c r="A464" i="22" s="1"/>
  <c r="A465" i="22" a="1"/>
  <c r="A465" i="22" s="1"/>
  <c r="A466" i="22" a="1"/>
  <c r="A466" i="22" s="1"/>
  <c r="A467" i="22" a="1"/>
  <c r="A467" i="22" s="1"/>
  <c r="A468" i="22" a="1"/>
  <c r="A468" i="22" s="1"/>
  <c r="A469" i="22" a="1"/>
  <c r="A469" i="22" s="1"/>
  <c r="A470" i="22" a="1"/>
  <c r="A470" i="22" s="1"/>
  <c r="A471" i="22" a="1"/>
  <c r="A471" i="22" s="1"/>
  <c r="A472" i="22" a="1"/>
  <c r="A472" i="22" s="1"/>
  <c r="A473" i="22" a="1"/>
  <c r="A473" i="22" s="1"/>
  <c r="A474" i="22" a="1"/>
  <c r="A474" i="22" s="1"/>
  <c r="A475" i="22" a="1"/>
  <c r="A475" i="22" s="1"/>
  <c r="A476" i="22" a="1"/>
  <c r="A476" i="22" s="1"/>
  <c r="A477" i="22" a="1"/>
  <c r="A477" i="22" s="1"/>
  <c r="A478" i="22" a="1"/>
  <c r="A478" i="22" s="1"/>
  <c r="A479" i="22" a="1"/>
  <c r="A479" i="22" s="1"/>
  <c r="A480" i="22" a="1"/>
  <c r="A480" i="22" s="1"/>
  <c r="A481" i="22" a="1"/>
  <c r="A481" i="22" s="1"/>
  <c r="A482" i="22" a="1"/>
  <c r="A482" i="22" s="1"/>
  <c r="A483" i="22" a="1"/>
  <c r="A483" i="22" s="1"/>
  <c r="A484" i="22" a="1"/>
  <c r="A484" i="22" s="1"/>
  <c r="A485" i="22" a="1"/>
  <c r="A485" i="22" s="1"/>
  <c r="A486" i="22" a="1"/>
  <c r="A486" i="22" s="1"/>
  <c r="A487" i="22" a="1"/>
  <c r="A487" i="22" s="1"/>
  <c r="A488" i="22" a="1"/>
  <c r="A488" i="22" s="1"/>
  <c r="A489" i="22" a="1"/>
  <c r="A489" i="22" s="1"/>
  <c r="A490" i="22" a="1"/>
  <c r="A490" i="22" s="1"/>
  <c r="A491" i="22" a="1"/>
  <c r="A491" i="22" s="1"/>
  <c r="A492" i="22" a="1"/>
  <c r="A492" i="22" s="1"/>
  <c r="A493" i="22" a="1"/>
  <c r="A493" i="22"/>
  <c r="A494" i="22" a="1"/>
  <c r="A494" i="22" s="1"/>
  <c r="A495" i="22" a="1"/>
  <c r="A495" i="22" s="1"/>
  <c r="A496" i="22" a="1"/>
  <c r="A496" i="22" s="1"/>
  <c r="A497" i="22" a="1"/>
  <c r="A497" i="22" s="1"/>
  <c r="A498" i="22" a="1"/>
  <c r="A498" i="22" s="1"/>
  <c r="A499" i="22" a="1"/>
  <c r="A499" i="22" s="1"/>
  <c r="A500" i="22" a="1"/>
  <c r="A500" i="22" s="1"/>
  <c r="A501" i="22" a="1"/>
  <c r="A501" i="22" s="1"/>
  <c r="A502" i="22" a="1"/>
  <c r="A502" i="22" s="1"/>
  <c r="A503" i="22" a="1"/>
  <c r="A503" i="22" s="1"/>
  <c r="A504" i="22" a="1"/>
  <c r="A504" i="22" s="1"/>
  <c r="A505" i="22" a="1"/>
  <c r="A505" i="22" s="1"/>
  <c r="A506" i="22" a="1"/>
  <c r="A506" i="22" s="1"/>
  <c r="A507" i="22" a="1"/>
  <c r="A507" i="22" s="1"/>
  <c r="A508" i="22" a="1"/>
  <c r="A508" i="22" s="1"/>
  <c r="A509" i="22" a="1"/>
  <c r="A509" i="22" s="1"/>
  <c r="A510" i="22" a="1"/>
  <c r="A510" i="22" s="1"/>
  <c r="A511" i="22" a="1"/>
  <c r="A511" i="22" s="1"/>
  <c r="A512" i="22" a="1"/>
  <c r="A512" i="22" s="1"/>
  <c r="A513" i="22" a="1"/>
  <c r="A513" i="22" s="1"/>
  <c r="A514" i="22" a="1"/>
  <c r="A514" i="22" s="1"/>
  <c r="A515" i="22" a="1"/>
  <c r="A515" i="22" s="1"/>
  <c r="A516" i="22" a="1"/>
  <c r="A516" i="22" s="1"/>
  <c r="A517" i="22" a="1"/>
  <c r="A517" i="22"/>
  <c r="A518" i="22" a="1"/>
  <c r="A518" i="22" s="1"/>
  <c r="A519" i="22" a="1"/>
  <c r="A519" i="22" s="1"/>
  <c r="A520" i="22" a="1"/>
  <c r="A520" i="22" s="1"/>
  <c r="A521" i="22" a="1"/>
  <c r="A521" i="22" s="1"/>
  <c r="A522" i="22" a="1"/>
  <c r="A522" i="22" s="1"/>
  <c r="A523" i="22" a="1"/>
  <c r="A523" i="22" s="1"/>
  <c r="A524" i="22" a="1"/>
  <c r="A524" i="22" s="1"/>
  <c r="A525" i="22" a="1"/>
  <c r="A525" i="22" s="1"/>
  <c r="A526" i="22" a="1"/>
  <c r="A526" i="22" s="1"/>
  <c r="A527" i="22" a="1"/>
  <c r="A527" i="22" s="1"/>
  <c r="A528" i="22" a="1"/>
  <c r="A528" i="22" s="1"/>
  <c r="A529" i="22" a="1"/>
  <c r="A529" i="22" s="1"/>
  <c r="A530" i="22" a="1"/>
  <c r="A530" i="22" s="1"/>
  <c r="A531" i="22" a="1"/>
  <c r="A531" i="22" s="1"/>
  <c r="A532" i="22" a="1"/>
  <c r="A532" i="22" s="1"/>
  <c r="A533" i="22" a="1"/>
  <c r="A533" i="22" s="1"/>
  <c r="A534" i="22" a="1"/>
  <c r="A534" i="22" s="1"/>
  <c r="A535" i="22" a="1"/>
  <c r="A535" i="22" s="1"/>
  <c r="A536" i="22" a="1"/>
  <c r="A536" i="22" s="1"/>
  <c r="A537" i="22" a="1"/>
  <c r="A537" i="22" s="1"/>
  <c r="A538" i="22" a="1"/>
  <c r="A538" i="22" s="1"/>
  <c r="A539" i="22" a="1"/>
  <c r="A539" i="22" s="1"/>
  <c r="A540" i="22" a="1"/>
  <c r="A540" i="22" s="1"/>
  <c r="A541" i="22" a="1"/>
  <c r="A541" i="22" s="1"/>
  <c r="A542" i="22" a="1"/>
  <c r="A542" i="22" s="1"/>
  <c r="A543" i="22" a="1"/>
  <c r="A543" i="22" s="1"/>
  <c r="A544" i="22" a="1"/>
  <c r="A544" i="22" s="1"/>
  <c r="A545" i="22" a="1"/>
  <c r="A545" i="22" s="1"/>
  <c r="A546" i="22" a="1"/>
  <c r="A546" i="22" s="1"/>
  <c r="A547" i="22" a="1"/>
  <c r="A547" i="22" s="1"/>
  <c r="A548" i="22" a="1"/>
  <c r="A548" i="22" s="1"/>
  <c r="A549" i="22" a="1"/>
  <c r="A549" i="22" s="1"/>
  <c r="A550" i="22" a="1"/>
  <c r="A550" i="22" s="1"/>
  <c r="A551" i="22" a="1"/>
  <c r="A551" i="22" s="1"/>
  <c r="A552" i="22" a="1"/>
  <c r="A552" i="22" s="1"/>
  <c r="A553" i="22" a="1"/>
  <c r="A553" i="22" s="1"/>
  <c r="A554" i="22" a="1"/>
  <c r="A554" i="22" s="1"/>
  <c r="A555" i="22" a="1"/>
  <c r="A555" i="22" s="1"/>
  <c r="A556" i="22" a="1"/>
  <c r="A556" i="22" s="1"/>
  <c r="A557" i="22" a="1"/>
  <c r="A557" i="22" s="1"/>
  <c r="A558" i="22" a="1"/>
  <c r="A558" i="22" s="1"/>
  <c r="A559" i="22" a="1"/>
  <c r="A559" i="22" s="1"/>
  <c r="A560" i="22" a="1"/>
  <c r="A560" i="22" s="1"/>
  <c r="A561" i="22" a="1"/>
  <c r="A561" i="22" s="1"/>
  <c r="A562" i="22" a="1"/>
  <c r="A562" i="22" s="1"/>
  <c r="A563" i="22" a="1"/>
  <c r="A563" i="22" s="1"/>
  <c r="A564" i="22" a="1"/>
  <c r="A564" i="22" s="1"/>
  <c r="A565" i="22" a="1"/>
  <c r="A565" i="22" s="1"/>
  <c r="A566" i="22" a="1"/>
  <c r="A566" i="22" s="1"/>
  <c r="A567" i="22" a="1"/>
  <c r="A567" i="22" s="1"/>
  <c r="A568" i="22" a="1"/>
  <c r="A568" i="22" s="1"/>
  <c r="A569" i="22" a="1"/>
  <c r="A569" i="22" s="1"/>
  <c r="A570" i="22" a="1"/>
  <c r="A570" i="22" s="1"/>
  <c r="A571" i="22" a="1"/>
  <c r="A571" i="22" s="1"/>
  <c r="A572" i="22" a="1"/>
  <c r="A572" i="22" s="1"/>
  <c r="A573" i="22" a="1"/>
  <c r="A573" i="22" s="1"/>
  <c r="A574" i="22" a="1"/>
  <c r="A574" i="22" s="1"/>
  <c r="A575" i="22" a="1"/>
  <c r="A575" i="22" s="1"/>
  <c r="A576" i="22" a="1"/>
  <c r="A576" i="22" s="1"/>
  <c r="A577" i="22" a="1"/>
  <c r="A577" i="22" s="1"/>
  <c r="A578" i="22" a="1"/>
  <c r="A578" i="22" s="1"/>
  <c r="A579" i="22" a="1"/>
  <c r="A579" i="22" s="1"/>
  <c r="A580" i="22" a="1"/>
  <c r="A580" i="22" s="1"/>
  <c r="A581" i="22" a="1"/>
  <c r="A581" i="22" s="1"/>
  <c r="A582" i="22" a="1"/>
  <c r="A582" i="22" s="1"/>
  <c r="A583" i="22" a="1"/>
  <c r="A583" i="22" s="1"/>
  <c r="A584" i="22" a="1"/>
  <c r="A584" i="22" s="1"/>
  <c r="A585" i="22" a="1"/>
  <c r="A585" i="22" s="1"/>
  <c r="A586" i="22" a="1"/>
  <c r="A586" i="22" s="1"/>
  <c r="A587" i="22" a="1"/>
  <c r="A587" i="22" s="1"/>
  <c r="A588" i="22" a="1"/>
  <c r="A588" i="22"/>
  <c r="A589" i="22" a="1"/>
  <c r="A589" i="22" s="1"/>
  <c r="A590" i="22" a="1"/>
  <c r="A590" i="22" s="1"/>
  <c r="A591" i="22" a="1"/>
  <c r="A591" i="22" s="1"/>
  <c r="A592" i="22" a="1"/>
  <c r="A592" i="22" s="1"/>
  <c r="A593" i="22" a="1"/>
  <c r="A593" i="22" s="1"/>
  <c r="A594" i="22" a="1"/>
  <c r="A594" i="22" s="1"/>
  <c r="A595" i="22" a="1"/>
  <c r="A595" i="22" s="1"/>
  <c r="A596" i="22" a="1"/>
  <c r="A596" i="22" s="1"/>
  <c r="A597" i="22" a="1"/>
  <c r="A597" i="22" s="1"/>
  <c r="A598" i="22" a="1"/>
  <c r="A598" i="22" s="1"/>
  <c r="A599" i="22" a="1"/>
  <c r="A599" i="22" s="1"/>
  <c r="A600" i="22" a="1"/>
  <c r="A600" i="22" s="1"/>
  <c r="A601" i="22" a="1"/>
  <c r="A601" i="22" s="1"/>
  <c r="A602" i="22" a="1"/>
  <c r="A602" i="22" s="1"/>
  <c r="A603" i="22" a="1"/>
  <c r="A603" i="22" s="1"/>
  <c r="A604" i="22" a="1"/>
  <c r="A604" i="22" s="1"/>
  <c r="A605" i="22" a="1"/>
  <c r="A605" i="22" s="1"/>
  <c r="A606" i="22" a="1"/>
  <c r="A606" i="22" s="1"/>
  <c r="A607" i="22" a="1"/>
  <c r="A607" i="22"/>
  <c r="A608" i="22" a="1"/>
  <c r="A608" i="22" s="1"/>
  <c r="A609" i="22" a="1"/>
  <c r="A609" i="22" s="1"/>
  <c r="A610" i="22" a="1"/>
  <c r="A610" i="22" s="1"/>
  <c r="A611" i="22" a="1"/>
  <c r="A611" i="22" s="1"/>
  <c r="A612" i="22" a="1"/>
  <c r="A612" i="22" s="1"/>
  <c r="A613" i="22" a="1"/>
  <c r="A613" i="22" s="1"/>
  <c r="A614" i="22" a="1"/>
  <c r="A614" i="22" s="1"/>
  <c r="A615" i="22" a="1"/>
  <c r="A615" i="22" s="1"/>
  <c r="A616" i="22" a="1"/>
  <c r="A616" i="22" s="1"/>
  <c r="A617" i="22" a="1"/>
  <c r="A617" i="22" s="1"/>
  <c r="A618" i="22" a="1"/>
  <c r="A618" i="22" s="1"/>
  <c r="A619" i="22" a="1"/>
  <c r="A619" i="22" s="1"/>
  <c r="A620" i="22" a="1"/>
  <c r="A620" i="22" s="1"/>
  <c r="A621" i="22" a="1"/>
  <c r="A621" i="22" s="1"/>
  <c r="A622" i="22" a="1"/>
  <c r="A622" i="22" s="1"/>
  <c r="A623" i="22" a="1"/>
  <c r="A623" i="22" s="1"/>
  <c r="A624" i="22" a="1"/>
  <c r="A624" i="22" s="1"/>
  <c r="A625" i="22" a="1"/>
  <c r="A625" i="22" s="1"/>
  <c r="A626" i="22" a="1"/>
  <c r="A626" i="22" s="1"/>
  <c r="A627" i="22" a="1"/>
  <c r="A627" i="22" s="1"/>
  <c r="A628" i="22" a="1"/>
  <c r="A628" i="22" s="1"/>
  <c r="A629" i="22" a="1"/>
  <c r="A629" i="22" s="1"/>
  <c r="A630" i="22" a="1"/>
  <c r="A630" i="22"/>
  <c r="A631" i="22" a="1"/>
  <c r="A631" i="22" s="1"/>
  <c r="A632" i="22" a="1"/>
  <c r="A632" i="22" s="1"/>
  <c r="A633" i="22" a="1"/>
  <c r="A633" i="22" s="1"/>
  <c r="A634" i="22" a="1"/>
  <c r="A634" i="22" s="1"/>
  <c r="A635" i="22" a="1"/>
  <c r="A635" i="22" s="1"/>
  <c r="A636" i="22" a="1"/>
  <c r="A636" i="22" s="1"/>
  <c r="A637" i="22" a="1"/>
  <c r="A637" i="22" s="1"/>
  <c r="A638" i="22" a="1"/>
  <c r="A638" i="22" s="1"/>
  <c r="A639" i="22" a="1"/>
  <c r="A639" i="22" s="1"/>
  <c r="A640" i="22" a="1"/>
  <c r="A640" i="22" s="1"/>
  <c r="A641" i="22" a="1"/>
  <c r="A641" i="22"/>
  <c r="A642" i="22" a="1"/>
  <c r="A642" i="22" s="1"/>
  <c r="A643" i="22" a="1"/>
  <c r="A643" i="22" s="1"/>
  <c r="A644" i="22" a="1"/>
  <c r="A644" i="22" s="1"/>
  <c r="A645" i="22" a="1"/>
  <c r="A645" i="22" s="1"/>
  <c r="A646" i="22" a="1"/>
  <c r="A646" i="22" s="1"/>
  <c r="A647" i="22" a="1"/>
  <c r="A647" i="22" s="1"/>
  <c r="A648" i="22" a="1"/>
  <c r="A648" i="22" s="1"/>
  <c r="A649" i="22" a="1"/>
  <c r="A649" i="22" s="1"/>
  <c r="A650" i="22" a="1"/>
  <c r="A650" i="22" s="1"/>
  <c r="A651" i="22" a="1"/>
  <c r="A651" i="22" s="1"/>
  <c r="A652" i="22" a="1"/>
  <c r="A652" i="22" s="1"/>
  <c r="A653" i="22" a="1"/>
  <c r="A653" i="22" s="1"/>
  <c r="A654" i="22" a="1"/>
  <c r="A654" i="22" s="1"/>
  <c r="A655" i="22" a="1"/>
  <c r="A655" i="22"/>
  <c r="A656" i="22" a="1"/>
  <c r="A656" i="22" s="1"/>
  <c r="A657" i="22" a="1"/>
  <c r="A657" i="22" s="1"/>
  <c r="A658" i="22" a="1"/>
  <c r="A658" i="22" s="1"/>
  <c r="A659" i="22" a="1"/>
  <c r="A659" i="22" s="1"/>
  <c r="A660" i="22" a="1"/>
  <c r="A660" i="22" s="1"/>
  <c r="A661" i="22" a="1"/>
  <c r="A661" i="22" s="1"/>
  <c r="A662" i="22" a="1"/>
  <c r="A662" i="22" s="1"/>
  <c r="A663" i="22" a="1"/>
  <c r="A663" i="22" s="1"/>
  <c r="A664" i="22" a="1"/>
  <c r="A664" i="22" s="1"/>
  <c r="A665" i="22" a="1"/>
  <c r="A665" i="22" s="1"/>
  <c r="A666" i="22" a="1"/>
  <c r="A666" i="22" s="1"/>
  <c r="A667" i="22" a="1"/>
  <c r="A667" i="22" s="1"/>
  <c r="A668" i="22" a="1"/>
  <c r="A668" i="22" s="1"/>
  <c r="A669" i="22" a="1"/>
  <c r="A669" i="22" s="1"/>
  <c r="A670" i="22" a="1"/>
  <c r="A670" i="22" s="1"/>
  <c r="A671" i="22" a="1"/>
  <c r="A671" i="22" s="1"/>
  <c r="A672" i="22" a="1"/>
  <c r="A672" i="22" s="1"/>
  <c r="A673" i="22" a="1"/>
  <c r="A673" i="22" s="1"/>
  <c r="A674" i="22" a="1"/>
  <c r="A674" i="22" s="1"/>
  <c r="A675" i="22" a="1"/>
  <c r="A675" i="22" s="1"/>
  <c r="A676" i="22" a="1"/>
  <c r="A676" i="22" s="1"/>
  <c r="A677" i="22" a="1"/>
  <c r="A677" i="22" s="1"/>
  <c r="A678" i="22" a="1"/>
  <c r="A678" i="22"/>
  <c r="A679" i="22" a="1"/>
  <c r="A679" i="22" s="1"/>
  <c r="A680" i="22" a="1"/>
  <c r="A680" i="22" s="1"/>
  <c r="A681" i="22" a="1"/>
  <c r="A681" i="22" s="1"/>
  <c r="A682" i="22" a="1"/>
  <c r="A682" i="22" s="1"/>
  <c r="A683" i="22" a="1"/>
  <c r="A683" i="22" s="1"/>
  <c r="A684" i="22" a="1"/>
  <c r="A684" i="22" s="1"/>
  <c r="A685" i="22" a="1"/>
  <c r="A685" i="22" s="1"/>
  <c r="A686" i="22" a="1"/>
  <c r="A686" i="22" s="1"/>
  <c r="A687" i="22" a="1"/>
  <c r="A687" i="22" s="1"/>
  <c r="A688" i="22" a="1"/>
  <c r="A688" i="22" s="1"/>
  <c r="A689" i="22" a="1"/>
  <c r="A689" i="22" s="1"/>
  <c r="A690" i="22" a="1"/>
  <c r="A690" i="22" s="1"/>
  <c r="A691" i="22" a="1"/>
  <c r="A691" i="22" s="1"/>
  <c r="A692" i="22" a="1"/>
  <c r="A692" i="22" s="1"/>
  <c r="A693" i="22" a="1"/>
  <c r="A693" i="22" s="1"/>
  <c r="A694" i="22" a="1"/>
  <c r="A694" i="22" s="1"/>
  <c r="A695" i="22" a="1"/>
  <c r="A695" i="22" s="1"/>
  <c r="A696" i="22" a="1"/>
  <c r="A696" i="22" s="1"/>
  <c r="A697" i="22" a="1"/>
  <c r="A697" i="22"/>
  <c r="A698" i="22" a="1"/>
  <c r="A698" i="22" s="1"/>
  <c r="A699" i="22" a="1"/>
  <c r="A699" i="22" s="1"/>
  <c r="A700" i="22" a="1"/>
  <c r="A700" i="22" s="1"/>
  <c r="A701" i="22" a="1"/>
  <c r="A701" i="22" s="1"/>
  <c r="A702" i="22" a="1"/>
  <c r="A702" i="22" s="1"/>
  <c r="A703" i="22" a="1"/>
  <c r="A703" i="22" s="1"/>
  <c r="A704" i="22" a="1"/>
  <c r="A704" i="22" s="1"/>
  <c r="A705" i="22" a="1"/>
  <c r="A705" i="22" s="1"/>
  <c r="A706" i="22" a="1"/>
  <c r="A706" i="22" s="1"/>
  <c r="A707" i="22" a="1"/>
  <c r="A707" i="22"/>
  <c r="A708" i="22" a="1"/>
  <c r="A708" i="22" s="1"/>
  <c r="A709" i="22" a="1"/>
  <c r="A709" i="22" s="1"/>
  <c r="A710" i="22" a="1"/>
  <c r="A710" i="22" s="1"/>
  <c r="A711" i="22" a="1"/>
  <c r="A711" i="22" s="1"/>
  <c r="A712" i="22" a="1"/>
  <c r="A712" i="22" s="1"/>
  <c r="A713" i="22" a="1"/>
  <c r="A713" i="22" s="1"/>
  <c r="A714" i="22" a="1"/>
  <c r="A714" i="22"/>
  <c r="A715" i="22" a="1"/>
  <c r="A715" i="22" s="1"/>
  <c r="A716" i="22" a="1"/>
  <c r="A716" i="22" s="1"/>
  <c r="A717" i="22" a="1"/>
  <c r="A717" i="22" s="1"/>
  <c r="A718" i="22" a="1"/>
  <c r="A718" i="22" s="1"/>
  <c r="A719" i="22" a="1"/>
  <c r="A719" i="22" s="1"/>
  <c r="A720" i="22" a="1"/>
  <c r="A720" i="22" s="1"/>
  <c r="A721" i="22" a="1"/>
  <c r="A721" i="22" s="1"/>
  <c r="A722" i="22" a="1"/>
  <c r="A722" i="22" s="1"/>
  <c r="A723" i="22" a="1"/>
  <c r="A723" i="22" s="1"/>
  <c r="A724" i="22" a="1"/>
  <c r="A724" i="22" s="1"/>
  <c r="A725" i="22" a="1"/>
  <c r="A725" i="22" s="1"/>
  <c r="A726" i="22" a="1"/>
  <c r="A726" i="22" s="1"/>
  <c r="A727" i="22" a="1"/>
  <c r="A727" i="22" s="1"/>
  <c r="A728" i="22" a="1"/>
  <c r="A728" i="22" s="1"/>
  <c r="A729" i="22" a="1"/>
  <c r="A729" i="22" s="1"/>
  <c r="A730" i="22" a="1"/>
  <c r="A730" i="22" s="1"/>
  <c r="A731" i="22" a="1"/>
  <c r="A731" i="22" s="1"/>
  <c r="A732" i="22" a="1"/>
  <c r="A732" i="22" s="1"/>
  <c r="A733" i="22" a="1"/>
  <c r="A733" i="22" s="1"/>
  <c r="A734" i="22" a="1"/>
  <c r="A734" i="22" s="1"/>
  <c r="A735" i="22" a="1"/>
  <c r="A735" i="22" s="1"/>
  <c r="A736" i="22" a="1"/>
  <c r="A736" i="22" s="1"/>
  <c r="A737" i="22" a="1"/>
  <c r="A737" i="22" s="1"/>
  <c r="A738" i="22" a="1"/>
  <c r="A738" i="22" s="1"/>
  <c r="A739" i="22" a="1"/>
  <c r="A739" i="22"/>
  <c r="A740" i="22" a="1"/>
  <c r="A740" i="22" s="1"/>
  <c r="A741" i="22" a="1"/>
  <c r="A741" i="22" s="1"/>
  <c r="A742" i="22" a="1"/>
  <c r="A742" i="22" s="1"/>
  <c r="A743" i="22" a="1"/>
  <c r="A743" i="22" s="1"/>
  <c r="A744" i="22" a="1"/>
  <c r="A744" i="22" s="1"/>
  <c r="A745" i="22" a="1"/>
  <c r="A745" i="22" s="1"/>
  <c r="A746" i="22" a="1"/>
  <c r="A746" i="22" s="1"/>
  <c r="A747" i="22" a="1"/>
  <c r="A747" i="22" s="1"/>
  <c r="A748" i="22" a="1"/>
  <c r="A748" i="22" s="1"/>
  <c r="A749" i="22" a="1"/>
  <c r="A749" i="22" s="1"/>
  <c r="A750" i="22" a="1"/>
  <c r="A750" i="22" s="1"/>
  <c r="A751" i="22" a="1"/>
  <c r="A751" i="22" s="1"/>
  <c r="A752" i="22" a="1"/>
  <c r="A752" i="22" s="1"/>
  <c r="A753" i="22" a="1"/>
  <c r="A753" i="22" s="1"/>
  <c r="A754" i="22" a="1"/>
  <c r="A754" i="22" s="1"/>
  <c r="A755" i="22" a="1"/>
  <c r="A755" i="22" s="1"/>
  <c r="A756" i="22" a="1"/>
  <c r="A756" i="22" s="1"/>
  <c r="A757" i="22" a="1"/>
  <c r="A757" i="22" s="1"/>
  <c r="A758" i="22" a="1"/>
  <c r="A758" i="22" s="1"/>
  <c r="A759" i="22" a="1"/>
  <c r="A759" i="22" s="1"/>
  <c r="A760" i="22" a="1"/>
  <c r="A760" i="22" s="1"/>
  <c r="A761" i="22" a="1"/>
  <c r="A761" i="22" s="1"/>
  <c r="A762" i="22" a="1"/>
  <c r="A762" i="22" s="1"/>
  <c r="A763" i="22" a="1"/>
  <c r="A763" i="22" s="1"/>
  <c r="A764" i="22" a="1"/>
  <c r="A764" i="22" s="1"/>
  <c r="A765" i="22" a="1"/>
  <c r="A765" i="22" s="1"/>
  <c r="A766" i="22" a="1"/>
  <c r="A766" i="22" s="1"/>
  <c r="A767" i="22" a="1"/>
  <c r="A767" i="22" s="1"/>
  <c r="A768" i="22" a="1"/>
  <c r="A768" i="22" s="1"/>
  <c r="A769" i="22" a="1"/>
  <c r="A769" i="22" s="1"/>
  <c r="A770" i="22" a="1"/>
  <c r="A770" i="22" s="1"/>
  <c r="A771" i="22" a="1"/>
  <c r="A771" i="22" s="1"/>
  <c r="A772" i="22" a="1"/>
  <c r="A772" i="22" s="1"/>
  <c r="A773" i="22" a="1"/>
  <c r="A773" i="22" s="1"/>
  <c r="A774" i="22" a="1"/>
  <c r="A774" i="22" s="1"/>
  <c r="A775" i="22" a="1"/>
  <c r="A775" i="22" s="1"/>
  <c r="A776" i="22" a="1"/>
  <c r="A776" i="22" s="1"/>
  <c r="A777" i="22" a="1"/>
  <c r="A777" i="22" s="1"/>
  <c r="A778" i="22" a="1"/>
  <c r="A778" i="22" s="1"/>
  <c r="A779" i="22" a="1"/>
  <c r="A779" i="22" s="1"/>
  <c r="A780" i="22" a="1"/>
  <c r="A780" i="22" s="1"/>
  <c r="A781" i="22" a="1"/>
  <c r="A781" i="22" s="1"/>
  <c r="A782" i="22" a="1"/>
  <c r="A782" i="22" s="1"/>
  <c r="A783" i="22" a="1"/>
  <c r="A783" i="22" s="1"/>
  <c r="A784" i="22" a="1"/>
  <c r="A784" i="22" s="1"/>
  <c r="A785" i="22" a="1"/>
  <c r="A785" i="22" s="1"/>
  <c r="A786" i="22" a="1"/>
  <c r="A786" i="22" s="1"/>
  <c r="A787" i="22" a="1"/>
  <c r="A787" i="22" s="1"/>
  <c r="A788" i="22" a="1"/>
  <c r="A788" i="22" s="1"/>
  <c r="A789" i="22" a="1"/>
  <c r="A789" i="22" s="1"/>
  <c r="A790" i="22" a="1"/>
  <c r="A790" i="22" s="1"/>
  <c r="A791" i="22" a="1"/>
  <c r="A791" i="22" s="1"/>
  <c r="A792" i="22" a="1"/>
  <c r="A792" i="22" s="1"/>
  <c r="A793" i="22" a="1"/>
  <c r="A793" i="22" s="1"/>
  <c r="A794" i="22" a="1"/>
  <c r="A794" i="22" s="1"/>
  <c r="A795" i="22" a="1"/>
  <c r="A795" i="22" s="1"/>
  <c r="A796" i="22" a="1"/>
  <c r="A796" i="22" s="1"/>
  <c r="A797" i="22" a="1"/>
  <c r="A797" i="22" s="1"/>
  <c r="A798" i="22" a="1"/>
  <c r="A798" i="22" s="1"/>
  <c r="A799" i="22" a="1"/>
  <c r="A799" i="22" s="1"/>
  <c r="A800" i="22" a="1"/>
  <c r="A800" i="22" s="1"/>
  <c r="A801" i="22" a="1"/>
  <c r="A801" i="22" s="1"/>
  <c r="A802" i="22" a="1"/>
  <c r="A802" i="22" s="1"/>
  <c r="A803" i="22" a="1"/>
  <c r="A803" i="22" s="1"/>
  <c r="A804" i="22" a="1"/>
  <c r="A804" i="22" s="1"/>
  <c r="A805" i="22" a="1"/>
  <c r="A805" i="22" s="1"/>
  <c r="A806" i="22" a="1"/>
  <c r="A806" i="22" s="1"/>
  <c r="A807" i="22" a="1"/>
  <c r="A807" i="22" s="1"/>
  <c r="A808" i="22" a="1"/>
  <c r="A808" i="22" s="1"/>
  <c r="A809" i="22" a="1"/>
  <c r="A809" i="22" s="1"/>
  <c r="A810" i="22" a="1"/>
  <c r="A810" i="22" s="1"/>
  <c r="A811" i="22" a="1"/>
  <c r="A811" i="22"/>
  <c r="A812" i="22" a="1"/>
  <c r="A812" i="22" s="1"/>
  <c r="A813" i="22" a="1"/>
  <c r="A813" i="22" s="1"/>
  <c r="A814" i="22" a="1"/>
  <c r="A814" i="22" s="1"/>
  <c r="A815" i="22" a="1"/>
  <c r="A815" i="22" s="1"/>
  <c r="A816" i="22" a="1"/>
  <c r="A816" i="22" s="1"/>
  <c r="A817" i="22" a="1"/>
  <c r="A817" i="22" s="1"/>
  <c r="A818" i="22" a="1"/>
  <c r="A818" i="22" s="1"/>
  <c r="A819" i="22" a="1"/>
  <c r="A819" i="22" s="1"/>
  <c r="A820" i="22" a="1"/>
  <c r="A820" i="22" s="1"/>
  <c r="A821" i="22" a="1"/>
  <c r="A821" i="22" s="1"/>
  <c r="A822" i="22" a="1"/>
  <c r="A822" i="22" s="1"/>
  <c r="A823" i="22" a="1"/>
  <c r="A823" i="22" s="1"/>
  <c r="A824" i="22" a="1"/>
  <c r="A824" i="22" s="1"/>
  <c r="A825" i="22" a="1"/>
  <c r="A825" i="22" s="1"/>
  <c r="A826" i="22" a="1"/>
  <c r="A826" i="22" s="1"/>
  <c r="A827" i="22" a="1"/>
  <c r="A827" i="22" s="1"/>
  <c r="A828" i="22" a="1"/>
  <c r="A828" i="22" s="1"/>
  <c r="A829" i="22" a="1"/>
  <c r="A829" i="22" s="1"/>
  <c r="A830" i="22" a="1"/>
  <c r="A830" i="22" s="1"/>
  <c r="A831" i="22" a="1"/>
  <c r="A831" i="22" s="1"/>
  <c r="A832" i="22" a="1"/>
  <c r="A832" i="22" s="1"/>
  <c r="A833" i="22" a="1"/>
  <c r="A833" i="22" s="1"/>
  <c r="A834" i="22" a="1"/>
  <c r="A834" i="22" s="1"/>
  <c r="A835" i="22" a="1"/>
  <c r="A835" i="22" s="1"/>
  <c r="A836" i="22" a="1"/>
  <c r="A836" i="22" s="1"/>
  <c r="A837" i="22" a="1"/>
  <c r="A837" i="22" s="1"/>
  <c r="A838" i="22" a="1"/>
  <c r="A838" i="22" s="1"/>
  <c r="A839" i="22" a="1"/>
  <c r="A839" i="22" s="1"/>
  <c r="A840" i="22" a="1"/>
  <c r="A840" i="22" s="1"/>
  <c r="A841" i="22" a="1"/>
  <c r="A841" i="22" s="1"/>
  <c r="A842" i="22" a="1"/>
  <c r="A842" i="22" s="1"/>
  <c r="A843" i="22" a="1"/>
  <c r="A843" i="22" s="1"/>
  <c r="A844" i="22" a="1"/>
  <c r="A844" i="22" s="1"/>
  <c r="A845" i="22" a="1"/>
  <c r="A845" i="22" s="1"/>
  <c r="A846" i="22" a="1"/>
  <c r="A846" i="22" s="1"/>
  <c r="A847" i="22" a="1"/>
  <c r="A847" i="22" s="1"/>
  <c r="A848" i="22" a="1"/>
  <c r="A848" i="22" s="1"/>
  <c r="A849" i="22" a="1"/>
  <c r="A849" i="22" s="1"/>
  <c r="A850" i="22" a="1"/>
  <c r="A850" i="22" s="1"/>
  <c r="A851" i="22" a="1"/>
  <c r="A851" i="22" s="1"/>
  <c r="A852" i="22" a="1"/>
  <c r="A852" i="22" s="1"/>
  <c r="A853" i="22" a="1"/>
  <c r="A853" i="22" s="1"/>
  <c r="A854" i="22" a="1"/>
  <c r="A854" i="22" s="1"/>
  <c r="A855" i="22" a="1"/>
  <c r="A855" i="22" s="1"/>
  <c r="A856" i="22" a="1"/>
  <c r="A856" i="22" s="1"/>
  <c r="A857" i="22" a="1"/>
  <c r="A857" i="22" s="1"/>
  <c r="A858" i="22" a="1"/>
  <c r="A858" i="22" s="1"/>
  <c r="A859" i="22" a="1"/>
  <c r="A859" i="22" s="1"/>
  <c r="A860" i="22" a="1"/>
  <c r="A860" i="22" s="1"/>
  <c r="A861" i="22" a="1"/>
  <c r="A861" i="22" s="1"/>
  <c r="A862" i="22" a="1"/>
  <c r="A862" i="22" s="1"/>
  <c r="A863" i="22" a="1"/>
  <c r="A863" i="22" s="1"/>
  <c r="A864" i="22" a="1"/>
  <c r="A864" i="22" s="1"/>
  <c r="A865" i="22" a="1"/>
  <c r="A865" i="22" s="1"/>
  <c r="A866" i="22" a="1"/>
  <c r="A866" i="22" s="1"/>
  <c r="A867" i="22" a="1"/>
  <c r="A867" i="22" s="1"/>
  <c r="A868" i="22" a="1"/>
  <c r="A868" i="22" s="1"/>
  <c r="A869" i="22" a="1"/>
  <c r="A869" i="22" s="1"/>
  <c r="A870" i="22" a="1"/>
  <c r="A870" i="22" s="1"/>
  <c r="A871" i="22" a="1"/>
  <c r="A871" i="22" s="1"/>
  <c r="A872" i="22" a="1"/>
  <c r="A872" i="22" s="1"/>
  <c r="A873" i="22" a="1"/>
  <c r="A873" i="22" s="1"/>
  <c r="A874" i="22" a="1"/>
  <c r="A874" i="22" s="1"/>
  <c r="A875" i="22" a="1"/>
  <c r="A875" i="22"/>
  <c r="A876" i="22" a="1"/>
  <c r="A876" i="22" s="1"/>
  <c r="A877" i="22" a="1"/>
  <c r="A877" i="22"/>
  <c r="A878" i="22" a="1"/>
  <c r="A878" i="22" s="1"/>
  <c r="A879" i="22" a="1"/>
  <c r="A879" i="22" s="1"/>
  <c r="A880" i="22" a="1"/>
  <c r="A880" i="22" s="1"/>
  <c r="A881" i="22" a="1"/>
  <c r="A881" i="22" s="1"/>
  <c r="A882" i="22" a="1"/>
  <c r="A882" i="22" s="1"/>
  <c r="A883" i="22" a="1"/>
  <c r="A883" i="22" s="1"/>
  <c r="A884" i="22" a="1"/>
  <c r="A884" i="22" s="1"/>
  <c r="A885" i="22" a="1"/>
  <c r="A885" i="22" s="1"/>
  <c r="A886" i="22" a="1"/>
  <c r="A886" i="22" s="1"/>
  <c r="A887" i="22" a="1"/>
  <c r="A887" i="22" s="1"/>
  <c r="A888" i="22" a="1"/>
  <c r="A888" i="22" s="1"/>
  <c r="A889" i="22" a="1"/>
  <c r="A889" i="22" s="1"/>
  <c r="A890" i="22" a="1"/>
  <c r="A890" i="22" s="1"/>
  <c r="A891" i="22" a="1"/>
  <c r="A891" i="22" s="1"/>
  <c r="A892" i="22" a="1"/>
  <c r="A892" i="22" s="1"/>
  <c r="A893" i="22" a="1"/>
  <c r="A893" i="22" s="1"/>
  <c r="A894" i="22" a="1"/>
  <c r="A894" i="22" s="1"/>
  <c r="A895" i="22" a="1"/>
  <c r="A895" i="22" s="1"/>
  <c r="A896" i="22" a="1"/>
  <c r="A896" i="22" s="1"/>
  <c r="A897" i="22" a="1"/>
  <c r="A897" i="22" s="1"/>
  <c r="A898" i="22" a="1"/>
  <c r="A898" i="22" s="1"/>
  <c r="A899" i="22" a="1"/>
  <c r="A899" i="22"/>
  <c r="A900" i="22" a="1"/>
  <c r="A900" i="22" s="1"/>
  <c r="A901" i="22" a="1"/>
  <c r="A901" i="22" s="1"/>
  <c r="A902" i="22" a="1"/>
  <c r="A902" i="22" s="1"/>
  <c r="A903" i="22" a="1"/>
  <c r="A903" i="22" s="1"/>
  <c r="A904" i="22" a="1"/>
  <c r="A904" i="22" s="1"/>
  <c r="A905" i="22" a="1"/>
  <c r="A905" i="22" s="1"/>
  <c r="A906" i="22" a="1"/>
  <c r="A906" i="22" s="1"/>
  <c r="A907" i="22" a="1"/>
  <c r="A907" i="22" s="1"/>
  <c r="A908" i="22" a="1"/>
  <c r="A908" i="22" s="1"/>
  <c r="A909" i="22" a="1"/>
  <c r="A909" i="22" s="1"/>
  <c r="A910" i="22" a="1"/>
  <c r="A910" i="22" s="1"/>
  <c r="A911" i="22" a="1"/>
  <c r="A911" i="22" s="1"/>
  <c r="A912" i="22" a="1"/>
  <c r="A912" i="22" s="1"/>
  <c r="A913" i="22" a="1"/>
  <c r="A913" i="22" s="1"/>
  <c r="A914" i="22" a="1"/>
  <c r="A914" i="22" s="1"/>
  <c r="A915" i="22" a="1"/>
  <c r="A915" i="22" s="1"/>
  <c r="A916" i="22" a="1"/>
  <c r="A916" i="22" s="1"/>
  <c r="A917" i="22" a="1"/>
  <c r="A917" i="22" s="1"/>
  <c r="A918" i="22" a="1"/>
  <c r="A918" i="22"/>
  <c r="A919" i="22" a="1"/>
  <c r="A919" i="22" s="1"/>
  <c r="A920" i="22" a="1"/>
  <c r="A920" i="22" s="1"/>
  <c r="A921" i="22" a="1"/>
  <c r="A921" i="22" s="1"/>
  <c r="A922" i="22" a="1"/>
  <c r="A922" i="22" s="1"/>
  <c r="A923" i="22" a="1"/>
  <c r="A923" i="22" s="1"/>
  <c r="A924" i="22" a="1"/>
  <c r="A924" i="22" s="1"/>
  <c r="A925" i="22" a="1"/>
  <c r="A925" i="22" s="1"/>
  <c r="A926" i="22" a="1"/>
  <c r="A926" i="22" s="1"/>
  <c r="A927" i="22" a="1"/>
  <c r="A927" i="22" s="1"/>
  <c r="A928" i="22" a="1"/>
  <c r="A928" i="22" s="1"/>
  <c r="A929" i="22" a="1"/>
  <c r="A929" i="22" s="1"/>
  <c r="A930" i="22" a="1"/>
  <c r="A930" i="22" s="1"/>
  <c r="A931" i="22" a="1"/>
  <c r="A931" i="22" s="1"/>
  <c r="A932" i="22" a="1"/>
  <c r="A932" i="22" s="1"/>
  <c r="A933" i="22" a="1"/>
  <c r="A933" i="22" s="1"/>
  <c r="A934" i="22" a="1"/>
  <c r="A934" i="22" s="1"/>
  <c r="A935" i="22" a="1"/>
  <c r="A935" i="22" s="1"/>
  <c r="A936" i="22" a="1"/>
  <c r="A936" i="22" s="1"/>
  <c r="A937" i="22" a="1"/>
  <c r="A937" i="22" s="1"/>
  <c r="A938" i="22" a="1"/>
  <c r="A938" i="22" s="1"/>
  <c r="A939" i="22" a="1"/>
  <c r="A939" i="22" s="1"/>
  <c r="A940" i="22" a="1"/>
  <c r="A940" i="22" s="1"/>
  <c r="A941" i="22" a="1"/>
  <c r="A941" i="22" s="1"/>
  <c r="A942" i="22" a="1"/>
  <c r="A942" i="22" s="1"/>
  <c r="A943" i="22" a="1"/>
  <c r="A943" i="22" s="1"/>
  <c r="A944" i="22" a="1"/>
  <c r="A944" i="22" s="1"/>
  <c r="A945" i="22" a="1"/>
  <c r="A945" i="22" s="1"/>
  <c r="A946" i="22" a="1"/>
  <c r="A946" i="22" s="1"/>
  <c r="A947" i="22" a="1"/>
  <c r="A947" i="22" s="1"/>
  <c r="A948" i="22" a="1"/>
  <c r="A948" i="22" s="1"/>
  <c r="A949" i="22" a="1"/>
  <c r="A949" i="22" s="1"/>
  <c r="A950" i="22" a="1"/>
  <c r="A950" i="22" s="1"/>
  <c r="A951" i="22" a="1"/>
  <c r="A951" i="22" s="1"/>
  <c r="A952" i="22" a="1"/>
  <c r="A952" i="22" s="1"/>
  <c r="A953" i="22" a="1"/>
  <c r="A953" i="22" s="1"/>
  <c r="A954" i="22" a="1"/>
  <c r="A954" i="22" s="1"/>
  <c r="A955" i="22" a="1"/>
  <c r="A955" i="22" s="1"/>
  <c r="A956" i="22" a="1"/>
  <c r="A956" i="22" s="1"/>
  <c r="A957" i="22" a="1"/>
  <c r="A957" i="22" s="1"/>
  <c r="A958" i="22" a="1"/>
  <c r="A958" i="22" s="1"/>
  <c r="A959" i="22" a="1"/>
  <c r="A959" i="22" s="1"/>
  <c r="A960" i="22" a="1"/>
  <c r="A960" i="22" s="1"/>
  <c r="A961" i="22" a="1"/>
  <c r="A961" i="22" s="1"/>
  <c r="A962" i="22" a="1"/>
  <c r="A962" i="22" s="1"/>
  <c r="A963" i="22" a="1"/>
  <c r="A963" i="22" s="1"/>
  <c r="A964" i="22" a="1"/>
  <c r="A964" i="22" s="1"/>
  <c r="A965" i="22" a="1"/>
  <c r="A965" i="22" s="1"/>
  <c r="A966" i="22" a="1"/>
  <c r="A966" i="22"/>
  <c r="A967" i="22" a="1"/>
  <c r="A967" i="22" s="1"/>
  <c r="A968" i="22" a="1"/>
  <c r="A968" i="22" s="1"/>
  <c r="A969" i="22" a="1"/>
  <c r="A969" i="22" s="1"/>
  <c r="A970" i="22" a="1"/>
  <c r="A970" i="22" s="1"/>
  <c r="A971" i="22" a="1"/>
  <c r="A971" i="22" s="1"/>
  <c r="A972" i="22" a="1"/>
  <c r="A972" i="22" s="1"/>
  <c r="A973" i="22" a="1"/>
  <c r="A973" i="22" s="1"/>
  <c r="A974" i="22" a="1"/>
  <c r="A974" i="22" s="1"/>
  <c r="A975" i="22" a="1"/>
  <c r="A975" i="22" s="1"/>
  <c r="A976" i="22" a="1"/>
  <c r="A976" i="22" s="1"/>
  <c r="A977" i="22" a="1"/>
  <c r="A977" i="22"/>
  <c r="A978" i="22" a="1"/>
  <c r="A978" i="22" s="1"/>
  <c r="A979" i="22" a="1"/>
  <c r="A979" i="22" s="1"/>
  <c r="A980" i="22" a="1"/>
  <c r="A980" i="22" s="1"/>
  <c r="A981" i="22" a="1"/>
  <c r="A981" i="22" s="1"/>
  <c r="A982" i="22" a="1"/>
  <c r="A982" i="22" s="1"/>
  <c r="A983" i="22" a="1"/>
  <c r="A983" i="22" s="1"/>
  <c r="A984" i="22" a="1"/>
  <c r="A984" i="22" s="1"/>
  <c r="A985" i="22" a="1"/>
  <c r="A985" i="22" s="1"/>
  <c r="A986" i="22" a="1"/>
  <c r="A986" i="22" s="1"/>
  <c r="A987" i="22" a="1"/>
  <c r="A987" i="22" s="1"/>
  <c r="A988" i="22" a="1"/>
  <c r="A988" i="22" s="1"/>
  <c r="A989" i="22" a="1"/>
  <c r="A989" i="22" s="1"/>
  <c r="A990" i="22" a="1"/>
  <c r="A990" i="22" s="1"/>
  <c r="A991" i="22" a="1"/>
  <c r="A991" i="22" s="1"/>
  <c r="A992" i="22" a="1"/>
  <c r="A992" i="22" s="1"/>
  <c r="A993" i="22" a="1"/>
  <c r="A993" i="22" s="1"/>
  <c r="A994" i="22" a="1"/>
  <c r="A994" i="22" s="1"/>
  <c r="A995" i="22" a="1"/>
  <c r="A995" i="22" s="1"/>
  <c r="A996" i="22" a="1"/>
  <c r="A996" i="22" s="1"/>
  <c r="A997" i="22" a="1"/>
  <c r="A997" i="22" s="1"/>
  <c r="A998" i="22" a="1"/>
  <c r="A998" i="22" s="1"/>
  <c r="A999" i="22" a="1"/>
  <c r="A999" i="22" s="1"/>
  <c r="A1000" i="22" a="1"/>
  <c r="A1000" i="22" s="1"/>
  <c r="A1001" i="22" a="1"/>
  <c r="A1001" i="22" s="1"/>
  <c r="A1002" i="22" a="1"/>
  <c r="A1002" i="22" s="1"/>
  <c r="A1003" i="22" a="1"/>
  <c r="A1003" i="22"/>
  <c r="A1004" i="22" a="1"/>
  <c r="A1004" i="22" s="1"/>
  <c r="A1005" i="22" a="1"/>
  <c r="A1005" i="22" s="1"/>
  <c r="A1006" i="22" a="1"/>
  <c r="A1006" i="22" s="1"/>
  <c r="A1007" i="22" a="1"/>
  <c r="A1007" i="22" s="1"/>
  <c r="A1008" i="22" a="1"/>
  <c r="A1008" i="22" s="1"/>
  <c r="A1009" i="22" a="1"/>
  <c r="A1009" i="22" s="1"/>
  <c r="A1010" i="22" a="1"/>
  <c r="A1010" i="22" s="1"/>
  <c r="A1011" i="22" a="1"/>
  <c r="A1011" i="22" s="1"/>
  <c r="A1012" i="22" a="1"/>
  <c r="A1012" i="22" s="1"/>
  <c r="A1013" i="22" a="1"/>
  <c r="A1013" i="22" s="1"/>
  <c r="A1014" i="22" a="1"/>
  <c r="A1014" i="22"/>
  <c r="A1015" i="22" a="1"/>
  <c r="A1015" i="22" s="1"/>
  <c r="A1016" i="22" a="1"/>
  <c r="A1016" i="22" s="1"/>
  <c r="A1017" i="22" a="1"/>
  <c r="A1017" i="22" s="1"/>
  <c r="A1018" i="22" a="1"/>
  <c r="A1018" i="22" s="1"/>
  <c r="A1019" i="22" a="1"/>
  <c r="A1019" i="22" s="1"/>
  <c r="A1020" i="22" a="1"/>
  <c r="A1020" i="22" s="1"/>
  <c r="A1021" i="22" a="1"/>
  <c r="A1021" i="22"/>
  <c r="A1022" i="22" a="1"/>
  <c r="A1022" i="22" s="1"/>
  <c r="A1023" i="22" a="1"/>
  <c r="A1023" i="22" s="1"/>
  <c r="A1024" i="22" a="1"/>
  <c r="A1024" i="22" s="1"/>
  <c r="A1025" i="22" a="1"/>
  <c r="A1025" i="22" s="1"/>
  <c r="A1026" i="22" a="1"/>
  <c r="A1026" i="22" s="1"/>
  <c r="A1027" i="22" a="1"/>
  <c r="A1027" i="22" s="1"/>
  <c r="A1028" i="22" a="1"/>
  <c r="A1028" i="22" s="1"/>
  <c r="A1029" i="22" a="1"/>
  <c r="A1029" i="22" s="1"/>
  <c r="A1030" i="22" a="1"/>
  <c r="A1030" i="22" s="1"/>
  <c r="A1031" i="22" a="1"/>
  <c r="A1031" i="22" s="1"/>
  <c r="A1032" i="22" a="1"/>
  <c r="A1032" i="22" s="1"/>
  <c r="A1033" i="22" a="1"/>
  <c r="A1033" i="22" s="1"/>
  <c r="A1034" i="22" a="1"/>
  <c r="A1034" i="22" s="1"/>
  <c r="A1035" i="22" a="1"/>
  <c r="A1035" i="22" s="1"/>
  <c r="A1036" i="22" a="1"/>
  <c r="A1036" i="22" s="1"/>
  <c r="A1037" i="22" a="1"/>
  <c r="A1037" i="22" s="1"/>
  <c r="A1038" i="22" a="1"/>
  <c r="A1038" i="22" s="1"/>
  <c r="A1039" i="22" a="1"/>
  <c r="A1039" i="22" s="1"/>
  <c r="A1040" i="22" a="1"/>
  <c r="A1040" i="22" s="1"/>
  <c r="A28" i="22" a="1"/>
  <c r="A28" i="22" s="1"/>
  <c r="A29" i="22" a="1"/>
  <c r="A29" i="22" s="1"/>
  <c r="A30" i="22" a="1"/>
  <c r="A30" i="22" s="1"/>
  <c r="A31" i="22" a="1"/>
  <c r="A31" i="22" s="1"/>
  <c r="A32" i="22" a="1"/>
  <c r="A32" i="22"/>
  <c r="A33" i="22" a="1"/>
  <c r="A33" i="22" s="1"/>
  <c r="A34" i="22" a="1"/>
  <c r="A34" i="22" s="1"/>
  <c r="A35" i="22" a="1"/>
  <c r="A35" i="22" s="1"/>
  <c r="A36" i="22" a="1"/>
  <c r="A36" i="22" s="1"/>
  <c r="A37" i="22" a="1"/>
  <c r="A37" i="22" s="1"/>
  <c r="A38" i="22" a="1"/>
  <c r="A38" i="22" s="1"/>
  <c r="A39" i="22" a="1"/>
  <c r="A39" i="22" s="1"/>
  <c r="A40" i="22" a="1"/>
  <c r="A40" i="22" s="1"/>
  <c r="A41" i="22" a="1"/>
  <c r="A41" i="22" s="1"/>
  <c r="A42" i="22" a="1"/>
  <c r="A42" i="22" s="1"/>
  <c r="A43" i="22" a="1"/>
  <c r="A43" i="22" s="1"/>
  <c r="A44" i="22" a="1"/>
  <c r="A44" i="22" s="1"/>
  <c r="A45" i="22" a="1"/>
  <c r="A45" i="22" s="1"/>
  <c r="A46" i="22" a="1"/>
  <c r="A46" i="22" s="1"/>
  <c r="A47" i="22" a="1"/>
  <c r="A47" i="22" s="1"/>
  <c r="A48" i="22" a="1"/>
  <c r="A48" i="22" s="1"/>
  <c r="A49" i="22" a="1"/>
  <c r="A49" i="22" s="1"/>
  <c r="A50" i="22" a="1"/>
  <c r="A50" i="22" s="1"/>
  <c r="A51" i="22" a="1"/>
  <c r="A51" i="22" s="1"/>
  <c r="A52" i="22" a="1"/>
  <c r="A52" i="22" s="1"/>
  <c r="A53" i="22" a="1"/>
  <c r="A53" i="22" s="1"/>
  <c r="A54" i="22" a="1"/>
  <c r="A54" i="22" s="1"/>
  <c r="A55" i="22" a="1"/>
  <c r="A55" i="22" s="1"/>
  <c r="A56" i="22" a="1"/>
  <c r="A56" i="22" s="1"/>
  <c r="A57" i="22" a="1"/>
  <c r="A57" i="22" s="1"/>
  <c r="A58" i="22" a="1"/>
  <c r="A58" i="22" s="1"/>
  <c r="A59" i="22" a="1"/>
  <c r="A59" i="22" s="1"/>
  <c r="A60" i="22" a="1"/>
  <c r="A60" i="22" s="1"/>
  <c r="A61" i="22" a="1"/>
  <c r="A61" i="22" s="1"/>
  <c r="A62" i="22" a="1"/>
  <c r="A62" i="22" s="1"/>
  <c r="A63" i="22" a="1"/>
  <c r="A63" i="22" s="1"/>
  <c r="A64" i="22" a="1"/>
  <c r="A64" i="22" s="1"/>
  <c r="A65" i="22" a="1"/>
  <c r="A65" i="22" s="1"/>
  <c r="A66" i="22" a="1"/>
  <c r="A66" i="22" s="1"/>
  <c r="A67" i="22" a="1"/>
  <c r="A67" i="22" s="1"/>
  <c r="A68" i="22" a="1"/>
  <c r="A68" i="22" s="1"/>
  <c r="A69" i="22" a="1"/>
  <c r="A69" i="22" s="1"/>
  <c r="A70" i="22" a="1"/>
  <c r="A70" i="22" s="1"/>
  <c r="A71" i="22" a="1"/>
  <c r="A71" i="22" s="1"/>
  <c r="A72" i="22" a="1"/>
  <c r="A72" i="22" s="1"/>
  <c r="A73" i="22" a="1"/>
  <c r="A73" i="22" s="1"/>
  <c r="A74" i="22" a="1"/>
  <c r="A74" i="22" s="1"/>
  <c r="A75" i="22" a="1"/>
  <c r="A75" i="22" s="1"/>
  <c r="A76" i="22" a="1"/>
  <c r="A76" i="22" s="1"/>
  <c r="A77" i="22" a="1"/>
  <c r="A77" i="22" s="1"/>
  <c r="A78" i="22" a="1"/>
  <c r="A78" i="22" s="1"/>
  <c r="A79" i="22" a="1"/>
  <c r="A79" i="22" s="1"/>
  <c r="A80" i="22" a="1"/>
  <c r="A80" i="22" s="1"/>
  <c r="A81" i="22" a="1"/>
  <c r="A81" i="22" s="1"/>
  <c r="A82" i="22" a="1"/>
  <c r="A82" i="22" s="1"/>
  <c r="A83" i="22" a="1"/>
  <c r="A83" i="22" s="1"/>
  <c r="A84" i="22" a="1"/>
  <c r="A84" i="22"/>
  <c r="A85" i="22" a="1"/>
  <c r="A85" i="22" s="1"/>
  <c r="A86" i="22" a="1"/>
  <c r="A86" i="22" s="1"/>
  <c r="A87" i="22" a="1"/>
  <c r="A87" i="22" s="1"/>
  <c r="A88" i="22" a="1"/>
  <c r="A88" i="22" s="1"/>
  <c r="A89" i="22" a="1"/>
  <c r="A89" i="22" s="1"/>
  <c r="A90" i="22" a="1"/>
  <c r="A90" i="22" s="1"/>
  <c r="A91" i="22" a="1"/>
  <c r="A91" i="22" s="1"/>
  <c r="A92" i="22" a="1"/>
  <c r="A92" i="22" s="1"/>
  <c r="A93" i="22" a="1"/>
  <c r="A93" i="22" s="1"/>
  <c r="A94" i="22" a="1"/>
  <c r="A94" i="22" s="1"/>
  <c r="A95" i="22" a="1"/>
  <c r="A95" i="22" s="1"/>
  <c r="A96" i="22" a="1"/>
  <c r="A96" i="22" s="1"/>
  <c r="A97" i="22" a="1"/>
  <c r="A97" i="22" s="1"/>
  <c r="A98" i="22" a="1"/>
  <c r="A98" i="22" s="1"/>
  <c r="A99" i="22" a="1"/>
  <c r="A99" i="22" s="1"/>
  <c r="A100" i="22" a="1"/>
  <c r="A100" i="22" s="1"/>
  <c r="A101" i="22" a="1"/>
  <c r="A101" i="22" s="1"/>
  <c r="A102" i="22" a="1"/>
  <c r="A102" i="22"/>
  <c r="A103" i="22" a="1"/>
  <c r="A103" i="22" s="1"/>
  <c r="A104" i="22" a="1"/>
  <c r="A104" i="22" s="1"/>
  <c r="A105" i="22" a="1"/>
  <c r="A105" i="22" s="1"/>
  <c r="A106" i="22" a="1"/>
  <c r="A106" i="22" s="1"/>
  <c r="A107" i="22" a="1"/>
  <c r="A107" i="22" s="1"/>
  <c r="A108" i="22" a="1"/>
  <c r="A108" i="22" s="1"/>
  <c r="A109" i="22" a="1"/>
  <c r="A109" i="22" s="1"/>
  <c r="A110" i="22" a="1"/>
  <c r="A110" i="22" s="1"/>
  <c r="A111" i="22" a="1"/>
  <c r="A111" i="22" s="1"/>
  <c r="A112" i="22" a="1"/>
  <c r="A112" i="22" s="1"/>
  <c r="A113" i="22" a="1"/>
  <c r="A113" i="22" s="1"/>
  <c r="A114" i="22" a="1"/>
  <c r="A114" i="22" s="1"/>
  <c r="A115" i="22" a="1"/>
  <c r="A115" i="22" s="1"/>
  <c r="A116" i="22" a="1"/>
  <c r="A116" i="22" s="1"/>
  <c r="A117" i="22" a="1"/>
  <c r="A117" i="22" s="1"/>
  <c r="A118" i="22" a="1"/>
  <c r="A118" i="22" s="1"/>
  <c r="A119" i="22" a="1"/>
  <c r="A119" i="22" s="1"/>
  <c r="A120" i="22" a="1"/>
  <c r="A120" i="22" s="1"/>
  <c r="A121" i="22" a="1"/>
  <c r="A121" i="22" s="1"/>
  <c r="A122" i="22" a="1"/>
  <c r="A122" i="22" s="1"/>
  <c r="A123" i="22" a="1"/>
  <c r="A123" i="22" s="1"/>
  <c r="A124" i="22" a="1"/>
  <c r="A124" i="22" s="1"/>
  <c r="A125" i="22" a="1"/>
  <c r="A125" i="22" s="1"/>
  <c r="A126" i="22" a="1"/>
  <c r="A126" i="22" s="1"/>
  <c r="A127" i="22" a="1"/>
  <c r="A127" i="22" s="1"/>
  <c r="A128" i="22" a="1"/>
  <c r="A128" i="22" s="1"/>
  <c r="A129" i="22" a="1"/>
  <c r="A129" i="22" s="1"/>
  <c r="A130" i="22" a="1"/>
  <c r="A130" i="22" s="1"/>
  <c r="A131" i="22" a="1"/>
  <c r="A131" i="22" s="1"/>
  <c r="A132" i="22" a="1"/>
  <c r="A132" i="22" s="1"/>
  <c r="A133" i="22" a="1"/>
  <c r="A133" i="22" s="1"/>
  <c r="A134" i="22" a="1"/>
  <c r="A134" i="22" s="1"/>
  <c r="A135" i="22" a="1"/>
  <c r="A135" i="22" s="1"/>
  <c r="A136" i="22" a="1"/>
  <c r="A136" i="22" s="1"/>
  <c r="A137" i="22" a="1"/>
  <c r="A137" i="22" s="1"/>
  <c r="A138" i="22" a="1"/>
  <c r="A138" i="22" s="1"/>
  <c r="A139" i="22" a="1"/>
  <c r="A139" i="22" s="1"/>
  <c r="A140" i="22" a="1"/>
  <c r="A140" i="22" s="1"/>
  <c r="A141" i="22" a="1"/>
  <c r="A141" i="22" s="1"/>
  <c r="A142" i="22" a="1"/>
  <c r="A142" i="22" s="1"/>
  <c r="A143" i="22" a="1"/>
  <c r="A143" i="22" s="1"/>
  <c r="A144" i="22" a="1"/>
  <c r="A144" i="22" s="1"/>
  <c r="A145" i="22" a="1"/>
  <c r="A145" i="22" s="1"/>
  <c r="A146" i="22" a="1"/>
  <c r="A146" i="22" s="1"/>
  <c r="A147" i="22" a="1"/>
  <c r="A147" i="22" s="1"/>
  <c r="A148" i="22" a="1"/>
  <c r="A148" i="22" s="1"/>
  <c r="A149" i="22" a="1"/>
  <c r="A149" i="22" s="1"/>
  <c r="A150" i="22" a="1"/>
  <c r="A150" i="22" s="1"/>
  <c r="A151" i="22" a="1"/>
  <c r="A151" i="22" s="1"/>
  <c r="A152" i="22" a="1"/>
  <c r="A152" i="22" s="1"/>
  <c r="A153" i="22" a="1"/>
  <c r="A153" i="22"/>
  <c r="A154" i="22" a="1"/>
  <c r="A154" i="22" s="1"/>
  <c r="A155" i="22" a="1"/>
  <c r="A155" i="22" s="1"/>
  <c r="A156" i="22" a="1"/>
  <c r="A156" i="22" s="1"/>
  <c r="A157" i="22" a="1"/>
  <c r="A157" i="22" s="1"/>
  <c r="A158" i="22" a="1"/>
  <c r="A158" i="22" s="1"/>
  <c r="A159" i="22" a="1"/>
  <c r="A159" i="22" s="1"/>
  <c r="A160" i="22" a="1"/>
  <c r="A160" i="22" s="1"/>
  <c r="A161" i="22" a="1"/>
  <c r="A161" i="22" s="1"/>
  <c r="A162" i="22" a="1"/>
  <c r="A162" i="22" s="1"/>
  <c r="A163" i="22" a="1"/>
  <c r="A163" i="22" s="1"/>
  <c r="A164" i="22" a="1"/>
  <c r="A164" i="22" s="1"/>
  <c r="A165" i="22" a="1"/>
  <c r="A165" i="22" s="1"/>
  <c r="A166" i="22" a="1"/>
  <c r="A166" i="22" s="1"/>
  <c r="A167" i="22" a="1"/>
  <c r="A167" i="22" s="1"/>
  <c r="A168" i="22" a="1"/>
  <c r="A168" i="22" s="1"/>
  <c r="A169" i="22" a="1"/>
  <c r="A169" i="22" s="1"/>
  <c r="A170" i="22" a="1"/>
  <c r="A170" i="22" s="1"/>
  <c r="A171" i="22" a="1"/>
  <c r="A171" i="22" s="1"/>
  <c r="A172" i="22" a="1"/>
  <c r="A172" i="22" s="1"/>
  <c r="A173" i="22" a="1"/>
  <c r="A173" i="22" s="1"/>
  <c r="A174" i="22" a="1"/>
  <c r="A174" i="22" s="1"/>
  <c r="A175" i="22" a="1"/>
  <c r="A175" i="22" s="1"/>
  <c r="A176" i="22" a="1"/>
  <c r="A176" i="22" s="1"/>
  <c r="A177" i="22" a="1"/>
  <c r="A177" i="22" s="1"/>
  <c r="A178" i="22" a="1"/>
  <c r="A178" i="22" s="1"/>
  <c r="A179" i="22" a="1"/>
  <c r="A179" i="22" s="1"/>
  <c r="A180" i="22" a="1"/>
  <c r="A180" i="22" s="1"/>
  <c r="A181" i="22" a="1"/>
  <c r="A181" i="22" s="1"/>
  <c r="A182" i="22" a="1"/>
  <c r="A182" i="22"/>
  <c r="A183" i="22" a="1"/>
  <c r="A183" i="22" s="1"/>
  <c r="A184" i="22" a="1"/>
  <c r="A184" i="22" s="1"/>
  <c r="A185" i="22" a="1"/>
  <c r="A185" i="22" s="1"/>
  <c r="A186" i="22" a="1"/>
  <c r="A186" i="22" s="1"/>
  <c r="A187" i="22" a="1"/>
  <c r="A187" i="22" s="1"/>
  <c r="A188" i="22" a="1"/>
  <c r="A188" i="22" s="1"/>
  <c r="A189" i="22" a="1"/>
  <c r="A189" i="22" s="1"/>
  <c r="A190" i="22" a="1"/>
  <c r="A190" i="22" s="1"/>
  <c r="A191" i="22" a="1"/>
  <c r="A191" i="22" s="1"/>
  <c r="A192" i="22" a="1"/>
  <c r="A192" i="22" s="1"/>
  <c r="A193" i="22" a="1"/>
  <c r="A193" i="22" s="1"/>
  <c r="A194" i="22" a="1"/>
  <c r="A194" i="22" s="1"/>
  <c r="A195" i="22" a="1"/>
  <c r="A195" i="22" s="1"/>
  <c r="A196" i="22" a="1"/>
  <c r="A196" i="22" s="1"/>
  <c r="A197" i="22" a="1"/>
  <c r="A197" i="22" s="1"/>
  <c r="A198" i="22" a="1"/>
  <c r="A198" i="22" s="1"/>
  <c r="A199" i="22" a="1"/>
  <c r="A199" i="22" s="1"/>
  <c r="A200" i="22" a="1"/>
  <c r="A200" i="22" s="1"/>
  <c r="A201" i="22" a="1"/>
  <c r="A201" i="22" s="1"/>
  <c r="A202" i="22" a="1"/>
  <c r="A202" i="22" s="1"/>
  <c r="A203" i="22" a="1"/>
  <c r="A203" i="22" s="1"/>
  <c r="A204" i="22" a="1"/>
  <c r="A204" i="22" s="1"/>
  <c r="A205" i="22" a="1"/>
  <c r="A205" i="22" s="1"/>
  <c r="A206" i="22" a="1"/>
  <c r="A206" i="22" s="1"/>
  <c r="A207" i="22" a="1"/>
  <c r="A207" i="22" s="1"/>
  <c r="A208" i="22" a="1"/>
  <c r="A208" i="22" s="1"/>
  <c r="A209" i="22" a="1"/>
  <c r="A209" i="22" s="1"/>
  <c r="A210" i="22" a="1"/>
  <c r="A210" i="22" s="1"/>
  <c r="A211" i="22" a="1"/>
  <c r="A211" i="22" s="1"/>
  <c r="A212" i="22" a="1"/>
  <c r="A212" i="22" s="1"/>
  <c r="A213" i="22" a="1"/>
  <c r="A213" i="22" s="1"/>
  <c r="A214" i="22" a="1"/>
  <c r="A214" i="22" s="1"/>
  <c r="A215" i="22" a="1"/>
  <c r="A215" i="22"/>
  <c r="A216" i="22" a="1"/>
  <c r="A216" i="22" s="1"/>
  <c r="A217" i="22" a="1"/>
  <c r="A217" i="22" s="1"/>
  <c r="A218" i="22" a="1"/>
  <c r="A218" i="22" s="1"/>
  <c r="A219" i="22" a="1"/>
  <c r="A219" i="22" s="1"/>
  <c r="A220" i="22" a="1"/>
  <c r="A220" i="22" s="1"/>
  <c r="A221" i="22" a="1"/>
  <c r="A221" i="22" s="1"/>
  <c r="A222" i="22" a="1"/>
  <c r="A222" i="22" s="1"/>
  <c r="A223" i="22" a="1"/>
  <c r="A223" i="22" s="1"/>
  <c r="A224" i="22" a="1"/>
  <c r="A224" i="22" s="1"/>
  <c r="A225" i="22" a="1"/>
  <c r="A225" i="22" s="1"/>
  <c r="A226" i="22" a="1"/>
  <c r="A226" i="22" s="1"/>
  <c r="A227" i="22" a="1"/>
  <c r="A227" i="22" s="1"/>
  <c r="A228" i="22" a="1"/>
  <c r="A228" i="22" s="1"/>
  <c r="A229" i="22" a="1"/>
  <c r="A229" i="22" s="1"/>
  <c r="A230" i="22" a="1"/>
  <c r="A230" i="22" s="1"/>
  <c r="A231" i="22" a="1"/>
  <c r="A231" i="22" s="1"/>
  <c r="A232" i="22" a="1"/>
  <c r="A232" i="22" s="1"/>
  <c r="A233" i="22" a="1"/>
  <c r="A233" i="22" s="1"/>
  <c r="A234" i="22" a="1"/>
  <c r="A234" i="22" s="1"/>
  <c r="A235" i="22" a="1"/>
  <c r="A235" i="22" s="1"/>
  <c r="A236" i="22" a="1"/>
  <c r="A236" i="22" s="1"/>
  <c r="A237" i="22" a="1"/>
  <c r="A237" i="22" s="1"/>
  <c r="A238" i="22" a="1"/>
  <c r="A238" i="22" s="1"/>
  <c r="A239" i="22" a="1"/>
  <c r="A239" i="22" s="1"/>
  <c r="A240" i="22" a="1"/>
  <c r="A240" i="22" s="1"/>
  <c r="A241" i="22" a="1"/>
  <c r="A241" i="22" s="1"/>
  <c r="A242" i="22" a="1"/>
  <c r="A242" i="22" s="1"/>
  <c r="A243" i="22" a="1"/>
  <c r="A243" i="22" s="1"/>
  <c r="A244" i="22" a="1"/>
  <c r="A244" i="22" s="1"/>
  <c r="A245" i="22" a="1"/>
  <c r="A245" i="22" s="1"/>
  <c r="A246" i="22" a="1"/>
  <c r="A246" i="22" s="1"/>
  <c r="A247" i="22" a="1"/>
  <c r="A247" i="22" s="1"/>
  <c r="A248" i="22" a="1"/>
  <c r="A248" i="22" s="1"/>
  <c r="A249" i="22" a="1"/>
  <c r="A249" i="22" s="1"/>
  <c r="A250" i="22" a="1"/>
  <c r="A250" i="22" s="1"/>
  <c r="A251" i="22" a="1"/>
  <c r="A251" i="22" s="1"/>
  <c r="A252" i="22" a="1"/>
  <c r="A252" i="22" s="1"/>
  <c r="A253" i="22" a="1"/>
  <c r="A253" i="22" s="1"/>
  <c r="A254" i="22" a="1"/>
  <c r="A254" i="22" s="1"/>
  <c r="A255" i="22" a="1"/>
  <c r="A255" i="22" s="1"/>
  <c r="A256" i="22" a="1"/>
  <c r="A256" i="22" s="1"/>
  <c r="A257" i="22" a="1"/>
  <c r="A257" i="22" s="1"/>
  <c r="A258" i="22" a="1"/>
  <c r="A258" i="22" s="1"/>
  <c r="A259" i="22" a="1"/>
  <c r="A259" i="22" s="1"/>
  <c r="A260" i="22" a="1"/>
  <c r="A260" i="22" s="1"/>
  <c r="A261" i="22" a="1"/>
  <c r="A261" i="22" s="1"/>
  <c r="A262" i="22" a="1"/>
  <c r="A262" i="22" s="1"/>
  <c r="A263" i="22" a="1"/>
  <c r="A263" i="22" s="1"/>
  <c r="A264" i="22" a="1"/>
  <c r="A264" i="22" s="1"/>
  <c r="A265" i="22" a="1"/>
  <c r="A265" i="22" s="1"/>
  <c r="A266" i="22" a="1"/>
  <c r="A266" i="22" s="1"/>
  <c r="A267" i="22" a="1"/>
  <c r="A267" i="22" s="1"/>
  <c r="A268" i="22" a="1"/>
  <c r="A268" i="22" s="1"/>
  <c r="A269" i="22" a="1"/>
  <c r="A269" i="22" s="1"/>
  <c r="A270" i="22" a="1"/>
  <c r="A270" i="22" s="1"/>
  <c r="A271" i="22" a="1"/>
  <c r="A271" i="22" s="1"/>
  <c r="A272" i="22" a="1"/>
  <c r="A272" i="22"/>
  <c r="A273" i="22" a="1"/>
  <c r="A273" i="22" s="1"/>
  <c r="A274" i="22" a="1"/>
  <c r="A274" i="22" s="1"/>
  <c r="A275" i="22" a="1"/>
  <c r="A275" i="22" s="1"/>
  <c r="A276" i="22" a="1"/>
  <c r="A276" i="22" s="1"/>
  <c r="A277" i="22" a="1"/>
  <c r="A277" i="22" s="1"/>
  <c r="A278" i="22" a="1"/>
  <c r="A278" i="22" s="1"/>
  <c r="A279" i="22" a="1"/>
  <c r="A279" i="22" s="1"/>
  <c r="A280" i="22" a="1"/>
  <c r="A280" i="22" s="1"/>
  <c r="A281" i="22" a="1"/>
  <c r="A281" i="22" s="1"/>
  <c r="A282" i="22" a="1"/>
  <c r="A282" i="22" s="1"/>
  <c r="A283" i="22" a="1"/>
  <c r="A283" i="22" s="1"/>
  <c r="A284" i="22" a="1"/>
  <c r="A284" i="22" s="1"/>
  <c r="A285" i="22" a="1"/>
  <c r="A285" i="22" s="1"/>
  <c r="A286" i="22" a="1"/>
  <c r="A286" i="22" s="1"/>
  <c r="A287" i="22" a="1"/>
  <c r="A287" i="22" s="1"/>
  <c r="A288" i="22" a="1"/>
  <c r="A288" i="22"/>
  <c r="A289" i="22" a="1"/>
  <c r="A289" i="22" s="1"/>
  <c r="A290" i="22" a="1"/>
  <c r="A290" i="22" s="1"/>
  <c r="A291" i="22" a="1"/>
  <c r="A291" i="22" s="1"/>
  <c r="A292" i="22" a="1"/>
  <c r="A292" i="22" s="1"/>
  <c r="A293" i="22" a="1"/>
  <c r="A293" i="22" s="1"/>
  <c r="A294" i="22" a="1"/>
  <c r="A294" i="22" s="1"/>
  <c r="A295" i="22" a="1"/>
  <c r="A295" i="22" s="1"/>
  <c r="A296" i="22" a="1"/>
  <c r="A296" i="22"/>
  <c r="A297" i="22" a="1"/>
  <c r="A297" i="22" s="1"/>
  <c r="A298" i="22" a="1"/>
  <c r="A298" i="22" s="1"/>
  <c r="A299" i="22" a="1"/>
  <c r="A299" i="22" s="1"/>
  <c r="A300" i="22" a="1"/>
  <c r="A300" i="22" s="1"/>
  <c r="A301" i="22" a="1"/>
  <c r="A301" i="22" s="1"/>
  <c r="A302" i="22" a="1"/>
  <c r="A302" i="22" s="1"/>
  <c r="A303" i="22" a="1"/>
  <c r="A303" i="22" s="1"/>
  <c r="A304" i="22" a="1"/>
  <c r="A304" i="22" s="1"/>
  <c r="A305" i="22" a="1"/>
  <c r="A305" i="22" s="1"/>
  <c r="A306" i="22" a="1"/>
  <c r="A306" i="22" s="1"/>
  <c r="A307" i="22" a="1"/>
  <c r="A307" i="22" s="1"/>
  <c r="A308" i="22" a="1"/>
  <c r="A308" i="22" s="1"/>
  <c r="A309" i="22" a="1"/>
  <c r="A309" i="22" s="1"/>
  <c r="A310" i="22" a="1"/>
  <c r="A310" i="22" s="1"/>
  <c r="A311" i="22" a="1"/>
  <c r="A311" i="22" s="1"/>
  <c r="A312" i="22" a="1"/>
  <c r="A312" i="22" s="1"/>
  <c r="A313" i="22" a="1"/>
  <c r="A313" i="22" s="1"/>
  <c r="A314" i="22" a="1"/>
  <c r="A314" i="22" s="1"/>
  <c r="A315" i="22" a="1"/>
  <c r="A315" i="22" s="1"/>
  <c r="A316" i="22" a="1"/>
  <c r="A316" i="22" s="1"/>
  <c r="A317" i="22" a="1"/>
  <c r="A317" i="22" s="1"/>
  <c r="A318" i="22" a="1"/>
  <c r="A318" i="22" s="1"/>
  <c r="A319" i="22" a="1"/>
  <c r="A319" i="22" s="1"/>
  <c r="A320" i="22" a="1"/>
  <c r="A320" i="22"/>
  <c r="A321" i="22" a="1"/>
  <c r="A321" i="22" s="1"/>
  <c r="A322" i="22" a="1"/>
  <c r="A322" i="22" s="1"/>
  <c r="A323" i="22" a="1"/>
  <c r="A323" i="22" s="1"/>
  <c r="A324" i="22" a="1"/>
  <c r="A324" i="22" s="1"/>
  <c r="A325" i="22" a="1"/>
  <c r="A325" i="22" s="1"/>
  <c r="A326" i="22" a="1"/>
  <c r="A326" i="22" s="1"/>
  <c r="A327" i="22" a="1"/>
  <c r="A327" i="22" s="1"/>
  <c r="A328" i="22" a="1"/>
  <c r="A328" i="22" s="1"/>
  <c r="A329" i="22" a="1"/>
  <c r="A329" i="22" s="1"/>
  <c r="A330" i="22" a="1"/>
  <c r="A330" i="22" s="1"/>
  <c r="A331" i="22" a="1"/>
  <c r="A331" i="22" s="1"/>
  <c r="A332" i="22" a="1"/>
  <c r="A332" i="22" s="1"/>
  <c r="A333" i="22" a="1"/>
  <c r="A333" i="22" s="1"/>
  <c r="A334" i="22" a="1"/>
  <c r="A334" i="22" s="1"/>
  <c r="A335" i="22" a="1"/>
  <c r="A335" i="22" s="1"/>
  <c r="A336" i="22" a="1"/>
  <c r="A336" i="22" s="1"/>
  <c r="A337" i="22" a="1"/>
  <c r="A337" i="22" s="1"/>
  <c r="A338" i="22" a="1"/>
  <c r="A338" i="22" s="1"/>
  <c r="A339" i="22" a="1"/>
  <c r="A339" i="22" s="1"/>
  <c r="A340" i="22" a="1"/>
  <c r="A340" i="22" s="1"/>
  <c r="A341" i="22" a="1"/>
  <c r="A341" i="22" s="1"/>
  <c r="A342" i="22" a="1"/>
  <c r="A342" i="22" s="1"/>
  <c r="A343" i="22" a="1"/>
  <c r="A343" i="22" s="1"/>
  <c r="A344" i="22" a="1"/>
  <c r="A344" i="22" s="1"/>
  <c r="A345" i="22" a="1"/>
  <c r="A345" i="22" s="1"/>
  <c r="A346" i="22" a="1"/>
  <c r="A346" i="22" s="1"/>
  <c r="A347" i="22" a="1"/>
  <c r="A347" i="22" s="1"/>
  <c r="A348" i="22" a="1"/>
  <c r="A348" i="22" s="1"/>
  <c r="A349" i="22" a="1"/>
  <c r="A349" i="22" s="1"/>
  <c r="A350" i="22" a="1"/>
  <c r="A350" i="22" s="1"/>
  <c r="A351" i="22" a="1"/>
  <c r="A351" i="22" s="1"/>
  <c r="A352" i="22" a="1"/>
  <c r="A352" i="22" s="1"/>
  <c r="A353" i="22" a="1"/>
  <c r="A353" i="22" s="1"/>
  <c r="A354" i="22" a="1"/>
  <c r="A354" i="22" s="1"/>
  <c r="A355" i="22" a="1"/>
  <c r="A355" i="22" s="1"/>
  <c r="A356" i="22" a="1"/>
  <c r="A356" i="22" s="1"/>
  <c r="A357" i="22" a="1"/>
  <c r="A357" i="22" s="1"/>
  <c r="A358" i="22" a="1"/>
  <c r="A358" i="22" s="1"/>
  <c r="A359" i="22" a="1"/>
  <c r="A359" i="22" s="1"/>
  <c r="A360" i="22" a="1"/>
  <c r="A360" i="22" s="1"/>
  <c r="A361" i="22" a="1"/>
  <c r="A361" i="22" s="1"/>
  <c r="A362" i="22" a="1"/>
  <c r="A362" i="22" s="1"/>
  <c r="A363" i="22" a="1"/>
  <c r="A363" i="22" s="1"/>
  <c r="A364" i="22" a="1"/>
  <c r="A364" i="22" s="1"/>
  <c r="A27" i="22" a="1"/>
  <c r="A27" i="22" s="1"/>
  <c r="A26" i="22" a="1"/>
  <c r="A26" i="22" s="1"/>
  <c r="A25" i="22" a="1"/>
  <c r="A25" i="22"/>
  <c r="A24" i="22" a="1"/>
  <c r="A24" i="22" s="1"/>
  <c r="A23" i="22" a="1"/>
  <c r="A23" i="22" s="1"/>
  <c r="A22" i="22" a="1"/>
  <c r="A22" i="22" s="1"/>
  <c r="A21" i="22" a="1"/>
  <c r="A21" i="22" s="1"/>
  <c r="A20" i="22" a="1"/>
  <c r="A20" i="22" s="1"/>
  <c r="A19" i="22" a="1"/>
  <c r="A19" i="22" s="1"/>
  <c r="A18" i="22" a="1"/>
  <c r="A18" i="22" s="1"/>
  <c r="A17" i="22" a="1"/>
  <c r="A17" i="22" s="1"/>
  <c r="A16" i="22" a="1"/>
  <c r="A16" i="22" s="1"/>
  <c r="A15" i="22" a="1"/>
  <c r="A15" i="22" s="1"/>
  <c r="A14" i="22" a="1"/>
  <c r="A14" i="22" s="1"/>
  <c r="A13" i="22" a="1"/>
  <c r="A13" i="22"/>
  <c r="A12" i="22" a="1"/>
  <c r="A12" i="22" s="1"/>
  <c r="A11" i="22" a="1"/>
  <c r="A11" i="22" s="1"/>
  <c r="A3" i="22" a="1"/>
  <c r="A3" i="22" s="1"/>
  <c r="A4" i="22" a="1"/>
  <c r="A4" i="22" s="1"/>
  <c r="A5" i="22" a="1"/>
  <c r="A5" i="22" s="1"/>
  <c r="A6" i="22" a="1"/>
  <c r="A6" i="22" s="1"/>
  <c r="A7" i="22" a="1"/>
  <c r="A7" i="22" s="1"/>
  <c r="A8" i="22" a="1"/>
  <c r="A8" i="22" s="1"/>
  <c r="A9" i="22" a="1"/>
  <c r="A9" i="22" s="1"/>
  <c r="A10" i="22" a="1"/>
  <c r="A10" i="22" s="1"/>
  <c r="A2" i="22" a="1"/>
  <c r="A2" i="22" s="1"/>
  <c r="B2" i="22" a="1"/>
  <c r="B2" i="22" s="1"/>
  <c r="F2" i="21"/>
  <c r="F7" i="21"/>
  <c r="G7" i="21" s="1"/>
  <c r="F8" i="21"/>
  <c r="G8" i="21" s="1"/>
  <c r="F9" i="21"/>
  <c r="G9" i="21" s="1"/>
  <c r="F10" i="21"/>
  <c r="G10" i="21" s="1"/>
  <c r="F11" i="21"/>
  <c r="G11" i="21" s="1"/>
  <c r="F12" i="21"/>
  <c r="G12" i="21" s="1"/>
  <c r="F13" i="21"/>
  <c r="G13" i="21" s="1"/>
  <c r="F14" i="2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F39" i="21"/>
  <c r="G39" i="21" s="1"/>
  <c r="F40" i="21"/>
  <c r="G40" i="21" s="1"/>
  <c r="F41" i="21"/>
  <c r="G41" i="21" s="1"/>
  <c r="F42" i="21"/>
  <c r="G42" i="21" s="1"/>
  <c r="F43" i="21"/>
  <c r="G43" i="21" s="1"/>
  <c r="F44" i="21"/>
  <c r="G44" i="21" s="1"/>
  <c r="F45" i="21"/>
  <c r="G45" i="21" s="1"/>
  <c r="F46" i="21"/>
  <c r="G46" i="21" s="1"/>
  <c r="F47" i="21"/>
  <c r="G47" i="21" s="1"/>
  <c r="F48" i="21"/>
  <c r="G48" i="21" s="1"/>
  <c r="F49" i="21"/>
  <c r="G49" i="21" s="1"/>
  <c r="F50" i="2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F63" i="21"/>
  <c r="G63" i="21" s="1"/>
  <c r="F64" i="21"/>
  <c r="G64" i="21" s="1"/>
  <c r="F65" i="21"/>
  <c r="G65" i="21" s="1"/>
  <c r="F66" i="21"/>
  <c r="G66" i="21" s="1"/>
  <c r="F67" i="21"/>
  <c r="G67" i="21" s="1"/>
  <c r="F68" i="21"/>
  <c r="G68" i="21" s="1"/>
  <c r="F69" i="21"/>
  <c r="G69" i="21" s="1"/>
  <c r="F70" i="21"/>
  <c r="G70" i="21" s="1"/>
  <c r="F71" i="21"/>
  <c r="G71" i="21" s="1"/>
  <c r="F72" i="21"/>
  <c r="G72" i="21" s="1"/>
  <c r="F73" i="21"/>
  <c r="G73" i="21" s="1"/>
  <c r="F74" i="2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F87" i="21"/>
  <c r="G87" i="21" s="1"/>
  <c r="F88" i="21"/>
  <c r="G88" i="21" s="1"/>
  <c r="F89" i="21"/>
  <c r="G89" i="21" s="1"/>
  <c r="F90" i="21"/>
  <c r="G90" i="21" s="1"/>
  <c r="F91" i="21"/>
  <c r="G91" i="21" s="1"/>
  <c r="F92" i="21"/>
  <c r="G92" i="21" s="1"/>
  <c r="F93" i="21"/>
  <c r="G93" i="21" s="1"/>
  <c r="F94" i="21"/>
  <c r="G94" i="21" s="1"/>
  <c r="F95" i="21"/>
  <c r="G95" i="21" s="1"/>
  <c r="F96" i="21"/>
  <c r="G96" i="21" s="1"/>
  <c r="F97" i="21"/>
  <c r="G97" i="21" s="1"/>
  <c r="F98" i="2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F158" i="21"/>
  <c r="G158" i="21" s="1"/>
  <c r="F159" i="21"/>
  <c r="G159" i="21" s="1"/>
  <c r="F160" i="21"/>
  <c r="G160" i="21" s="1"/>
  <c r="F161" i="21"/>
  <c r="G161" i="21" s="1"/>
  <c r="F162" i="21"/>
  <c r="G162" i="21" s="1"/>
  <c r="F163" i="21"/>
  <c r="G163" i="21" s="1"/>
  <c r="F164" i="21"/>
  <c r="G164" i="21" s="1"/>
  <c r="F165" i="21"/>
  <c r="G165" i="21" s="1"/>
  <c r="F166" i="21"/>
  <c r="G166" i="21" s="1"/>
  <c r="F167" i="21"/>
  <c r="G167" i="21" s="1"/>
  <c r="F168" i="21"/>
  <c r="G168" i="21" s="1"/>
  <c r="F169" i="21"/>
  <c r="G169" i="21" s="1"/>
  <c r="F170" i="21"/>
  <c r="G170" i="21" s="1"/>
  <c r="F171" i="21"/>
  <c r="G171" i="21" s="1"/>
  <c r="F172" i="21"/>
  <c r="G172" i="21" s="1"/>
  <c r="F173" i="21"/>
  <c r="G173" i="21" s="1"/>
  <c r="F174" i="21"/>
  <c r="G174" i="21" s="1"/>
  <c r="F175" i="21"/>
  <c r="G175" i="21" s="1"/>
  <c r="F176" i="21"/>
  <c r="G176" i="21" s="1"/>
  <c r="F177" i="21"/>
  <c r="G177" i="21" s="1"/>
  <c r="F178" i="21"/>
  <c r="G178" i="21" s="1"/>
  <c r="F179" i="21"/>
  <c r="G179" i="21" s="1"/>
  <c r="F180" i="21"/>
  <c r="G180" i="21" s="1"/>
  <c r="F181" i="21"/>
  <c r="G181" i="21" s="1"/>
  <c r="F182" i="21"/>
  <c r="G182" i="21" s="1"/>
  <c r="F183" i="21"/>
  <c r="G183" i="21" s="1"/>
  <c r="F184" i="21"/>
  <c r="G184" i="21" s="1"/>
  <c r="F185" i="21"/>
  <c r="G185" i="21" s="1"/>
  <c r="F186" i="21"/>
  <c r="G186" i="21" s="1"/>
  <c r="F187" i="21"/>
  <c r="G187" i="21" s="1"/>
  <c r="F188" i="21"/>
  <c r="G188" i="21" s="1"/>
  <c r="F189" i="21"/>
  <c r="G189" i="21" s="1"/>
  <c r="F190" i="21"/>
  <c r="G190" i="21" s="1"/>
  <c r="F191" i="21"/>
  <c r="G191" i="21" s="1"/>
  <c r="F192" i="21"/>
  <c r="G192" i="21" s="1"/>
  <c r="F193" i="21"/>
  <c r="G193" i="21" s="1"/>
  <c r="F194" i="21"/>
  <c r="G194" i="21" s="1"/>
  <c r="F195" i="21"/>
  <c r="G195" i="21" s="1"/>
  <c r="F196" i="21"/>
  <c r="G196" i="21" s="1"/>
  <c r="F197" i="21"/>
  <c r="G197" i="21" s="1"/>
  <c r="F198" i="21"/>
  <c r="G198" i="21" s="1"/>
  <c r="F199" i="21"/>
  <c r="G199" i="21" s="1"/>
  <c r="F200" i="21"/>
  <c r="G200" i="21" s="1"/>
  <c r="F201" i="21"/>
  <c r="G201" i="21" s="1"/>
  <c r="F202" i="21"/>
  <c r="G202" i="21" s="1"/>
  <c r="F203" i="21"/>
  <c r="G203" i="21" s="1"/>
  <c r="F204" i="21"/>
  <c r="G204" i="21" s="1"/>
  <c r="F205" i="21"/>
  <c r="G205" i="21" s="1"/>
  <c r="F206" i="21"/>
  <c r="G206" i="21" s="1"/>
  <c r="F207" i="21"/>
  <c r="G207" i="21" s="1"/>
  <c r="F208" i="21"/>
  <c r="G208" i="21" s="1"/>
  <c r="F209" i="21"/>
  <c r="G209" i="21" s="1"/>
  <c r="F210" i="21"/>
  <c r="G210" i="21" s="1"/>
  <c r="F211" i="21"/>
  <c r="G211" i="21" s="1"/>
  <c r="F212" i="21"/>
  <c r="G212" i="21" s="1"/>
  <c r="F213" i="21"/>
  <c r="G213" i="21" s="1"/>
  <c r="F214" i="21"/>
  <c r="G214" i="21" s="1"/>
  <c r="F215" i="21"/>
  <c r="G215" i="21" s="1"/>
  <c r="F216" i="21"/>
  <c r="G216" i="21" s="1"/>
  <c r="F217" i="21"/>
  <c r="G217" i="21" s="1"/>
  <c r="F218" i="21"/>
  <c r="G218" i="21" s="1"/>
  <c r="B11" i="28" s="1"/>
  <c r="F219" i="21"/>
  <c r="G219" i="21" s="1"/>
  <c r="F220" i="21"/>
  <c r="G220" i="21" s="1"/>
  <c r="F221" i="21"/>
  <c r="G221" i="21" s="1"/>
  <c r="F222" i="21"/>
  <c r="G222" i="21" s="1"/>
  <c r="F223" i="21"/>
  <c r="G223" i="21" s="1"/>
  <c r="F224" i="21"/>
  <c r="G224" i="21" s="1"/>
  <c r="F225" i="21"/>
  <c r="G225" i="21" s="1"/>
  <c r="F226" i="21"/>
  <c r="G226" i="21" s="1"/>
  <c r="F227" i="21"/>
  <c r="G227" i="21" s="1"/>
  <c r="F228" i="21"/>
  <c r="G228" i="21" s="1"/>
  <c r="F229" i="21"/>
  <c r="G229" i="21" s="1"/>
  <c r="F230" i="21"/>
  <c r="G230" i="21" s="1"/>
  <c r="F231" i="21"/>
  <c r="G231" i="21" s="1"/>
  <c r="F232" i="21"/>
  <c r="G232" i="21" s="1"/>
  <c r="F233" i="21"/>
  <c r="G233" i="21" s="1"/>
  <c r="F234" i="21"/>
  <c r="G234" i="21" s="1"/>
  <c r="F235" i="21"/>
  <c r="G235" i="21" s="1"/>
  <c r="F236" i="21"/>
  <c r="G236" i="21" s="1"/>
  <c r="F237" i="21"/>
  <c r="G237" i="21" s="1"/>
  <c r="F238" i="21"/>
  <c r="G238" i="21" s="1"/>
  <c r="F239" i="21"/>
  <c r="G239" i="21" s="1"/>
  <c r="F240" i="21"/>
  <c r="G240" i="21" s="1"/>
  <c r="F241" i="21"/>
  <c r="G241" i="21" s="1"/>
  <c r="F242" i="21"/>
  <c r="G242" i="21" s="1"/>
  <c r="F243" i="21"/>
  <c r="G243" i="21" s="1"/>
  <c r="F244" i="21"/>
  <c r="G244" i="21" s="1"/>
  <c r="F245" i="21"/>
  <c r="G245" i="21" s="1"/>
  <c r="F246" i="21"/>
  <c r="G246" i="21" s="1"/>
  <c r="F247" i="21"/>
  <c r="G247" i="21" s="1"/>
  <c r="F248" i="21"/>
  <c r="G248" i="21" s="1"/>
  <c r="F249" i="21"/>
  <c r="G249" i="21" s="1"/>
  <c r="F250" i="21"/>
  <c r="G250" i="21" s="1"/>
  <c r="F251" i="21"/>
  <c r="G251" i="21" s="1"/>
  <c r="F252" i="21"/>
  <c r="G252" i="21" s="1"/>
  <c r="F253" i="21"/>
  <c r="G253" i="21" s="1"/>
  <c r="F254" i="21"/>
  <c r="G254" i="21" s="1"/>
  <c r="F255" i="21"/>
  <c r="G255" i="21" s="1"/>
  <c r="F256" i="21"/>
  <c r="G256" i="21" s="1"/>
  <c r="F257" i="21"/>
  <c r="G257" i="21" s="1"/>
  <c r="F258" i="21"/>
  <c r="G258" i="21" s="1"/>
  <c r="F259" i="21"/>
  <c r="G259" i="21" s="1"/>
  <c r="F260" i="21"/>
  <c r="G260" i="21" s="1"/>
  <c r="F261" i="21"/>
  <c r="G261" i="21" s="1"/>
  <c r="E6"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7" i="21"/>
  <c r="A7" i="21"/>
  <c r="B7" i="21"/>
  <c r="A8" i="21"/>
  <c r="B8" i="21"/>
  <c r="A9" i="21"/>
  <c r="B9" i="21"/>
  <c r="A10" i="21"/>
  <c r="B10" i="21"/>
  <c r="A11" i="21"/>
  <c r="B11" i="21"/>
  <c r="A12" i="21"/>
  <c r="B12" i="21"/>
  <c r="A13" i="21"/>
  <c r="B13" i="21"/>
  <c r="A14" i="21"/>
  <c r="B14" i="21"/>
  <c r="A15" i="21"/>
  <c r="B15" i="21"/>
  <c r="A16" i="21"/>
  <c r="B16" i="21"/>
  <c r="A17" i="21"/>
  <c r="B17" i="21"/>
  <c r="A18" i="21"/>
  <c r="B18" i="21"/>
  <c r="A19" i="21"/>
  <c r="B19" i="21"/>
  <c r="A20" i="21"/>
  <c r="B20" i="21"/>
  <c r="A21" i="21"/>
  <c r="B21" i="21"/>
  <c r="A22" i="21"/>
  <c r="B22" i="21"/>
  <c r="A23" i="21"/>
  <c r="B23" i="21"/>
  <c r="A24" i="21"/>
  <c r="B24" i="21"/>
  <c r="A25" i="21"/>
  <c r="B25" i="21"/>
  <c r="A26" i="21"/>
  <c r="B26" i="21"/>
  <c r="A27" i="21"/>
  <c r="B27" i="21"/>
  <c r="A28" i="21"/>
  <c r="B28" i="21"/>
  <c r="A29" i="21"/>
  <c r="B29" i="21"/>
  <c r="A30" i="21"/>
  <c r="B30" i="21"/>
  <c r="A31" i="21"/>
  <c r="B31" i="21"/>
  <c r="A32" i="21"/>
  <c r="B32" i="21"/>
  <c r="A33" i="21"/>
  <c r="B33" i="21"/>
  <c r="A34" i="21"/>
  <c r="B34" i="21"/>
  <c r="A35" i="21"/>
  <c r="B35" i="21"/>
  <c r="A36" i="21"/>
  <c r="B36" i="21"/>
  <c r="A37" i="21"/>
  <c r="B37" i="21"/>
  <c r="A38" i="21"/>
  <c r="B38" i="21"/>
  <c r="A39" i="21"/>
  <c r="B39" i="21"/>
  <c r="A40" i="21"/>
  <c r="B40" i="21"/>
  <c r="A41" i="21"/>
  <c r="B41" i="21"/>
  <c r="A42" i="21"/>
  <c r="B42" i="21"/>
  <c r="A43" i="21"/>
  <c r="B43" i="21"/>
  <c r="A44" i="21"/>
  <c r="B44" i="21"/>
  <c r="A45" i="21"/>
  <c r="B45" i="21"/>
  <c r="A46" i="21"/>
  <c r="B46" i="21"/>
  <c r="A47" i="21"/>
  <c r="B47" i="21"/>
  <c r="A48" i="21"/>
  <c r="B48" i="21"/>
  <c r="A49" i="21"/>
  <c r="B49" i="21"/>
  <c r="A50" i="21"/>
  <c r="B50" i="21"/>
  <c r="A51" i="21"/>
  <c r="B51" i="21"/>
  <c r="A52" i="21"/>
  <c r="B52" i="21"/>
  <c r="A53" i="21"/>
  <c r="B53" i="21"/>
  <c r="A54" i="21"/>
  <c r="B54" i="21"/>
  <c r="A55" i="21"/>
  <c r="B55" i="21"/>
  <c r="A56" i="21"/>
  <c r="B56" i="21"/>
  <c r="A57" i="21"/>
  <c r="B57" i="21"/>
  <c r="A58" i="21"/>
  <c r="B58" i="21"/>
  <c r="A59" i="21"/>
  <c r="B59" i="21"/>
  <c r="A60" i="21"/>
  <c r="B60" i="21"/>
  <c r="A61" i="21"/>
  <c r="B61" i="21"/>
  <c r="A62" i="21"/>
  <c r="B62" i="21"/>
  <c r="A63" i="21"/>
  <c r="B63" i="21"/>
  <c r="A64" i="21"/>
  <c r="B64" i="21"/>
  <c r="A65" i="21"/>
  <c r="B65" i="21"/>
  <c r="A66" i="21"/>
  <c r="B66" i="21"/>
  <c r="A67" i="21"/>
  <c r="B67" i="21"/>
  <c r="A68" i="21"/>
  <c r="B68" i="21"/>
  <c r="A69" i="21"/>
  <c r="B69" i="21"/>
  <c r="A70" i="21"/>
  <c r="B70" i="21"/>
  <c r="A71" i="21"/>
  <c r="B71" i="21"/>
  <c r="A72" i="21"/>
  <c r="B72" i="21"/>
  <c r="A73" i="21"/>
  <c r="B73" i="21"/>
  <c r="A74" i="21"/>
  <c r="B74" i="21"/>
  <c r="A75" i="21"/>
  <c r="B75" i="21"/>
  <c r="A76" i="21"/>
  <c r="B76" i="21"/>
  <c r="A77" i="21"/>
  <c r="B77" i="21"/>
  <c r="A78" i="21"/>
  <c r="B78" i="21"/>
  <c r="A79" i="21"/>
  <c r="B79" i="21"/>
  <c r="A80" i="21"/>
  <c r="B80" i="21"/>
  <c r="A81" i="21"/>
  <c r="B81" i="21"/>
  <c r="A82" i="21"/>
  <c r="B82" i="21"/>
  <c r="A83" i="21"/>
  <c r="B83" i="21"/>
  <c r="A84" i="21"/>
  <c r="B84" i="21"/>
  <c r="A85" i="21"/>
  <c r="B85" i="21"/>
  <c r="A86" i="21"/>
  <c r="B86" i="21"/>
  <c r="A87" i="21"/>
  <c r="B87" i="21"/>
  <c r="A88" i="21"/>
  <c r="B88" i="21"/>
  <c r="A89" i="21"/>
  <c r="B89" i="21"/>
  <c r="A90" i="21"/>
  <c r="B90" i="21"/>
  <c r="A91" i="21"/>
  <c r="B91" i="21"/>
  <c r="A92" i="21"/>
  <c r="B92" i="21"/>
  <c r="A93" i="21"/>
  <c r="B93" i="21"/>
  <c r="A94" i="21"/>
  <c r="B94" i="21"/>
  <c r="A95" i="21"/>
  <c r="B95" i="21"/>
  <c r="A96" i="21"/>
  <c r="B96" i="21"/>
  <c r="A97" i="21"/>
  <c r="B97" i="21"/>
  <c r="A98" i="21"/>
  <c r="B98" i="21"/>
  <c r="A99" i="21"/>
  <c r="B99" i="21"/>
  <c r="A100" i="21"/>
  <c r="B100" i="21"/>
  <c r="A101" i="21"/>
  <c r="B101" i="21"/>
  <c r="A102" i="21"/>
  <c r="B102" i="21"/>
  <c r="A103" i="21"/>
  <c r="B103" i="21"/>
  <c r="A104" i="21"/>
  <c r="B104" i="21"/>
  <c r="A105" i="21"/>
  <c r="B105" i="21"/>
  <c r="A106" i="21"/>
  <c r="B106" i="21"/>
  <c r="A107" i="21"/>
  <c r="B107" i="21"/>
  <c r="A108" i="21"/>
  <c r="B108" i="21"/>
  <c r="A109" i="21"/>
  <c r="B109" i="21"/>
  <c r="A110" i="21"/>
  <c r="B110" i="21"/>
  <c r="A111" i="21"/>
  <c r="B111" i="21"/>
  <c r="A112" i="21"/>
  <c r="B112" i="21"/>
  <c r="A113" i="21"/>
  <c r="B113" i="21"/>
  <c r="A114" i="21"/>
  <c r="B114" i="21"/>
  <c r="A115" i="21"/>
  <c r="B115" i="21"/>
  <c r="A116" i="21"/>
  <c r="B116" i="21"/>
  <c r="A117" i="21"/>
  <c r="B117" i="21"/>
  <c r="A118" i="21"/>
  <c r="B118" i="21"/>
  <c r="A119" i="21"/>
  <c r="B119" i="21"/>
  <c r="A120" i="21"/>
  <c r="B120" i="21"/>
  <c r="A121" i="21"/>
  <c r="B121" i="21"/>
  <c r="A122" i="21"/>
  <c r="B122" i="21"/>
  <c r="A123" i="21"/>
  <c r="B123" i="21"/>
  <c r="A124" i="21"/>
  <c r="B124" i="21"/>
  <c r="A125" i="21"/>
  <c r="B125" i="21"/>
  <c r="A126" i="21"/>
  <c r="B126" i="21"/>
  <c r="A127" i="21"/>
  <c r="B127" i="21"/>
  <c r="A128" i="21"/>
  <c r="B128" i="21"/>
  <c r="A129" i="21"/>
  <c r="B129" i="21"/>
  <c r="A130" i="21"/>
  <c r="B130" i="21"/>
  <c r="A131" i="21"/>
  <c r="B131" i="21"/>
  <c r="A132" i="21"/>
  <c r="B132" i="21"/>
  <c r="A133" i="21"/>
  <c r="B133" i="21"/>
  <c r="A134" i="21"/>
  <c r="B134" i="21"/>
  <c r="A135" i="21"/>
  <c r="B135" i="21"/>
  <c r="A136" i="21"/>
  <c r="B136" i="21"/>
  <c r="A137" i="21"/>
  <c r="B137" i="21"/>
  <c r="A138" i="21"/>
  <c r="B138" i="21"/>
  <c r="A139" i="21"/>
  <c r="B139" i="21"/>
  <c r="A140" i="21"/>
  <c r="B140" i="21"/>
  <c r="A141" i="21"/>
  <c r="B141" i="21"/>
  <c r="A142" i="21"/>
  <c r="B142" i="21"/>
  <c r="A143" i="21"/>
  <c r="B143" i="21"/>
  <c r="A144" i="21"/>
  <c r="B144" i="21"/>
  <c r="A145" i="21"/>
  <c r="B145" i="21"/>
  <c r="A146" i="21"/>
  <c r="B146" i="21"/>
  <c r="A147" i="21"/>
  <c r="B147" i="21"/>
  <c r="A148" i="21"/>
  <c r="B148" i="21"/>
  <c r="A149" i="21"/>
  <c r="B149" i="21"/>
  <c r="A150" i="21"/>
  <c r="B150" i="21"/>
  <c r="A151" i="21"/>
  <c r="B151" i="21"/>
  <c r="A152" i="21"/>
  <c r="B152" i="21"/>
  <c r="A153" i="21"/>
  <c r="B153" i="21"/>
  <c r="A154" i="21"/>
  <c r="B154" i="21"/>
  <c r="A155" i="21"/>
  <c r="B155" i="21"/>
  <c r="A156" i="21"/>
  <c r="B156" i="21"/>
  <c r="A157" i="21"/>
  <c r="B157" i="21"/>
  <c r="A158" i="21"/>
  <c r="B158" i="21"/>
  <c r="A159" i="21"/>
  <c r="B159" i="21"/>
  <c r="A160" i="21"/>
  <c r="B160" i="21"/>
  <c r="A161" i="21"/>
  <c r="B161" i="21"/>
  <c r="A162" i="21"/>
  <c r="B162" i="21"/>
  <c r="A163" i="21"/>
  <c r="B163" i="21"/>
  <c r="A164" i="21"/>
  <c r="B164" i="21"/>
  <c r="A165" i="21"/>
  <c r="B165" i="21"/>
  <c r="A166" i="21"/>
  <c r="B166" i="21"/>
  <c r="A167" i="21"/>
  <c r="B167" i="21"/>
  <c r="A168" i="21"/>
  <c r="B168" i="21"/>
  <c r="A169" i="21"/>
  <c r="B169" i="21"/>
  <c r="A170" i="21"/>
  <c r="B170" i="21"/>
  <c r="A171" i="21"/>
  <c r="B171" i="21"/>
  <c r="A172" i="21"/>
  <c r="B172" i="21"/>
  <c r="A173" i="21"/>
  <c r="B173" i="21"/>
  <c r="A174" i="21"/>
  <c r="B174" i="21"/>
  <c r="A175" i="21"/>
  <c r="B175" i="21"/>
  <c r="A176" i="21"/>
  <c r="B176" i="21"/>
  <c r="A177" i="21"/>
  <c r="B177" i="21"/>
  <c r="A178" i="21"/>
  <c r="B178" i="21"/>
  <c r="A179" i="21"/>
  <c r="B179" i="21"/>
  <c r="A180" i="21"/>
  <c r="B180" i="21"/>
  <c r="A181" i="21"/>
  <c r="B181" i="21"/>
  <c r="A182" i="21"/>
  <c r="B182" i="21"/>
  <c r="A183" i="21"/>
  <c r="B183" i="21"/>
  <c r="A184" i="21"/>
  <c r="B184" i="21"/>
  <c r="A185" i="21"/>
  <c r="B185" i="21"/>
  <c r="A186" i="21"/>
  <c r="B186" i="21"/>
  <c r="A187" i="21"/>
  <c r="B187" i="21"/>
  <c r="A188" i="21"/>
  <c r="B188" i="21"/>
  <c r="A189" i="21"/>
  <c r="B189" i="21"/>
  <c r="A190" i="21"/>
  <c r="B190" i="21"/>
  <c r="A191" i="21"/>
  <c r="B191" i="21"/>
  <c r="A192" i="21"/>
  <c r="B192" i="21"/>
  <c r="A193" i="21"/>
  <c r="B193" i="21"/>
  <c r="A194" i="21"/>
  <c r="B194" i="21"/>
  <c r="A195" i="21"/>
  <c r="B195" i="21"/>
  <c r="A196" i="21"/>
  <c r="B196" i="21"/>
  <c r="A197" i="21"/>
  <c r="B197" i="21"/>
  <c r="A198" i="21"/>
  <c r="B198" i="21"/>
  <c r="A199" i="21"/>
  <c r="B199" i="21"/>
  <c r="A200" i="21"/>
  <c r="B200" i="21"/>
  <c r="A201" i="21"/>
  <c r="B201" i="21"/>
  <c r="A202" i="21"/>
  <c r="B202" i="21"/>
  <c r="A203" i="21"/>
  <c r="B203" i="21"/>
  <c r="A204" i="21"/>
  <c r="B204" i="21"/>
  <c r="A205" i="21"/>
  <c r="B205" i="21"/>
  <c r="A206" i="21"/>
  <c r="B206" i="21"/>
  <c r="A207" i="21"/>
  <c r="B207" i="21"/>
  <c r="A208" i="21"/>
  <c r="B208" i="21"/>
  <c r="A209" i="21"/>
  <c r="B209" i="21"/>
  <c r="A210" i="21"/>
  <c r="B210" i="21"/>
  <c r="A211" i="21"/>
  <c r="B211" i="21"/>
  <c r="A212" i="21"/>
  <c r="B212" i="21"/>
  <c r="A213" i="21"/>
  <c r="B213" i="21"/>
  <c r="A214" i="21"/>
  <c r="B214" i="21"/>
  <c r="A215" i="21"/>
  <c r="B215" i="21"/>
  <c r="A216" i="21"/>
  <c r="B216" i="21"/>
  <c r="A217" i="21"/>
  <c r="B217" i="21"/>
  <c r="A218" i="21"/>
  <c r="B218" i="21"/>
  <c r="A219" i="21"/>
  <c r="B219" i="21"/>
  <c r="A220" i="21"/>
  <c r="B220" i="21"/>
  <c r="A221" i="21"/>
  <c r="B221" i="21"/>
  <c r="A222" i="21"/>
  <c r="B222" i="21"/>
  <c r="A223" i="21"/>
  <c r="B223" i="21"/>
  <c r="A224" i="21"/>
  <c r="B224" i="21"/>
  <c r="A225" i="21"/>
  <c r="B225" i="21"/>
  <c r="A226" i="21"/>
  <c r="B226" i="21"/>
  <c r="A227" i="21"/>
  <c r="B227" i="21"/>
  <c r="A228" i="21"/>
  <c r="B228" i="21"/>
  <c r="A229" i="21"/>
  <c r="B229" i="21"/>
  <c r="A230" i="21"/>
  <c r="B230" i="21"/>
  <c r="A231" i="21"/>
  <c r="B231" i="21"/>
  <c r="A232" i="21"/>
  <c r="B232" i="21"/>
  <c r="A233" i="21"/>
  <c r="B233" i="21"/>
  <c r="A234" i="21"/>
  <c r="B234" i="21"/>
  <c r="A235" i="21"/>
  <c r="B235" i="21"/>
  <c r="A236" i="21"/>
  <c r="B236" i="21"/>
  <c r="A237" i="21"/>
  <c r="B237" i="21"/>
  <c r="A238" i="21"/>
  <c r="B238" i="21"/>
  <c r="A239" i="21"/>
  <c r="B239" i="21"/>
  <c r="A240" i="21"/>
  <c r="B240" i="21"/>
  <c r="A241" i="21"/>
  <c r="B241" i="21"/>
  <c r="A242" i="21"/>
  <c r="B242" i="21"/>
  <c r="A243" i="21"/>
  <c r="B243" i="21"/>
  <c r="A244" i="21"/>
  <c r="B244" i="21"/>
  <c r="A245" i="21"/>
  <c r="B245" i="21"/>
  <c r="A246" i="21"/>
  <c r="B246" i="21"/>
  <c r="A247" i="21"/>
  <c r="B247" i="21"/>
  <c r="A248" i="21"/>
  <c r="B248" i="21"/>
  <c r="A249" i="21"/>
  <c r="B249" i="21"/>
  <c r="A250" i="21"/>
  <c r="B250" i="21"/>
  <c r="A251" i="21"/>
  <c r="B251" i="21"/>
  <c r="A252" i="21"/>
  <c r="B252" i="21"/>
  <c r="A253" i="21"/>
  <c r="B253" i="21"/>
  <c r="A254" i="21"/>
  <c r="B254" i="21"/>
  <c r="A255" i="21"/>
  <c r="B255" i="21"/>
  <c r="A256" i="21"/>
  <c r="B256" i="21"/>
  <c r="A257" i="21"/>
  <c r="B257" i="21"/>
  <c r="A258" i="21"/>
  <c r="B258" i="21"/>
  <c r="A259" i="21"/>
  <c r="B259" i="21"/>
  <c r="A260" i="21"/>
  <c r="B260" i="21"/>
  <c r="A261" i="21"/>
  <c r="B261" i="21"/>
  <c r="B2" i="21"/>
  <c r="E3" i="21"/>
  <c r="E4" i="21"/>
  <c r="E5" i="21"/>
  <c r="E2" i="21"/>
  <c r="A3" i="21"/>
  <c r="F3" i="21" s="1"/>
  <c r="B3" i="21"/>
  <c r="A4" i="21"/>
  <c r="F4" i="21" s="1"/>
  <c r="B4" i="21"/>
  <c r="A5" i="21"/>
  <c r="B5" i="21"/>
  <c r="A6" i="21"/>
  <c r="F6" i="21" s="1"/>
  <c r="B6" i="21"/>
  <c r="A2" i="21"/>
  <c r="D2"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C261" i="20"/>
  <c r="C260" i="20"/>
  <c r="C259" i="20"/>
  <c r="C258" i="20"/>
  <c r="C257" i="20"/>
  <c r="C256" i="20"/>
  <c r="C255" i="20"/>
  <c r="C254" i="20"/>
  <c r="C253" i="20"/>
  <c r="C252" i="20"/>
  <c r="C251" i="20"/>
  <c r="C250" i="20"/>
  <c r="C249" i="20"/>
  <c r="C248" i="20"/>
  <c r="C247" i="20"/>
  <c r="C246" i="20"/>
  <c r="C245" i="20"/>
  <c r="C244" i="20"/>
  <c r="C243" i="20"/>
  <c r="C242" i="20"/>
  <c r="C241" i="20"/>
  <c r="C240" i="20"/>
  <c r="C239" i="20"/>
  <c r="C238" i="20"/>
  <c r="C237" i="20"/>
  <c r="C236" i="20"/>
  <c r="C235" i="20"/>
  <c r="C234" i="20"/>
  <c r="C233" i="20"/>
  <c r="C232" i="20"/>
  <c r="C231" i="20"/>
  <c r="C230" i="20"/>
  <c r="C229" i="20"/>
  <c r="C228" i="20"/>
  <c r="C227" i="20"/>
  <c r="C226" i="20"/>
  <c r="C225" i="20"/>
  <c r="C224" i="20"/>
  <c r="C223" i="20"/>
  <c r="C222" i="20"/>
  <c r="C221" i="20"/>
  <c r="C220" i="20"/>
  <c r="C219" i="20"/>
  <c r="C218" i="20"/>
  <c r="C217" i="20"/>
  <c r="C216" i="20"/>
  <c r="C215" i="20"/>
  <c r="C214" i="20"/>
  <c r="C213" i="20"/>
  <c r="C212" i="20"/>
  <c r="C211" i="20"/>
  <c r="C210" i="20"/>
  <c r="C209" i="20"/>
  <c r="C208" i="20"/>
  <c r="C207" i="20"/>
  <c r="C206" i="20"/>
  <c r="C205" i="20"/>
  <c r="C204" i="20"/>
  <c r="C203" i="20"/>
  <c r="C202" i="20"/>
  <c r="C201" i="20"/>
  <c r="C200" i="20"/>
  <c r="C199" i="20"/>
  <c r="C198" i="20"/>
  <c r="C197" i="20"/>
  <c r="C196" i="20"/>
  <c r="C195" i="20"/>
  <c r="C194" i="20"/>
  <c r="C193" i="20"/>
  <c r="C192" i="20"/>
  <c r="C191" i="20"/>
  <c r="C190" i="20"/>
  <c r="C189" i="20"/>
  <c r="C188" i="20"/>
  <c r="C187" i="20"/>
  <c r="C186" i="20"/>
  <c r="C185" i="20"/>
  <c r="C184" i="20"/>
  <c r="C183" i="20"/>
  <c r="C182" i="20"/>
  <c r="C181" i="20"/>
  <c r="C180" i="20"/>
  <c r="C179" i="20"/>
  <c r="C178" i="20"/>
  <c r="C177" i="20"/>
  <c r="C176" i="20"/>
  <c r="C175" i="20"/>
  <c r="C174" i="20"/>
  <c r="C173" i="20"/>
  <c r="C172" i="20"/>
  <c r="C171" i="20"/>
  <c r="C170" i="20"/>
  <c r="C169" i="20"/>
  <c r="C168" i="20"/>
  <c r="C167" i="20"/>
  <c r="C166" i="20"/>
  <c r="C165" i="20"/>
  <c r="C164" i="20"/>
  <c r="C163" i="20"/>
  <c r="C162" i="20"/>
  <c r="C161" i="20"/>
  <c r="C160" i="20"/>
  <c r="C159" i="20"/>
  <c r="C158" i="20"/>
  <c r="C157" i="20"/>
  <c r="C156" i="20"/>
  <c r="C155" i="20"/>
  <c r="C154" i="20"/>
  <c r="C153" i="20"/>
  <c r="C152" i="20"/>
  <c r="C151" i="20"/>
  <c r="C150" i="20"/>
  <c r="C149" i="20"/>
  <c r="C148" i="20"/>
  <c r="C147" i="20"/>
  <c r="C146" i="20"/>
  <c r="C145" i="20"/>
  <c r="C144" i="20"/>
  <c r="C143" i="20"/>
  <c r="C142" i="20"/>
  <c r="C141" i="20"/>
  <c r="C140" i="20"/>
  <c r="C139" i="20"/>
  <c r="C138" i="20"/>
  <c r="C137" i="20"/>
  <c r="C136" i="20"/>
  <c r="C135" i="20"/>
  <c r="C134" i="20"/>
  <c r="C133" i="20"/>
  <c r="C132" i="20"/>
  <c r="C131" i="20"/>
  <c r="C130" i="20"/>
  <c r="C129" i="20"/>
  <c r="C128" i="20"/>
  <c r="C127" i="20"/>
  <c r="C126" i="20"/>
  <c r="C125" i="20"/>
  <c r="C124" i="20"/>
  <c r="C123" i="20"/>
  <c r="C122" i="20"/>
  <c r="C121" i="20"/>
  <c r="C120" i="20"/>
  <c r="C119" i="20"/>
  <c r="C118" i="20"/>
  <c r="C117" i="20"/>
  <c r="C116" i="20"/>
  <c r="C115" i="20"/>
  <c r="C114" i="20"/>
  <c r="C113" i="20"/>
  <c r="C112" i="20"/>
  <c r="C111" i="20"/>
  <c r="C110" i="20"/>
  <c r="C109" i="20"/>
  <c r="C108" i="20"/>
  <c r="C107" i="20"/>
  <c r="C106" i="20"/>
  <c r="C105" i="20"/>
  <c r="C104" i="20"/>
  <c r="C103" i="20"/>
  <c r="C102" i="20"/>
  <c r="C101" i="20"/>
  <c r="C100" i="20"/>
  <c r="C99" i="20"/>
  <c r="C98" i="20"/>
  <c r="C97" i="20"/>
  <c r="C96" i="20"/>
  <c r="C95" i="20"/>
  <c r="C94" i="20"/>
  <c r="C93" i="20"/>
  <c r="C92" i="20"/>
  <c r="C91" i="20"/>
  <c r="C90" i="20"/>
  <c r="C89" i="20"/>
  <c r="C88" i="20"/>
  <c r="C87" i="20"/>
  <c r="C86" i="20"/>
  <c r="C85" i="20"/>
  <c r="C84" i="20"/>
  <c r="C83" i="20"/>
  <c r="C82" i="20"/>
  <c r="C81" i="20"/>
  <c r="C80" i="20"/>
  <c r="C79" i="20"/>
  <c r="C78" i="20"/>
  <c r="C77" i="20"/>
  <c r="C76" i="20"/>
  <c r="C75" i="20"/>
  <c r="C74" i="20"/>
  <c r="C73" i="20"/>
  <c r="C72" i="20"/>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2" i="20"/>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1002" i="18"/>
  <c r="I1003" i="18"/>
  <c r="I1004" i="18"/>
  <c r="I1005" i="18"/>
  <c r="I1006" i="18"/>
  <c r="I1007" i="18"/>
  <c r="I1008" i="18"/>
  <c r="I1009" i="18"/>
  <c r="I1010" i="18"/>
  <c r="I1011" i="18"/>
  <c r="I1012" i="18"/>
  <c r="I1013" i="18"/>
  <c r="I1014" i="18"/>
  <c r="I1015" i="18"/>
  <c r="I1016" i="18"/>
  <c r="I1017" i="18"/>
  <c r="I1018" i="18"/>
  <c r="I1019" i="18"/>
  <c r="I1020" i="18"/>
  <c r="I1021" i="18"/>
  <c r="I1022" i="18"/>
  <c r="I1023" i="18"/>
  <c r="I1024" i="18"/>
  <c r="I1025" i="18"/>
  <c r="I1026" i="18"/>
  <c r="I1027" i="18"/>
  <c r="I1028" i="18"/>
  <c r="I1029" i="18"/>
  <c r="I1030" i="18"/>
  <c r="I1031" i="18"/>
  <c r="I1032" i="18"/>
  <c r="I1033" i="18"/>
  <c r="I1034" i="18"/>
  <c r="I1035" i="18"/>
  <c r="I1036" i="18"/>
  <c r="I1037" i="18"/>
  <c r="I1038" i="18"/>
  <c r="I1039" i="18"/>
  <c r="I1040" i="18"/>
  <c r="I1041" i="18"/>
  <c r="K219" i="18"/>
  <c r="K255" i="18"/>
  <c r="K303" i="18"/>
  <c r="K699" i="18"/>
  <c r="K794" i="18"/>
  <c r="K795" i="18"/>
  <c r="K843" i="18"/>
  <c r="J2" i="18"/>
  <c r="J3" i="18"/>
  <c r="J4" i="18"/>
  <c r="J5" i="18"/>
  <c r="J6" i="18"/>
  <c r="J7" i="18"/>
  <c r="J8" i="18"/>
  <c r="J9" i="18"/>
  <c r="J10" i="18"/>
  <c r="J11" i="18"/>
  <c r="J12" i="18"/>
  <c r="J13" i="18"/>
  <c r="J14" i="18"/>
  <c r="J15" i="18"/>
  <c r="J16" i="18"/>
  <c r="J17" i="18"/>
  <c r="J18" i="18"/>
  <c r="J19" i="18"/>
  <c r="J20" i="18"/>
  <c r="J21" i="18"/>
  <c r="J22" i="18"/>
  <c r="J23" i="18"/>
  <c r="K23" i="18" s="1"/>
  <c r="J24" i="18"/>
  <c r="J25" i="18"/>
  <c r="J26" i="18"/>
  <c r="J27" i="18"/>
  <c r="J28" i="18"/>
  <c r="J29" i="18"/>
  <c r="J30" i="18"/>
  <c r="J31" i="18"/>
  <c r="J32" i="18"/>
  <c r="J33" i="18"/>
  <c r="K33" i="18" s="1"/>
  <c r="J34" i="18"/>
  <c r="J35" i="18"/>
  <c r="K35" i="18" s="1"/>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K71" i="18" s="1"/>
  <c r="J72" i="18"/>
  <c r="J73" i="18"/>
  <c r="J74" i="18"/>
  <c r="J75" i="18"/>
  <c r="J76" i="18"/>
  <c r="J77" i="18"/>
  <c r="J78" i="18"/>
  <c r="J79" i="18"/>
  <c r="J80" i="18"/>
  <c r="J81" i="18"/>
  <c r="J82" i="18"/>
  <c r="J83" i="18"/>
  <c r="K83" i="18" s="1"/>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K119" i="18" s="1"/>
  <c r="J120" i="18"/>
  <c r="J121" i="18"/>
  <c r="J122" i="18"/>
  <c r="J123" i="18"/>
  <c r="J124" i="18"/>
  <c r="J125" i="18"/>
  <c r="J126" i="18"/>
  <c r="J127" i="18"/>
  <c r="J128" i="18"/>
  <c r="J129" i="18"/>
  <c r="J130" i="18"/>
  <c r="J131" i="18"/>
  <c r="K131" i="18" s="1"/>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K167" i="18" s="1"/>
  <c r="J168" i="18"/>
  <c r="J169" i="18"/>
  <c r="J170" i="18"/>
  <c r="J171" i="18"/>
  <c r="J172" i="18"/>
  <c r="J173" i="18"/>
  <c r="J174" i="18"/>
  <c r="J175" i="18"/>
  <c r="J176" i="18"/>
  <c r="J177" i="18"/>
  <c r="K177" i="18" s="1"/>
  <c r="J178" i="18"/>
  <c r="J179" i="18"/>
  <c r="K179" i="18" s="1"/>
  <c r="J180" i="18"/>
  <c r="J181" i="18"/>
  <c r="J182" i="18"/>
  <c r="J183" i="18"/>
  <c r="J184" i="18"/>
  <c r="J185" i="18"/>
  <c r="J186" i="18"/>
  <c r="J187" i="18"/>
  <c r="J188" i="18"/>
  <c r="J189" i="18"/>
  <c r="J190" i="18"/>
  <c r="J191" i="18"/>
  <c r="K191" i="18" s="1"/>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K227" i="18" s="1"/>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K263" i="18" s="1"/>
  <c r="J264" i="18"/>
  <c r="J265" i="18"/>
  <c r="J266" i="18"/>
  <c r="J267" i="18"/>
  <c r="J268" i="18"/>
  <c r="J269" i="18"/>
  <c r="J270" i="18"/>
  <c r="J271" i="18"/>
  <c r="J272" i="18"/>
  <c r="J273" i="18"/>
  <c r="J274" i="18"/>
  <c r="J275" i="18"/>
  <c r="K275" i="18" s="1"/>
  <c r="J276" i="18"/>
  <c r="J277" i="18"/>
  <c r="J278" i="18"/>
  <c r="J279" i="18"/>
  <c r="J280" i="18"/>
  <c r="J281" i="18"/>
  <c r="J282" i="18"/>
  <c r="J283" i="18"/>
  <c r="J284" i="18"/>
  <c r="J285" i="18"/>
  <c r="K285" i="18" s="1"/>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K311" i="18" s="1"/>
  <c r="J312" i="18"/>
  <c r="J313" i="18"/>
  <c r="J314" i="18"/>
  <c r="J315" i="18"/>
  <c r="J316" i="18"/>
  <c r="J317" i="18"/>
  <c r="J318" i="18"/>
  <c r="J319" i="18"/>
  <c r="J320" i="18"/>
  <c r="J321" i="18"/>
  <c r="J322" i="18"/>
  <c r="J323" i="18"/>
  <c r="K323" i="18" s="1"/>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K363" i="18" s="1"/>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K418" i="18" s="1"/>
  <c r="J419" i="18"/>
  <c r="K419" i="18" s="1"/>
  <c r="J420" i="18"/>
  <c r="J421" i="18"/>
  <c r="J422" i="18"/>
  <c r="J423" i="18"/>
  <c r="J424" i="18"/>
  <c r="J425" i="18"/>
  <c r="J426" i="18"/>
  <c r="J427" i="18"/>
  <c r="J428" i="18"/>
  <c r="J429" i="18"/>
  <c r="K429" i="18" s="1"/>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K455" i="18" s="1"/>
  <c r="J456" i="18"/>
  <c r="J457" i="18"/>
  <c r="J458" i="18"/>
  <c r="J459" i="18"/>
  <c r="J460" i="18"/>
  <c r="J461" i="18"/>
  <c r="J462" i="18"/>
  <c r="J463" i="18"/>
  <c r="J464" i="18"/>
  <c r="J465" i="18"/>
  <c r="J466" i="18"/>
  <c r="J467" i="18"/>
  <c r="K467" i="18" s="1"/>
  <c r="J468" i="18"/>
  <c r="J469" i="18"/>
  <c r="J470" i="18"/>
  <c r="J471" i="18"/>
  <c r="J472" i="18"/>
  <c r="J473" i="18"/>
  <c r="J474" i="18"/>
  <c r="J475" i="18"/>
  <c r="J476" i="18"/>
  <c r="J477" i="18"/>
  <c r="K477" i="18" s="1"/>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K503" i="18" s="1"/>
  <c r="J504" i="18"/>
  <c r="J505" i="18"/>
  <c r="J506" i="18"/>
  <c r="J507" i="18"/>
  <c r="J508" i="18"/>
  <c r="J509" i="18"/>
  <c r="J510" i="18"/>
  <c r="J511" i="18"/>
  <c r="J512" i="18"/>
  <c r="J513" i="18"/>
  <c r="J514" i="18"/>
  <c r="J515" i="18"/>
  <c r="K515" i="18" s="1"/>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K551" i="18" s="1"/>
  <c r="J552" i="18"/>
  <c r="J553" i="18"/>
  <c r="J554" i="18"/>
  <c r="J555" i="18"/>
  <c r="J556" i="18"/>
  <c r="J557" i="18"/>
  <c r="J558" i="18"/>
  <c r="J559" i="18"/>
  <c r="J560" i="18"/>
  <c r="J561" i="18"/>
  <c r="J562" i="18"/>
  <c r="J563" i="18"/>
  <c r="J564" i="18"/>
  <c r="J565" i="18"/>
  <c r="J566" i="18"/>
  <c r="J567" i="18"/>
  <c r="J568" i="18"/>
  <c r="J569" i="18"/>
  <c r="J570" i="18"/>
  <c r="J571" i="18"/>
  <c r="J572" i="18"/>
  <c r="J573" i="18"/>
  <c r="K573" i="18" s="1"/>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K599" i="18" s="1"/>
  <c r="J600" i="18"/>
  <c r="J601" i="18"/>
  <c r="J602" i="18"/>
  <c r="J603" i="18"/>
  <c r="J604" i="18"/>
  <c r="J605" i="18"/>
  <c r="J606" i="18"/>
  <c r="J607" i="18"/>
  <c r="J608" i="18"/>
  <c r="J609" i="18"/>
  <c r="J610" i="18"/>
  <c r="J611" i="18"/>
  <c r="J612" i="18"/>
  <c r="J613" i="18"/>
  <c r="J614" i="18"/>
  <c r="J615" i="18"/>
  <c r="J616" i="18"/>
  <c r="J617" i="18"/>
  <c r="J618" i="18"/>
  <c r="J619" i="18"/>
  <c r="J620" i="18"/>
  <c r="J621" i="18"/>
  <c r="K621" i="18" s="1"/>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K647" i="18" s="1"/>
  <c r="J648" i="18"/>
  <c r="J649" i="18"/>
  <c r="J650" i="18"/>
  <c r="J651" i="18"/>
  <c r="J652" i="18"/>
  <c r="J653" i="18"/>
  <c r="J654" i="18"/>
  <c r="J655" i="18"/>
  <c r="J656" i="18"/>
  <c r="J657" i="18"/>
  <c r="J658" i="18"/>
  <c r="J659" i="18"/>
  <c r="K659" i="18" s="1"/>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K695" i="18" s="1"/>
  <c r="J696" i="18"/>
  <c r="J697" i="18"/>
  <c r="J698" i="18"/>
  <c r="J699" i="18"/>
  <c r="J700" i="18"/>
  <c r="J701" i="18"/>
  <c r="J702" i="18"/>
  <c r="J703" i="18"/>
  <c r="J704" i="18"/>
  <c r="J705" i="18"/>
  <c r="J706" i="18"/>
  <c r="K706" i="18" s="1"/>
  <c r="J707" i="18"/>
  <c r="K707" i="18" s="1"/>
  <c r="J708" i="18"/>
  <c r="J709" i="18"/>
  <c r="J710" i="18"/>
  <c r="J711" i="18"/>
  <c r="J712" i="18"/>
  <c r="J713" i="18"/>
  <c r="J714" i="18"/>
  <c r="J715" i="18"/>
  <c r="J716" i="18"/>
  <c r="J717" i="18"/>
  <c r="K717" i="18" s="1"/>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K743" i="18" s="1"/>
  <c r="J744" i="18"/>
  <c r="J745" i="18"/>
  <c r="J746" i="18"/>
  <c r="J747" i="18"/>
  <c r="J748" i="18"/>
  <c r="J749" i="18"/>
  <c r="J750" i="18"/>
  <c r="J751" i="18"/>
  <c r="J752" i="18"/>
  <c r="J753" i="18"/>
  <c r="J754" i="18"/>
  <c r="J755" i="18"/>
  <c r="K755" i="18" s="1"/>
  <c r="J756" i="18"/>
  <c r="J757" i="18"/>
  <c r="J758" i="18"/>
  <c r="J759" i="18"/>
  <c r="J760" i="18"/>
  <c r="J761" i="18"/>
  <c r="J762" i="18"/>
  <c r="J763" i="18"/>
  <c r="J764" i="18"/>
  <c r="J765" i="18"/>
  <c r="K765" i="18" s="1"/>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K791" i="18" s="1"/>
  <c r="J792" i="18"/>
  <c r="J793" i="18"/>
  <c r="J794" i="18"/>
  <c r="J795" i="18"/>
  <c r="J796" i="18"/>
  <c r="J797" i="18"/>
  <c r="J798" i="18"/>
  <c r="J799" i="18"/>
  <c r="J800" i="18"/>
  <c r="J801" i="18"/>
  <c r="J802" i="18"/>
  <c r="K802" i="18" s="1"/>
  <c r="J803" i="18"/>
  <c r="K803" i="18" s="1"/>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K839" i="18" s="1"/>
  <c r="J840" i="18"/>
  <c r="J841" i="18"/>
  <c r="J842" i="18"/>
  <c r="J843" i="18"/>
  <c r="J844" i="18"/>
  <c r="J845" i="18"/>
  <c r="J846" i="18"/>
  <c r="J847" i="18"/>
  <c r="J848" i="18"/>
  <c r="J849" i="18"/>
  <c r="J850" i="18"/>
  <c r="J851" i="18"/>
  <c r="K851" i="18" s="1"/>
  <c r="J852" i="18"/>
  <c r="J853" i="18"/>
  <c r="J854" i="18"/>
  <c r="J855" i="18"/>
  <c r="J856" i="18"/>
  <c r="J857" i="18"/>
  <c r="J858" i="18"/>
  <c r="J859" i="18"/>
  <c r="J860" i="18"/>
  <c r="J861" i="18"/>
  <c r="K861" i="18" s="1"/>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K887" i="18" s="1"/>
  <c r="J888" i="18"/>
  <c r="J889" i="18"/>
  <c r="J890" i="18"/>
  <c r="J891" i="18"/>
  <c r="J892" i="18"/>
  <c r="J893" i="18"/>
  <c r="J894" i="18"/>
  <c r="J895" i="18"/>
  <c r="J896" i="18"/>
  <c r="J897" i="18"/>
  <c r="J898" i="18"/>
  <c r="K898" i="18" s="1"/>
  <c r="J899" i="18"/>
  <c r="K899" i="18" s="1"/>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K935" i="18" s="1"/>
  <c r="J936" i="18"/>
  <c r="J937" i="18"/>
  <c r="J938" i="18"/>
  <c r="J939" i="18"/>
  <c r="J940" i="18"/>
  <c r="J941" i="18"/>
  <c r="J942" i="18"/>
  <c r="J943" i="18"/>
  <c r="J944" i="18"/>
  <c r="J945" i="18"/>
  <c r="J946" i="18"/>
  <c r="J947" i="18"/>
  <c r="K947" i="18" s="1"/>
  <c r="J948" i="18"/>
  <c r="J949" i="18"/>
  <c r="J950" i="18"/>
  <c r="J951" i="18"/>
  <c r="J952" i="18"/>
  <c r="J953" i="18"/>
  <c r="J954" i="18"/>
  <c r="J955" i="18"/>
  <c r="J956" i="18"/>
  <c r="J957" i="18"/>
  <c r="J958" i="18"/>
  <c r="J959" i="18"/>
  <c r="J960" i="18"/>
  <c r="J961" i="18"/>
  <c r="J962" i="18"/>
  <c r="J963" i="18"/>
  <c r="J964" i="18"/>
  <c r="J965" i="18"/>
  <c r="J966"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K995" i="18" s="1"/>
  <c r="J996" i="18"/>
  <c r="J997" i="18"/>
  <c r="J998" i="18"/>
  <c r="J999" i="18"/>
  <c r="J1000" i="18"/>
  <c r="J1001" i="18"/>
  <c r="J1002" i="18"/>
  <c r="J1003" i="18"/>
  <c r="J1004" i="18"/>
  <c r="J1005" i="18"/>
  <c r="J1006" i="18"/>
  <c r="J1007" i="18"/>
  <c r="J1008" i="18"/>
  <c r="J1009" i="18"/>
  <c r="J1010" i="18"/>
  <c r="J1011" i="18"/>
  <c r="J1012" i="18"/>
  <c r="J1013" i="18"/>
  <c r="J1014" i="18"/>
  <c r="J1015" i="18"/>
  <c r="J1016" i="18"/>
  <c r="J1017" i="18"/>
  <c r="J1018" i="18"/>
  <c r="J1019" i="18"/>
  <c r="K1019" i="18" s="1"/>
  <c r="J1020" i="18"/>
  <c r="J1021" i="18"/>
  <c r="J1022" i="18"/>
  <c r="J1023" i="18"/>
  <c r="J1024" i="18"/>
  <c r="J1025" i="18"/>
  <c r="J1026" i="18"/>
  <c r="J1027" i="18"/>
  <c r="J1028" i="18"/>
  <c r="J1029" i="18"/>
  <c r="J1030" i="18"/>
  <c r="J1031" i="18"/>
  <c r="K1031" i="18" s="1"/>
  <c r="J1032" i="18"/>
  <c r="J1033" i="18"/>
  <c r="J1034" i="18"/>
  <c r="J1035" i="18"/>
  <c r="J1036" i="18"/>
  <c r="J1037" i="18"/>
  <c r="J1038" i="18"/>
  <c r="J1039" i="18"/>
  <c r="J1040" i="18"/>
  <c r="J1041" i="18"/>
  <c r="E3" i="18"/>
  <c r="E2" i="18"/>
  <c r="E4" i="18"/>
  <c r="E5" i="18"/>
  <c r="E6" i="18"/>
  <c r="E7" i="18"/>
  <c r="G7" i="18" s="1"/>
  <c r="E8" i="18"/>
  <c r="E9" i="18"/>
  <c r="E10" i="18"/>
  <c r="E11" i="18"/>
  <c r="E12" i="18"/>
  <c r="E13" i="18"/>
  <c r="E14" i="18"/>
  <c r="E15" i="18"/>
  <c r="G15" i="18" s="1"/>
  <c r="E16" i="18"/>
  <c r="E17" i="18"/>
  <c r="E18" i="18"/>
  <c r="E19" i="18"/>
  <c r="G19" i="18" s="1"/>
  <c r="E20" i="18"/>
  <c r="G20" i="18" s="1"/>
  <c r="E21" i="18"/>
  <c r="E22" i="18"/>
  <c r="G22" i="18" s="1"/>
  <c r="E23" i="18"/>
  <c r="G23" i="18" s="1"/>
  <c r="E24" i="18"/>
  <c r="G24" i="18" s="1"/>
  <c r="E25" i="18"/>
  <c r="G25" i="18" s="1"/>
  <c r="E26" i="18"/>
  <c r="E27" i="18"/>
  <c r="E28" i="18"/>
  <c r="E29" i="18"/>
  <c r="E30" i="18"/>
  <c r="E31" i="18"/>
  <c r="G31" i="18" s="1"/>
  <c r="E32" i="18"/>
  <c r="G32" i="18" s="1"/>
  <c r="K32" i="18" s="1"/>
  <c r="E33" i="18"/>
  <c r="G33" i="18" s="1"/>
  <c r="E34" i="18"/>
  <c r="G34" i="18" s="1"/>
  <c r="E35" i="18"/>
  <c r="G35" i="18" s="1"/>
  <c r="E36" i="18"/>
  <c r="G36" i="18" s="1"/>
  <c r="E37" i="18"/>
  <c r="G37" i="18" s="1"/>
  <c r="E38" i="18"/>
  <c r="E39" i="18"/>
  <c r="G39" i="18" s="1"/>
  <c r="E40" i="18"/>
  <c r="E41" i="18"/>
  <c r="E42" i="18"/>
  <c r="E43" i="18"/>
  <c r="G43" i="18" s="1"/>
  <c r="E44" i="18"/>
  <c r="E45" i="18"/>
  <c r="E46" i="18"/>
  <c r="E47" i="18"/>
  <c r="G47" i="18" s="1"/>
  <c r="E48" i="18"/>
  <c r="E49" i="18"/>
  <c r="E50" i="18"/>
  <c r="E51" i="18"/>
  <c r="G51" i="18" s="1"/>
  <c r="E52" i="18"/>
  <c r="E53" i="18"/>
  <c r="E54" i="18"/>
  <c r="E55" i="18"/>
  <c r="G55" i="18" s="1"/>
  <c r="E56" i="18"/>
  <c r="G56" i="18" s="1"/>
  <c r="E57" i="18"/>
  <c r="G57" i="18" s="1"/>
  <c r="E58" i="18"/>
  <c r="G58" i="18" s="1"/>
  <c r="E59" i="18"/>
  <c r="G59" i="18" s="1"/>
  <c r="E60" i="18"/>
  <c r="G60" i="18" s="1"/>
  <c r="K60" i="18" s="1"/>
  <c r="E61" i="18"/>
  <c r="G61" i="18" s="1"/>
  <c r="K61" i="18" s="1"/>
  <c r="E62" i="18"/>
  <c r="E63" i="18"/>
  <c r="E64" i="18"/>
  <c r="E65" i="18"/>
  <c r="E66" i="18"/>
  <c r="E67" i="18"/>
  <c r="G67" i="18" s="1"/>
  <c r="E68" i="18"/>
  <c r="G68" i="18" s="1"/>
  <c r="E69" i="18"/>
  <c r="G69" i="18" s="1"/>
  <c r="E70" i="18"/>
  <c r="G70" i="18" s="1"/>
  <c r="E71" i="18"/>
  <c r="G71" i="18" s="1"/>
  <c r="E72" i="18"/>
  <c r="E73" i="18"/>
  <c r="G73" i="18" s="1"/>
  <c r="E74" i="18"/>
  <c r="E75" i="18"/>
  <c r="G75" i="18" s="1"/>
  <c r="K75" i="18" s="1"/>
  <c r="E76" i="18"/>
  <c r="E77" i="18"/>
  <c r="E78" i="18"/>
  <c r="E79" i="18"/>
  <c r="G79" i="18" s="1"/>
  <c r="E80" i="18"/>
  <c r="E81" i="18"/>
  <c r="E82" i="18"/>
  <c r="E83" i="18"/>
  <c r="G83" i="18" s="1"/>
  <c r="E84" i="18"/>
  <c r="G84" i="18" s="1"/>
  <c r="E85" i="18"/>
  <c r="G85" i="18" s="1"/>
  <c r="E86" i="18"/>
  <c r="E87" i="18"/>
  <c r="G87" i="18" s="1"/>
  <c r="E88" i="18"/>
  <c r="E89" i="18"/>
  <c r="E90" i="18"/>
  <c r="E91" i="18"/>
  <c r="G91" i="18" s="1"/>
  <c r="E92" i="18"/>
  <c r="G92" i="18" s="1"/>
  <c r="K92" i="18" s="1"/>
  <c r="E93" i="18"/>
  <c r="E94" i="18"/>
  <c r="G94" i="18" s="1"/>
  <c r="E95" i="18"/>
  <c r="G95" i="18" s="1"/>
  <c r="E96" i="18"/>
  <c r="G96" i="18" s="1"/>
  <c r="K96" i="18" s="1"/>
  <c r="E97" i="18"/>
  <c r="E98" i="18"/>
  <c r="E99" i="18"/>
  <c r="E100" i="18"/>
  <c r="E101" i="18"/>
  <c r="E102" i="18"/>
  <c r="E103" i="18"/>
  <c r="G103" i="18" s="1"/>
  <c r="E104" i="18"/>
  <c r="G104" i="18" s="1"/>
  <c r="E105" i="18"/>
  <c r="G105" i="18" s="1"/>
  <c r="E106" i="18"/>
  <c r="G106" i="18" s="1"/>
  <c r="E107" i="18"/>
  <c r="G107" i="18" s="1"/>
  <c r="E108" i="18"/>
  <c r="G108" i="18" s="1"/>
  <c r="K108" i="18" s="1"/>
  <c r="E109" i="18"/>
  <c r="G109" i="18" s="1"/>
  <c r="K109" i="18" s="1"/>
  <c r="E110" i="18"/>
  <c r="E111" i="18"/>
  <c r="G111" i="18" s="1"/>
  <c r="E112" i="18"/>
  <c r="E113" i="18"/>
  <c r="E114" i="18"/>
  <c r="E115" i="18"/>
  <c r="G115" i="18" s="1"/>
  <c r="E116" i="18"/>
  <c r="E117" i="18"/>
  <c r="E118" i="18"/>
  <c r="E119" i="18"/>
  <c r="G119" i="18" s="1"/>
  <c r="E120" i="18"/>
  <c r="G120" i="18" s="1"/>
  <c r="E121" i="18"/>
  <c r="G121" i="18" s="1"/>
  <c r="E122" i="18"/>
  <c r="E123" i="18"/>
  <c r="G123" i="18" s="1"/>
  <c r="E124" i="18"/>
  <c r="E125" i="18"/>
  <c r="E126" i="18"/>
  <c r="E127" i="18"/>
  <c r="G127" i="18" s="1"/>
  <c r="E128" i="18"/>
  <c r="G128" i="18" s="1"/>
  <c r="E129" i="18"/>
  <c r="G129" i="18" s="1"/>
  <c r="E130" i="18"/>
  <c r="G130" i="18" s="1"/>
  <c r="E131" i="18"/>
  <c r="G131" i="18" s="1"/>
  <c r="E132" i="18"/>
  <c r="G132" i="18" s="1"/>
  <c r="E133" i="18"/>
  <c r="G133" i="18" s="1"/>
  <c r="E134" i="18"/>
  <c r="E135" i="18"/>
  <c r="E136" i="18"/>
  <c r="E137" i="18"/>
  <c r="E138" i="18"/>
  <c r="E139" i="18"/>
  <c r="E140" i="18"/>
  <c r="E141" i="18"/>
  <c r="E142" i="18"/>
  <c r="E143" i="18"/>
  <c r="G143" i="18" s="1"/>
  <c r="E144" i="18"/>
  <c r="G144" i="18" s="1"/>
  <c r="K144" i="18" s="1"/>
  <c r="E145" i="18"/>
  <c r="E146" i="18"/>
  <c r="E147" i="18"/>
  <c r="G147" i="18" s="1"/>
  <c r="E148" i="18"/>
  <c r="E149" i="18"/>
  <c r="E150" i="18"/>
  <c r="E151" i="18"/>
  <c r="G151" i="18" s="1"/>
  <c r="E152" i="18"/>
  <c r="E153" i="18"/>
  <c r="E154" i="18"/>
  <c r="E155" i="18"/>
  <c r="E156" i="18"/>
  <c r="G156" i="18" s="1"/>
  <c r="K156" i="18" s="1"/>
  <c r="E157" i="18"/>
  <c r="G157" i="18" s="1"/>
  <c r="K157" i="18" s="1"/>
  <c r="E158" i="18"/>
  <c r="E159" i="18"/>
  <c r="G159" i="18" s="1"/>
  <c r="E160" i="18"/>
  <c r="E161" i="18"/>
  <c r="E162" i="18"/>
  <c r="E163" i="18"/>
  <c r="G163" i="18" s="1"/>
  <c r="E164" i="18"/>
  <c r="G164" i="18" s="1"/>
  <c r="E165" i="18"/>
  <c r="G165" i="18" s="1"/>
  <c r="E166" i="18"/>
  <c r="E167" i="18"/>
  <c r="G167" i="18" s="1"/>
  <c r="E168" i="18"/>
  <c r="G168" i="18" s="1"/>
  <c r="E169" i="18"/>
  <c r="G169" i="18" s="1"/>
  <c r="E170" i="18"/>
  <c r="E171" i="18"/>
  <c r="E172" i="18"/>
  <c r="E173" i="18"/>
  <c r="E174" i="18"/>
  <c r="E175" i="18"/>
  <c r="G175" i="18" s="1"/>
  <c r="E176" i="18"/>
  <c r="G176" i="18" s="1"/>
  <c r="K176" i="18" s="1"/>
  <c r="E177" i="18"/>
  <c r="G177" i="18" s="1"/>
  <c r="E178" i="18"/>
  <c r="G178" i="18" s="1"/>
  <c r="E179" i="18"/>
  <c r="G179" i="18" s="1"/>
  <c r="E180" i="18"/>
  <c r="G180" i="18" s="1"/>
  <c r="E181" i="18"/>
  <c r="G181" i="18" s="1"/>
  <c r="E182" i="18"/>
  <c r="E183" i="18"/>
  <c r="G183" i="18" s="1"/>
  <c r="E184" i="18"/>
  <c r="E185" i="18"/>
  <c r="E186" i="18"/>
  <c r="E187" i="18"/>
  <c r="G187" i="18" s="1"/>
  <c r="E188" i="18"/>
  <c r="E189" i="18"/>
  <c r="E190" i="18"/>
  <c r="E191" i="18"/>
  <c r="G191" i="18" s="1"/>
  <c r="E192" i="18"/>
  <c r="G192" i="18" s="1"/>
  <c r="E193" i="18"/>
  <c r="G193" i="18" s="1"/>
  <c r="K193" i="18" s="1"/>
  <c r="E194" i="18"/>
  <c r="E195" i="18"/>
  <c r="G195" i="18" s="1"/>
  <c r="E196" i="18"/>
  <c r="E197" i="18"/>
  <c r="E198" i="18"/>
  <c r="E199" i="18"/>
  <c r="E200" i="18"/>
  <c r="G200" i="18" s="1"/>
  <c r="E201" i="18"/>
  <c r="E202" i="18"/>
  <c r="E203" i="18"/>
  <c r="G203" i="18" s="1"/>
  <c r="E204" i="18"/>
  <c r="G204" i="18" s="1"/>
  <c r="E205" i="18"/>
  <c r="G205" i="18" s="1"/>
  <c r="K205" i="18" s="1"/>
  <c r="E206" i="18"/>
  <c r="E207" i="18"/>
  <c r="E208" i="18"/>
  <c r="E209" i="18"/>
  <c r="E210" i="18"/>
  <c r="E211" i="18"/>
  <c r="E212" i="18"/>
  <c r="E213" i="18"/>
  <c r="G213" i="18" s="1"/>
  <c r="E214" i="18"/>
  <c r="G214" i="18" s="1"/>
  <c r="E215" i="18"/>
  <c r="E216" i="18"/>
  <c r="E217" i="18"/>
  <c r="E218" i="18"/>
  <c r="E219" i="18"/>
  <c r="G219" i="18" s="1"/>
  <c r="E220" i="18"/>
  <c r="E221" i="18"/>
  <c r="E222" i="18"/>
  <c r="E223" i="18"/>
  <c r="G223" i="18" s="1"/>
  <c r="E224" i="18"/>
  <c r="E225" i="18"/>
  <c r="E226" i="18"/>
  <c r="E227" i="18"/>
  <c r="G227" i="18" s="1"/>
  <c r="E228" i="18"/>
  <c r="G228" i="18" s="1"/>
  <c r="E229" i="18"/>
  <c r="G229" i="18" s="1"/>
  <c r="E230" i="18"/>
  <c r="E231" i="18"/>
  <c r="G231" i="18" s="1"/>
  <c r="E232" i="18"/>
  <c r="E233" i="18"/>
  <c r="E234" i="18"/>
  <c r="E235" i="18"/>
  <c r="G235" i="18" s="1"/>
  <c r="E236" i="18"/>
  <c r="G236" i="18" s="1"/>
  <c r="K236" i="18" s="1"/>
  <c r="E237" i="18"/>
  <c r="G237" i="18" s="1"/>
  <c r="E238" i="18"/>
  <c r="G238" i="18" s="1"/>
  <c r="E239" i="18"/>
  <c r="G239" i="18" s="1"/>
  <c r="E240" i="18"/>
  <c r="G240" i="18" s="1"/>
  <c r="K240" i="18" s="1"/>
  <c r="E241" i="18"/>
  <c r="G241" i="18" s="1"/>
  <c r="K241" i="18" s="1"/>
  <c r="E242" i="18"/>
  <c r="E243" i="18"/>
  <c r="E244" i="18"/>
  <c r="E245" i="18"/>
  <c r="E246" i="18"/>
  <c r="E247" i="18"/>
  <c r="E248" i="18"/>
  <c r="G248" i="18" s="1"/>
  <c r="E249" i="18"/>
  <c r="G249" i="18" s="1"/>
  <c r="E250" i="18"/>
  <c r="G250" i="18" s="1"/>
  <c r="E251" i="18"/>
  <c r="E252" i="18"/>
  <c r="E253" i="18"/>
  <c r="G253" i="18" s="1"/>
  <c r="K253" i="18" s="1"/>
  <c r="E254" i="18"/>
  <c r="E255" i="18"/>
  <c r="G255" i="18" s="1"/>
  <c r="E256" i="18"/>
  <c r="E257" i="18"/>
  <c r="E258" i="18"/>
  <c r="E259" i="18"/>
  <c r="G259" i="18" s="1"/>
  <c r="E260" i="18"/>
  <c r="E261" i="18"/>
  <c r="E262" i="18"/>
  <c r="E263" i="18"/>
  <c r="G263" i="18" s="1"/>
  <c r="E264" i="18"/>
  <c r="G264" i="18" s="1"/>
  <c r="E265" i="18"/>
  <c r="G265" i="18" s="1"/>
  <c r="E266" i="18"/>
  <c r="E267" i="18"/>
  <c r="G267" i="18" s="1"/>
  <c r="K267" i="18" s="1"/>
  <c r="E268" i="18"/>
  <c r="E269" i="18"/>
  <c r="E270" i="18"/>
  <c r="E271" i="18"/>
  <c r="G271" i="18" s="1"/>
  <c r="E272" i="18"/>
  <c r="G272" i="18" s="1"/>
  <c r="E273" i="18"/>
  <c r="G273" i="18" s="1"/>
  <c r="E274" i="18"/>
  <c r="G274" i="18" s="1"/>
  <c r="E275" i="18"/>
  <c r="G275" i="18" s="1"/>
  <c r="E276" i="18"/>
  <c r="G276" i="18" s="1"/>
  <c r="E277" i="18"/>
  <c r="G277" i="18" s="1"/>
  <c r="E278" i="18"/>
  <c r="E279" i="18"/>
  <c r="E280" i="18"/>
  <c r="E281" i="18"/>
  <c r="E282" i="18"/>
  <c r="E283" i="18"/>
  <c r="G283" i="18" s="1"/>
  <c r="E284" i="18"/>
  <c r="G284" i="18" s="1"/>
  <c r="K284" i="18" s="1"/>
  <c r="E285" i="18"/>
  <c r="G285" i="18" s="1"/>
  <c r="E286" i="18"/>
  <c r="E287" i="18"/>
  <c r="E288" i="18"/>
  <c r="E289" i="18"/>
  <c r="E290" i="18"/>
  <c r="E291" i="18"/>
  <c r="G291" i="18" s="1"/>
  <c r="E292" i="18"/>
  <c r="E293" i="18"/>
  <c r="E294" i="18"/>
  <c r="E295" i="18"/>
  <c r="G295" i="18" s="1"/>
  <c r="E296" i="18"/>
  <c r="E297" i="18"/>
  <c r="E298" i="18"/>
  <c r="E299" i="18"/>
  <c r="G299" i="18" s="1"/>
  <c r="E300" i="18"/>
  <c r="E301" i="18"/>
  <c r="E302" i="18"/>
  <c r="E303" i="18"/>
  <c r="G303" i="18" s="1"/>
  <c r="E304" i="18"/>
  <c r="E305" i="18"/>
  <c r="E306" i="18"/>
  <c r="E307" i="18"/>
  <c r="G307" i="18" s="1"/>
  <c r="E308" i="18"/>
  <c r="G308" i="18" s="1"/>
  <c r="E309" i="18"/>
  <c r="G309" i="18" s="1"/>
  <c r="E310" i="18"/>
  <c r="G310" i="18" s="1"/>
  <c r="E311" i="18"/>
  <c r="G311" i="18" s="1"/>
  <c r="E312" i="18"/>
  <c r="G312" i="18" s="1"/>
  <c r="E313" i="18"/>
  <c r="G313" i="18" s="1"/>
  <c r="E314" i="18"/>
  <c r="E315" i="18"/>
  <c r="E316" i="18"/>
  <c r="E317" i="18"/>
  <c r="E318" i="18"/>
  <c r="E319" i="18"/>
  <c r="G319" i="18" s="1"/>
  <c r="E320" i="18"/>
  <c r="G320" i="18" s="1"/>
  <c r="K320" i="18" s="1"/>
  <c r="E321" i="18"/>
  <c r="G321" i="18" s="1"/>
  <c r="E322" i="18"/>
  <c r="G322" i="18" s="1"/>
  <c r="E323" i="18"/>
  <c r="G323" i="18" s="1"/>
  <c r="E324" i="18"/>
  <c r="G324" i="18" s="1"/>
  <c r="E325" i="18"/>
  <c r="G325" i="18" s="1"/>
  <c r="E326" i="18"/>
  <c r="E327" i="18"/>
  <c r="G327" i="18" s="1"/>
  <c r="E328" i="18"/>
  <c r="E329" i="18"/>
  <c r="E330" i="18"/>
  <c r="E331" i="18"/>
  <c r="G331" i="18" s="1"/>
  <c r="E332" i="18"/>
  <c r="E333" i="18"/>
  <c r="E334" i="18"/>
  <c r="E335" i="18"/>
  <c r="E336" i="18"/>
  <c r="G336" i="18" s="1"/>
  <c r="K336" i="18" s="1"/>
  <c r="E337" i="18"/>
  <c r="G337" i="18" s="1"/>
  <c r="K337" i="18" s="1"/>
  <c r="E338" i="18"/>
  <c r="E339" i="18"/>
  <c r="G339" i="18" s="1"/>
  <c r="E340" i="18"/>
  <c r="E341" i="18"/>
  <c r="E342" i="18"/>
  <c r="E343" i="18"/>
  <c r="G343" i="18" s="1"/>
  <c r="E344" i="18"/>
  <c r="G344" i="18" s="1"/>
  <c r="E345" i="18"/>
  <c r="G345" i="18" s="1"/>
  <c r="E346" i="18"/>
  <c r="G346" i="18" s="1"/>
  <c r="E347" i="18"/>
  <c r="G347" i="18" s="1"/>
  <c r="E348" i="18"/>
  <c r="G348" i="18" s="1"/>
  <c r="K348" i="18" s="1"/>
  <c r="E349" i="18"/>
  <c r="G349" i="18" s="1"/>
  <c r="K349" i="18" s="1"/>
  <c r="E350" i="18"/>
  <c r="E351" i="18"/>
  <c r="E352" i="18"/>
  <c r="E353" i="18"/>
  <c r="E354" i="18"/>
  <c r="E355" i="18"/>
  <c r="G355" i="18" s="1"/>
  <c r="E356" i="18"/>
  <c r="E357" i="18"/>
  <c r="G357" i="18" s="1"/>
  <c r="E358" i="18"/>
  <c r="G358" i="18" s="1"/>
  <c r="E359" i="18"/>
  <c r="E360" i="18"/>
  <c r="E361" i="18"/>
  <c r="E362" i="18"/>
  <c r="E363" i="18"/>
  <c r="G363" i="18" s="1"/>
  <c r="E364" i="18"/>
  <c r="E365" i="18"/>
  <c r="E366" i="18"/>
  <c r="E367" i="18"/>
  <c r="G367" i="18" s="1"/>
  <c r="E368" i="18"/>
  <c r="E369" i="18"/>
  <c r="E370" i="18"/>
  <c r="E371" i="18"/>
  <c r="E372" i="18"/>
  <c r="G372" i="18" s="1"/>
  <c r="E373" i="18"/>
  <c r="G373" i="18" s="1"/>
  <c r="E374" i="18"/>
  <c r="E375" i="18"/>
  <c r="G375" i="18" s="1"/>
  <c r="E376" i="18"/>
  <c r="E377" i="18"/>
  <c r="E378" i="18"/>
  <c r="E379" i="18"/>
  <c r="E380" i="18"/>
  <c r="G380" i="18" s="1"/>
  <c r="K380" i="18" s="1"/>
  <c r="E381" i="18"/>
  <c r="G381" i="18" s="1"/>
  <c r="E382" i="18"/>
  <c r="G382" i="18" s="1"/>
  <c r="E383" i="18"/>
  <c r="G383" i="18" s="1"/>
  <c r="E384" i="18"/>
  <c r="G384" i="18" s="1"/>
  <c r="K384" i="18" s="1"/>
  <c r="E385" i="18"/>
  <c r="G385" i="18" s="1"/>
  <c r="K385" i="18" s="1"/>
  <c r="E386" i="18"/>
  <c r="E387" i="18"/>
  <c r="E388" i="18"/>
  <c r="E389" i="18"/>
  <c r="E390" i="18"/>
  <c r="E391" i="18"/>
  <c r="G391" i="18" s="1"/>
  <c r="E392" i="18"/>
  <c r="G392" i="18" s="1"/>
  <c r="E393" i="18"/>
  <c r="G393" i="18" s="1"/>
  <c r="E394" i="18"/>
  <c r="G394" i="18" s="1"/>
  <c r="E395" i="18"/>
  <c r="G395" i="18" s="1"/>
  <c r="E396" i="18"/>
  <c r="G396" i="18" s="1"/>
  <c r="K396" i="18" s="1"/>
  <c r="E397" i="18"/>
  <c r="G397" i="18" s="1"/>
  <c r="K397" i="18" s="1"/>
  <c r="E398" i="18"/>
  <c r="E399" i="18"/>
  <c r="G399" i="18" s="1"/>
  <c r="E400" i="18"/>
  <c r="E401" i="18"/>
  <c r="E402" i="18"/>
  <c r="E403" i="18"/>
  <c r="G403" i="18" s="1"/>
  <c r="E404" i="18"/>
  <c r="E405" i="18"/>
  <c r="E406" i="18"/>
  <c r="E407" i="18"/>
  <c r="E408" i="18"/>
  <c r="E409" i="18"/>
  <c r="E410" i="18"/>
  <c r="E411" i="18"/>
  <c r="G411" i="18" s="1"/>
  <c r="E412" i="18"/>
  <c r="E413" i="18"/>
  <c r="E414" i="18"/>
  <c r="E415" i="18"/>
  <c r="G415" i="18" s="1"/>
  <c r="E416" i="18"/>
  <c r="E417" i="18"/>
  <c r="G417" i="18" s="1"/>
  <c r="E418" i="18"/>
  <c r="G418" i="18" s="1"/>
  <c r="E419" i="18"/>
  <c r="G419" i="18" s="1"/>
  <c r="E420" i="18"/>
  <c r="G420" i="18" s="1"/>
  <c r="E421" i="18"/>
  <c r="G421" i="18" s="1"/>
  <c r="E422" i="18"/>
  <c r="E423" i="18"/>
  <c r="E424" i="18"/>
  <c r="E425" i="18"/>
  <c r="E426" i="18"/>
  <c r="E427" i="18"/>
  <c r="G427" i="18" s="1"/>
  <c r="E428" i="18"/>
  <c r="G428" i="18" s="1"/>
  <c r="E429" i="18"/>
  <c r="G429" i="18" s="1"/>
  <c r="E430" i="18"/>
  <c r="G430" i="18" s="1"/>
  <c r="E431" i="18"/>
  <c r="G431" i="18" s="1"/>
  <c r="E432" i="18"/>
  <c r="G432" i="18" s="1"/>
  <c r="K432" i="18" s="1"/>
  <c r="E433" i="18"/>
  <c r="G433" i="18" s="1"/>
  <c r="K433" i="18" s="1"/>
  <c r="E434" i="18"/>
  <c r="E435" i="18"/>
  <c r="G435" i="18" s="1"/>
  <c r="E436" i="18"/>
  <c r="E437" i="18"/>
  <c r="E438" i="18"/>
  <c r="E439" i="18"/>
  <c r="G439" i="18" s="1"/>
  <c r="E440" i="18"/>
  <c r="E441" i="18"/>
  <c r="E442" i="18"/>
  <c r="E443" i="18"/>
  <c r="E444" i="18"/>
  <c r="G444" i="18" s="1"/>
  <c r="E445" i="18"/>
  <c r="E446" i="18"/>
  <c r="G446" i="18" s="1"/>
  <c r="E447" i="18"/>
  <c r="E448" i="18"/>
  <c r="E449" i="18"/>
  <c r="E450" i="18"/>
  <c r="E451" i="18"/>
  <c r="E452" i="18"/>
  <c r="G452" i="18" s="1"/>
  <c r="E453" i="18"/>
  <c r="G453" i="18" s="1"/>
  <c r="E454" i="18"/>
  <c r="E455" i="18"/>
  <c r="G455" i="18" s="1"/>
  <c r="E456" i="18"/>
  <c r="G456" i="18" s="1"/>
  <c r="E457" i="18"/>
  <c r="G457" i="18" s="1"/>
  <c r="E458" i="18"/>
  <c r="E459" i="18"/>
  <c r="G459" i="18" s="1"/>
  <c r="E460" i="18"/>
  <c r="E461" i="18"/>
  <c r="E462" i="18"/>
  <c r="E463" i="18"/>
  <c r="G463" i="18" s="1"/>
  <c r="E464" i="18"/>
  <c r="G464" i="18" s="1"/>
  <c r="E465" i="18"/>
  <c r="E466" i="18"/>
  <c r="E467" i="18"/>
  <c r="G467" i="18" s="1"/>
  <c r="E468" i="18"/>
  <c r="G468" i="18" s="1"/>
  <c r="E469" i="18"/>
  <c r="G469" i="18" s="1"/>
  <c r="E470" i="18"/>
  <c r="G470" i="18" s="1"/>
  <c r="E471" i="18"/>
  <c r="E472" i="18"/>
  <c r="E473" i="18"/>
  <c r="E474" i="18"/>
  <c r="E475" i="18"/>
  <c r="E476" i="18"/>
  <c r="E477" i="18"/>
  <c r="G477" i="18" s="1"/>
  <c r="E478" i="18"/>
  <c r="G478" i="18" s="1"/>
  <c r="E479" i="18"/>
  <c r="E480" i="18"/>
  <c r="E481" i="18"/>
  <c r="E482" i="18"/>
  <c r="G482" i="18" s="1"/>
  <c r="E483" i="18"/>
  <c r="G483" i="18" s="1"/>
  <c r="E484" i="18"/>
  <c r="E485" i="18"/>
  <c r="E486" i="18"/>
  <c r="E487" i="18"/>
  <c r="G487" i="18" s="1"/>
  <c r="E488" i="18"/>
  <c r="E489" i="18"/>
  <c r="E490" i="18"/>
  <c r="E491" i="18"/>
  <c r="E492" i="18"/>
  <c r="E493" i="18"/>
  <c r="G493" i="18" s="1"/>
  <c r="K493" i="18" s="1"/>
  <c r="E494" i="18"/>
  <c r="G494" i="18" s="1"/>
  <c r="K494" i="18" s="1"/>
  <c r="E495" i="18"/>
  <c r="E496" i="18"/>
  <c r="E497" i="18"/>
  <c r="E498" i="18"/>
  <c r="E499" i="18"/>
  <c r="G499" i="18" s="1"/>
  <c r="E500" i="18"/>
  <c r="G500" i="18" s="1"/>
  <c r="E501" i="18"/>
  <c r="G501" i="18" s="1"/>
  <c r="E502" i="18"/>
  <c r="E503" i="18"/>
  <c r="G503" i="18" s="1"/>
  <c r="E504" i="18"/>
  <c r="G504" i="18" s="1"/>
  <c r="E505" i="18"/>
  <c r="G505" i="18" s="1"/>
  <c r="E506" i="18"/>
  <c r="G506" i="18" s="1"/>
  <c r="E507" i="18"/>
  <c r="G507" i="18" s="1"/>
  <c r="K507" i="18" s="1"/>
  <c r="E508" i="18"/>
  <c r="E509" i="18"/>
  <c r="E510" i="18"/>
  <c r="E511" i="18"/>
  <c r="G511" i="18" s="1"/>
  <c r="E512" i="18"/>
  <c r="G512" i="18" s="1"/>
  <c r="K512" i="18" s="1"/>
  <c r="E513" i="18"/>
  <c r="E514" i="18"/>
  <c r="G514" i="18" s="1"/>
  <c r="E515" i="18"/>
  <c r="G515" i="18" s="1"/>
  <c r="E516" i="18"/>
  <c r="G516" i="18" s="1"/>
  <c r="E517" i="18"/>
  <c r="G517" i="18" s="1"/>
  <c r="E518" i="18"/>
  <c r="G518" i="18" s="1"/>
  <c r="E519" i="18"/>
  <c r="E520" i="18"/>
  <c r="E521" i="18"/>
  <c r="E522" i="18"/>
  <c r="E523" i="18"/>
  <c r="G523" i="18" s="1"/>
  <c r="E524" i="18"/>
  <c r="E525" i="18"/>
  <c r="E526" i="18"/>
  <c r="G526" i="18" s="1"/>
  <c r="E527" i="18"/>
  <c r="E528" i="18"/>
  <c r="E529" i="18"/>
  <c r="G529" i="18" s="1"/>
  <c r="K529" i="18" s="1"/>
  <c r="E530" i="18"/>
  <c r="G530" i="18" s="1"/>
  <c r="E531" i="18"/>
  <c r="G531" i="18" s="1"/>
  <c r="E532" i="18"/>
  <c r="E533" i="18"/>
  <c r="E534" i="18"/>
  <c r="E535" i="18"/>
  <c r="G535" i="18" s="1"/>
  <c r="E536" i="18"/>
  <c r="E537" i="18"/>
  <c r="E538" i="18"/>
  <c r="E539" i="18"/>
  <c r="G539" i="18" s="1"/>
  <c r="E540" i="18"/>
  <c r="G540" i="18" s="1"/>
  <c r="K540" i="18" s="1"/>
  <c r="E541" i="18"/>
  <c r="G541" i="18" s="1"/>
  <c r="K541" i="18" s="1"/>
  <c r="E542" i="18"/>
  <c r="G542" i="18" s="1"/>
  <c r="E543" i="18"/>
  <c r="E544" i="18"/>
  <c r="E545" i="18"/>
  <c r="E546" i="18"/>
  <c r="E547" i="18"/>
  <c r="E548" i="18"/>
  <c r="E549" i="18"/>
  <c r="G549" i="18" s="1"/>
  <c r="E550" i="18"/>
  <c r="E551" i="18"/>
  <c r="G551" i="18" s="1"/>
  <c r="E552" i="18"/>
  <c r="G552" i="18" s="1"/>
  <c r="E553" i="18"/>
  <c r="G553" i="18" s="1"/>
  <c r="E554" i="18"/>
  <c r="G554" i="18" s="1"/>
  <c r="K554" i="18" s="1"/>
  <c r="E555" i="18"/>
  <c r="G555" i="18" s="1"/>
  <c r="E556" i="18"/>
  <c r="E557" i="18"/>
  <c r="E558" i="18"/>
  <c r="E559" i="18"/>
  <c r="E560" i="18"/>
  <c r="G560" i="18" s="1"/>
  <c r="E561" i="18"/>
  <c r="E562" i="18"/>
  <c r="E563" i="18"/>
  <c r="E564" i="18"/>
  <c r="G564" i="18" s="1"/>
  <c r="E565" i="18"/>
  <c r="G565" i="18" s="1"/>
  <c r="E566" i="18"/>
  <c r="G566" i="18" s="1"/>
  <c r="E567" i="18"/>
  <c r="E568" i="18"/>
  <c r="E569" i="18"/>
  <c r="E570" i="18"/>
  <c r="E571" i="18"/>
  <c r="G571" i="18" s="1"/>
  <c r="E572" i="18"/>
  <c r="G572" i="18" s="1"/>
  <c r="K572" i="18" s="1"/>
  <c r="E573" i="18"/>
  <c r="G573" i="18" s="1"/>
  <c r="E574" i="18"/>
  <c r="G574" i="18" s="1"/>
  <c r="E575" i="18"/>
  <c r="G575" i="18" s="1"/>
  <c r="E576" i="18"/>
  <c r="G576" i="18" s="1"/>
  <c r="K576" i="18" s="1"/>
  <c r="E577" i="18"/>
  <c r="G577" i="18" s="1"/>
  <c r="K577" i="18" s="1"/>
  <c r="E578" i="18"/>
  <c r="G578" i="18" s="1"/>
  <c r="E579" i="18"/>
  <c r="G579" i="18" s="1"/>
  <c r="E580" i="18"/>
  <c r="E581" i="18"/>
  <c r="E582" i="18"/>
  <c r="E583" i="18"/>
  <c r="G583" i="18" s="1"/>
  <c r="E584" i="18"/>
  <c r="E585" i="18"/>
  <c r="E586" i="18"/>
  <c r="E587" i="18"/>
  <c r="E588" i="18"/>
  <c r="E589" i="18"/>
  <c r="G589" i="18" s="1"/>
  <c r="E590" i="18"/>
  <c r="G590" i="18" s="1"/>
  <c r="E591" i="18"/>
  <c r="E592" i="18"/>
  <c r="E593" i="18"/>
  <c r="E594" i="18"/>
  <c r="E595" i="18"/>
  <c r="E596" i="18"/>
  <c r="G596" i="18" s="1"/>
  <c r="E597" i="18"/>
  <c r="G597" i="18" s="1"/>
  <c r="E598" i="18"/>
  <c r="E599" i="18"/>
  <c r="G599" i="18" s="1"/>
  <c r="E600" i="18"/>
  <c r="G600" i="18" s="1"/>
  <c r="E601" i="18"/>
  <c r="G601" i="18" s="1"/>
  <c r="E602" i="18"/>
  <c r="G602" i="18" s="1"/>
  <c r="K602" i="18" s="1"/>
  <c r="E603" i="18"/>
  <c r="G603" i="18" s="1"/>
  <c r="E604" i="18"/>
  <c r="E605" i="18"/>
  <c r="E606" i="18"/>
  <c r="E607" i="18"/>
  <c r="G607" i="18" s="1"/>
  <c r="E608" i="18"/>
  <c r="G608" i="18" s="1"/>
  <c r="K608" i="18" s="1"/>
  <c r="E609" i="18"/>
  <c r="E610" i="18"/>
  <c r="G610" i="18" s="1"/>
  <c r="E611" i="18"/>
  <c r="E612" i="18"/>
  <c r="E613" i="18"/>
  <c r="E614" i="18"/>
  <c r="G614" i="18" s="1"/>
  <c r="E615" i="18"/>
  <c r="E616" i="18"/>
  <c r="E617" i="18"/>
  <c r="E618" i="18"/>
  <c r="E619" i="18"/>
  <c r="G619" i="18" s="1"/>
  <c r="E620" i="18"/>
  <c r="G620" i="18" s="1"/>
  <c r="E621" i="18"/>
  <c r="G621" i="18" s="1"/>
  <c r="E622" i="18"/>
  <c r="G622" i="18" s="1"/>
  <c r="E623" i="18"/>
  <c r="E624" i="18"/>
  <c r="E625" i="18"/>
  <c r="E626" i="18"/>
  <c r="G626" i="18" s="1"/>
  <c r="E627" i="18"/>
  <c r="G627" i="18" s="1"/>
  <c r="E628" i="18"/>
  <c r="E629" i="18"/>
  <c r="E630" i="18"/>
  <c r="E631" i="18"/>
  <c r="G631" i="18" s="1"/>
  <c r="E632" i="18"/>
  <c r="E633" i="18"/>
  <c r="E634" i="18"/>
  <c r="E635" i="18"/>
  <c r="E636" i="18"/>
  <c r="G636" i="18" s="1"/>
  <c r="K636" i="18" s="1"/>
  <c r="E637" i="18"/>
  <c r="G637" i="18" s="1"/>
  <c r="K637" i="18" s="1"/>
  <c r="E638" i="18"/>
  <c r="G638" i="18" s="1"/>
  <c r="E639" i="18"/>
  <c r="E640" i="18"/>
  <c r="E641" i="18"/>
  <c r="E642" i="18"/>
  <c r="E643" i="18"/>
  <c r="G643" i="18" s="1"/>
  <c r="E644" i="18"/>
  <c r="G644" i="18" s="1"/>
  <c r="E645" i="18"/>
  <c r="G645" i="18" s="1"/>
  <c r="E646" i="18"/>
  <c r="E647" i="18"/>
  <c r="G647" i="18" s="1"/>
  <c r="E648" i="18"/>
  <c r="G648" i="18" s="1"/>
  <c r="E649" i="18"/>
  <c r="G649" i="18" s="1"/>
  <c r="E650" i="18"/>
  <c r="G650" i="18" s="1"/>
  <c r="K650" i="18" s="1"/>
  <c r="E651" i="18"/>
  <c r="G651" i="18" s="1"/>
  <c r="K651" i="18" s="1"/>
  <c r="E652" i="18"/>
  <c r="E653" i="18"/>
  <c r="E654" i="18"/>
  <c r="E655" i="18"/>
  <c r="E656" i="18"/>
  <c r="G656" i="18" s="1"/>
  <c r="K656" i="18" s="1"/>
  <c r="E657" i="18"/>
  <c r="E658" i="18"/>
  <c r="G658" i="18" s="1"/>
  <c r="E659" i="18"/>
  <c r="G659" i="18" s="1"/>
  <c r="E660" i="18"/>
  <c r="G660" i="18" s="1"/>
  <c r="E661" i="18"/>
  <c r="G661" i="18" s="1"/>
  <c r="E662" i="18"/>
  <c r="G662" i="18" s="1"/>
  <c r="E663" i="18"/>
  <c r="E664" i="18"/>
  <c r="E665" i="18"/>
  <c r="E666" i="18"/>
  <c r="E667" i="18"/>
  <c r="G667" i="18" s="1"/>
  <c r="E668" i="18"/>
  <c r="G668" i="18" s="1"/>
  <c r="K668" i="18" s="1"/>
  <c r="E669" i="18"/>
  <c r="G669" i="18" s="1"/>
  <c r="E670" i="18"/>
  <c r="G670" i="18" s="1"/>
  <c r="E671" i="18"/>
  <c r="E672" i="18"/>
  <c r="G672" i="18" s="1"/>
  <c r="K672" i="18" s="1"/>
  <c r="E673" i="18"/>
  <c r="G673" i="18" s="1"/>
  <c r="K673" i="18" s="1"/>
  <c r="E674" i="18"/>
  <c r="G674" i="18" s="1"/>
  <c r="E675" i="18"/>
  <c r="G675" i="18" s="1"/>
  <c r="E676" i="18"/>
  <c r="E677" i="18"/>
  <c r="E678" i="18"/>
  <c r="E679" i="18"/>
  <c r="G679" i="18" s="1"/>
  <c r="E680" i="18"/>
  <c r="E681" i="18"/>
  <c r="E682" i="18"/>
  <c r="E683" i="18"/>
  <c r="E684" i="18"/>
  <c r="E685" i="18"/>
  <c r="G685" i="18" s="1"/>
  <c r="K685" i="18" s="1"/>
  <c r="E686" i="18"/>
  <c r="G686" i="18" s="1"/>
  <c r="K686" i="18" s="1"/>
  <c r="E687" i="18"/>
  <c r="E688" i="18"/>
  <c r="E689" i="18"/>
  <c r="E690" i="18"/>
  <c r="E691" i="18"/>
  <c r="E692" i="18"/>
  <c r="G692" i="18" s="1"/>
  <c r="E693" i="18"/>
  <c r="E694" i="18"/>
  <c r="E695" i="18"/>
  <c r="G695" i="18" s="1"/>
  <c r="E696" i="18"/>
  <c r="G696" i="18" s="1"/>
  <c r="E697" i="18"/>
  <c r="G697" i="18" s="1"/>
  <c r="E698" i="18"/>
  <c r="E699" i="18"/>
  <c r="G699" i="18" s="1"/>
  <c r="E700" i="18"/>
  <c r="E701" i="18"/>
  <c r="E702" i="18"/>
  <c r="E703" i="18"/>
  <c r="G703" i="18" s="1"/>
  <c r="E704" i="18"/>
  <c r="G704" i="18" s="1"/>
  <c r="K704" i="18" s="1"/>
  <c r="E705" i="18"/>
  <c r="E706" i="18"/>
  <c r="G706" i="18" s="1"/>
  <c r="E707" i="18"/>
  <c r="G707" i="18" s="1"/>
  <c r="E708" i="18"/>
  <c r="G708" i="18" s="1"/>
  <c r="E709" i="18"/>
  <c r="G709" i="18" s="1"/>
  <c r="E710" i="18"/>
  <c r="G710" i="18" s="1"/>
  <c r="E711" i="18"/>
  <c r="E712" i="18"/>
  <c r="E713" i="18"/>
  <c r="E714" i="18"/>
  <c r="E715" i="18"/>
  <c r="G715" i="18" s="1"/>
  <c r="E716" i="18"/>
  <c r="G716" i="18" s="1"/>
  <c r="E717" i="18"/>
  <c r="G717" i="18" s="1"/>
  <c r="E718" i="18"/>
  <c r="G718" i="18" s="1"/>
  <c r="E719" i="18"/>
  <c r="G719" i="18" s="1"/>
  <c r="E720" i="18"/>
  <c r="G720" i="18" s="1"/>
  <c r="K720" i="18" s="1"/>
  <c r="E721" i="18"/>
  <c r="G721" i="18" s="1"/>
  <c r="K721" i="18" s="1"/>
  <c r="E722" i="18"/>
  <c r="G722" i="18" s="1"/>
  <c r="E723" i="18"/>
  <c r="G723" i="18" s="1"/>
  <c r="E724" i="18"/>
  <c r="E725" i="18"/>
  <c r="E726" i="18"/>
  <c r="E727" i="18"/>
  <c r="E728" i="18"/>
  <c r="E729" i="18"/>
  <c r="E730" i="18"/>
  <c r="E731" i="18"/>
  <c r="E732" i="18"/>
  <c r="E733" i="18"/>
  <c r="E734" i="18"/>
  <c r="G734" i="18" s="1"/>
  <c r="E735" i="18"/>
  <c r="E736" i="18"/>
  <c r="E737" i="18"/>
  <c r="E738" i="18"/>
  <c r="E739" i="18"/>
  <c r="G739" i="18" s="1"/>
  <c r="E740" i="18"/>
  <c r="G740" i="18" s="1"/>
  <c r="E741" i="18"/>
  <c r="G741" i="18" s="1"/>
  <c r="E742" i="18"/>
  <c r="E743" i="18"/>
  <c r="G743" i="18" s="1"/>
  <c r="E744" i="18"/>
  <c r="G744" i="18" s="1"/>
  <c r="E745" i="18"/>
  <c r="G745" i="18" s="1"/>
  <c r="E746" i="18"/>
  <c r="G746" i="18" s="1"/>
  <c r="K746" i="18" s="1"/>
  <c r="E747" i="18"/>
  <c r="G747" i="18" s="1"/>
  <c r="E748" i="18"/>
  <c r="E749" i="18"/>
  <c r="E750" i="18"/>
  <c r="E751" i="18"/>
  <c r="G751" i="18" s="1"/>
  <c r="E752" i="18"/>
  <c r="G752" i="18" s="1"/>
  <c r="E753" i="18"/>
  <c r="E754" i="18"/>
  <c r="G754" i="18" s="1"/>
  <c r="E755" i="18"/>
  <c r="G755" i="18" s="1"/>
  <c r="E756" i="18"/>
  <c r="G756" i="18" s="1"/>
  <c r="E757" i="18"/>
  <c r="G757" i="18" s="1"/>
  <c r="E758" i="18"/>
  <c r="G758" i="18" s="1"/>
  <c r="E759" i="18"/>
  <c r="E760" i="18"/>
  <c r="E761" i="18"/>
  <c r="E762" i="18"/>
  <c r="E763" i="18"/>
  <c r="G763" i="18" s="1"/>
  <c r="E764" i="18"/>
  <c r="G764" i="18" s="1"/>
  <c r="K764" i="18" s="1"/>
  <c r="E765" i="18"/>
  <c r="G765" i="18" s="1"/>
  <c r="E766" i="18"/>
  <c r="G766" i="18" s="1"/>
  <c r="E767" i="18"/>
  <c r="G767" i="18" s="1"/>
  <c r="E768" i="18"/>
  <c r="G768" i="18" s="1"/>
  <c r="K768" i="18" s="1"/>
  <c r="E769" i="18"/>
  <c r="G769" i="18" s="1"/>
  <c r="K769" i="18" s="1"/>
  <c r="E770" i="18"/>
  <c r="G770" i="18" s="1"/>
  <c r="E771" i="18"/>
  <c r="G771" i="18" s="1"/>
  <c r="E772" i="18"/>
  <c r="E773" i="18"/>
  <c r="E774" i="18"/>
  <c r="E775" i="18"/>
  <c r="G775" i="18" s="1"/>
  <c r="E776" i="18"/>
  <c r="E777" i="18"/>
  <c r="E778" i="18"/>
  <c r="E779" i="18"/>
  <c r="E780" i="18"/>
  <c r="E781" i="18"/>
  <c r="G781" i="18" s="1"/>
  <c r="K781" i="18" s="1"/>
  <c r="E782" i="18"/>
  <c r="G782" i="18" s="1"/>
  <c r="K782" i="18" s="1"/>
  <c r="E783" i="18"/>
  <c r="E784" i="18"/>
  <c r="E785" i="18"/>
  <c r="E786" i="18"/>
  <c r="E787" i="18"/>
  <c r="G787" i="18" s="1"/>
  <c r="E788" i="18"/>
  <c r="G788" i="18" s="1"/>
  <c r="E789" i="18"/>
  <c r="G789" i="18" s="1"/>
  <c r="E790" i="18"/>
  <c r="E791" i="18"/>
  <c r="G791" i="18" s="1"/>
  <c r="E792" i="18"/>
  <c r="G792" i="18" s="1"/>
  <c r="E793" i="18"/>
  <c r="G793" i="18" s="1"/>
  <c r="E794" i="18"/>
  <c r="G794" i="18" s="1"/>
  <c r="E795" i="18"/>
  <c r="G795" i="18" s="1"/>
  <c r="E796" i="18"/>
  <c r="E797" i="18"/>
  <c r="E798" i="18"/>
  <c r="E799" i="18"/>
  <c r="E800" i="18"/>
  <c r="G800" i="18" s="1"/>
  <c r="K800" i="18" s="1"/>
  <c r="E801" i="18"/>
  <c r="E802" i="18"/>
  <c r="G802" i="18" s="1"/>
  <c r="E803" i="18"/>
  <c r="G803" i="18" s="1"/>
  <c r="E804" i="18"/>
  <c r="G804" i="18" s="1"/>
  <c r="E805" i="18"/>
  <c r="E806" i="18"/>
  <c r="G806" i="18" s="1"/>
  <c r="E807" i="18"/>
  <c r="E808" i="18"/>
  <c r="E809" i="18"/>
  <c r="E810" i="18"/>
  <c r="E811" i="18"/>
  <c r="G811" i="18" s="1"/>
  <c r="E812" i="18"/>
  <c r="G812" i="18" s="1"/>
  <c r="K812" i="18" s="1"/>
  <c r="E813" i="18"/>
  <c r="E814" i="18"/>
  <c r="G814" i="18" s="1"/>
  <c r="E815" i="18"/>
  <c r="E816" i="18"/>
  <c r="E817" i="18"/>
  <c r="G817" i="18" s="1"/>
  <c r="K817" i="18" s="1"/>
  <c r="E818" i="18"/>
  <c r="G818" i="18" s="1"/>
  <c r="E819" i="18"/>
  <c r="G819" i="18" s="1"/>
  <c r="E820" i="18"/>
  <c r="E821" i="18"/>
  <c r="E822" i="18"/>
  <c r="E823" i="18"/>
  <c r="G823" i="18" s="1"/>
  <c r="E824" i="18"/>
  <c r="E825" i="18"/>
  <c r="E826" i="18"/>
  <c r="E827" i="18"/>
  <c r="G827" i="18" s="1"/>
  <c r="E828" i="18"/>
  <c r="G828" i="18" s="1"/>
  <c r="K828" i="18" s="1"/>
  <c r="E829" i="18"/>
  <c r="G829" i="18" s="1"/>
  <c r="K829" i="18" s="1"/>
  <c r="E830" i="18"/>
  <c r="G830" i="18" s="1"/>
  <c r="E831" i="18"/>
  <c r="E832" i="18"/>
  <c r="E833" i="18"/>
  <c r="E834" i="18"/>
  <c r="E835" i="18"/>
  <c r="G835" i="18" s="1"/>
  <c r="E836" i="18"/>
  <c r="G836" i="18" s="1"/>
  <c r="E837" i="18"/>
  <c r="G837" i="18" s="1"/>
  <c r="E838" i="18"/>
  <c r="E839" i="18"/>
  <c r="G839" i="18" s="1"/>
  <c r="E840" i="18"/>
  <c r="G840" i="18" s="1"/>
  <c r="E841" i="18"/>
  <c r="G841" i="18" s="1"/>
  <c r="E842" i="18"/>
  <c r="G842" i="18" s="1"/>
  <c r="K842" i="18" s="1"/>
  <c r="E843" i="18"/>
  <c r="G843" i="18" s="1"/>
  <c r="E844" i="18"/>
  <c r="E845" i="18"/>
  <c r="E846" i="18"/>
  <c r="E847" i="18"/>
  <c r="G847" i="18" s="1"/>
  <c r="E848" i="18"/>
  <c r="G848" i="18" s="1"/>
  <c r="E849" i="18"/>
  <c r="E850" i="18"/>
  <c r="G850" i="18" s="1"/>
  <c r="E851" i="18"/>
  <c r="G851" i="18" s="1"/>
  <c r="E852" i="18"/>
  <c r="G852" i="18" s="1"/>
  <c r="E853" i="18"/>
  <c r="G853" i="18" s="1"/>
  <c r="E854" i="18"/>
  <c r="G854" i="18" s="1"/>
  <c r="E855" i="18"/>
  <c r="E856" i="18"/>
  <c r="E857" i="18"/>
  <c r="E858" i="18"/>
  <c r="E859" i="18"/>
  <c r="G859" i="18" s="1"/>
  <c r="E860" i="18"/>
  <c r="G860" i="18" s="1"/>
  <c r="K860" i="18" s="1"/>
  <c r="E861" i="18"/>
  <c r="G861" i="18" s="1"/>
  <c r="E862" i="18"/>
  <c r="G862" i="18" s="1"/>
  <c r="E863" i="18"/>
  <c r="G863" i="18" s="1"/>
  <c r="E864" i="18"/>
  <c r="G864" i="18" s="1"/>
  <c r="K864" i="18" s="1"/>
  <c r="E865" i="18"/>
  <c r="G865" i="18" s="1"/>
  <c r="K865" i="18" s="1"/>
  <c r="E866" i="18"/>
  <c r="G866" i="18" s="1"/>
  <c r="E867" i="18"/>
  <c r="G867" i="18" s="1"/>
  <c r="E868" i="18"/>
  <c r="E869" i="18"/>
  <c r="E870" i="18"/>
  <c r="E871" i="18"/>
  <c r="E872" i="18"/>
  <c r="E873" i="18"/>
  <c r="E874" i="18"/>
  <c r="E875" i="18"/>
  <c r="G875" i="18" s="1"/>
  <c r="E876" i="18"/>
  <c r="G876" i="18" s="1"/>
  <c r="K876" i="18" s="1"/>
  <c r="E877" i="18"/>
  <c r="G877" i="18" s="1"/>
  <c r="E878" i="18"/>
  <c r="G878" i="18" s="1"/>
  <c r="E879" i="18"/>
  <c r="E880" i="18"/>
  <c r="E881" i="18"/>
  <c r="E882" i="18"/>
  <c r="E883" i="18"/>
  <c r="G883" i="18" s="1"/>
  <c r="E884" i="18"/>
  <c r="G884" i="18" s="1"/>
  <c r="E885" i="18"/>
  <c r="E886" i="18"/>
  <c r="E887" i="18"/>
  <c r="G887" i="18" s="1"/>
  <c r="E888" i="18"/>
  <c r="E889" i="18"/>
  <c r="G889" i="18" s="1"/>
  <c r="E890" i="18"/>
  <c r="G890" i="18" s="1"/>
  <c r="K890" i="18" s="1"/>
  <c r="E891" i="18"/>
  <c r="G891" i="18" s="1"/>
  <c r="E892" i="18"/>
  <c r="E893" i="18"/>
  <c r="G893" i="18" s="1"/>
  <c r="E894" i="18"/>
  <c r="E895" i="18"/>
  <c r="G895" i="18" s="1"/>
  <c r="E896" i="18"/>
  <c r="E897" i="18"/>
  <c r="G897" i="18" s="1"/>
  <c r="E898" i="18"/>
  <c r="G898" i="18" s="1"/>
  <c r="E899" i="18"/>
  <c r="G899" i="18" s="1"/>
  <c r="E900" i="18"/>
  <c r="G900" i="18" s="1"/>
  <c r="E901" i="18"/>
  <c r="G901" i="18" s="1"/>
  <c r="E902" i="18"/>
  <c r="G902" i="18" s="1"/>
  <c r="E903" i="18"/>
  <c r="E904" i="18"/>
  <c r="E905" i="18"/>
  <c r="G905" i="18" s="1"/>
  <c r="E906" i="18"/>
  <c r="E907" i="18"/>
  <c r="G907" i="18" s="1"/>
  <c r="E908" i="18"/>
  <c r="G908" i="18" s="1"/>
  <c r="E909" i="18"/>
  <c r="G909" i="18" s="1"/>
  <c r="E910" i="18"/>
  <c r="E911" i="18"/>
  <c r="E912" i="18"/>
  <c r="E913" i="18"/>
  <c r="E914" i="18"/>
  <c r="G914" i="18" s="1"/>
  <c r="E915" i="18"/>
  <c r="E916" i="18"/>
  <c r="E917" i="18"/>
  <c r="E918" i="18"/>
  <c r="E919" i="18"/>
  <c r="G919" i="18" s="1"/>
  <c r="E920" i="18"/>
  <c r="E921" i="18"/>
  <c r="G921" i="18" s="1"/>
  <c r="E922" i="18"/>
  <c r="E923" i="18"/>
  <c r="E924" i="18"/>
  <c r="G924" i="18" s="1"/>
  <c r="K924" i="18" s="1"/>
  <c r="E925" i="18"/>
  <c r="G925" i="18" s="1"/>
  <c r="K925" i="18" s="1"/>
  <c r="E926" i="18"/>
  <c r="G926" i="18" s="1"/>
  <c r="E927" i="18"/>
  <c r="G927" i="18" s="1"/>
  <c r="E928" i="18"/>
  <c r="E929" i="18"/>
  <c r="E930" i="18"/>
  <c r="E931" i="18"/>
  <c r="G931" i="18" s="1"/>
  <c r="E932" i="18"/>
  <c r="E933" i="18"/>
  <c r="E934" i="18"/>
  <c r="E935" i="18"/>
  <c r="G935" i="18" s="1"/>
  <c r="E936" i="18"/>
  <c r="G936" i="18" s="1"/>
  <c r="E937" i="18"/>
  <c r="G937" i="18" s="1"/>
  <c r="E938" i="18"/>
  <c r="G938" i="18" s="1"/>
  <c r="K938" i="18" s="1"/>
  <c r="E939" i="18"/>
  <c r="G939" i="18" s="1"/>
  <c r="E940" i="18"/>
  <c r="E941" i="18"/>
  <c r="G941" i="18" s="1"/>
  <c r="E942" i="18"/>
  <c r="E943" i="18"/>
  <c r="G943" i="18" s="1"/>
  <c r="K943" i="18" s="1"/>
  <c r="E944" i="18"/>
  <c r="E945" i="18"/>
  <c r="E946" i="18"/>
  <c r="E947" i="18"/>
  <c r="G947" i="18" s="1"/>
  <c r="E948" i="18"/>
  <c r="E949" i="18"/>
  <c r="G949" i="18" s="1"/>
  <c r="E950" i="18"/>
  <c r="G950" i="18" s="1"/>
  <c r="E951" i="18"/>
  <c r="G951" i="18" s="1"/>
  <c r="E952" i="18"/>
  <c r="E953" i="18"/>
  <c r="E954" i="18"/>
  <c r="E955" i="18"/>
  <c r="G955" i="18" s="1"/>
  <c r="E956" i="18"/>
  <c r="G956" i="18" s="1"/>
  <c r="K956" i="18" s="1"/>
  <c r="E957" i="18"/>
  <c r="G957" i="18" s="1"/>
  <c r="E958" i="18"/>
  <c r="E959" i="18"/>
  <c r="G959" i="18" s="1"/>
  <c r="E960" i="18"/>
  <c r="G960" i="18" s="1"/>
  <c r="K960" i="18" s="1"/>
  <c r="E961" i="18"/>
  <c r="E962" i="18"/>
  <c r="G962" i="18" s="1"/>
  <c r="E963" i="18"/>
  <c r="G963" i="18" s="1"/>
  <c r="E964" i="18"/>
  <c r="E965" i="18"/>
  <c r="G965" i="18" s="1"/>
  <c r="E966" i="18"/>
  <c r="E967" i="18"/>
  <c r="G967" i="18" s="1"/>
  <c r="E968" i="18"/>
  <c r="E969" i="18"/>
  <c r="G969" i="18" s="1"/>
  <c r="E970" i="18"/>
  <c r="G970" i="18" s="1"/>
  <c r="E971" i="18"/>
  <c r="G971" i="18" s="1"/>
  <c r="E972" i="18"/>
  <c r="G972" i="18" s="1"/>
  <c r="K972" i="18" s="1"/>
  <c r="E973" i="18"/>
  <c r="E974" i="18"/>
  <c r="G974" i="18" s="1"/>
  <c r="K974" i="18" s="1"/>
  <c r="E975" i="18"/>
  <c r="E976" i="18"/>
  <c r="E977" i="18"/>
  <c r="G977" i="18" s="1"/>
  <c r="E978" i="18"/>
  <c r="E979" i="18"/>
  <c r="E980" i="18"/>
  <c r="G980" i="18" s="1"/>
  <c r="E981" i="18"/>
  <c r="G981" i="18" s="1"/>
  <c r="E982" i="18"/>
  <c r="E983" i="18"/>
  <c r="E984" i="18"/>
  <c r="E985" i="18"/>
  <c r="G985" i="18" s="1"/>
  <c r="E986" i="18"/>
  <c r="G986" i="18" s="1"/>
  <c r="K986" i="18" s="1"/>
  <c r="E987" i="18"/>
  <c r="E988" i="18"/>
  <c r="E989" i="18"/>
  <c r="E990" i="18"/>
  <c r="E991" i="18"/>
  <c r="E992" i="18"/>
  <c r="G992" i="18" s="1"/>
  <c r="K992" i="18" s="1"/>
  <c r="E993" i="18"/>
  <c r="G993" i="18" s="1"/>
  <c r="E994" i="18"/>
  <c r="G994" i="18" s="1"/>
  <c r="E995" i="18"/>
  <c r="G995" i="18" s="1"/>
  <c r="E996" i="18"/>
  <c r="G996" i="18" s="1"/>
  <c r="E997" i="18"/>
  <c r="G997" i="18" s="1"/>
  <c r="E998" i="18"/>
  <c r="G998" i="18" s="1"/>
  <c r="E999" i="18"/>
  <c r="G999" i="18" s="1"/>
  <c r="E1000" i="18"/>
  <c r="E1001" i="18"/>
  <c r="E1002" i="18"/>
  <c r="E1003" i="18"/>
  <c r="G1003" i="18" s="1"/>
  <c r="E1004" i="18"/>
  <c r="E1005" i="18"/>
  <c r="E1006" i="18"/>
  <c r="G1006" i="18" s="1"/>
  <c r="E1007" i="18"/>
  <c r="E1008" i="18"/>
  <c r="E1009" i="18"/>
  <c r="G1009" i="18" s="1"/>
  <c r="K1009" i="18" s="1"/>
  <c r="E1010" i="18"/>
  <c r="G1010" i="18" s="1"/>
  <c r="E1011" i="18"/>
  <c r="G1011" i="18" s="1"/>
  <c r="E1012" i="18"/>
  <c r="E1013" i="18"/>
  <c r="G1013" i="18" s="1"/>
  <c r="E1014" i="18"/>
  <c r="E1015" i="18"/>
  <c r="E1016" i="18"/>
  <c r="E1017" i="18"/>
  <c r="E1018" i="18"/>
  <c r="E1019" i="18"/>
  <c r="G1019" i="18" s="1"/>
  <c r="E1020" i="18"/>
  <c r="G1020" i="18" s="1"/>
  <c r="K1020" i="18" s="1"/>
  <c r="E1021" i="18"/>
  <c r="E1022" i="18"/>
  <c r="G1022" i="18" s="1"/>
  <c r="E1023" i="18"/>
  <c r="G1023" i="18" s="1"/>
  <c r="E1024" i="18"/>
  <c r="E1025" i="18"/>
  <c r="G1025" i="18" s="1"/>
  <c r="E1026" i="18"/>
  <c r="G1026" i="18" s="1"/>
  <c r="E1027" i="18"/>
  <c r="G1027" i="18" s="1"/>
  <c r="E1028" i="18"/>
  <c r="E1029" i="18"/>
  <c r="E1030" i="18"/>
  <c r="E1031" i="18"/>
  <c r="G1031" i="18" s="1"/>
  <c r="E1032" i="18"/>
  <c r="G1032" i="18" s="1"/>
  <c r="E1033" i="18"/>
  <c r="G1033" i="18" s="1"/>
  <c r="E1034" i="18"/>
  <c r="G1034" i="18" s="1"/>
  <c r="K1034" i="18" s="1"/>
  <c r="E1035" i="18"/>
  <c r="G1035" i="18" s="1"/>
  <c r="E1036" i="18"/>
  <c r="E1037" i="18"/>
  <c r="G1037" i="18" s="1"/>
  <c r="E1038" i="18"/>
  <c r="G1038" i="18" s="1"/>
  <c r="E1039" i="18"/>
  <c r="G1039" i="18" s="1"/>
  <c r="E1040" i="18"/>
  <c r="E1041" i="18"/>
  <c r="A1041" i="18" a="1"/>
  <c r="A1041" i="18" s="1"/>
  <c r="B1041" i="18" a="1"/>
  <c r="B1041" i="18" s="1"/>
  <c r="C1041" i="18" a="1"/>
  <c r="C1041" i="18" s="1"/>
  <c r="D1041" i="18" a="1"/>
  <c r="D1041" i="18" s="1"/>
  <c r="A10" i="18" a="1"/>
  <c r="A10" i="18" s="1"/>
  <c r="B10" i="18" a="1"/>
  <c r="B10" i="18" s="1"/>
  <c r="C10" i="18" a="1"/>
  <c r="C10" i="18" s="1"/>
  <c r="D10" i="18" a="1"/>
  <c r="D10" i="18" s="1"/>
  <c r="A11" i="18" a="1"/>
  <c r="A11" i="18" s="1"/>
  <c r="B11" i="18" a="1"/>
  <c r="B11" i="18" s="1"/>
  <c r="C11" i="18" a="1"/>
  <c r="C11" i="18" s="1"/>
  <c r="D11" i="18" a="1"/>
  <c r="D11" i="18" s="1"/>
  <c r="A12" i="18" a="1"/>
  <c r="A12" i="18" s="1"/>
  <c r="B12" i="18" a="1"/>
  <c r="B12" i="18" s="1"/>
  <c r="C12" i="18" a="1"/>
  <c r="C12" i="18" s="1"/>
  <c r="D12" i="18" a="1"/>
  <c r="D12" i="18" s="1"/>
  <c r="A13" i="18" a="1"/>
  <c r="A13" i="18" s="1"/>
  <c r="B13" i="18" a="1"/>
  <c r="B13" i="18" s="1"/>
  <c r="C13" i="18" a="1"/>
  <c r="C13" i="18" s="1"/>
  <c r="D13" i="18" a="1"/>
  <c r="D13" i="18" s="1"/>
  <c r="A14" i="18" a="1"/>
  <c r="A14" i="18" s="1"/>
  <c r="B14" i="18" a="1"/>
  <c r="B14" i="18"/>
  <c r="C14" i="18" a="1"/>
  <c r="C14" i="18" s="1"/>
  <c r="D14" i="18" a="1"/>
  <c r="D14" i="18" s="1"/>
  <c r="A15" i="18" a="1"/>
  <c r="A15" i="18" s="1"/>
  <c r="B15" i="18" a="1"/>
  <c r="B15" i="18" s="1"/>
  <c r="C15" i="18" a="1"/>
  <c r="C15" i="18" s="1"/>
  <c r="D15" i="18" a="1"/>
  <c r="D15" i="18" s="1"/>
  <c r="A16" i="18" a="1"/>
  <c r="A16" i="18" s="1"/>
  <c r="B16" i="18" a="1"/>
  <c r="B16" i="18"/>
  <c r="C16" i="18" a="1"/>
  <c r="C16" i="18" s="1"/>
  <c r="D16" i="18" a="1"/>
  <c r="D16" i="18" s="1"/>
  <c r="A17" i="18" a="1"/>
  <c r="A17" i="18" s="1"/>
  <c r="B17" i="18" a="1"/>
  <c r="B17" i="18" s="1"/>
  <c r="C17" i="18" a="1"/>
  <c r="C17" i="18" s="1"/>
  <c r="D17" i="18" a="1"/>
  <c r="D17" i="18" s="1"/>
  <c r="A18" i="18" a="1"/>
  <c r="A18" i="18" s="1"/>
  <c r="B18" i="18" a="1"/>
  <c r="B18" i="18" s="1"/>
  <c r="C18" i="18" a="1"/>
  <c r="C18" i="18"/>
  <c r="D18" i="18" a="1"/>
  <c r="D18" i="18"/>
  <c r="A19" i="18" a="1"/>
  <c r="A19" i="18" s="1"/>
  <c r="B19" i="18" a="1"/>
  <c r="B19" i="18" s="1"/>
  <c r="C19" i="18" a="1"/>
  <c r="C19" i="18"/>
  <c r="D19" i="18" a="1"/>
  <c r="D19" i="18" s="1"/>
  <c r="A20" i="18" a="1"/>
  <c r="A20" i="18"/>
  <c r="B20" i="18" a="1"/>
  <c r="B20" i="18"/>
  <c r="C20" i="18" a="1"/>
  <c r="C20" i="18" s="1"/>
  <c r="D20" i="18" a="1"/>
  <c r="D20" i="18" s="1"/>
  <c r="A21" i="18" a="1"/>
  <c r="A21" i="18" s="1"/>
  <c r="B21" i="18" a="1"/>
  <c r="B21" i="18" s="1"/>
  <c r="C21" i="18" a="1"/>
  <c r="C21" i="18" s="1"/>
  <c r="D21" i="18" a="1"/>
  <c r="D21" i="18" s="1"/>
  <c r="A22" i="18" a="1"/>
  <c r="A22" i="18" s="1"/>
  <c r="B22" i="18" a="1"/>
  <c r="B22" i="18" s="1"/>
  <c r="C22" i="18" a="1"/>
  <c r="C22" i="18" s="1"/>
  <c r="D22" i="18" a="1"/>
  <c r="D22" i="18" s="1"/>
  <c r="A23" i="18" a="1"/>
  <c r="A23" i="18"/>
  <c r="B23" i="18" a="1"/>
  <c r="B23" i="18" s="1"/>
  <c r="C23" i="18" a="1"/>
  <c r="C23" i="18" s="1"/>
  <c r="D23" i="18" a="1"/>
  <c r="D23" i="18" s="1"/>
  <c r="A24" i="18" a="1"/>
  <c r="A24" i="18"/>
  <c r="B24" i="18" a="1"/>
  <c r="B24" i="18" s="1"/>
  <c r="C24" i="18" a="1"/>
  <c r="C24" i="18" s="1"/>
  <c r="D24" i="18" a="1"/>
  <c r="D24" i="18" s="1"/>
  <c r="A25" i="18" a="1"/>
  <c r="A25" i="18" s="1"/>
  <c r="B25" i="18" a="1"/>
  <c r="B25" i="18" s="1"/>
  <c r="C25" i="18" a="1"/>
  <c r="C25" i="18" s="1"/>
  <c r="D25" i="18" a="1"/>
  <c r="D25" i="18" s="1"/>
  <c r="A26" i="18" a="1"/>
  <c r="A26" i="18" s="1"/>
  <c r="B26" i="18" a="1"/>
  <c r="B26" i="18" s="1"/>
  <c r="C26" i="18" a="1"/>
  <c r="C26" i="18" s="1"/>
  <c r="D26" i="18" a="1"/>
  <c r="D26" i="18" s="1"/>
  <c r="A27" i="18" a="1"/>
  <c r="A27" i="18" s="1"/>
  <c r="B27" i="18" a="1"/>
  <c r="B27" i="18" s="1"/>
  <c r="C27" i="18" a="1"/>
  <c r="C27" i="18" s="1"/>
  <c r="D27" i="18" a="1"/>
  <c r="D27" i="18" s="1"/>
  <c r="A28" i="18" a="1"/>
  <c r="A28" i="18" s="1"/>
  <c r="B28" i="18" a="1"/>
  <c r="B28" i="18"/>
  <c r="C28" i="18" a="1"/>
  <c r="C28" i="18" s="1"/>
  <c r="D28" i="18" a="1"/>
  <c r="D28" i="18" s="1"/>
  <c r="A29" i="18" a="1"/>
  <c r="A29" i="18"/>
  <c r="B29" i="18" a="1"/>
  <c r="B29" i="18" s="1"/>
  <c r="C29" i="18" a="1"/>
  <c r="C29" i="18" s="1"/>
  <c r="D29" i="18" a="1"/>
  <c r="D29" i="18" s="1"/>
  <c r="A30" i="18" a="1"/>
  <c r="A30" i="18"/>
  <c r="B30" i="18" a="1"/>
  <c r="B30" i="18" s="1"/>
  <c r="C30" i="18" a="1"/>
  <c r="C30" i="18"/>
  <c r="D30" i="18" a="1"/>
  <c r="D30" i="18" s="1"/>
  <c r="A31" i="18" a="1"/>
  <c r="A31" i="18"/>
  <c r="B31" i="18" a="1"/>
  <c r="B31" i="18" s="1"/>
  <c r="C31" i="18" a="1"/>
  <c r="C31" i="18" s="1"/>
  <c r="D31" i="18" a="1"/>
  <c r="D31" i="18" s="1"/>
  <c r="A32" i="18" a="1"/>
  <c r="A32" i="18" s="1"/>
  <c r="B32" i="18" a="1"/>
  <c r="B32" i="18" s="1"/>
  <c r="C32" i="18" a="1"/>
  <c r="C32" i="18" s="1"/>
  <c r="D32" i="18" a="1"/>
  <c r="D32" i="18" s="1"/>
  <c r="A33" i="18" a="1"/>
  <c r="A33" i="18" s="1"/>
  <c r="B33" i="18" a="1"/>
  <c r="B33" i="18" s="1"/>
  <c r="C33" i="18" a="1"/>
  <c r="C33" i="18" s="1"/>
  <c r="D33" i="18" a="1"/>
  <c r="D33" i="18" s="1"/>
  <c r="A34" i="18" a="1"/>
  <c r="A34" i="18" s="1"/>
  <c r="B34" i="18" a="1"/>
  <c r="B34" i="18" s="1"/>
  <c r="C34" i="18" a="1"/>
  <c r="C34" i="18" s="1"/>
  <c r="D34" i="18" a="1"/>
  <c r="D34" i="18" s="1"/>
  <c r="A35" i="18" a="1"/>
  <c r="A35" i="18" s="1"/>
  <c r="B35" i="18" a="1"/>
  <c r="B35" i="18" s="1"/>
  <c r="C35" i="18" a="1"/>
  <c r="C35" i="18" s="1"/>
  <c r="D35" i="18" a="1"/>
  <c r="D35" i="18" s="1"/>
  <c r="A36" i="18" a="1"/>
  <c r="A36" i="18"/>
  <c r="B36" i="18" a="1"/>
  <c r="B36" i="18" s="1"/>
  <c r="C36" i="18" a="1"/>
  <c r="C36" i="18" s="1"/>
  <c r="D36" i="18" a="1"/>
  <c r="D36" i="18" s="1"/>
  <c r="A37" i="18" a="1"/>
  <c r="A37" i="18" s="1"/>
  <c r="B37" i="18" a="1"/>
  <c r="B37" i="18"/>
  <c r="C37" i="18" a="1"/>
  <c r="C37" i="18" s="1"/>
  <c r="D37" i="18" a="1"/>
  <c r="D37" i="18" s="1"/>
  <c r="A38" i="18" a="1"/>
  <c r="A38" i="18"/>
  <c r="B38" i="18" a="1"/>
  <c r="B38" i="18" s="1"/>
  <c r="C38" i="18" a="1"/>
  <c r="C38" i="18" s="1"/>
  <c r="D38" i="18" a="1"/>
  <c r="D38" i="18" s="1"/>
  <c r="A39" i="18" a="1"/>
  <c r="A39" i="18" s="1"/>
  <c r="B39" i="18" a="1"/>
  <c r="B39" i="18" s="1"/>
  <c r="C39" i="18" a="1"/>
  <c r="C39" i="18" s="1"/>
  <c r="D39" i="18" a="1"/>
  <c r="D39" i="18" s="1"/>
  <c r="A40" i="18" a="1"/>
  <c r="A40" i="18"/>
  <c r="B40" i="18" a="1"/>
  <c r="B40" i="18" s="1"/>
  <c r="C40" i="18" a="1"/>
  <c r="C40" i="18" s="1"/>
  <c r="D40" i="18" a="1"/>
  <c r="D40" i="18" s="1"/>
  <c r="A41" i="18" a="1"/>
  <c r="A41" i="18" s="1"/>
  <c r="B41" i="18" a="1"/>
  <c r="B41" i="18" s="1"/>
  <c r="C41" i="18" a="1"/>
  <c r="C41" i="18" s="1"/>
  <c r="D41" i="18" a="1"/>
  <c r="D41" i="18" s="1"/>
  <c r="A42" i="18" a="1"/>
  <c r="A42" i="18"/>
  <c r="B42" i="18" a="1"/>
  <c r="B42" i="18" s="1"/>
  <c r="C42" i="18" a="1"/>
  <c r="C42" i="18" s="1"/>
  <c r="D42" i="18" a="1"/>
  <c r="D42" i="18" s="1"/>
  <c r="A43" i="18" a="1"/>
  <c r="A43" i="18" s="1"/>
  <c r="B43" i="18" a="1"/>
  <c r="B43" i="18" s="1"/>
  <c r="C43" i="18" a="1"/>
  <c r="C43" i="18" s="1"/>
  <c r="D43" i="18" a="1"/>
  <c r="D43" i="18" s="1"/>
  <c r="A44" i="18" a="1"/>
  <c r="A44" i="18" s="1"/>
  <c r="B44" i="18" a="1"/>
  <c r="B44" i="18" s="1"/>
  <c r="C44" i="18" a="1"/>
  <c r="C44" i="18" s="1"/>
  <c r="D44" i="18" a="1"/>
  <c r="D44" i="18" s="1"/>
  <c r="A45" i="18" a="1"/>
  <c r="A45" i="18" s="1"/>
  <c r="B45" i="18" a="1"/>
  <c r="B45" i="18" s="1"/>
  <c r="C45" i="18" a="1"/>
  <c r="C45" i="18" s="1"/>
  <c r="D45" i="18" a="1"/>
  <c r="D45" i="18" s="1"/>
  <c r="A46" i="18" a="1"/>
  <c r="A46" i="18" s="1"/>
  <c r="B46" i="18" a="1"/>
  <c r="B46" i="18" s="1"/>
  <c r="C46" i="18" a="1"/>
  <c r="C46" i="18" s="1"/>
  <c r="D46" i="18" a="1"/>
  <c r="D46" i="18" s="1"/>
  <c r="A47" i="18" a="1"/>
  <c r="A47" i="18" s="1"/>
  <c r="B47" i="18" a="1"/>
  <c r="B47" i="18" s="1"/>
  <c r="C47" i="18" a="1"/>
  <c r="C47" i="18" s="1"/>
  <c r="D47" i="18" a="1"/>
  <c r="D47" i="18" s="1"/>
  <c r="A48" i="18" a="1"/>
  <c r="A48" i="18" s="1"/>
  <c r="B48" i="18" a="1"/>
  <c r="B48" i="18" s="1"/>
  <c r="C48" i="18" a="1"/>
  <c r="C48" i="18" s="1"/>
  <c r="D48" i="18" a="1"/>
  <c r="D48" i="18" s="1"/>
  <c r="A49" i="18" a="1"/>
  <c r="A49" i="18" s="1"/>
  <c r="B49" i="18" a="1"/>
  <c r="B49" i="18" s="1"/>
  <c r="C49" i="18" a="1"/>
  <c r="C49" i="18" s="1"/>
  <c r="D49" i="18" a="1"/>
  <c r="D49" i="18" s="1"/>
  <c r="A50" i="18" a="1"/>
  <c r="A50" i="18" s="1"/>
  <c r="B50" i="18" a="1"/>
  <c r="B50" i="18"/>
  <c r="C50" i="18" a="1"/>
  <c r="C50" i="18" s="1"/>
  <c r="D50" i="18" a="1"/>
  <c r="D50" i="18" s="1"/>
  <c r="A51" i="18" a="1"/>
  <c r="A51" i="18" s="1"/>
  <c r="B51" i="18" a="1"/>
  <c r="B51" i="18" s="1"/>
  <c r="C51" i="18" a="1"/>
  <c r="C51" i="18" s="1"/>
  <c r="D51" i="18" a="1"/>
  <c r="D51" i="18"/>
  <c r="A52" i="18" a="1"/>
  <c r="A52" i="18" s="1"/>
  <c r="B52" i="18" a="1"/>
  <c r="B52" i="18" s="1"/>
  <c r="C52" i="18" a="1"/>
  <c r="C52" i="18" s="1"/>
  <c r="D52" i="18" a="1"/>
  <c r="D52" i="18" s="1"/>
  <c r="A53" i="18" a="1"/>
  <c r="A53" i="18" s="1"/>
  <c r="B53" i="18" a="1"/>
  <c r="B53" i="18" s="1"/>
  <c r="C53" i="18" a="1"/>
  <c r="C53" i="18" s="1"/>
  <c r="D53" i="18" a="1"/>
  <c r="D53" i="18" s="1"/>
  <c r="A54" i="18" a="1"/>
  <c r="A54" i="18" s="1"/>
  <c r="B54" i="18" a="1"/>
  <c r="B54" i="18" s="1"/>
  <c r="C54" i="18" a="1"/>
  <c r="C54" i="18" s="1"/>
  <c r="D54" i="18" a="1"/>
  <c r="D54" i="18" s="1"/>
  <c r="A55" i="18" a="1"/>
  <c r="A55" i="18" s="1"/>
  <c r="B55" i="18" a="1"/>
  <c r="B55" i="18" s="1"/>
  <c r="C55" i="18" a="1"/>
  <c r="C55" i="18" s="1"/>
  <c r="D55" i="18" a="1"/>
  <c r="D55" i="18" s="1"/>
  <c r="A56" i="18" a="1"/>
  <c r="A56" i="18"/>
  <c r="B56" i="18" a="1"/>
  <c r="B56" i="18" s="1"/>
  <c r="C56" i="18" a="1"/>
  <c r="C56" i="18" s="1"/>
  <c r="D56" i="18" a="1"/>
  <c r="D56" i="18" s="1"/>
  <c r="A57" i="18" a="1"/>
  <c r="A57" i="18" s="1"/>
  <c r="B57" i="18" a="1"/>
  <c r="B57" i="18" s="1"/>
  <c r="C57" i="18" a="1"/>
  <c r="C57" i="18" s="1"/>
  <c r="D57" i="18" a="1"/>
  <c r="D57" i="18" s="1"/>
  <c r="A58" i="18" a="1"/>
  <c r="A58" i="18" s="1"/>
  <c r="B58" i="18" a="1"/>
  <c r="B58" i="18" s="1"/>
  <c r="C58" i="18" a="1"/>
  <c r="C58" i="18"/>
  <c r="D58" i="18" a="1"/>
  <c r="D58" i="18" s="1"/>
  <c r="A59" i="18" a="1"/>
  <c r="A59" i="18" s="1"/>
  <c r="B59" i="18" a="1"/>
  <c r="B59" i="18" s="1"/>
  <c r="C59" i="18" a="1"/>
  <c r="C59" i="18" s="1"/>
  <c r="D59" i="18" a="1"/>
  <c r="D59" i="18" s="1"/>
  <c r="A60" i="18" a="1"/>
  <c r="A60" i="18" s="1"/>
  <c r="B60" i="18" a="1"/>
  <c r="B60" i="18" s="1"/>
  <c r="C60" i="18" a="1"/>
  <c r="C60" i="18"/>
  <c r="D60" i="18" a="1"/>
  <c r="D60" i="18" s="1"/>
  <c r="A61" i="18" a="1"/>
  <c r="A61" i="18" s="1"/>
  <c r="B61" i="18" a="1"/>
  <c r="B61" i="18" s="1"/>
  <c r="C61" i="18" a="1"/>
  <c r="C61" i="18"/>
  <c r="D61" i="18" a="1"/>
  <c r="D61" i="18" s="1"/>
  <c r="A62" i="18" a="1"/>
  <c r="A62" i="18" s="1"/>
  <c r="B62" i="18" a="1"/>
  <c r="B62" i="18" s="1"/>
  <c r="C62" i="18" a="1"/>
  <c r="C62" i="18" s="1"/>
  <c r="D62" i="18" a="1"/>
  <c r="D62" i="18" s="1"/>
  <c r="A63" i="18" a="1"/>
  <c r="A63" i="18" s="1"/>
  <c r="B63" i="18" a="1"/>
  <c r="B63" i="18" s="1"/>
  <c r="C63" i="18" a="1"/>
  <c r="C63" i="18" s="1"/>
  <c r="D63" i="18" a="1"/>
  <c r="D63" i="18" s="1"/>
  <c r="A64" i="18" a="1"/>
  <c r="A64" i="18" s="1"/>
  <c r="B64" i="18" a="1"/>
  <c r="B64" i="18"/>
  <c r="C64" i="18" a="1"/>
  <c r="C64" i="18" s="1"/>
  <c r="D64" i="18" a="1"/>
  <c r="D64" i="18" s="1"/>
  <c r="A65" i="18" a="1"/>
  <c r="A65" i="18" s="1"/>
  <c r="B65" i="18" a="1"/>
  <c r="B65" i="18" s="1"/>
  <c r="C65" i="18" a="1"/>
  <c r="C65" i="18"/>
  <c r="D65" i="18" a="1"/>
  <c r="D65" i="18" s="1"/>
  <c r="A66" i="18" a="1"/>
  <c r="A66" i="18" s="1"/>
  <c r="B66" i="18" a="1"/>
  <c r="B66" i="18" s="1"/>
  <c r="C66" i="18" a="1"/>
  <c r="C66" i="18" s="1"/>
  <c r="D66" i="18" a="1"/>
  <c r="D66" i="18" s="1"/>
  <c r="A67" i="18" a="1"/>
  <c r="A67" i="18" s="1"/>
  <c r="B67" i="18" a="1"/>
  <c r="B67" i="18" s="1"/>
  <c r="C67" i="18" a="1"/>
  <c r="C67" i="18"/>
  <c r="D67" i="18" a="1"/>
  <c r="D67" i="18" s="1"/>
  <c r="A68" i="18" a="1"/>
  <c r="A68" i="18" s="1"/>
  <c r="B68" i="18" a="1"/>
  <c r="B68" i="18" s="1"/>
  <c r="C68" i="18" a="1"/>
  <c r="C68" i="18" s="1"/>
  <c r="D68" i="18" a="1"/>
  <c r="D68" i="18" s="1"/>
  <c r="A69" i="18" a="1"/>
  <c r="A69" i="18"/>
  <c r="B69" i="18" a="1"/>
  <c r="B69" i="18" s="1"/>
  <c r="C69" i="18" a="1"/>
  <c r="C69" i="18" s="1"/>
  <c r="D69" i="18" a="1"/>
  <c r="D69" i="18" s="1"/>
  <c r="A70" i="18" a="1"/>
  <c r="A70" i="18" s="1"/>
  <c r="B70" i="18" a="1"/>
  <c r="B70" i="18" s="1"/>
  <c r="C70" i="18" a="1"/>
  <c r="C70" i="18" s="1"/>
  <c r="D70" i="18" a="1"/>
  <c r="D70" i="18" s="1"/>
  <c r="A71" i="18" a="1"/>
  <c r="A71" i="18" s="1"/>
  <c r="B71" i="18" a="1"/>
  <c r="B71" i="18" s="1"/>
  <c r="C71" i="18" a="1"/>
  <c r="C71" i="18" s="1"/>
  <c r="D71" i="18" a="1"/>
  <c r="D71" i="18" s="1"/>
  <c r="A72" i="18" a="1"/>
  <c r="A72" i="18" s="1"/>
  <c r="B72" i="18" a="1"/>
  <c r="B72" i="18" s="1"/>
  <c r="C72" i="18" a="1"/>
  <c r="C72" i="18" s="1"/>
  <c r="D72" i="18" a="1"/>
  <c r="D72" i="18" s="1"/>
  <c r="A73" i="18" a="1"/>
  <c r="A73" i="18" s="1"/>
  <c r="B73" i="18" a="1"/>
  <c r="B73" i="18" s="1"/>
  <c r="C73" i="18" a="1"/>
  <c r="C73" i="18" s="1"/>
  <c r="D73" i="18" a="1"/>
  <c r="D73" i="18" s="1"/>
  <c r="A74" i="18" a="1"/>
  <c r="A74" i="18" s="1"/>
  <c r="B74" i="18" a="1"/>
  <c r="B74" i="18" s="1"/>
  <c r="C74" i="18" a="1"/>
  <c r="C74" i="18" s="1"/>
  <c r="D74" i="18" a="1"/>
  <c r="D74" i="18" s="1"/>
  <c r="A75" i="18" a="1"/>
  <c r="A75" i="18" s="1"/>
  <c r="B75" i="18" a="1"/>
  <c r="B75" i="18" s="1"/>
  <c r="C75" i="18" a="1"/>
  <c r="C75" i="18" s="1"/>
  <c r="D75" i="18" a="1"/>
  <c r="D75" i="18" s="1"/>
  <c r="A76" i="18" a="1"/>
  <c r="A76" i="18" s="1"/>
  <c r="B76" i="18" a="1"/>
  <c r="B76" i="18" s="1"/>
  <c r="C76" i="18" a="1"/>
  <c r="C76" i="18" s="1"/>
  <c r="D76" i="18" a="1"/>
  <c r="D76" i="18" s="1"/>
  <c r="A77" i="18" a="1"/>
  <c r="A77" i="18" s="1"/>
  <c r="B77" i="18" a="1"/>
  <c r="B77" i="18" s="1"/>
  <c r="C77" i="18" a="1"/>
  <c r="C77" i="18" s="1"/>
  <c r="D77" i="18" a="1"/>
  <c r="D77" i="18" s="1"/>
  <c r="A78" i="18" a="1"/>
  <c r="A78" i="18" s="1"/>
  <c r="B78" i="18" a="1"/>
  <c r="B78" i="18" s="1"/>
  <c r="C78" i="18" a="1"/>
  <c r="C78" i="18" s="1"/>
  <c r="D78" i="18" a="1"/>
  <c r="D78" i="18" s="1"/>
  <c r="A79" i="18" a="1"/>
  <c r="A79" i="18"/>
  <c r="B79" i="18" a="1"/>
  <c r="B79" i="18" s="1"/>
  <c r="C79" i="18" a="1"/>
  <c r="C79" i="18" s="1"/>
  <c r="D79" i="18" a="1"/>
  <c r="D79" i="18" s="1"/>
  <c r="A80" i="18" a="1"/>
  <c r="A80" i="18" s="1"/>
  <c r="B80" i="18" a="1"/>
  <c r="B80" i="18" s="1"/>
  <c r="C80" i="18" a="1"/>
  <c r="C80" i="18" s="1"/>
  <c r="D80" i="18" a="1"/>
  <c r="D80" i="18" s="1"/>
  <c r="A81" i="18" a="1"/>
  <c r="A81" i="18" s="1"/>
  <c r="B81" i="18" a="1"/>
  <c r="B81" i="18" s="1"/>
  <c r="C81" i="18" a="1"/>
  <c r="C81" i="18" s="1"/>
  <c r="D81" i="18" a="1"/>
  <c r="D81" i="18" s="1"/>
  <c r="A82" i="18" a="1"/>
  <c r="A82" i="18" s="1"/>
  <c r="B82" i="18" a="1"/>
  <c r="B82" i="18" s="1"/>
  <c r="C82" i="18" a="1"/>
  <c r="C82" i="18" s="1"/>
  <c r="D82" i="18" a="1"/>
  <c r="D82" i="18" s="1"/>
  <c r="A83" i="18" a="1"/>
  <c r="A83" i="18" s="1"/>
  <c r="B83" i="18" a="1"/>
  <c r="B83" i="18" s="1"/>
  <c r="C83" i="18" a="1"/>
  <c r="C83" i="18" s="1"/>
  <c r="D83" i="18" a="1"/>
  <c r="D83" i="18"/>
  <c r="A84" i="18" a="1"/>
  <c r="A84" i="18" s="1"/>
  <c r="B84" i="18" a="1"/>
  <c r="B84" i="18" s="1"/>
  <c r="C84" i="18" a="1"/>
  <c r="C84" i="18" s="1"/>
  <c r="D84" i="18" a="1"/>
  <c r="D84" i="18" s="1"/>
  <c r="A85" i="18" a="1"/>
  <c r="A85" i="18" s="1"/>
  <c r="B85" i="18" a="1"/>
  <c r="B85" i="18" s="1"/>
  <c r="C85" i="18" a="1"/>
  <c r="C85" i="18" s="1"/>
  <c r="D85" i="18" a="1"/>
  <c r="D85" i="18" s="1"/>
  <c r="A86" i="18" a="1"/>
  <c r="A86" i="18" s="1"/>
  <c r="B86" i="18" a="1"/>
  <c r="B86" i="18"/>
  <c r="C86" i="18" a="1"/>
  <c r="C86" i="18" s="1"/>
  <c r="D86" i="18" a="1"/>
  <c r="D86" i="18" s="1"/>
  <c r="A87" i="18" a="1"/>
  <c r="A87" i="18" s="1"/>
  <c r="B87" i="18" a="1"/>
  <c r="B87" i="18" s="1"/>
  <c r="C87" i="18" a="1"/>
  <c r="C87" i="18" s="1"/>
  <c r="D87" i="18" a="1"/>
  <c r="D87" i="18"/>
  <c r="A88" i="18" a="1"/>
  <c r="A88" i="18" s="1"/>
  <c r="B88" i="18" a="1"/>
  <c r="B88" i="18" s="1"/>
  <c r="C88" i="18" a="1"/>
  <c r="C88" i="18" s="1"/>
  <c r="D88" i="18" a="1"/>
  <c r="D88" i="18" s="1"/>
  <c r="A89" i="18" a="1"/>
  <c r="A89" i="18" s="1"/>
  <c r="B89" i="18" a="1"/>
  <c r="B89" i="18" s="1"/>
  <c r="C89" i="18" a="1"/>
  <c r="C89" i="18"/>
  <c r="D89" i="18" a="1"/>
  <c r="D89" i="18" s="1"/>
  <c r="A90" i="18" a="1"/>
  <c r="A90" i="18" s="1"/>
  <c r="B90" i="18" a="1"/>
  <c r="B90" i="18" s="1"/>
  <c r="C90" i="18" a="1"/>
  <c r="C90" i="18" s="1"/>
  <c r="D90" i="18" a="1"/>
  <c r="D90" i="18" s="1"/>
  <c r="A91" i="18" a="1"/>
  <c r="A91" i="18" s="1"/>
  <c r="B91" i="18" a="1"/>
  <c r="B91" i="18" s="1"/>
  <c r="C91" i="18" a="1"/>
  <c r="C91" i="18" s="1"/>
  <c r="D91" i="18" a="1"/>
  <c r="D91" i="18" s="1"/>
  <c r="A92" i="18" a="1"/>
  <c r="A92" i="18"/>
  <c r="B92" i="18" a="1"/>
  <c r="B92" i="18" s="1"/>
  <c r="C92" i="18" a="1"/>
  <c r="C92" i="18" s="1"/>
  <c r="D92" i="18" a="1"/>
  <c r="D92" i="18" s="1"/>
  <c r="A93" i="18" a="1"/>
  <c r="A93" i="18" s="1"/>
  <c r="B93" i="18" a="1"/>
  <c r="B93" i="18" s="1"/>
  <c r="C93" i="18" a="1"/>
  <c r="C93" i="18" s="1"/>
  <c r="D93" i="18" a="1"/>
  <c r="D93" i="18" s="1"/>
  <c r="A94" i="18" a="1"/>
  <c r="A94" i="18" s="1"/>
  <c r="B94" i="18" a="1"/>
  <c r="B94" i="18"/>
  <c r="C94" i="18" a="1"/>
  <c r="C94" i="18"/>
  <c r="D94" i="18" a="1"/>
  <c r="D94" i="18" s="1"/>
  <c r="A95" i="18" a="1"/>
  <c r="A95" i="18" s="1"/>
  <c r="B95" i="18" a="1"/>
  <c r="B95" i="18"/>
  <c r="C95" i="18" a="1"/>
  <c r="C95" i="18" s="1"/>
  <c r="D95" i="18" a="1"/>
  <c r="D95" i="18" s="1"/>
  <c r="A96" i="18" a="1"/>
  <c r="A96" i="18" s="1"/>
  <c r="B96" i="18" a="1"/>
  <c r="B96" i="18" s="1"/>
  <c r="C96" i="18" a="1"/>
  <c r="C96" i="18" s="1"/>
  <c r="D96" i="18" a="1"/>
  <c r="D96" i="18" s="1"/>
  <c r="A97" i="18" a="1"/>
  <c r="A97" i="18" s="1"/>
  <c r="B97" i="18" a="1"/>
  <c r="B97" i="18" s="1"/>
  <c r="C97" i="18" a="1"/>
  <c r="C97" i="18" s="1"/>
  <c r="D97" i="18" a="1"/>
  <c r="D97" i="18" s="1"/>
  <c r="A98" i="18" a="1"/>
  <c r="A98" i="18" s="1"/>
  <c r="B98" i="18" a="1"/>
  <c r="B98" i="18" s="1"/>
  <c r="C98" i="18" a="1"/>
  <c r="C98" i="18" s="1"/>
  <c r="D98" i="18" a="1"/>
  <c r="D98" i="18" s="1"/>
  <c r="A99" i="18" a="1"/>
  <c r="A99" i="18" s="1"/>
  <c r="B99" i="18" a="1"/>
  <c r="B99" i="18" s="1"/>
  <c r="C99" i="18" a="1"/>
  <c r="C99" i="18" s="1"/>
  <c r="D99" i="18" a="1"/>
  <c r="D99" i="18" s="1"/>
  <c r="A100" i="18" a="1"/>
  <c r="A100" i="18" s="1"/>
  <c r="B100" i="18" a="1"/>
  <c r="B100" i="18"/>
  <c r="C100" i="18" a="1"/>
  <c r="C100" i="18"/>
  <c r="D100" i="18" a="1"/>
  <c r="D100" i="18" s="1"/>
  <c r="A101" i="18" a="1"/>
  <c r="A101" i="18" s="1"/>
  <c r="B101" i="18" a="1"/>
  <c r="B101" i="18" s="1"/>
  <c r="C101" i="18" a="1"/>
  <c r="C101" i="18" s="1"/>
  <c r="D101" i="18" a="1"/>
  <c r="D101" i="18" s="1"/>
  <c r="A102" i="18" a="1"/>
  <c r="A102" i="18" s="1"/>
  <c r="B102" i="18" a="1"/>
  <c r="B102" i="18" s="1"/>
  <c r="C102" i="18" a="1"/>
  <c r="C102" i="18"/>
  <c r="D102" i="18" a="1"/>
  <c r="D102" i="18" s="1"/>
  <c r="A103" i="18" a="1"/>
  <c r="A103" i="18" s="1"/>
  <c r="B103" i="18" a="1"/>
  <c r="B103" i="18" s="1"/>
  <c r="C103" i="18" a="1"/>
  <c r="C103" i="18" s="1"/>
  <c r="D103" i="18" a="1"/>
  <c r="D103" i="18" s="1"/>
  <c r="A104" i="18" a="1"/>
  <c r="A104" i="18" s="1"/>
  <c r="B104" i="18" a="1"/>
  <c r="B104" i="18" s="1"/>
  <c r="C104" i="18" a="1"/>
  <c r="C104" i="18" s="1"/>
  <c r="D104" i="18" a="1"/>
  <c r="D104" i="18" s="1"/>
  <c r="A105" i="18" a="1"/>
  <c r="A105" i="18"/>
  <c r="B105" i="18" a="1"/>
  <c r="B105" i="18" s="1"/>
  <c r="C105" i="18" a="1"/>
  <c r="C105" i="18" s="1"/>
  <c r="D105" i="18" a="1"/>
  <c r="D105" i="18" s="1"/>
  <c r="A106" i="18" a="1"/>
  <c r="A106" i="18" s="1"/>
  <c r="B106" i="18" a="1"/>
  <c r="B106" i="18" s="1"/>
  <c r="C106" i="18" a="1"/>
  <c r="C106" i="18" s="1"/>
  <c r="D106" i="18" a="1"/>
  <c r="D106" i="18" s="1"/>
  <c r="A107" i="18" a="1"/>
  <c r="A107" i="18" s="1"/>
  <c r="B107" i="18" a="1"/>
  <c r="B107" i="18" s="1"/>
  <c r="C107" i="18" a="1"/>
  <c r="C107" i="18" s="1"/>
  <c r="D107" i="18" a="1"/>
  <c r="D107" i="18" s="1"/>
  <c r="A108" i="18" a="1"/>
  <c r="A108" i="18" s="1"/>
  <c r="B108" i="18" a="1"/>
  <c r="B108" i="18" s="1"/>
  <c r="C108" i="18" a="1"/>
  <c r="C108" i="18" s="1"/>
  <c r="D108" i="18" a="1"/>
  <c r="D108" i="18" s="1"/>
  <c r="A109" i="18" a="1"/>
  <c r="A109" i="18"/>
  <c r="B109" i="18" a="1"/>
  <c r="B109" i="18" s="1"/>
  <c r="C109" i="18" a="1"/>
  <c r="C109" i="18" s="1"/>
  <c r="D109" i="18" a="1"/>
  <c r="D109" i="18" s="1"/>
  <c r="A110" i="18" a="1"/>
  <c r="A110" i="18"/>
  <c r="B110" i="18" a="1"/>
  <c r="B110" i="18" s="1"/>
  <c r="C110" i="18" a="1"/>
  <c r="C110" i="18" s="1"/>
  <c r="D110" i="18" a="1"/>
  <c r="D110" i="18" s="1"/>
  <c r="A111" i="18" a="1"/>
  <c r="A111" i="18" s="1"/>
  <c r="B111" i="18" a="1"/>
  <c r="B111" i="18" s="1"/>
  <c r="C111" i="18" a="1"/>
  <c r="C111" i="18" s="1"/>
  <c r="D111" i="18" a="1"/>
  <c r="D111" i="18" s="1"/>
  <c r="A112" i="18" a="1"/>
  <c r="A112" i="18"/>
  <c r="B112" i="18" a="1"/>
  <c r="B112" i="18" s="1"/>
  <c r="C112" i="18" a="1"/>
  <c r="C112" i="18" s="1"/>
  <c r="D112" i="18" a="1"/>
  <c r="D112" i="18" s="1"/>
  <c r="A113" i="18" a="1"/>
  <c r="A113" i="18"/>
  <c r="B113" i="18" a="1"/>
  <c r="B113" i="18" s="1"/>
  <c r="C113" i="18" a="1"/>
  <c r="C113" i="18" s="1"/>
  <c r="D113" i="18" a="1"/>
  <c r="D113" i="18" s="1"/>
  <c r="A114" i="18" a="1"/>
  <c r="A114" i="18"/>
  <c r="B114" i="18" a="1"/>
  <c r="B114" i="18" s="1"/>
  <c r="C114" i="18" a="1"/>
  <c r="C114" i="18" s="1"/>
  <c r="D114" i="18" a="1"/>
  <c r="D114" i="18" s="1"/>
  <c r="A115" i="18" a="1"/>
  <c r="A115" i="18" s="1"/>
  <c r="B115" i="18" a="1"/>
  <c r="B115" i="18" s="1"/>
  <c r="C115" i="18" a="1"/>
  <c r="C115" i="18" s="1"/>
  <c r="D115" i="18" a="1"/>
  <c r="D115" i="18" s="1"/>
  <c r="A116" i="18" a="1"/>
  <c r="A116" i="18" s="1"/>
  <c r="B116" i="18" a="1"/>
  <c r="B116" i="18" s="1"/>
  <c r="C116" i="18" a="1"/>
  <c r="C116" i="18"/>
  <c r="D116" i="18" a="1"/>
  <c r="D116" i="18" s="1"/>
  <c r="A117" i="18" a="1"/>
  <c r="A117" i="18" s="1"/>
  <c r="B117" i="18" a="1"/>
  <c r="B117" i="18" s="1"/>
  <c r="C117" i="18" a="1"/>
  <c r="C117" i="18" s="1"/>
  <c r="D117" i="18" a="1"/>
  <c r="D117" i="18"/>
  <c r="A118" i="18" a="1"/>
  <c r="A118" i="18" s="1"/>
  <c r="B118" i="18" a="1"/>
  <c r="B118" i="18" s="1"/>
  <c r="C118" i="18" a="1"/>
  <c r="C118" i="18" s="1"/>
  <c r="D118" i="18" a="1"/>
  <c r="D118" i="18" s="1"/>
  <c r="A119" i="18" a="1"/>
  <c r="A119" i="18" s="1"/>
  <c r="B119" i="18" a="1"/>
  <c r="B119" i="18" s="1"/>
  <c r="C119" i="18" a="1"/>
  <c r="C119" i="18" s="1"/>
  <c r="D119" i="18" a="1"/>
  <c r="D119" i="18" s="1"/>
  <c r="A120" i="18" a="1"/>
  <c r="A120" i="18" s="1"/>
  <c r="B120" i="18" a="1"/>
  <c r="B120" i="18" s="1"/>
  <c r="C120" i="18" a="1"/>
  <c r="C120" i="18" s="1"/>
  <c r="D120" i="18" a="1"/>
  <c r="D120" i="18" s="1"/>
  <c r="A121" i="18" a="1"/>
  <c r="A121" i="18"/>
  <c r="B121" i="18" a="1"/>
  <c r="B121" i="18" s="1"/>
  <c r="C121" i="18" a="1"/>
  <c r="C121" i="18" s="1"/>
  <c r="D121" i="18" a="1"/>
  <c r="D121" i="18" s="1"/>
  <c r="A122" i="18" a="1"/>
  <c r="A122" i="18" s="1"/>
  <c r="B122" i="18" a="1"/>
  <c r="B122" i="18" s="1"/>
  <c r="C122" i="18" a="1"/>
  <c r="C122" i="18" s="1"/>
  <c r="D122" i="18" a="1"/>
  <c r="D122" i="18" s="1"/>
  <c r="A123" i="18" a="1"/>
  <c r="A123" i="18" s="1"/>
  <c r="B123" i="18" a="1"/>
  <c r="B123" i="18" s="1"/>
  <c r="C123" i="18" a="1"/>
  <c r="C123" i="18" s="1"/>
  <c r="D123" i="18" a="1"/>
  <c r="D123" i="18" s="1"/>
  <c r="A124" i="18" a="1"/>
  <c r="A124" i="18" s="1"/>
  <c r="B124" i="18" a="1"/>
  <c r="B124" i="18" s="1"/>
  <c r="C124" i="18" a="1"/>
  <c r="C124" i="18" s="1"/>
  <c r="D124" i="18" a="1"/>
  <c r="D124" i="18" s="1"/>
  <c r="A125" i="18" a="1"/>
  <c r="A125" i="18"/>
  <c r="B125" i="18" a="1"/>
  <c r="B125" i="18" s="1"/>
  <c r="C125" i="18" a="1"/>
  <c r="C125" i="18" s="1"/>
  <c r="D125" i="18" a="1"/>
  <c r="D125" i="18" s="1"/>
  <c r="A126" i="18" a="1"/>
  <c r="A126" i="18" s="1"/>
  <c r="B126" i="18" a="1"/>
  <c r="B126" i="18" s="1"/>
  <c r="C126" i="18" a="1"/>
  <c r="C126" i="18" s="1"/>
  <c r="D126" i="18" a="1"/>
  <c r="D126" i="18" s="1"/>
  <c r="A127" i="18" a="1"/>
  <c r="A127" i="18"/>
  <c r="B127" i="18" a="1"/>
  <c r="B127" i="18" s="1"/>
  <c r="C127" i="18" a="1"/>
  <c r="C127" i="18"/>
  <c r="D127" i="18" a="1"/>
  <c r="D127" i="18" s="1"/>
  <c r="A128" i="18" a="1"/>
  <c r="A128" i="18" s="1"/>
  <c r="B128" i="18" a="1"/>
  <c r="B128" i="18" s="1"/>
  <c r="C128" i="18" a="1"/>
  <c r="C128" i="18" s="1"/>
  <c r="D128" i="18" a="1"/>
  <c r="D128" i="18" s="1"/>
  <c r="A129" i="18" a="1"/>
  <c r="A129" i="18" s="1"/>
  <c r="B129" i="18" a="1"/>
  <c r="B129" i="18" s="1"/>
  <c r="C129" i="18" a="1"/>
  <c r="C129" i="18" s="1"/>
  <c r="D129" i="18" a="1"/>
  <c r="D129" i="18"/>
  <c r="A130" i="18" a="1"/>
  <c r="A130" i="18" s="1"/>
  <c r="B130" i="18" a="1"/>
  <c r="B130" i="18" s="1"/>
  <c r="C130" i="18" a="1"/>
  <c r="C130" i="18" s="1"/>
  <c r="D130" i="18" a="1"/>
  <c r="D130" i="18" s="1"/>
  <c r="A131" i="18" a="1"/>
  <c r="A131" i="18" s="1"/>
  <c r="B131" i="18" a="1"/>
  <c r="B131" i="18" s="1"/>
  <c r="C131" i="18" a="1"/>
  <c r="C131" i="18" s="1"/>
  <c r="D131" i="18" a="1"/>
  <c r="D131" i="18" s="1"/>
  <c r="A132" i="18" a="1"/>
  <c r="A132" i="18" s="1"/>
  <c r="B132" i="18" a="1"/>
  <c r="B132" i="18" s="1"/>
  <c r="C132" i="18" a="1"/>
  <c r="C132" i="18" s="1"/>
  <c r="D132" i="18" a="1"/>
  <c r="D132" i="18" s="1"/>
  <c r="A133" i="18" a="1"/>
  <c r="A133" i="18"/>
  <c r="B133" i="18" a="1"/>
  <c r="B133" i="18" s="1"/>
  <c r="C133" i="18" a="1"/>
  <c r="C133" i="18" s="1"/>
  <c r="D133" i="18" a="1"/>
  <c r="D133" i="18" s="1"/>
  <c r="A134" i="18" a="1"/>
  <c r="A134" i="18" s="1"/>
  <c r="B134" i="18" a="1"/>
  <c r="B134" i="18" s="1"/>
  <c r="C134" i="18" a="1"/>
  <c r="C134" i="18" s="1"/>
  <c r="D134" i="18" a="1"/>
  <c r="D134" i="18" s="1"/>
  <c r="A135" i="18" a="1"/>
  <c r="A135" i="18" s="1"/>
  <c r="B135" i="18" a="1"/>
  <c r="B135" i="18" s="1"/>
  <c r="C135" i="18" a="1"/>
  <c r="C135" i="18" s="1"/>
  <c r="D135" i="18" a="1"/>
  <c r="D135" i="18" s="1"/>
  <c r="A136" i="18" a="1"/>
  <c r="A136" i="18" s="1"/>
  <c r="B136" i="18" a="1"/>
  <c r="B136" i="18" s="1"/>
  <c r="C136" i="18" a="1"/>
  <c r="C136" i="18" s="1"/>
  <c r="D136" i="18" a="1"/>
  <c r="D136" i="18" s="1"/>
  <c r="A137" i="18" a="1"/>
  <c r="A137" i="18" s="1"/>
  <c r="B137" i="18" a="1"/>
  <c r="B137" i="18" s="1"/>
  <c r="C137" i="18" a="1"/>
  <c r="C137" i="18" s="1"/>
  <c r="D137" i="18" a="1"/>
  <c r="D137" i="18" s="1"/>
  <c r="A138" i="18" a="1"/>
  <c r="A138" i="18" s="1"/>
  <c r="B138" i="18" a="1"/>
  <c r="B138" i="18" s="1"/>
  <c r="C138" i="18" a="1"/>
  <c r="C138" i="18" s="1"/>
  <c r="D138" i="18" a="1"/>
  <c r="D138" i="18" s="1"/>
  <c r="A139" i="18" a="1"/>
  <c r="A139" i="18" s="1"/>
  <c r="B139" i="18" a="1"/>
  <c r="B139" i="18"/>
  <c r="C139" i="18" a="1"/>
  <c r="C139" i="18" s="1"/>
  <c r="D139" i="18" a="1"/>
  <c r="D139" i="18" s="1"/>
  <c r="A140" i="18" a="1"/>
  <c r="A140" i="18" s="1"/>
  <c r="B140" i="18" a="1"/>
  <c r="B140" i="18" s="1"/>
  <c r="C140" i="18" a="1"/>
  <c r="C140" i="18" s="1"/>
  <c r="D140" i="18" a="1"/>
  <c r="D140" i="18" s="1"/>
  <c r="A141" i="18" a="1"/>
  <c r="A141" i="18"/>
  <c r="B141" i="18" a="1"/>
  <c r="B141" i="18" s="1"/>
  <c r="C141" i="18" a="1"/>
  <c r="C141" i="18" s="1"/>
  <c r="D141" i="18" a="1"/>
  <c r="D141" i="18" s="1"/>
  <c r="A142" i="18" a="1"/>
  <c r="A142" i="18" s="1"/>
  <c r="B142" i="18" a="1"/>
  <c r="B142" i="18" s="1"/>
  <c r="C142" i="18" a="1"/>
  <c r="C142" i="18" s="1"/>
  <c r="D142" i="18" a="1"/>
  <c r="D142" i="18" s="1"/>
  <c r="A143" i="18" a="1"/>
  <c r="A143" i="18" s="1"/>
  <c r="B143" i="18" a="1"/>
  <c r="B143" i="18" s="1"/>
  <c r="C143" i="18" a="1"/>
  <c r="C143" i="18" s="1"/>
  <c r="D143" i="18" a="1"/>
  <c r="D143" i="18" s="1"/>
  <c r="A144" i="18" a="1"/>
  <c r="A144" i="18" s="1"/>
  <c r="B144" i="18" a="1"/>
  <c r="B144" i="18" s="1"/>
  <c r="C144" i="18" a="1"/>
  <c r="C144" i="18" s="1"/>
  <c r="D144" i="18" a="1"/>
  <c r="D144" i="18" s="1"/>
  <c r="A145" i="18" a="1"/>
  <c r="A145" i="18" s="1"/>
  <c r="B145" i="18" a="1"/>
  <c r="B145" i="18" s="1"/>
  <c r="C145" i="18" a="1"/>
  <c r="C145" i="18" s="1"/>
  <c r="D145" i="18" a="1"/>
  <c r="D145" i="18" s="1"/>
  <c r="A146" i="18" a="1"/>
  <c r="A146" i="18"/>
  <c r="B146" i="18" a="1"/>
  <c r="B146" i="18" s="1"/>
  <c r="C146" i="18" a="1"/>
  <c r="C146" i="18" s="1"/>
  <c r="D146" i="18" a="1"/>
  <c r="D146" i="18" s="1"/>
  <c r="A147" i="18" a="1"/>
  <c r="A147" i="18" s="1"/>
  <c r="B147" i="18" a="1"/>
  <c r="B147" i="18" s="1"/>
  <c r="C147" i="18" a="1"/>
  <c r="C147" i="18" s="1"/>
  <c r="D147" i="18" a="1"/>
  <c r="D147" i="18" s="1"/>
  <c r="A148" i="18" a="1"/>
  <c r="A148" i="18" s="1"/>
  <c r="B148" i="18" a="1"/>
  <c r="B148" i="18" s="1"/>
  <c r="C148" i="18" a="1"/>
  <c r="C148" i="18" s="1"/>
  <c r="D148" i="18" a="1"/>
  <c r="D148" i="18" s="1"/>
  <c r="A149" i="18" a="1"/>
  <c r="A149" i="18" s="1"/>
  <c r="B149" i="18" a="1"/>
  <c r="B149" i="18" s="1"/>
  <c r="C149" i="18" a="1"/>
  <c r="C149" i="18" s="1"/>
  <c r="D149" i="18" a="1"/>
  <c r="D149" i="18" s="1"/>
  <c r="A150" i="18" a="1"/>
  <c r="A150" i="18"/>
  <c r="B150" i="18" a="1"/>
  <c r="B150" i="18" s="1"/>
  <c r="C150" i="18" a="1"/>
  <c r="C150" i="18" s="1"/>
  <c r="D150" i="18" a="1"/>
  <c r="D150" i="18" s="1"/>
  <c r="A151" i="18" a="1"/>
  <c r="A151" i="18" s="1"/>
  <c r="B151" i="18" a="1"/>
  <c r="B151" i="18" s="1"/>
  <c r="C151" i="18" a="1"/>
  <c r="C151" i="18" s="1"/>
  <c r="D151" i="18" a="1"/>
  <c r="D151" i="18" s="1"/>
  <c r="A152" i="18" a="1"/>
  <c r="A152" i="18" s="1"/>
  <c r="B152" i="18" a="1"/>
  <c r="B152" i="18" s="1"/>
  <c r="C152" i="18" a="1"/>
  <c r="C152" i="18"/>
  <c r="D152" i="18" a="1"/>
  <c r="D152" i="18" s="1"/>
  <c r="A153" i="18" a="1"/>
  <c r="A153" i="18" s="1"/>
  <c r="B153" i="18" a="1"/>
  <c r="B153" i="18" s="1"/>
  <c r="C153" i="18" a="1"/>
  <c r="C153" i="18" s="1"/>
  <c r="D153" i="18" a="1"/>
  <c r="D153" i="18" s="1"/>
  <c r="A154" i="18" a="1"/>
  <c r="A154" i="18" s="1"/>
  <c r="B154" i="18" a="1"/>
  <c r="B154" i="18" s="1"/>
  <c r="C154" i="18" a="1"/>
  <c r="C154" i="18"/>
  <c r="D154" i="18" a="1"/>
  <c r="D154" i="18" s="1"/>
  <c r="A155" i="18" a="1"/>
  <c r="A155" i="18" s="1"/>
  <c r="B155" i="18" a="1"/>
  <c r="B155" i="18" s="1"/>
  <c r="C155" i="18" a="1"/>
  <c r="C155" i="18" s="1"/>
  <c r="D155" i="18" a="1"/>
  <c r="D155" i="18" s="1"/>
  <c r="A156" i="18" a="1"/>
  <c r="A156" i="18" s="1"/>
  <c r="B156" i="18" a="1"/>
  <c r="B156" i="18" s="1"/>
  <c r="C156" i="18" a="1"/>
  <c r="C156" i="18" s="1"/>
  <c r="D156" i="18" a="1"/>
  <c r="D156" i="18" s="1"/>
  <c r="A157" i="18" a="1"/>
  <c r="A157" i="18" s="1"/>
  <c r="B157" i="18" a="1"/>
  <c r="B157" i="18" s="1"/>
  <c r="C157" i="18" a="1"/>
  <c r="C157" i="18" s="1"/>
  <c r="D157" i="18" a="1"/>
  <c r="D157" i="18" s="1"/>
  <c r="A158" i="18" a="1"/>
  <c r="A158" i="18" s="1"/>
  <c r="B158" i="18" a="1"/>
  <c r="B158" i="18" s="1"/>
  <c r="C158" i="18" a="1"/>
  <c r="C158" i="18" s="1"/>
  <c r="D158" i="18" a="1"/>
  <c r="D158" i="18" s="1"/>
  <c r="A159" i="18" a="1"/>
  <c r="A159" i="18" s="1"/>
  <c r="B159" i="18" a="1"/>
  <c r="B159" i="18" s="1"/>
  <c r="C159" i="18" a="1"/>
  <c r="C159" i="18" s="1"/>
  <c r="D159" i="18" a="1"/>
  <c r="D159" i="18" s="1"/>
  <c r="A160" i="18" a="1"/>
  <c r="A160" i="18" s="1"/>
  <c r="B160" i="18" a="1"/>
  <c r="B160" i="18" s="1"/>
  <c r="C160" i="18" a="1"/>
  <c r="C160" i="18" s="1"/>
  <c r="D160" i="18" a="1"/>
  <c r="D160" i="18" s="1"/>
  <c r="A161" i="18" a="1"/>
  <c r="A161" i="18" s="1"/>
  <c r="B161" i="18" a="1"/>
  <c r="B161" i="18" s="1"/>
  <c r="C161" i="18" a="1"/>
  <c r="C161" i="18" s="1"/>
  <c r="D161" i="18" a="1"/>
  <c r="D161" i="18" s="1"/>
  <c r="A162" i="18" a="1"/>
  <c r="A162" i="18" s="1"/>
  <c r="B162" i="18" a="1"/>
  <c r="B162" i="18" s="1"/>
  <c r="C162" i="18" a="1"/>
  <c r="C162" i="18"/>
  <c r="D162" i="18" a="1"/>
  <c r="D162" i="18" s="1"/>
  <c r="A163" i="18" a="1"/>
  <c r="A163" i="18" s="1"/>
  <c r="B163" i="18" a="1"/>
  <c r="B163" i="18"/>
  <c r="C163" i="18" a="1"/>
  <c r="C163" i="18" s="1"/>
  <c r="D163" i="18" a="1"/>
  <c r="D163" i="18" s="1"/>
  <c r="A164" i="18" a="1"/>
  <c r="A164" i="18" s="1"/>
  <c r="B164" i="18" a="1"/>
  <c r="B164" i="18" s="1"/>
  <c r="C164" i="18" a="1"/>
  <c r="C164" i="18"/>
  <c r="D164" i="18" a="1"/>
  <c r="D164" i="18" s="1"/>
  <c r="A165" i="18" a="1"/>
  <c r="A165" i="18" s="1"/>
  <c r="B165" i="18" a="1"/>
  <c r="B165" i="18" s="1"/>
  <c r="C165" i="18" a="1"/>
  <c r="C165" i="18" s="1"/>
  <c r="D165" i="18" a="1"/>
  <c r="D165" i="18" s="1"/>
  <c r="A166" i="18" a="1"/>
  <c r="A166" i="18" s="1"/>
  <c r="B166" i="18" a="1"/>
  <c r="B166" i="18" s="1"/>
  <c r="C166" i="18" a="1"/>
  <c r="C166" i="18" s="1"/>
  <c r="D166" i="18" a="1"/>
  <c r="D166" i="18" s="1"/>
  <c r="A167" i="18" a="1"/>
  <c r="A167" i="18" s="1"/>
  <c r="B167" i="18" a="1"/>
  <c r="B167" i="18" s="1"/>
  <c r="C167" i="18" a="1"/>
  <c r="C167" i="18" s="1"/>
  <c r="D167" i="18" a="1"/>
  <c r="D167" i="18" s="1"/>
  <c r="A168" i="18" a="1"/>
  <c r="A168" i="18" s="1"/>
  <c r="B168" i="18" a="1"/>
  <c r="B168" i="18" s="1"/>
  <c r="C168" i="18" a="1"/>
  <c r="C168" i="18" s="1"/>
  <c r="D168" i="18" a="1"/>
  <c r="D168" i="18" s="1"/>
  <c r="A169" i="18" a="1"/>
  <c r="A169" i="18"/>
  <c r="B169" i="18" a="1"/>
  <c r="B169" i="18" s="1"/>
  <c r="C169" i="18" a="1"/>
  <c r="C169" i="18" s="1"/>
  <c r="D169" i="18" a="1"/>
  <c r="D169" i="18" s="1"/>
  <c r="A170" i="18" a="1"/>
  <c r="A170" i="18" s="1"/>
  <c r="B170" i="18" a="1"/>
  <c r="B170" i="18" s="1"/>
  <c r="C170" i="18" a="1"/>
  <c r="C170" i="18" s="1"/>
  <c r="D170" i="18" a="1"/>
  <c r="D170" i="18" s="1"/>
  <c r="A171" i="18" a="1"/>
  <c r="A171" i="18" s="1"/>
  <c r="B171" i="18" a="1"/>
  <c r="B171" i="18" s="1"/>
  <c r="C171" i="18" a="1"/>
  <c r="C171" i="18" s="1"/>
  <c r="D171" i="18" a="1"/>
  <c r="D171" i="18" s="1"/>
  <c r="A172" i="18" a="1"/>
  <c r="A172" i="18" s="1"/>
  <c r="B172" i="18" a="1"/>
  <c r="B172" i="18"/>
  <c r="C172" i="18" a="1"/>
  <c r="C172" i="18" s="1"/>
  <c r="D172" i="18" a="1"/>
  <c r="D172" i="18" s="1"/>
  <c r="A173" i="18" a="1"/>
  <c r="A173" i="18" s="1"/>
  <c r="B173" i="18" a="1"/>
  <c r="B173" i="18" s="1"/>
  <c r="C173" i="18" a="1"/>
  <c r="C173" i="18" s="1"/>
  <c r="D173" i="18" a="1"/>
  <c r="D173" i="18" s="1"/>
  <c r="A174" i="18" a="1"/>
  <c r="A174" i="18" s="1"/>
  <c r="B174" i="18" a="1"/>
  <c r="B174" i="18" s="1"/>
  <c r="C174" i="18" a="1"/>
  <c r="C174" i="18" s="1"/>
  <c r="D174" i="18" a="1"/>
  <c r="D174" i="18" s="1"/>
  <c r="A175" i="18" a="1"/>
  <c r="A175" i="18" s="1"/>
  <c r="B175" i="18" a="1"/>
  <c r="B175" i="18" s="1"/>
  <c r="C175" i="18" a="1"/>
  <c r="C175" i="18" s="1"/>
  <c r="D175" i="18" a="1"/>
  <c r="D175" i="18" s="1"/>
  <c r="A176" i="18" a="1"/>
  <c r="A176" i="18" s="1"/>
  <c r="B176" i="18" a="1"/>
  <c r="B176" i="18" s="1"/>
  <c r="C176" i="18" a="1"/>
  <c r="C176" i="18" s="1"/>
  <c r="D176" i="18" a="1"/>
  <c r="D176" i="18" s="1"/>
  <c r="A177" i="18" a="1"/>
  <c r="A177" i="18" s="1"/>
  <c r="B177" i="18" a="1"/>
  <c r="B177" i="18" s="1"/>
  <c r="C177" i="18" a="1"/>
  <c r="C177" i="18" s="1"/>
  <c r="D177" i="18" a="1"/>
  <c r="D177" i="18" s="1"/>
  <c r="A178" i="18" a="1"/>
  <c r="A178" i="18" s="1"/>
  <c r="B178" i="18" a="1"/>
  <c r="B178" i="18" s="1"/>
  <c r="C178" i="18" a="1"/>
  <c r="C178" i="18" s="1"/>
  <c r="D178" i="18" a="1"/>
  <c r="D178" i="18" s="1"/>
  <c r="A179" i="18" a="1"/>
  <c r="A179" i="18" s="1"/>
  <c r="B179" i="18" a="1"/>
  <c r="B179" i="18" s="1"/>
  <c r="C179" i="18" a="1"/>
  <c r="C179" i="18" s="1"/>
  <c r="D179" i="18" a="1"/>
  <c r="D179" i="18" s="1"/>
  <c r="A180" i="18" a="1"/>
  <c r="A180" i="18" s="1"/>
  <c r="B180" i="18" a="1"/>
  <c r="B180" i="18" s="1"/>
  <c r="C180" i="18" a="1"/>
  <c r="C180" i="18"/>
  <c r="D180" i="18" a="1"/>
  <c r="D180" i="18" s="1"/>
  <c r="A181" i="18" a="1"/>
  <c r="A181" i="18" s="1"/>
  <c r="B181" i="18" a="1"/>
  <c r="B181" i="18"/>
  <c r="C181" i="18" a="1"/>
  <c r="C181" i="18" s="1"/>
  <c r="D181" i="18" a="1"/>
  <c r="D181" i="18" s="1"/>
  <c r="A182" i="18" a="1"/>
  <c r="A182" i="18" s="1"/>
  <c r="B182" i="18" a="1"/>
  <c r="B182" i="18" s="1"/>
  <c r="C182" i="18" a="1"/>
  <c r="C182" i="18" s="1"/>
  <c r="D182" i="18" a="1"/>
  <c r="D182" i="18" s="1"/>
  <c r="A183" i="18" a="1"/>
  <c r="A183" i="18" s="1"/>
  <c r="B183" i="18" a="1"/>
  <c r="B183" i="18" s="1"/>
  <c r="C183" i="18" a="1"/>
  <c r="C183" i="18" s="1"/>
  <c r="D183" i="18" a="1"/>
  <c r="D183" i="18" s="1"/>
  <c r="A184" i="18" a="1"/>
  <c r="A184" i="18" s="1"/>
  <c r="B184" i="18" a="1"/>
  <c r="B184" i="18" s="1"/>
  <c r="C184" i="18" a="1"/>
  <c r="C184" i="18" s="1"/>
  <c r="D184" i="18" a="1"/>
  <c r="D184" i="18" s="1"/>
  <c r="A185" i="18" a="1"/>
  <c r="A185" i="18" s="1"/>
  <c r="B185" i="18" a="1"/>
  <c r="B185" i="18" s="1"/>
  <c r="C185" i="18" a="1"/>
  <c r="C185" i="18" s="1"/>
  <c r="D185" i="18" a="1"/>
  <c r="D185" i="18" s="1"/>
  <c r="A186" i="18" a="1"/>
  <c r="A186" i="18" s="1"/>
  <c r="B186" i="18" a="1"/>
  <c r="B186" i="18" s="1"/>
  <c r="C186" i="18" a="1"/>
  <c r="C186" i="18" s="1"/>
  <c r="D186" i="18" a="1"/>
  <c r="D186" i="18" s="1"/>
  <c r="A187" i="18" a="1"/>
  <c r="A187" i="18" s="1"/>
  <c r="B187" i="18" a="1"/>
  <c r="B187" i="18" s="1"/>
  <c r="C187" i="18" a="1"/>
  <c r="C187" i="18" s="1"/>
  <c r="D187" i="18" a="1"/>
  <c r="D187" i="18" s="1"/>
  <c r="A188" i="18" a="1"/>
  <c r="A188" i="18" s="1"/>
  <c r="B188" i="18" a="1"/>
  <c r="B188" i="18" s="1"/>
  <c r="C188" i="18" a="1"/>
  <c r="C188" i="18"/>
  <c r="D188" i="18" a="1"/>
  <c r="D188" i="18" s="1"/>
  <c r="A189" i="18" a="1"/>
  <c r="A189" i="18" s="1"/>
  <c r="B189" i="18" a="1"/>
  <c r="B189" i="18" s="1"/>
  <c r="C189" i="18" a="1"/>
  <c r="C189" i="18" s="1"/>
  <c r="D189" i="18" a="1"/>
  <c r="D189" i="18" s="1"/>
  <c r="A190" i="18" a="1"/>
  <c r="A190" i="18"/>
  <c r="B190" i="18" a="1"/>
  <c r="B190" i="18" s="1"/>
  <c r="C190" i="18" a="1"/>
  <c r="C190" i="18" s="1"/>
  <c r="D190" i="18" a="1"/>
  <c r="D190" i="18" s="1"/>
  <c r="A191" i="18" a="1"/>
  <c r="A191" i="18" s="1"/>
  <c r="B191" i="18" a="1"/>
  <c r="B191" i="18" s="1"/>
  <c r="C191" i="18" a="1"/>
  <c r="C191" i="18" s="1"/>
  <c r="D191" i="18" a="1"/>
  <c r="D191" i="18" s="1"/>
  <c r="A192" i="18" a="1"/>
  <c r="A192" i="18" s="1"/>
  <c r="B192" i="18" a="1"/>
  <c r="B192" i="18" s="1"/>
  <c r="C192" i="18" a="1"/>
  <c r="C192" i="18"/>
  <c r="D192" i="18" a="1"/>
  <c r="D192" i="18" s="1"/>
  <c r="A193" i="18" a="1"/>
  <c r="A193" i="18" s="1"/>
  <c r="B193" i="18" a="1"/>
  <c r="B193" i="18" s="1"/>
  <c r="C193" i="18" a="1"/>
  <c r="C193" i="18" s="1"/>
  <c r="D193" i="18" a="1"/>
  <c r="D193" i="18" s="1"/>
  <c r="A194" i="18" a="1"/>
  <c r="A194" i="18" s="1"/>
  <c r="B194" i="18" a="1"/>
  <c r="B194" i="18" s="1"/>
  <c r="C194" i="18" a="1"/>
  <c r="C194" i="18" s="1"/>
  <c r="D194" i="18" a="1"/>
  <c r="D194" i="18" s="1"/>
  <c r="A195" i="18" a="1"/>
  <c r="A195" i="18"/>
  <c r="B195" i="18" a="1"/>
  <c r="B195" i="18" s="1"/>
  <c r="C195" i="18" a="1"/>
  <c r="C195" i="18" s="1"/>
  <c r="D195" i="18" a="1"/>
  <c r="D195" i="18" s="1"/>
  <c r="A196" i="18" a="1"/>
  <c r="A196" i="18" s="1"/>
  <c r="B196" i="18" a="1"/>
  <c r="B196" i="18" s="1"/>
  <c r="C196" i="18" a="1"/>
  <c r="C196" i="18" s="1"/>
  <c r="D196" i="18" a="1"/>
  <c r="D196" i="18" s="1"/>
  <c r="A197" i="18" a="1"/>
  <c r="A197" i="18" s="1"/>
  <c r="B197" i="18" a="1"/>
  <c r="B197" i="18" s="1"/>
  <c r="C197" i="18" a="1"/>
  <c r="C197" i="18" s="1"/>
  <c r="D197" i="18" a="1"/>
  <c r="D197" i="18" s="1"/>
  <c r="A198" i="18" a="1"/>
  <c r="A198" i="18" s="1"/>
  <c r="B198" i="18" a="1"/>
  <c r="B198" i="18" s="1"/>
  <c r="C198" i="18" a="1"/>
  <c r="C198" i="18" s="1"/>
  <c r="D198" i="18" a="1"/>
  <c r="D198" i="18" s="1"/>
  <c r="A199" i="18" a="1"/>
  <c r="A199" i="18" s="1"/>
  <c r="B199" i="18" a="1"/>
  <c r="B199" i="18" s="1"/>
  <c r="C199" i="18" a="1"/>
  <c r="C199" i="18" s="1"/>
  <c r="D199" i="18" a="1"/>
  <c r="D199" i="18" s="1"/>
  <c r="A200" i="18" a="1"/>
  <c r="A200" i="18" s="1"/>
  <c r="B200" i="18" a="1"/>
  <c r="B200" i="18" s="1"/>
  <c r="C200" i="18" a="1"/>
  <c r="C200" i="18" s="1"/>
  <c r="D200" i="18" a="1"/>
  <c r="D200" i="18" s="1"/>
  <c r="A201" i="18" a="1"/>
  <c r="A201" i="18" s="1"/>
  <c r="B201" i="18" a="1"/>
  <c r="B201" i="18" s="1"/>
  <c r="C201" i="18" a="1"/>
  <c r="C201" i="18" s="1"/>
  <c r="D201" i="18" a="1"/>
  <c r="D201" i="18" s="1"/>
  <c r="A202" i="18" a="1"/>
  <c r="A202" i="18" s="1"/>
  <c r="B202" i="18" a="1"/>
  <c r="B202" i="18" s="1"/>
  <c r="C202" i="18" a="1"/>
  <c r="C202" i="18" s="1"/>
  <c r="D202" i="18" a="1"/>
  <c r="D202" i="18" s="1"/>
  <c r="A203" i="18" a="1"/>
  <c r="A203" i="18"/>
  <c r="B203" i="18" a="1"/>
  <c r="B203" i="18" s="1"/>
  <c r="C203" i="18" a="1"/>
  <c r="C203" i="18" s="1"/>
  <c r="D203" i="18" a="1"/>
  <c r="D203" i="18" s="1"/>
  <c r="A204" i="18" a="1"/>
  <c r="A204" i="18" s="1"/>
  <c r="B204" i="18" a="1"/>
  <c r="B204" i="18" s="1"/>
  <c r="C204" i="18" a="1"/>
  <c r="C204" i="18" s="1"/>
  <c r="D204" i="18" a="1"/>
  <c r="D204" i="18" s="1"/>
  <c r="A205" i="18" a="1"/>
  <c r="A205" i="18"/>
  <c r="B205" i="18" a="1"/>
  <c r="B205" i="18" s="1"/>
  <c r="C205" i="18" a="1"/>
  <c r="C205" i="18" s="1"/>
  <c r="D205" i="18" a="1"/>
  <c r="D205" i="18" s="1"/>
  <c r="A206" i="18" a="1"/>
  <c r="A206" i="18" s="1"/>
  <c r="B206" i="18" a="1"/>
  <c r="B206" i="18" s="1"/>
  <c r="C206" i="18" a="1"/>
  <c r="C206" i="18"/>
  <c r="D206" i="18" a="1"/>
  <c r="D206" i="18" s="1"/>
  <c r="A207" i="18" a="1"/>
  <c r="A207" i="18" s="1"/>
  <c r="B207" i="18" a="1"/>
  <c r="B207" i="18" s="1"/>
  <c r="C207" i="18" a="1"/>
  <c r="C207" i="18"/>
  <c r="D207" i="18" a="1"/>
  <c r="D207" i="18" s="1"/>
  <c r="A208" i="18" a="1"/>
  <c r="A208" i="18" s="1"/>
  <c r="B208" i="18" a="1"/>
  <c r="B208" i="18" s="1"/>
  <c r="C208" i="18" a="1"/>
  <c r="C208" i="18" s="1"/>
  <c r="D208" i="18" a="1"/>
  <c r="D208" i="18" s="1"/>
  <c r="A209" i="18" a="1"/>
  <c r="A209" i="18" s="1"/>
  <c r="B209" i="18" a="1"/>
  <c r="B209" i="18" s="1"/>
  <c r="C209" i="18" a="1"/>
  <c r="C209" i="18" s="1"/>
  <c r="D209" i="18" a="1"/>
  <c r="D209" i="18" s="1"/>
  <c r="A210" i="18" a="1"/>
  <c r="A210" i="18"/>
  <c r="B210" i="18" a="1"/>
  <c r="B210" i="18" s="1"/>
  <c r="C210" i="18" a="1"/>
  <c r="C210" i="18" s="1"/>
  <c r="D210" i="18" a="1"/>
  <c r="D210" i="18" s="1"/>
  <c r="A211" i="18" a="1"/>
  <c r="A211" i="18" s="1"/>
  <c r="B211" i="18" a="1"/>
  <c r="B211" i="18" s="1"/>
  <c r="C211" i="18" a="1"/>
  <c r="C211" i="18" s="1"/>
  <c r="D211" i="18" a="1"/>
  <c r="D211" i="18" s="1"/>
  <c r="A212" i="18" a="1"/>
  <c r="A212" i="18" s="1"/>
  <c r="B212" i="18" a="1"/>
  <c r="B212" i="18" s="1"/>
  <c r="C212" i="18" a="1"/>
  <c r="C212" i="18" s="1"/>
  <c r="D212" i="18" a="1"/>
  <c r="D212" i="18" s="1"/>
  <c r="A213" i="18" a="1"/>
  <c r="A213" i="18" s="1"/>
  <c r="B213" i="18" a="1"/>
  <c r="B213" i="18"/>
  <c r="C213" i="18" a="1"/>
  <c r="C213" i="18" s="1"/>
  <c r="D213" i="18" a="1"/>
  <c r="D213" i="18" s="1"/>
  <c r="A214" i="18" a="1"/>
  <c r="A214" i="18" s="1"/>
  <c r="B214" i="18" a="1"/>
  <c r="B214" i="18" s="1"/>
  <c r="C214" i="18" a="1"/>
  <c r="C214" i="18" s="1"/>
  <c r="D214" i="18" a="1"/>
  <c r="D214" i="18" s="1"/>
  <c r="A215" i="18" a="1"/>
  <c r="A215" i="18" s="1"/>
  <c r="B215" i="18" a="1"/>
  <c r="B215" i="18"/>
  <c r="C215" i="18" a="1"/>
  <c r="C215" i="18" s="1"/>
  <c r="D215" i="18" a="1"/>
  <c r="D215" i="18" s="1"/>
  <c r="A216" i="18" a="1"/>
  <c r="A216" i="18" s="1"/>
  <c r="B216" i="18" a="1"/>
  <c r="B216" i="18" s="1"/>
  <c r="C216" i="18" a="1"/>
  <c r="C216" i="18" s="1"/>
  <c r="D216" i="18" a="1"/>
  <c r="D216" i="18" s="1"/>
  <c r="A217" i="18" a="1"/>
  <c r="A217" i="18" s="1"/>
  <c r="B217" i="18" a="1"/>
  <c r="B217" i="18" s="1"/>
  <c r="C217" i="18" a="1"/>
  <c r="C217" i="18" s="1"/>
  <c r="D217" i="18" a="1"/>
  <c r="D217" i="18" s="1"/>
  <c r="A218" i="18" a="1"/>
  <c r="A218" i="18"/>
  <c r="B218" i="18" a="1"/>
  <c r="B218" i="18" s="1"/>
  <c r="C218" i="18" a="1"/>
  <c r="C218" i="18" s="1"/>
  <c r="D218" i="18" a="1"/>
  <c r="D218" i="18" s="1"/>
  <c r="A219" i="18" a="1"/>
  <c r="A219" i="18" s="1"/>
  <c r="B219" i="18" a="1"/>
  <c r="B219" i="18" s="1"/>
  <c r="C219" i="18" a="1"/>
  <c r="C219" i="18"/>
  <c r="D219" i="18" a="1"/>
  <c r="D219" i="18" s="1"/>
  <c r="A220" i="18" a="1"/>
  <c r="A220" i="18" s="1"/>
  <c r="B220" i="18" a="1"/>
  <c r="B220" i="18" s="1"/>
  <c r="C220" i="18" a="1"/>
  <c r="C220" i="18" s="1"/>
  <c r="D220" i="18" a="1"/>
  <c r="D220" i="18" s="1"/>
  <c r="A221" i="18" a="1"/>
  <c r="A221" i="18" s="1"/>
  <c r="B221" i="18" a="1"/>
  <c r="B221" i="18" s="1"/>
  <c r="C221" i="18" a="1"/>
  <c r="C221" i="18" s="1"/>
  <c r="D221" i="18" a="1"/>
  <c r="D221" i="18" s="1"/>
  <c r="A222" i="18" a="1"/>
  <c r="A222" i="18" s="1"/>
  <c r="B222" i="18" a="1"/>
  <c r="B222" i="18" s="1"/>
  <c r="C222" i="18" a="1"/>
  <c r="C222" i="18" s="1"/>
  <c r="D222" i="18" a="1"/>
  <c r="D222" i="18" s="1"/>
  <c r="A223" i="18" a="1"/>
  <c r="A223" i="18" s="1"/>
  <c r="B223" i="18" a="1"/>
  <c r="B223" i="18" s="1"/>
  <c r="C223" i="18" a="1"/>
  <c r="C223" i="18"/>
  <c r="D223" i="18" a="1"/>
  <c r="D223" i="18" s="1"/>
  <c r="A224" i="18" a="1"/>
  <c r="A224" i="18" s="1"/>
  <c r="B224" i="18" a="1"/>
  <c r="B224" i="18" s="1"/>
  <c r="C224" i="18" a="1"/>
  <c r="C224" i="18" s="1"/>
  <c r="D224" i="18" a="1"/>
  <c r="D224" i="18" s="1"/>
  <c r="A225" i="18" a="1"/>
  <c r="A225" i="18" s="1"/>
  <c r="B225" i="18" a="1"/>
  <c r="B225" i="18" s="1"/>
  <c r="C225" i="18" a="1"/>
  <c r="C225" i="18" s="1"/>
  <c r="D225" i="18" a="1"/>
  <c r="D225" i="18" s="1"/>
  <c r="A226" i="18" a="1"/>
  <c r="A226" i="18"/>
  <c r="B226" i="18" a="1"/>
  <c r="B226" i="18" s="1"/>
  <c r="C226" i="18" a="1"/>
  <c r="C226" i="18" s="1"/>
  <c r="D226" i="18" a="1"/>
  <c r="D226" i="18" s="1"/>
  <c r="A227" i="18" a="1"/>
  <c r="A227" i="18" s="1"/>
  <c r="B227" i="18" a="1"/>
  <c r="B227" i="18" s="1"/>
  <c r="C227" i="18" a="1"/>
  <c r="C227" i="18" s="1"/>
  <c r="D227" i="18" a="1"/>
  <c r="D227" i="18" s="1"/>
  <c r="A228" i="18" a="1"/>
  <c r="A228" i="18" s="1"/>
  <c r="B228" i="18" a="1"/>
  <c r="B228" i="18" s="1"/>
  <c r="C228" i="18" a="1"/>
  <c r="C228" i="18"/>
  <c r="D228" i="18" a="1"/>
  <c r="D228" i="18" s="1"/>
  <c r="A229" i="18" a="1"/>
  <c r="A229" i="18" s="1"/>
  <c r="B229" i="18" a="1"/>
  <c r="B229" i="18" s="1"/>
  <c r="C229" i="18" a="1"/>
  <c r="C229" i="18" s="1"/>
  <c r="D229" i="18" a="1"/>
  <c r="D229" i="18" s="1"/>
  <c r="A230" i="18" a="1"/>
  <c r="A230" i="18"/>
  <c r="B230" i="18" a="1"/>
  <c r="B230" i="18" s="1"/>
  <c r="C230" i="18" a="1"/>
  <c r="C230" i="18" s="1"/>
  <c r="D230" i="18" a="1"/>
  <c r="D230" i="18" s="1"/>
  <c r="A231" i="18" a="1"/>
  <c r="A231" i="18" s="1"/>
  <c r="B231" i="18" a="1"/>
  <c r="B231" i="18" s="1"/>
  <c r="C231" i="18" a="1"/>
  <c r="C231" i="18" s="1"/>
  <c r="D231" i="18" a="1"/>
  <c r="D231" i="18" s="1"/>
  <c r="A232" i="18" a="1"/>
  <c r="A232" i="18" s="1"/>
  <c r="B232" i="18" a="1"/>
  <c r="B232" i="18" s="1"/>
  <c r="C232" i="18" a="1"/>
  <c r="C232" i="18" s="1"/>
  <c r="D232" i="18" a="1"/>
  <c r="D232" i="18" s="1"/>
  <c r="A233" i="18" a="1"/>
  <c r="A233" i="18" s="1"/>
  <c r="B233" i="18" a="1"/>
  <c r="B233" i="18" s="1"/>
  <c r="C233" i="18" a="1"/>
  <c r="C233" i="18" s="1"/>
  <c r="D233" i="18" a="1"/>
  <c r="D233" i="18" s="1"/>
  <c r="A234" i="18" a="1"/>
  <c r="A234" i="18" s="1"/>
  <c r="B234" i="18" a="1"/>
  <c r="B234" i="18" s="1"/>
  <c r="C234" i="18" a="1"/>
  <c r="C234" i="18"/>
  <c r="D234" i="18" a="1"/>
  <c r="D234" i="18" s="1"/>
  <c r="A235" i="18" a="1"/>
  <c r="A235" i="18" s="1"/>
  <c r="B235" i="18" a="1"/>
  <c r="B235" i="18" s="1"/>
  <c r="C235" i="18" a="1"/>
  <c r="C235" i="18" s="1"/>
  <c r="D235" i="18" a="1"/>
  <c r="D235" i="18" s="1"/>
  <c r="A236" i="18" a="1"/>
  <c r="A236" i="18" s="1"/>
  <c r="B236" i="18" a="1"/>
  <c r="B236" i="18" s="1"/>
  <c r="C236" i="18" a="1"/>
  <c r="C236" i="18" s="1"/>
  <c r="D236" i="18" a="1"/>
  <c r="D236" i="18" s="1"/>
  <c r="A237" i="18" a="1"/>
  <c r="A237" i="18" s="1"/>
  <c r="B237" i="18" a="1"/>
  <c r="B237" i="18" s="1"/>
  <c r="C237" i="18" a="1"/>
  <c r="C237" i="18"/>
  <c r="D237" i="18" a="1"/>
  <c r="D237" i="18" s="1"/>
  <c r="A238" i="18" a="1"/>
  <c r="A238" i="18" s="1"/>
  <c r="B238" i="18" a="1"/>
  <c r="B238" i="18" s="1"/>
  <c r="C238" i="18" a="1"/>
  <c r="C238" i="18" s="1"/>
  <c r="D238" i="18" a="1"/>
  <c r="D238" i="18" s="1"/>
  <c r="A239" i="18" a="1"/>
  <c r="A239" i="18" s="1"/>
  <c r="B239" i="18" a="1"/>
  <c r="B239" i="18" s="1"/>
  <c r="C239" i="18" a="1"/>
  <c r="C239" i="18" s="1"/>
  <c r="D239" i="18" a="1"/>
  <c r="D239" i="18" s="1"/>
  <c r="A240" i="18" a="1"/>
  <c r="A240" i="18"/>
  <c r="B240" i="18" a="1"/>
  <c r="B240" i="18" s="1"/>
  <c r="C240" i="18" a="1"/>
  <c r="C240" i="18" s="1"/>
  <c r="D240" i="18" a="1"/>
  <c r="D240" i="18" s="1"/>
  <c r="A241" i="18" a="1"/>
  <c r="A241" i="18"/>
  <c r="B241" i="18" a="1"/>
  <c r="B241" i="18" s="1"/>
  <c r="C241" i="18" a="1"/>
  <c r="C241" i="18" s="1"/>
  <c r="D241" i="18" a="1"/>
  <c r="D241" i="18" s="1"/>
  <c r="A242" i="18" a="1"/>
  <c r="A242" i="18" s="1"/>
  <c r="B242" i="18" a="1"/>
  <c r="B242" i="18" s="1"/>
  <c r="C242" i="18" a="1"/>
  <c r="C242" i="18" s="1"/>
  <c r="D242" i="18" a="1"/>
  <c r="D242" i="18" s="1"/>
  <c r="A243" i="18" a="1"/>
  <c r="A243" i="18" s="1"/>
  <c r="B243" i="18" a="1"/>
  <c r="B243" i="18" s="1"/>
  <c r="C243" i="18" a="1"/>
  <c r="C243" i="18" s="1"/>
  <c r="D243" i="18" a="1"/>
  <c r="D243" i="18" s="1"/>
  <c r="A244" i="18" a="1"/>
  <c r="A244" i="18" s="1"/>
  <c r="B244" i="18" a="1"/>
  <c r="B244" i="18" s="1"/>
  <c r="C244" i="18" a="1"/>
  <c r="C244" i="18" s="1"/>
  <c r="D244" i="18" a="1"/>
  <c r="D244" i="18" s="1"/>
  <c r="A245" i="18" a="1"/>
  <c r="A245" i="18" s="1"/>
  <c r="B245" i="18" a="1"/>
  <c r="B245" i="18" s="1"/>
  <c r="C245" i="18" a="1"/>
  <c r="C245" i="18"/>
  <c r="D245" i="18" a="1"/>
  <c r="D245" i="18" s="1"/>
  <c r="A246" i="18" a="1"/>
  <c r="A246" i="18" s="1"/>
  <c r="B246" i="18" a="1"/>
  <c r="B246" i="18" s="1"/>
  <c r="C246" i="18" a="1"/>
  <c r="C246" i="18" s="1"/>
  <c r="D246" i="18" a="1"/>
  <c r="D246" i="18" s="1"/>
  <c r="A247" i="18" a="1"/>
  <c r="A247" i="18" s="1"/>
  <c r="B247" i="18" a="1"/>
  <c r="B247" i="18" s="1"/>
  <c r="C247" i="18" a="1"/>
  <c r="C247" i="18" s="1"/>
  <c r="D247" i="18" a="1"/>
  <c r="D247" i="18" s="1"/>
  <c r="A248" i="18" a="1"/>
  <c r="A248" i="18" s="1"/>
  <c r="B248" i="18" a="1"/>
  <c r="B248" i="18" s="1"/>
  <c r="C248" i="18" a="1"/>
  <c r="C248" i="18" s="1"/>
  <c r="D248" i="18" a="1"/>
  <c r="D248" i="18" s="1"/>
  <c r="A249" i="18" a="1"/>
  <c r="A249" i="18" s="1"/>
  <c r="B249" i="18" a="1"/>
  <c r="B249" i="18" s="1"/>
  <c r="C249" i="18" a="1"/>
  <c r="C249" i="18" s="1"/>
  <c r="D249" i="18" a="1"/>
  <c r="D249" i="18" s="1"/>
  <c r="A250" i="18" a="1"/>
  <c r="A250" i="18"/>
  <c r="B250" i="18" a="1"/>
  <c r="B250" i="18" s="1"/>
  <c r="C250" i="18" a="1"/>
  <c r="C250" i="18" s="1"/>
  <c r="D250" i="18" a="1"/>
  <c r="D250" i="18" s="1"/>
  <c r="A251" i="18" a="1"/>
  <c r="A251" i="18" s="1"/>
  <c r="B251" i="18" a="1"/>
  <c r="B251" i="18" s="1"/>
  <c r="C251" i="18" a="1"/>
  <c r="C251" i="18" s="1"/>
  <c r="D251" i="18" a="1"/>
  <c r="D251" i="18" s="1"/>
  <c r="A252" i="18" a="1"/>
  <c r="A252" i="18" s="1"/>
  <c r="B252" i="18" a="1"/>
  <c r="B252" i="18" s="1"/>
  <c r="C252" i="18" a="1"/>
  <c r="C252" i="18" s="1"/>
  <c r="D252" i="18" a="1"/>
  <c r="D252" i="18" s="1"/>
  <c r="A253" i="18" a="1"/>
  <c r="A253" i="18" s="1"/>
  <c r="B253" i="18" a="1"/>
  <c r="B253" i="18" s="1"/>
  <c r="C253" i="18" a="1"/>
  <c r="C253" i="18" s="1"/>
  <c r="D253" i="18" a="1"/>
  <c r="D253" i="18" s="1"/>
  <c r="A254" i="18" a="1"/>
  <c r="A254" i="18" s="1"/>
  <c r="B254" i="18" a="1"/>
  <c r="B254" i="18" s="1"/>
  <c r="C254" i="18" a="1"/>
  <c r="C254" i="18" s="1"/>
  <c r="D254" i="18" a="1"/>
  <c r="D254" i="18" s="1"/>
  <c r="A255" i="18" a="1"/>
  <c r="A255" i="18" s="1"/>
  <c r="B255" i="18" a="1"/>
  <c r="B255" i="18" s="1"/>
  <c r="C255" i="18" a="1"/>
  <c r="C255" i="18" s="1"/>
  <c r="D255" i="18" a="1"/>
  <c r="D255" i="18" s="1"/>
  <c r="A256" i="18" a="1"/>
  <c r="A256" i="18" s="1"/>
  <c r="B256" i="18" a="1"/>
  <c r="B256" i="18" s="1"/>
  <c r="C256" i="18" a="1"/>
  <c r="C256" i="18" s="1"/>
  <c r="D256" i="18" a="1"/>
  <c r="D256" i="18" s="1"/>
  <c r="A257" i="18" a="1"/>
  <c r="A257" i="18" s="1"/>
  <c r="B257" i="18" a="1"/>
  <c r="B257" i="18" s="1"/>
  <c r="C257" i="18" a="1"/>
  <c r="C257" i="18" s="1"/>
  <c r="D257" i="18" a="1"/>
  <c r="D257" i="18" s="1"/>
  <c r="A258" i="18" a="1"/>
  <c r="A258" i="18" s="1"/>
  <c r="B258" i="18" a="1"/>
  <c r="B258" i="18" s="1"/>
  <c r="C258" i="18" a="1"/>
  <c r="C258" i="18" s="1"/>
  <c r="D258" i="18" a="1"/>
  <c r="D258" i="18" s="1"/>
  <c r="A259" i="18" a="1"/>
  <c r="A259" i="18" s="1"/>
  <c r="B259" i="18" a="1"/>
  <c r="B259" i="18" s="1"/>
  <c r="C259" i="18" a="1"/>
  <c r="C259" i="18" s="1"/>
  <c r="D259" i="18" a="1"/>
  <c r="D259" i="18" s="1"/>
  <c r="A260" i="18" a="1"/>
  <c r="A260" i="18" s="1"/>
  <c r="B260" i="18" a="1"/>
  <c r="B260" i="18" s="1"/>
  <c r="C260" i="18" a="1"/>
  <c r="C260" i="18" s="1"/>
  <c r="D260" i="18" a="1"/>
  <c r="D260" i="18" s="1"/>
  <c r="A261" i="18" a="1"/>
  <c r="A261" i="18" s="1"/>
  <c r="B261" i="18" a="1"/>
  <c r="B261" i="18" s="1"/>
  <c r="C261" i="18" a="1"/>
  <c r="C261" i="18" s="1"/>
  <c r="D261" i="18" a="1"/>
  <c r="D261" i="18" s="1"/>
  <c r="A262" i="18" a="1"/>
  <c r="A262" i="18" s="1"/>
  <c r="B262" i="18" a="1"/>
  <c r="B262" i="18" s="1"/>
  <c r="C262" i="18" a="1"/>
  <c r="C262" i="18" s="1"/>
  <c r="D262" i="18" a="1"/>
  <c r="D262" i="18" s="1"/>
  <c r="A263" i="18" a="1"/>
  <c r="A263" i="18" s="1"/>
  <c r="B263" i="18" a="1"/>
  <c r="B263" i="18" s="1"/>
  <c r="C263" i="18" a="1"/>
  <c r="C263" i="18" s="1"/>
  <c r="D263" i="18" a="1"/>
  <c r="D263" i="18" s="1"/>
  <c r="A264" i="18" a="1"/>
  <c r="A264" i="18" s="1"/>
  <c r="B264" i="18" a="1"/>
  <c r="B264" i="18" s="1"/>
  <c r="C264" i="18" a="1"/>
  <c r="C264" i="18" s="1"/>
  <c r="D264" i="18" a="1"/>
  <c r="D264" i="18" s="1"/>
  <c r="A265" i="18" a="1"/>
  <c r="A265" i="18" s="1"/>
  <c r="B265" i="18" a="1"/>
  <c r="B265" i="18" s="1"/>
  <c r="C265" i="18" a="1"/>
  <c r="C265" i="18" s="1"/>
  <c r="D265" i="18" a="1"/>
  <c r="D265" i="18" s="1"/>
  <c r="A266" i="18" a="1"/>
  <c r="A266" i="18" s="1"/>
  <c r="B266" i="18" a="1"/>
  <c r="B266" i="18" s="1"/>
  <c r="C266" i="18" a="1"/>
  <c r="C266" i="18" s="1"/>
  <c r="D266" i="18" a="1"/>
  <c r="D266" i="18" s="1"/>
  <c r="A267" i="18" a="1"/>
  <c r="A267" i="18" s="1"/>
  <c r="B267" i="18" a="1"/>
  <c r="B267" i="18" s="1"/>
  <c r="C267" i="18" a="1"/>
  <c r="C267" i="18" s="1"/>
  <c r="D267" i="18" a="1"/>
  <c r="D267" i="18" s="1"/>
  <c r="A268" i="18" a="1"/>
  <c r="A268" i="18"/>
  <c r="B268" i="18" a="1"/>
  <c r="B268" i="18" s="1"/>
  <c r="C268" i="18" a="1"/>
  <c r="C268" i="18" s="1"/>
  <c r="D268" i="18" a="1"/>
  <c r="D268" i="18" s="1"/>
  <c r="A269" i="18" a="1"/>
  <c r="A269" i="18" s="1"/>
  <c r="B269" i="18" a="1"/>
  <c r="B269" i="18" s="1"/>
  <c r="C269" i="18" a="1"/>
  <c r="C269" i="18" s="1"/>
  <c r="D269" i="18" a="1"/>
  <c r="D269" i="18" s="1"/>
  <c r="A270" i="18" a="1"/>
  <c r="A270" i="18" s="1"/>
  <c r="B270" i="18" a="1"/>
  <c r="B270" i="18"/>
  <c r="C270" i="18" a="1"/>
  <c r="C270" i="18" s="1"/>
  <c r="D270" i="18" a="1"/>
  <c r="D270" i="18" s="1"/>
  <c r="A271" i="18" a="1"/>
  <c r="A271" i="18" s="1"/>
  <c r="B271" i="18" a="1"/>
  <c r="B271" i="18" s="1"/>
  <c r="C271" i="18" a="1"/>
  <c r="C271" i="18" s="1"/>
  <c r="D271" i="18" a="1"/>
  <c r="D271" i="18" s="1"/>
  <c r="A272" i="18" a="1"/>
  <c r="A272" i="18" s="1"/>
  <c r="B272" i="18" a="1"/>
  <c r="B272" i="18" s="1"/>
  <c r="C272" i="18" a="1"/>
  <c r="C272" i="18" s="1"/>
  <c r="D272" i="18" a="1"/>
  <c r="D272" i="18" s="1"/>
  <c r="A273" i="18" a="1"/>
  <c r="A273" i="18" s="1"/>
  <c r="B273" i="18" a="1"/>
  <c r="B273" i="18" s="1"/>
  <c r="C273" i="18" a="1"/>
  <c r="C273" i="18" s="1"/>
  <c r="D273" i="18" a="1"/>
  <c r="D273" i="18" s="1"/>
  <c r="A274" i="18" a="1"/>
  <c r="A274" i="18" s="1"/>
  <c r="B274" i="18" a="1"/>
  <c r="B274" i="18" s="1"/>
  <c r="C274" i="18" a="1"/>
  <c r="C274" i="18" s="1"/>
  <c r="D274" i="18" a="1"/>
  <c r="D274" i="18" s="1"/>
  <c r="A275" i="18" a="1"/>
  <c r="A275" i="18" s="1"/>
  <c r="B275" i="18" a="1"/>
  <c r="B275" i="18" s="1"/>
  <c r="C275" i="18" a="1"/>
  <c r="C275" i="18" s="1"/>
  <c r="D275" i="18" a="1"/>
  <c r="D275" i="18" s="1"/>
  <c r="A276" i="18" a="1"/>
  <c r="A276" i="18"/>
  <c r="B276" i="18" a="1"/>
  <c r="B276" i="18" s="1"/>
  <c r="C276" i="18" a="1"/>
  <c r="C276" i="18" s="1"/>
  <c r="D276" i="18" a="1"/>
  <c r="D276" i="18" s="1"/>
  <c r="A277" i="18" a="1"/>
  <c r="A277" i="18" s="1"/>
  <c r="B277" i="18" a="1"/>
  <c r="B277" i="18" s="1"/>
  <c r="C277" i="18" a="1"/>
  <c r="C277" i="18" s="1"/>
  <c r="D277" i="18" a="1"/>
  <c r="D277" i="18" s="1"/>
  <c r="A278" i="18" a="1"/>
  <c r="A278" i="18" s="1"/>
  <c r="B278" i="18" a="1"/>
  <c r="B278" i="18" s="1"/>
  <c r="C278" i="18" a="1"/>
  <c r="C278" i="18" s="1"/>
  <c r="D278" i="18" a="1"/>
  <c r="D278" i="18" s="1"/>
  <c r="A279" i="18" a="1"/>
  <c r="A279" i="18" s="1"/>
  <c r="B279" i="18" a="1"/>
  <c r="B279" i="18" s="1"/>
  <c r="C279" i="18" a="1"/>
  <c r="C279" i="18" s="1"/>
  <c r="D279" i="18" a="1"/>
  <c r="D279" i="18" s="1"/>
  <c r="A280" i="18" a="1"/>
  <c r="A280" i="18" s="1"/>
  <c r="B280" i="18" a="1"/>
  <c r="B280" i="18" s="1"/>
  <c r="C280" i="18" a="1"/>
  <c r="C280" i="18" s="1"/>
  <c r="D280" i="18" a="1"/>
  <c r="D280" i="18" s="1"/>
  <c r="A281" i="18" a="1"/>
  <c r="A281" i="18" s="1"/>
  <c r="B281" i="18" a="1"/>
  <c r="B281" i="18" s="1"/>
  <c r="C281" i="18" a="1"/>
  <c r="C281" i="18" s="1"/>
  <c r="D281" i="18" a="1"/>
  <c r="D281" i="18" s="1"/>
  <c r="A282" i="18" a="1"/>
  <c r="A282" i="18" s="1"/>
  <c r="B282" i="18" a="1"/>
  <c r="B282" i="18" s="1"/>
  <c r="C282" i="18" a="1"/>
  <c r="C282" i="18" s="1"/>
  <c r="D282" i="18" a="1"/>
  <c r="D282" i="18" s="1"/>
  <c r="A283" i="18" a="1"/>
  <c r="A283" i="18" s="1"/>
  <c r="B283" i="18" a="1"/>
  <c r="B283" i="18" s="1"/>
  <c r="C283" i="18" a="1"/>
  <c r="C283" i="18" s="1"/>
  <c r="D283" i="18" a="1"/>
  <c r="D283" i="18" s="1"/>
  <c r="A284" i="18" a="1"/>
  <c r="A284" i="18" s="1"/>
  <c r="B284" i="18" a="1"/>
  <c r="B284" i="18" s="1"/>
  <c r="C284" i="18" a="1"/>
  <c r="C284" i="18" s="1"/>
  <c r="D284" i="18" a="1"/>
  <c r="D284" i="18" s="1"/>
  <c r="A285" i="18" a="1"/>
  <c r="A285" i="18"/>
  <c r="B285" i="18" a="1"/>
  <c r="B285" i="18" s="1"/>
  <c r="C285" i="18" a="1"/>
  <c r="C285" i="18" s="1"/>
  <c r="D285" i="18" a="1"/>
  <c r="D285" i="18" s="1"/>
  <c r="A286" i="18" a="1"/>
  <c r="A286" i="18" s="1"/>
  <c r="B286" i="18" a="1"/>
  <c r="B286" i="18" s="1"/>
  <c r="C286" i="18" a="1"/>
  <c r="C286" i="18" s="1"/>
  <c r="D286" i="18" a="1"/>
  <c r="D286" i="18" s="1"/>
  <c r="A287" i="18" a="1"/>
  <c r="A287" i="18" s="1"/>
  <c r="B287" i="18" a="1"/>
  <c r="B287" i="18" s="1"/>
  <c r="C287" i="18" a="1"/>
  <c r="C287" i="18" s="1"/>
  <c r="D287" i="18" a="1"/>
  <c r="D287" i="18" s="1"/>
  <c r="A288" i="18" a="1"/>
  <c r="A288" i="18" s="1"/>
  <c r="B288" i="18" a="1"/>
  <c r="B288" i="18" s="1"/>
  <c r="C288" i="18" a="1"/>
  <c r="C288" i="18" s="1"/>
  <c r="D288" i="18" a="1"/>
  <c r="D288" i="18"/>
  <c r="A289" i="18" a="1"/>
  <c r="A289" i="18" s="1"/>
  <c r="B289" i="18" a="1"/>
  <c r="B289" i="18" s="1"/>
  <c r="C289" i="18" a="1"/>
  <c r="C289" i="18" s="1"/>
  <c r="D289" i="18" a="1"/>
  <c r="D289" i="18" s="1"/>
  <c r="A290" i="18" a="1"/>
  <c r="A290" i="18" s="1"/>
  <c r="B290" i="18" a="1"/>
  <c r="B290" i="18" s="1"/>
  <c r="C290" i="18" a="1"/>
  <c r="C290" i="18" s="1"/>
  <c r="D290" i="18" a="1"/>
  <c r="D290" i="18" s="1"/>
  <c r="A291" i="18" a="1"/>
  <c r="A291" i="18" s="1"/>
  <c r="B291" i="18" a="1"/>
  <c r="B291" i="18" s="1"/>
  <c r="C291" i="18" a="1"/>
  <c r="C291" i="18" s="1"/>
  <c r="D291" i="18" a="1"/>
  <c r="D291" i="18" s="1"/>
  <c r="A292" i="18" a="1"/>
  <c r="A292" i="18" s="1"/>
  <c r="B292" i="18" a="1"/>
  <c r="B292" i="18" s="1"/>
  <c r="C292" i="18" a="1"/>
  <c r="C292" i="18" s="1"/>
  <c r="D292" i="18" a="1"/>
  <c r="D292" i="18"/>
  <c r="A293" i="18" a="1"/>
  <c r="A293" i="18" s="1"/>
  <c r="B293" i="18" a="1"/>
  <c r="B293" i="18" s="1"/>
  <c r="C293" i="18" a="1"/>
  <c r="C293" i="18" s="1"/>
  <c r="D293" i="18" a="1"/>
  <c r="D293" i="18" s="1"/>
  <c r="A294" i="18" a="1"/>
  <c r="A294" i="18" s="1"/>
  <c r="B294" i="18" a="1"/>
  <c r="B294" i="18" s="1"/>
  <c r="C294" i="18" a="1"/>
  <c r="C294" i="18" s="1"/>
  <c r="D294" i="18" a="1"/>
  <c r="D294" i="18" s="1"/>
  <c r="A295" i="18" a="1"/>
  <c r="A295" i="18" s="1"/>
  <c r="B295" i="18" a="1"/>
  <c r="B295" i="18"/>
  <c r="C295" i="18" a="1"/>
  <c r="C295" i="18"/>
  <c r="D295" i="18" a="1"/>
  <c r="D295" i="18" s="1"/>
  <c r="A296" i="18" a="1"/>
  <c r="A296" i="18" s="1"/>
  <c r="B296" i="18" a="1"/>
  <c r="B296" i="18" s="1"/>
  <c r="C296" i="18" a="1"/>
  <c r="C296" i="18"/>
  <c r="D296" i="18" a="1"/>
  <c r="D296" i="18" s="1"/>
  <c r="A297" i="18" a="1"/>
  <c r="A297" i="18" s="1"/>
  <c r="B297" i="18" a="1"/>
  <c r="B297" i="18" s="1"/>
  <c r="C297" i="18" a="1"/>
  <c r="C297" i="18" s="1"/>
  <c r="D297" i="18" a="1"/>
  <c r="D297" i="18" s="1"/>
  <c r="A298" i="18" a="1"/>
  <c r="A298" i="18" s="1"/>
  <c r="B298" i="18" a="1"/>
  <c r="B298" i="18" s="1"/>
  <c r="C298" i="18" a="1"/>
  <c r="C298" i="18" s="1"/>
  <c r="D298" i="18" a="1"/>
  <c r="D298" i="18" s="1"/>
  <c r="A299" i="18" a="1"/>
  <c r="A299" i="18" s="1"/>
  <c r="B299" i="18" a="1"/>
  <c r="B299" i="18" s="1"/>
  <c r="C299" i="18" a="1"/>
  <c r="C299" i="18" s="1"/>
  <c r="D299" i="18" a="1"/>
  <c r="D299" i="18" s="1"/>
  <c r="A300" i="18" a="1"/>
  <c r="A300" i="18" s="1"/>
  <c r="B300" i="18" a="1"/>
  <c r="B300" i="18" s="1"/>
  <c r="C300" i="18" a="1"/>
  <c r="C300" i="18" s="1"/>
  <c r="D300" i="18" a="1"/>
  <c r="D300" i="18" s="1"/>
  <c r="A301" i="18" a="1"/>
  <c r="A301" i="18" s="1"/>
  <c r="B301" i="18" a="1"/>
  <c r="B301" i="18" s="1"/>
  <c r="C301" i="18" a="1"/>
  <c r="C301" i="18" s="1"/>
  <c r="D301" i="18" a="1"/>
  <c r="D301" i="18" s="1"/>
  <c r="A302" i="18" a="1"/>
  <c r="A302" i="18" s="1"/>
  <c r="B302" i="18" a="1"/>
  <c r="B302" i="18" s="1"/>
  <c r="C302" i="18" a="1"/>
  <c r="C302" i="18" s="1"/>
  <c r="D302" i="18" a="1"/>
  <c r="D302" i="18" s="1"/>
  <c r="A303" i="18" a="1"/>
  <c r="A303" i="18" s="1"/>
  <c r="B303" i="18" a="1"/>
  <c r="B303" i="18" s="1"/>
  <c r="C303" i="18" a="1"/>
  <c r="C303" i="18" s="1"/>
  <c r="D303" i="18" a="1"/>
  <c r="D303" i="18"/>
  <c r="A304" i="18" a="1"/>
  <c r="A304" i="18" s="1"/>
  <c r="B304" i="18" a="1"/>
  <c r="B304" i="18" s="1"/>
  <c r="C304" i="18" a="1"/>
  <c r="C304" i="18" s="1"/>
  <c r="D304" i="18" a="1"/>
  <c r="D304" i="18" s="1"/>
  <c r="A305" i="18" a="1"/>
  <c r="A305" i="18" s="1"/>
  <c r="B305" i="18" a="1"/>
  <c r="B305" i="18" s="1"/>
  <c r="C305" i="18" a="1"/>
  <c r="C305" i="18" s="1"/>
  <c r="D305" i="18" a="1"/>
  <c r="D305" i="18" s="1"/>
  <c r="A306" i="18" a="1"/>
  <c r="A306" i="18" s="1"/>
  <c r="B306" i="18" a="1"/>
  <c r="B306" i="18" s="1"/>
  <c r="C306" i="18" a="1"/>
  <c r="C306" i="18" s="1"/>
  <c r="D306" i="18" a="1"/>
  <c r="D306" i="18" s="1"/>
  <c r="A307" i="18" a="1"/>
  <c r="A307" i="18" s="1"/>
  <c r="B307" i="18" a="1"/>
  <c r="B307" i="18" s="1"/>
  <c r="C307" i="18" a="1"/>
  <c r="C307" i="18" s="1"/>
  <c r="D307" i="18" a="1"/>
  <c r="D307" i="18" s="1"/>
  <c r="A308" i="18" a="1"/>
  <c r="A308" i="18" s="1"/>
  <c r="B308" i="18" a="1"/>
  <c r="B308" i="18" s="1"/>
  <c r="C308" i="18" a="1"/>
  <c r="C308" i="18" s="1"/>
  <c r="D308" i="18" a="1"/>
  <c r="D308" i="18" s="1"/>
  <c r="A309" i="18" a="1"/>
  <c r="A309" i="18" s="1"/>
  <c r="B309" i="18" a="1"/>
  <c r="B309" i="18" s="1"/>
  <c r="C309" i="18" a="1"/>
  <c r="C309" i="18" s="1"/>
  <c r="D309" i="18" a="1"/>
  <c r="D309" i="18" s="1"/>
  <c r="A310" i="18" a="1"/>
  <c r="A310" i="18" s="1"/>
  <c r="B310" i="18" a="1"/>
  <c r="B310" i="18" s="1"/>
  <c r="C310" i="18" a="1"/>
  <c r="C310" i="18" s="1"/>
  <c r="D310" i="18" a="1"/>
  <c r="D310" i="18" s="1"/>
  <c r="A311" i="18" a="1"/>
  <c r="A311" i="18" s="1"/>
  <c r="B311" i="18" a="1"/>
  <c r="B311" i="18" s="1"/>
  <c r="C311" i="18" a="1"/>
  <c r="C311" i="18" s="1"/>
  <c r="D311" i="18" a="1"/>
  <c r="D311" i="18" s="1"/>
  <c r="A312" i="18" a="1"/>
  <c r="A312" i="18" s="1"/>
  <c r="B312" i="18" a="1"/>
  <c r="B312" i="18" s="1"/>
  <c r="C312" i="18" a="1"/>
  <c r="C312" i="18" s="1"/>
  <c r="D312" i="18" a="1"/>
  <c r="D312" i="18" s="1"/>
  <c r="A313" i="18" a="1"/>
  <c r="A313" i="18" s="1"/>
  <c r="B313" i="18" a="1"/>
  <c r="B313" i="18" s="1"/>
  <c r="C313" i="18" a="1"/>
  <c r="C313" i="18" s="1"/>
  <c r="D313" i="18" a="1"/>
  <c r="D313" i="18"/>
  <c r="A314" i="18" a="1"/>
  <c r="A314" i="18" s="1"/>
  <c r="B314" i="18" a="1"/>
  <c r="B314" i="18" s="1"/>
  <c r="C314" i="18" a="1"/>
  <c r="C314" i="18" s="1"/>
  <c r="D314" i="18" a="1"/>
  <c r="D314" i="18" s="1"/>
  <c r="A315" i="18" a="1"/>
  <c r="A315" i="18"/>
  <c r="B315" i="18" a="1"/>
  <c r="B315" i="18" s="1"/>
  <c r="C315" i="18" a="1"/>
  <c r="C315" i="18" s="1"/>
  <c r="D315" i="18" a="1"/>
  <c r="D315" i="18" s="1"/>
  <c r="A316" i="18" a="1"/>
  <c r="A316" i="18" s="1"/>
  <c r="B316" i="18" a="1"/>
  <c r="B316" i="18" s="1"/>
  <c r="C316" i="18" a="1"/>
  <c r="C316" i="18" s="1"/>
  <c r="D316" i="18" a="1"/>
  <c r="D316" i="18" s="1"/>
  <c r="A317" i="18" a="1"/>
  <c r="A317" i="18" s="1"/>
  <c r="B317" i="18" a="1"/>
  <c r="B317" i="18" s="1"/>
  <c r="C317" i="18" a="1"/>
  <c r="C317" i="18" s="1"/>
  <c r="D317" i="18" a="1"/>
  <c r="D317" i="18"/>
  <c r="A318" i="18" a="1"/>
  <c r="A318" i="18" s="1"/>
  <c r="B318" i="18" a="1"/>
  <c r="B318" i="18" s="1"/>
  <c r="C318" i="18" a="1"/>
  <c r="C318" i="18" s="1"/>
  <c r="D318" i="18" a="1"/>
  <c r="D318" i="18" s="1"/>
  <c r="A319" i="18" a="1"/>
  <c r="A319" i="18"/>
  <c r="B319" i="18" a="1"/>
  <c r="B319" i="18" s="1"/>
  <c r="C319" i="18" a="1"/>
  <c r="C319" i="18" s="1"/>
  <c r="D319" i="18" a="1"/>
  <c r="D319" i="18" s="1"/>
  <c r="A320" i="18" a="1"/>
  <c r="A320" i="18" s="1"/>
  <c r="B320" i="18" a="1"/>
  <c r="B320" i="18" s="1"/>
  <c r="C320" i="18" a="1"/>
  <c r="C320" i="18" s="1"/>
  <c r="D320" i="18" a="1"/>
  <c r="D320" i="18" s="1"/>
  <c r="A321" i="18" a="1"/>
  <c r="A321" i="18" s="1"/>
  <c r="B321" i="18" a="1"/>
  <c r="B321" i="18" s="1"/>
  <c r="C321" i="18" a="1"/>
  <c r="C321" i="18" s="1"/>
  <c r="D321" i="18" a="1"/>
  <c r="D321" i="18" s="1"/>
  <c r="A322" i="18" a="1"/>
  <c r="A322" i="18" s="1"/>
  <c r="B322" i="18" a="1"/>
  <c r="B322" i="18" s="1"/>
  <c r="C322" i="18" a="1"/>
  <c r="C322" i="18" s="1"/>
  <c r="D322" i="18" a="1"/>
  <c r="D322" i="18" s="1"/>
  <c r="A323" i="18" a="1"/>
  <c r="A323" i="18" s="1"/>
  <c r="B323" i="18" a="1"/>
  <c r="B323" i="18"/>
  <c r="C323" i="18" a="1"/>
  <c r="C323" i="18" s="1"/>
  <c r="D323" i="18" a="1"/>
  <c r="D323" i="18" s="1"/>
  <c r="A324" i="18" a="1"/>
  <c r="A324" i="18" s="1"/>
  <c r="B324" i="18" a="1"/>
  <c r="B324" i="18"/>
  <c r="C324" i="18" a="1"/>
  <c r="C324" i="18" s="1"/>
  <c r="D324" i="18" a="1"/>
  <c r="D324" i="18" s="1"/>
  <c r="A325" i="18" a="1"/>
  <c r="A325" i="18" s="1"/>
  <c r="B325" i="18" a="1"/>
  <c r="B325" i="18" s="1"/>
  <c r="C325" i="18" a="1"/>
  <c r="C325" i="18" s="1"/>
  <c r="D325" i="18" a="1"/>
  <c r="D325" i="18" s="1"/>
  <c r="A326" i="18" a="1"/>
  <c r="A326" i="18" s="1"/>
  <c r="B326" i="18" a="1"/>
  <c r="B326" i="18" s="1"/>
  <c r="C326" i="18" a="1"/>
  <c r="C326" i="18" s="1"/>
  <c r="D326" i="18" a="1"/>
  <c r="D326" i="18" s="1"/>
  <c r="A327" i="18" a="1"/>
  <c r="A327" i="18" s="1"/>
  <c r="B327" i="18" a="1"/>
  <c r="B327" i="18" s="1"/>
  <c r="C327" i="18" a="1"/>
  <c r="C327" i="18" s="1"/>
  <c r="D327" i="18" a="1"/>
  <c r="D327" i="18" s="1"/>
  <c r="A328" i="18" a="1"/>
  <c r="A328" i="18" s="1"/>
  <c r="B328" i="18" a="1"/>
  <c r="B328" i="18"/>
  <c r="C328" i="18" a="1"/>
  <c r="C328" i="18" s="1"/>
  <c r="D328" i="18" a="1"/>
  <c r="D328" i="18" s="1"/>
  <c r="A329" i="18" a="1"/>
  <c r="A329" i="18" s="1"/>
  <c r="B329" i="18" a="1"/>
  <c r="B329" i="18"/>
  <c r="C329" i="18" a="1"/>
  <c r="C329" i="18" s="1"/>
  <c r="D329" i="18" a="1"/>
  <c r="D329" i="18" s="1"/>
  <c r="A330" i="18" a="1"/>
  <c r="A330" i="18" s="1"/>
  <c r="B330" i="18" a="1"/>
  <c r="B330" i="18" s="1"/>
  <c r="C330" i="18" a="1"/>
  <c r="C330" i="18" s="1"/>
  <c r="D330" i="18" a="1"/>
  <c r="D330" i="18" s="1"/>
  <c r="A331" i="18" a="1"/>
  <c r="A331" i="18" s="1"/>
  <c r="B331" i="18" a="1"/>
  <c r="B331" i="18" s="1"/>
  <c r="C331" i="18" a="1"/>
  <c r="C331" i="18" s="1"/>
  <c r="D331" i="18" a="1"/>
  <c r="D331" i="18" s="1"/>
  <c r="A332" i="18" a="1"/>
  <c r="A332" i="18" s="1"/>
  <c r="B332" i="18" a="1"/>
  <c r="B332" i="18" s="1"/>
  <c r="C332" i="18" a="1"/>
  <c r="C332" i="18" s="1"/>
  <c r="D332" i="18" a="1"/>
  <c r="D332" i="18" s="1"/>
  <c r="A333" i="18" a="1"/>
  <c r="A333" i="18" s="1"/>
  <c r="B333" i="18" a="1"/>
  <c r="B333" i="18" s="1"/>
  <c r="C333" i="18" a="1"/>
  <c r="C333" i="18" s="1"/>
  <c r="D333" i="18" a="1"/>
  <c r="D333" i="18" s="1"/>
  <c r="A334" i="18" a="1"/>
  <c r="A334" i="18" s="1"/>
  <c r="B334" i="18" a="1"/>
  <c r="B334" i="18"/>
  <c r="C334" i="18" a="1"/>
  <c r="C334" i="18" s="1"/>
  <c r="D334" i="18" a="1"/>
  <c r="D334" i="18" s="1"/>
  <c r="A335" i="18" a="1"/>
  <c r="A335" i="18" s="1"/>
  <c r="B335" i="18" a="1"/>
  <c r="B335" i="18" s="1"/>
  <c r="C335" i="18" a="1"/>
  <c r="C335" i="18" s="1"/>
  <c r="D335" i="18" a="1"/>
  <c r="D335" i="18"/>
  <c r="A336" i="18" a="1"/>
  <c r="A336" i="18" s="1"/>
  <c r="B336" i="18" a="1"/>
  <c r="B336" i="18" s="1"/>
  <c r="C336" i="18" a="1"/>
  <c r="C336" i="18" s="1"/>
  <c r="D336" i="18" a="1"/>
  <c r="D336" i="18"/>
  <c r="A337" i="18" a="1"/>
  <c r="A337" i="18" s="1"/>
  <c r="B337" i="18" a="1"/>
  <c r="B337" i="18" s="1"/>
  <c r="C337" i="18" a="1"/>
  <c r="C337" i="18" s="1"/>
  <c r="D337" i="18" a="1"/>
  <c r="D337" i="18" s="1"/>
  <c r="A338" i="18" a="1"/>
  <c r="A338" i="18" s="1"/>
  <c r="B338" i="18" a="1"/>
  <c r="B338" i="18" s="1"/>
  <c r="C338" i="18" a="1"/>
  <c r="C338" i="18" s="1"/>
  <c r="D338" i="18" a="1"/>
  <c r="D338" i="18" s="1"/>
  <c r="A339" i="18" a="1"/>
  <c r="A339" i="18" s="1"/>
  <c r="B339" i="18" a="1"/>
  <c r="B339" i="18" s="1"/>
  <c r="C339" i="18" a="1"/>
  <c r="C339" i="18" s="1"/>
  <c r="D339" i="18" a="1"/>
  <c r="D339" i="18" s="1"/>
  <c r="A340" i="18" a="1"/>
  <c r="A340" i="18" s="1"/>
  <c r="B340" i="18" a="1"/>
  <c r="B340" i="18" s="1"/>
  <c r="C340" i="18" a="1"/>
  <c r="C340" i="18" s="1"/>
  <c r="D340" i="18" a="1"/>
  <c r="D340" i="18" s="1"/>
  <c r="A341" i="18" a="1"/>
  <c r="A341" i="18" s="1"/>
  <c r="B341" i="18" a="1"/>
  <c r="B341" i="18" s="1"/>
  <c r="C341" i="18" a="1"/>
  <c r="C341" i="18" s="1"/>
  <c r="D341" i="18" a="1"/>
  <c r="D341" i="18" s="1"/>
  <c r="A342" i="18" a="1"/>
  <c r="A342" i="18" s="1"/>
  <c r="B342" i="18" a="1"/>
  <c r="B342" i="18" s="1"/>
  <c r="C342" i="18" a="1"/>
  <c r="C342" i="18" s="1"/>
  <c r="D342" i="18" a="1"/>
  <c r="D342" i="18" s="1"/>
  <c r="A343" i="18" a="1"/>
  <c r="A343" i="18" s="1"/>
  <c r="B343" i="18" a="1"/>
  <c r="B343" i="18" s="1"/>
  <c r="C343" i="18" a="1"/>
  <c r="C343" i="18" s="1"/>
  <c r="D343" i="18" a="1"/>
  <c r="D343" i="18" s="1"/>
  <c r="A344" i="18" a="1"/>
  <c r="A344" i="18" s="1"/>
  <c r="B344" i="18" a="1"/>
  <c r="B344" i="18" s="1"/>
  <c r="C344" i="18" a="1"/>
  <c r="C344" i="18" s="1"/>
  <c r="D344" i="18" a="1"/>
  <c r="D344" i="18" s="1"/>
  <c r="A345" i="18" a="1"/>
  <c r="A345" i="18" s="1"/>
  <c r="B345" i="18" a="1"/>
  <c r="B345" i="18" s="1"/>
  <c r="C345" i="18" a="1"/>
  <c r="C345" i="18" s="1"/>
  <c r="D345" i="18" a="1"/>
  <c r="D345" i="18" s="1"/>
  <c r="A346" i="18" a="1"/>
  <c r="A346" i="18" s="1"/>
  <c r="B346" i="18" a="1"/>
  <c r="B346" i="18" s="1"/>
  <c r="C346" i="18" a="1"/>
  <c r="C346" i="18" s="1"/>
  <c r="D346" i="18" a="1"/>
  <c r="D346" i="18" s="1"/>
  <c r="A347" i="18" a="1"/>
  <c r="A347" i="18" s="1"/>
  <c r="B347" i="18" a="1"/>
  <c r="B347" i="18" s="1"/>
  <c r="C347" i="18" a="1"/>
  <c r="C347" i="18" s="1"/>
  <c r="D347" i="18" a="1"/>
  <c r="D347" i="18" s="1"/>
  <c r="A348" i="18" a="1"/>
  <c r="A348" i="18" s="1"/>
  <c r="B348" i="18" a="1"/>
  <c r="B348" i="18" s="1"/>
  <c r="C348" i="18" a="1"/>
  <c r="C348" i="18" s="1"/>
  <c r="D348" i="18" a="1"/>
  <c r="D348" i="18" s="1"/>
  <c r="A349" i="18" a="1"/>
  <c r="A349" i="18" s="1"/>
  <c r="B349" i="18" a="1"/>
  <c r="B349" i="18" s="1"/>
  <c r="C349" i="18" a="1"/>
  <c r="C349" i="18" s="1"/>
  <c r="D349" i="18" a="1"/>
  <c r="D349" i="18" s="1"/>
  <c r="A350" i="18" a="1"/>
  <c r="A350" i="18" s="1"/>
  <c r="B350" i="18" a="1"/>
  <c r="B350" i="18"/>
  <c r="C350" i="18" a="1"/>
  <c r="C350" i="18" s="1"/>
  <c r="D350" i="18" a="1"/>
  <c r="D350" i="18" s="1"/>
  <c r="A351" i="18" a="1"/>
  <c r="A351" i="18" s="1"/>
  <c r="B351" i="18" a="1"/>
  <c r="B351" i="18" s="1"/>
  <c r="C351" i="18" a="1"/>
  <c r="C351" i="18" s="1"/>
  <c r="D351" i="18" a="1"/>
  <c r="D351" i="18" s="1"/>
  <c r="A352" i="18" a="1"/>
  <c r="A352" i="18" s="1"/>
  <c r="B352" i="18" a="1"/>
  <c r="B352" i="18" s="1"/>
  <c r="C352" i="18" a="1"/>
  <c r="C352" i="18" s="1"/>
  <c r="D352" i="18" a="1"/>
  <c r="D352" i="18" s="1"/>
  <c r="A353" i="18" a="1"/>
  <c r="A353" i="18" s="1"/>
  <c r="B353" i="18" a="1"/>
  <c r="B353" i="18" s="1"/>
  <c r="C353" i="18" a="1"/>
  <c r="C353" i="18" s="1"/>
  <c r="D353" i="18" a="1"/>
  <c r="D353" i="18" s="1"/>
  <c r="A354" i="18" a="1"/>
  <c r="A354" i="18" s="1"/>
  <c r="B354" i="18" a="1"/>
  <c r="B354" i="18" s="1"/>
  <c r="C354" i="18" a="1"/>
  <c r="C354" i="18" s="1"/>
  <c r="D354" i="18" a="1"/>
  <c r="D354" i="18" s="1"/>
  <c r="A355" i="18" a="1"/>
  <c r="A355" i="18" s="1"/>
  <c r="B355" i="18" a="1"/>
  <c r="B355" i="18" s="1"/>
  <c r="C355" i="18" a="1"/>
  <c r="C355" i="18" s="1"/>
  <c r="D355" i="18" a="1"/>
  <c r="D355" i="18" s="1"/>
  <c r="A356" i="18" a="1"/>
  <c r="A356" i="18" s="1"/>
  <c r="B356" i="18" a="1"/>
  <c r="B356" i="18" s="1"/>
  <c r="C356" i="18" a="1"/>
  <c r="C356" i="18" s="1"/>
  <c r="D356" i="18" a="1"/>
  <c r="D356" i="18"/>
  <c r="A357" i="18" a="1"/>
  <c r="A357" i="18"/>
  <c r="B357" i="18" a="1"/>
  <c r="B357" i="18" s="1"/>
  <c r="C357" i="18" a="1"/>
  <c r="C357" i="18" s="1"/>
  <c r="D357" i="18" a="1"/>
  <c r="D357" i="18" s="1"/>
  <c r="A358" i="18" a="1"/>
  <c r="A358" i="18" s="1"/>
  <c r="B358" i="18" a="1"/>
  <c r="B358" i="18" s="1"/>
  <c r="C358" i="18" a="1"/>
  <c r="C358" i="18" s="1"/>
  <c r="D358" i="18" a="1"/>
  <c r="D358" i="18" s="1"/>
  <c r="A359" i="18" a="1"/>
  <c r="A359" i="18" s="1"/>
  <c r="B359" i="18" a="1"/>
  <c r="B359" i="18" s="1"/>
  <c r="C359" i="18" a="1"/>
  <c r="C359" i="18" s="1"/>
  <c r="D359" i="18" a="1"/>
  <c r="D359" i="18" s="1"/>
  <c r="A360" i="18" a="1"/>
  <c r="A360" i="18" s="1"/>
  <c r="B360" i="18" a="1"/>
  <c r="B360" i="18" s="1"/>
  <c r="C360" i="18" a="1"/>
  <c r="C360" i="18" s="1"/>
  <c r="D360" i="18" a="1"/>
  <c r="D360" i="18"/>
  <c r="A361" i="18" a="1"/>
  <c r="A361" i="18" s="1"/>
  <c r="B361" i="18" a="1"/>
  <c r="B361" i="18" s="1"/>
  <c r="C361" i="18" a="1"/>
  <c r="C361" i="18" s="1"/>
  <c r="D361" i="18" a="1"/>
  <c r="D361" i="18" s="1"/>
  <c r="A362" i="18" a="1"/>
  <c r="A362" i="18" s="1"/>
  <c r="B362" i="18" a="1"/>
  <c r="B362" i="18" s="1"/>
  <c r="C362" i="18" a="1"/>
  <c r="C362" i="18" s="1"/>
  <c r="D362" i="18" a="1"/>
  <c r="D362" i="18" s="1"/>
  <c r="A363" i="18" a="1"/>
  <c r="A363" i="18" s="1"/>
  <c r="B363" i="18" a="1"/>
  <c r="B363" i="18" s="1"/>
  <c r="C363" i="18" a="1"/>
  <c r="C363" i="18" s="1"/>
  <c r="D363" i="18" a="1"/>
  <c r="D363" i="18"/>
  <c r="A364" i="18" a="1"/>
  <c r="A364" i="18" s="1"/>
  <c r="B364" i="18" a="1"/>
  <c r="B364" i="18" s="1"/>
  <c r="C364" i="18" a="1"/>
  <c r="C364" i="18" s="1"/>
  <c r="D364" i="18" a="1"/>
  <c r="D364" i="18" s="1"/>
  <c r="A365" i="18" a="1"/>
  <c r="A365" i="18" s="1"/>
  <c r="B365" i="18" a="1"/>
  <c r="B365" i="18" s="1"/>
  <c r="C365" i="18" a="1"/>
  <c r="C365" i="18" s="1"/>
  <c r="D365" i="18" a="1"/>
  <c r="D365" i="18" s="1"/>
  <c r="A366" i="18" a="1"/>
  <c r="A366" i="18" s="1"/>
  <c r="B366" i="18" a="1"/>
  <c r="B366" i="18"/>
  <c r="C366" i="18" a="1"/>
  <c r="C366" i="18" s="1"/>
  <c r="D366" i="18" a="1"/>
  <c r="D366" i="18" s="1"/>
  <c r="A367" i="18" a="1"/>
  <c r="A367" i="18" s="1"/>
  <c r="B367" i="18" a="1"/>
  <c r="B367" i="18" s="1"/>
  <c r="C367" i="18" a="1"/>
  <c r="C367" i="18" s="1"/>
  <c r="D367" i="18" a="1"/>
  <c r="D367" i="18" s="1"/>
  <c r="A368" i="18" a="1"/>
  <c r="A368" i="18" s="1"/>
  <c r="B368" i="18" a="1"/>
  <c r="B368" i="18" s="1"/>
  <c r="C368" i="18" a="1"/>
  <c r="C368" i="18"/>
  <c r="D368" i="18" a="1"/>
  <c r="D368" i="18" s="1"/>
  <c r="A369" i="18" a="1"/>
  <c r="A369" i="18" s="1"/>
  <c r="B369" i="18" a="1"/>
  <c r="B369" i="18" s="1"/>
  <c r="C369" i="18" a="1"/>
  <c r="C369" i="18" s="1"/>
  <c r="D369" i="18" a="1"/>
  <c r="D369" i="18" s="1"/>
  <c r="A370" i="18" a="1"/>
  <c r="A370" i="18" s="1"/>
  <c r="B370" i="18" a="1"/>
  <c r="B370" i="18"/>
  <c r="C370" i="18" a="1"/>
  <c r="C370" i="18" s="1"/>
  <c r="D370" i="18" a="1"/>
  <c r="D370" i="18" s="1"/>
  <c r="A371" i="18" a="1"/>
  <c r="A371" i="18" s="1"/>
  <c r="B371" i="18" a="1"/>
  <c r="B371" i="18" s="1"/>
  <c r="C371" i="18" a="1"/>
  <c r="C371" i="18" s="1"/>
  <c r="D371" i="18" a="1"/>
  <c r="D371" i="18" s="1"/>
  <c r="A372" i="18" a="1"/>
  <c r="A372" i="18" s="1"/>
  <c r="B372" i="18" a="1"/>
  <c r="B372" i="18" s="1"/>
  <c r="C372" i="18" a="1"/>
  <c r="C372" i="18" s="1"/>
  <c r="D372" i="18" a="1"/>
  <c r="D372" i="18"/>
  <c r="A373" i="18" a="1"/>
  <c r="A373" i="18" s="1"/>
  <c r="B373" i="18" a="1"/>
  <c r="B373" i="18" s="1"/>
  <c r="C373" i="18" a="1"/>
  <c r="C373" i="18" s="1"/>
  <c r="D373" i="18" a="1"/>
  <c r="D373" i="18" s="1"/>
  <c r="A374" i="18" a="1"/>
  <c r="A374" i="18" s="1"/>
  <c r="B374" i="18" a="1"/>
  <c r="B374" i="18" s="1"/>
  <c r="C374" i="18" a="1"/>
  <c r="C374" i="18" s="1"/>
  <c r="D374" i="18" a="1"/>
  <c r="D374" i="18" s="1"/>
  <c r="A375" i="18" a="1"/>
  <c r="A375" i="18"/>
  <c r="B375" i="18" a="1"/>
  <c r="B375" i="18" s="1"/>
  <c r="C375" i="18" a="1"/>
  <c r="C375" i="18" s="1"/>
  <c r="D375" i="18" a="1"/>
  <c r="D375" i="18" s="1"/>
  <c r="A376" i="18" a="1"/>
  <c r="A376" i="18"/>
  <c r="B376" i="18" a="1"/>
  <c r="B376" i="18" s="1"/>
  <c r="C376" i="18" a="1"/>
  <c r="C376" i="18" s="1"/>
  <c r="D376" i="18" a="1"/>
  <c r="D376" i="18" s="1"/>
  <c r="A377" i="18" a="1"/>
  <c r="A377" i="18" s="1"/>
  <c r="B377" i="18" a="1"/>
  <c r="B377" i="18" s="1"/>
  <c r="C377" i="18" a="1"/>
  <c r="C377" i="18" s="1"/>
  <c r="D377" i="18" a="1"/>
  <c r="D377" i="18" s="1"/>
  <c r="A378" i="18" a="1"/>
  <c r="A378" i="18" s="1"/>
  <c r="B378" i="18" a="1"/>
  <c r="B378" i="18" s="1"/>
  <c r="C378" i="18" a="1"/>
  <c r="C378" i="18" s="1"/>
  <c r="D378" i="18" a="1"/>
  <c r="D378" i="18" s="1"/>
  <c r="A379" i="18" a="1"/>
  <c r="A379" i="18" s="1"/>
  <c r="B379" i="18" a="1"/>
  <c r="B379" i="18" s="1"/>
  <c r="C379" i="18" a="1"/>
  <c r="C379" i="18" s="1"/>
  <c r="D379" i="18" a="1"/>
  <c r="D379" i="18" s="1"/>
  <c r="A380" i="18" a="1"/>
  <c r="A380" i="18" s="1"/>
  <c r="B380" i="18" a="1"/>
  <c r="B380" i="18" s="1"/>
  <c r="C380" i="18" a="1"/>
  <c r="C380" i="18" s="1"/>
  <c r="D380" i="18" a="1"/>
  <c r="D380" i="18" s="1"/>
  <c r="A381" i="18" a="1"/>
  <c r="A381" i="18" s="1"/>
  <c r="B381" i="18" a="1"/>
  <c r="B381" i="18" s="1"/>
  <c r="C381" i="18" a="1"/>
  <c r="C381" i="18" s="1"/>
  <c r="D381" i="18" a="1"/>
  <c r="D381" i="18" s="1"/>
  <c r="A382" i="18" a="1"/>
  <c r="A382" i="18" s="1"/>
  <c r="B382" i="18" a="1"/>
  <c r="B382" i="18" s="1"/>
  <c r="C382" i="18" a="1"/>
  <c r="C382" i="18" s="1"/>
  <c r="D382" i="18" a="1"/>
  <c r="D382" i="18" s="1"/>
  <c r="A383" i="18" a="1"/>
  <c r="A383" i="18" s="1"/>
  <c r="B383" i="18" a="1"/>
  <c r="B383" i="18" s="1"/>
  <c r="C383" i="18" a="1"/>
  <c r="C383" i="18" s="1"/>
  <c r="D383" i="18" a="1"/>
  <c r="D383" i="18" s="1"/>
  <c r="A384" i="18" a="1"/>
  <c r="A384" i="18" s="1"/>
  <c r="B384" i="18" a="1"/>
  <c r="B384" i="18" s="1"/>
  <c r="C384" i="18" a="1"/>
  <c r="C384" i="18" s="1"/>
  <c r="D384" i="18" a="1"/>
  <c r="D384" i="18" s="1"/>
  <c r="A385" i="18" a="1"/>
  <c r="A385" i="18" s="1"/>
  <c r="B385" i="18" a="1"/>
  <c r="B385" i="18" s="1"/>
  <c r="C385" i="18" a="1"/>
  <c r="C385" i="18" s="1"/>
  <c r="D385" i="18" a="1"/>
  <c r="D385" i="18" s="1"/>
  <c r="A386" i="18" a="1"/>
  <c r="A386" i="18" s="1"/>
  <c r="B386" i="18" a="1"/>
  <c r="B386" i="18" s="1"/>
  <c r="C386" i="18" a="1"/>
  <c r="C386" i="18" s="1"/>
  <c r="D386" i="18" a="1"/>
  <c r="D386" i="18" s="1"/>
  <c r="A387" i="18" a="1"/>
  <c r="A387" i="18" s="1"/>
  <c r="B387" i="18" a="1"/>
  <c r="B387" i="18" s="1"/>
  <c r="C387" i="18" a="1"/>
  <c r="C387" i="18" s="1"/>
  <c r="D387" i="18" a="1"/>
  <c r="D387" i="18" s="1"/>
  <c r="A388" i="18" a="1"/>
  <c r="A388" i="18" s="1"/>
  <c r="B388" i="18" a="1"/>
  <c r="B388" i="18" s="1"/>
  <c r="C388" i="18" a="1"/>
  <c r="C388" i="18" s="1"/>
  <c r="D388" i="18" a="1"/>
  <c r="D388" i="18" s="1"/>
  <c r="A389" i="18" a="1"/>
  <c r="A389" i="18" s="1"/>
  <c r="B389" i="18" a="1"/>
  <c r="B389" i="18" s="1"/>
  <c r="C389" i="18" a="1"/>
  <c r="C389" i="18" s="1"/>
  <c r="D389" i="18" a="1"/>
  <c r="D389" i="18" s="1"/>
  <c r="A390" i="18" a="1"/>
  <c r="A390" i="18" s="1"/>
  <c r="B390" i="18" a="1"/>
  <c r="B390" i="18" s="1"/>
  <c r="C390" i="18" a="1"/>
  <c r="C390" i="18" s="1"/>
  <c r="D390" i="18" a="1"/>
  <c r="D390" i="18"/>
  <c r="A391" i="18" a="1"/>
  <c r="A391" i="18" s="1"/>
  <c r="B391" i="18" a="1"/>
  <c r="B391" i="18" s="1"/>
  <c r="C391" i="18" a="1"/>
  <c r="C391" i="18" s="1"/>
  <c r="D391" i="18" a="1"/>
  <c r="D391" i="18" s="1"/>
  <c r="A392" i="18" a="1"/>
  <c r="A392" i="18" s="1"/>
  <c r="B392" i="18" a="1"/>
  <c r="B392" i="18" s="1"/>
  <c r="C392" i="18" a="1"/>
  <c r="C392" i="18" s="1"/>
  <c r="D392" i="18" a="1"/>
  <c r="D392" i="18" s="1"/>
  <c r="A393" i="18" a="1"/>
  <c r="A393" i="18" s="1"/>
  <c r="B393" i="18" a="1"/>
  <c r="B393" i="18" s="1"/>
  <c r="C393" i="18" a="1"/>
  <c r="C393" i="18" s="1"/>
  <c r="D393" i="18" a="1"/>
  <c r="D393" i="18"/>
  <c r="A394" i="18" a="1"/>
  <c r="A394" i="18" s="1"/>
  <c r="B394" i="18" a="1"/>
  <c r="B394" i="18" s="1"/>
  <c r="C394" i="18" a="1"/>
  <c r="C394" i="18" s="1"/>
  <c r="D394" i="18" a="1"/>
  <c r="D394" i="18" s="1"/>
  <c r="A395" i="18" a="1"/>
  <c r="A395" i="18" s="1"/>
  <c r="B395" i="18" a="1"/>
  <c r="B395" i="18" s="1"/>
  <c r="C395" i="18" a="1"/>
  <c r="C395" i="18" s="1"/>
  <c r="D395" i="18" a="1"/>
  <c r="D395" i="18" s="1"/>
  <c r="A396" i="18" a="1"/>
  <c r="A396" i="18" s="1"/>
  <c r="B396" i="18" a="1"/>
  <c r="B396" i="18" s="1"/>
  <c r="C396" i="18" a="1"/>
  <c r="C396" i="18" s="1"/>
  <c r="D396" i="18" a="1"/>
  <c r="D396" i="18" s="1"/>
  <c r="A397" i="18" a="1"/>
  <c r="A397" i="18" s="1"/>
  <c r="B397" i="18" a="1"/>
  <c r="B397" i="18" s="1"/>
  <c r="C397" i="18" a="1"/>
  <c r="C397" i="18" s="1"/>
  <c r="D397" i="18" a="1"/>
  <c r="D397" i="18" s="1"/>
  <c r="A398" i="18" a="1"/>
  <c r="A398" i="18" s="1"/>
  <c r="B398" i="18" a="1"/>
  <c r="B398" i="18" s="1"/>
  <c r="C398" i="18" a="1"/>
  <c r="C398" i="18" s="1"/>
  <c r="D398" i="18" a="1"/>
  <c r="D398" i="18" s="1"/>
  <c r="A399" i="18" a="1"/>
  <c r="A399" i="18" s="1"/>
  <c r="B399" i="18" a="1"/>
  <c r="B399" i="18" s="1"/>
  <c r="C399" i="18" a="1"/>
  <c r="C399" i="18" s="1"/>
  <c r="D399" i="18" a="1"/>
  <c r="D399" i="18" s="1"/>
  <c r="A400" i="18" a="1"/>
  <c r="A400" i="18"/>
  <c r="B400" i="18" a="1"/>
  <c r="B400" i="18" s="1"/>
  <c r="C400" i="18" a="1"/>
  <c r="C400" i="18" s="1"/>
  <c r="D400" i="18" a="1"/>
  <c r="D400" i="18" s="1"/>
  <c r="A401" i="18" a="1"/>
  <c r="A401" i="18" s="1"/>
  <c r="B401" i="18" a="1"/>
  <c r="B401" i="18"/>
  <c r="C401" i="18" a="1"/>
  <c r="C401" i="18" s="1"/>
  <c r="D401" i="18" a="1"/>
  <c r="D401" i="18" s="1"/>
  <c r="A402" i="18" a="1"/>
  <c r="A402" i="18" s="1"/>
  <c r="B402" i="18" a="1"/>
  <c r="B402" i="18" s="1"/>
  <c r="C402" i="18" a="1"/>
  <c r="C402" i="18" s="1"/>
  <c r="D402" i="18" a="1"/>
  <c r="D402" i="18" s="1"/>
  <c r="A403" i="18" a="1"/>
  <c r="A403" i="18" s="1"/>
  <c r="B403" i="18" a="1"/>
  <c r="B403" i="18" s="1"/>
  <c r="C403" i="18" a="1"/>
  <c r="C403" i="18" s="1"/>
  <c r="D403" i="18" a="1"/>
  <c r="D403" i="18" s="1"/>
  <c r="A404" i="18" a="1"/>
  <c r="A404" i="18" s="1"/>
  <c r="B404" i="18" a="1"/>
  <c r="B404" i="18" s="1"/>
  <c r="C404" i="18" a="1"/>
  <c r="C404" i="18" s="1"/>
  <c r="D404" i="18" a="1"/>
  <c r="D404" i="18" s="1"/>
  <c r="A405" i="18" a="1"/>
  <c r="A405" i="18" s="1"/>
  <c r="B405" i="18" a="1"/>
  <c r="B405" i="18" s="1"/>
  <c r="C405" i="18" a="1"/>
  <c r="C405" i="18" s="1"/>
  <c r="D405" i="18" a="1"/>
  <c r="D405" i="18" s="1"/>
  <c r="A406" i="18" a="1"/>
  <c r="A406" i="18" s="1"/>
  <c r="B406" i="18" a="1"/>
  <c r="B406" i="18" s="1"/>
  <c r="C406" i="18" a="1"/>
  <c r="C406" i="18"/>
  <c r="D406" i="18" a="1"/>
  <c r="D406" i="18" s="1"/>
  <c r="A407" i="18" a="1"/>
  <c r="A407" i="18" s="1"/>
  <c r="B407" i="18" a="1"/>
  <c r="B407" i="18" s="1"/>
  <c r="C407" i="18" a="1"/>
  <c r="C407" i="18" s="1"/>
  <c r="D407" i="18" a="1"/>
  <c r="D407" i="18" s="1"/>
  <c r="A408" i="18" a="1"/>
  <c r="A408" i="18" s="1"/>
  <c r="B408" i="18" a="1"/>
  <c r="B408" i="18" s="1"/>
  <c r="C408" i="18" a="1"/>
  <c r="C408" i="18" s="1"/>
  <c r="D408" i="18" a="1"/>
  <c r="D408" i="18" s="1"/>
  <c r="A409" i="18" a="1"/>
  <c r="A409" i="18" s="1"/>
  <c r="B409" i="18" a="1"/>
  <c r="B409" i="18" s="1"/>
  <c r="C409" i="18" a="1"/>
  <c r="C409" i="18" s="1"/>
  <c r="D409" i="18" a="1"/>
  <c r="D409" i="18" s="1"/>
  <c r="A410" i="18" a="1"/>
  <c r="A410" i="18" s="1"/>
  <c r="B410" i="18" a="1"/>
  <c r="B410" i="18" s="1"/>
  <c r="C410" i="18" a="1"/>
  <c r="C410" i="18" s="1"/>
  <c r="D410" i="18" a="1"/>
  <c r="D410" i="18" s="1"/>
  <c r="A411" i="18" a="1"/>
  <c r="A411" i="18" s="1"/>
  <c r="B411" i="18" a="1"/>
  <c r="B411" i="18" s="1"/>
  <c r="C411" i="18" a="1"/>
  <c r="C411" i="18" s="1"/>
  <c r="D411" i="18" a="1"/>
  <c r="D411" i="18" s="1"/>
  <c r="A412" i="18" a="1"/>
  <c r="A412" i="18" s="1"/>
  <c r="B412" i="18" a="1"/>
  <c r="B412" i="18" s="1"/>
  <c r="C412" i="18" a="1"/>
  <c r="C412" i="18" s="1"/>
  <c r="D412" i="18" a="1"/>
  <c r="D412" i="18" s="1"/>
  <c r="A413" i="18" a="1"/>
  <c r="A413" i="18" s="1"/>
  <c r="B413" i="18" a="1"/>
  <c r="B413" i="18" s="1"/>
  <c r="C413" i="18" a="1"/>
  <c r="C413" i="18" s="1"/>
  <c r="D413" i="18" a="1"/>
  <c r="D413" i="18" s="1"/>
  <c r="A414" i="18" a="1"/>
  <c r="A414" i="18" s="1"/>
  <c r="B414" i="18" a="1"/>
  <c r="B414" i="18" s="1"/>
  <c r="C414" i="18" a="1"/>
  <c r="C414" i="18" s="1"/>
  <c r="D414" i="18" a="1"/>
  <c r="D414" i="18" s="1"/>
  <c r="A415" i="18" a="1"/>
  <c r="A415" i="18" s="1"/>
  <c r="B415" i="18" a="1"/>
  <c r="B415" i="18" s="1"/>
  <c r="C415" i="18" a="1"/>
  <c r="C415" i="18" s="1"/>
  <c r="D415" i="18" a="1"/>
  <c r="D415" i="18" s="1"/>
  <c r="A416" i="18" a="1"/>
  <c r="A416" i="18" s="1"/>
  <c r="B416" i="18" a="1"/>
  <c r="B416" i="18" s="1"/>
  <c r="C416" i="18" a="1"/>
  <c r="C416" i="18" s="1"/>
  <c r="D416" i="18" a="1"/>
  <c r="D416" i="18" s="1"/>
  <c r="A417" i="18" a="1"/>
  <c r="A417" i="18" s="1"/>
  <c r="B417" i="18" a="1"/>
  <c r="B417" i="18" s="1"/>
  <c r="C417" i="18" a="1"/>
  <c r="C417" i="18" s="1"/>
  <c r="D417" i="18" a="1"/>
  <c r="D417" i="18" s="1"/>
  <c r="A418" i="18" a="1"/>
  <c r="A418" i="18" s="1"/>
  <c r="B418" i="18" a="1"/>
  <c r="B418" i="18" s="1"/>
  <c r="C418" i="18" a="1"/>
  <c r="C418" i="18" s="1"/>
  <c r="D418" i="18" a="1"/>
  <c r="D418" i="18" s="1"/>
  <c r="A419" i="18" a="1"/>
  <c r="A419" i="18" s="1"/>
  <c r="B419" i="18" a="1"/>
  <c r="B419" i="18"/>
  <c r="C419" i="18" a="1"/>
  <c r="C419" i="18" s="1"/>
  <c r="D419" i="18" a="1"/>
  <c r="D419" i="18" s="1"/>
  <c r="A420" i="18" a="1"/>
  <c r="A420" i="18" s="1"/>
  <c r="B420" i="18" a="1"/>
  <c r="B420" i="18"/>
  <c r="C420" i="18" a="1"/>
  <c r="C420" i="18" s="1"/>
  <c r="D420" i="18" a="1"/>
  <c r="D420" i="18" s="1"/>
  <c r="A421" i="18" a="1"/>
  <c r="A421" i="18" s="1"/>
  <c r="B421" i="18" a="1"/>
  <c r="B421" i="18"/>
  <c r="C421" i="18" a="1"/>
  <c r="C421" i="18" s="1"/>
  <c r="D421" i="18" a="1"/>
  <c r="D421" i="18" s="1"/>
  <c r="A422" i="18" a="1"/>
  <c r="A422" i="18" s="1"/>
  <c r="B422" i="18" a="1"/>
  <c r="B422" i="18" s="1"/>
  <c r="C422" i="18" a="1"/>
  <c r="C422" i="18" s="1"/>
  <c r="D422" i="18" a="1"/>
  <c r="D422" i="18" s="1"/>
  <c r="A423" i="18" a="1"/>
  <c r="A423" i="18" s="1"/>
  <c r="B423" i="18" a="1"/>
  <c r="B423" i="18" s="1"/>
  <c r="C423" i="18" a="1"/>
  <c r="C423" i="18" s="1"/>
  <c r="D423" i="18" a="1"/>
  <c r="D423" i="18" s="1"/>
  <c r="A424" i="18" a="1"/>
  <c r="A424" i="18" s="1"/>
  <c r="B424" i="18" a="1"/>
  <c r="B424" i="18" s="1"/>
  <c r="C424" i="18" a="1"/>
  <c r="C424" i="18" s="1"/>
  <c r="D424" i="18" a="1"/>
  <c r="D424" i="18" s="1"/>
  <c r="A425" i="18" a="1"/>
  <c r="A425" i="18" s="1"/>
  <c r="B425" i="18" a="1"/>
  <c r="B425" i="18" s="1"/>
  <c r="C425" i="18" a="1"/>
  <c r="C425" i="18" s="1"/>
  <c r="D425" i="18" a="1"/>
  <c r="D425" i="18" s="1"/>
  <c r="A426" i="18" a="1"/>
  <c r="A426" i="18" s="1"/>
  <c r="B426" i="18" a="1"/>
  <c r="B426" i="18" s="1"/>
  <c r="C426" i="18" a="1"/>
  <c r="C426" i="18" s="1"/>
  <c r="D426" i="18" a="1"/>
  <c r="D426" i="18"/>
  <c r="A427" i="18" a="1"/>
  <c r="A427" i="18" s="1"/>
  <c r="B427" i="18" a="1"/>
  <c r="B427" i="18" s="1"/>
  <c r="C427" i="18" a="1"/>
  <c r="C427" i="18" s="1"/>
  <c r="D427" i="18" a="1"/>
  <c r="D427" i="18" s="1"/>
  <c r="A428" i="18" a="1"/>
  <c r="A428" i="18" s="1"/>
  <c r="B428" i="18" a="1"/>
  <c r="B428" i="18" s="1"/>
  <c r="C428" i="18" a="1"/>
  <c r="C428" i="18" s="1"/>
  <c r="D428" i="18" a="1"/>
  <c r="D428" i="18" s="1"/>
  <c r="A429" i="18" a="1"/>
  <c r="A429" i="18" s="1"/>
  <c r="B429" i="18" a="1"/>
  <c r="B429" i="18" s="1"/>
  <c r="C429" i="18" a="1"/>
  <c r="C429" i="18" s="1"/>
  <c r="D429" i="18" a="1"/>
  <c r="D429" i="18" s="1"/>
  <c r="A430" i="18" a="1"/>
  <c r="A430" i="18" s="1"/>
  <c r="B430" i="18" a="1"/>
  <c r="B430" i="18" s="1"/>
  <c r="C430" i="18" a="1"/>
  <c r="C430" i="18" s="1"/>
  <c r="D430" i="18" a="1"/>
  <c r="D430" i="18" s="1"/>
  <c r="A431" i="18" a="1"/>
  <c r="A431" i="18" s="1"/>
  <c r="B431" i="18" a="1"/>
  <c r="B431" i="18" s="1"/>
  <c r="C431" i="18" a="1"/>
  <c r="C431" i="18" s="1"/>
  <c r="D431" i="18" a="1"/>
  <c r="D431" i="18" s="1"/>
  <c r="A432" i="18" a="1"/>
  <c r="A432" i="18"/>
  <c r="B432" i="18" a="1"/>
  <c r="B432" i="18" s="1"/>
  <c r="C432" i="18" a="1"/>
  <c r="C432" i="18" s="1"/>
  <c r="D432" i="18" a="1"/>
  <c r="D432" i="18" s="1"/>
  <c r="A433" i="18" a="1"/>
  <c r="A433" i="18" s="1"/>
  <c r="B433" i="18" a="1"/>
  <c r="B433" i="18" s="1"/>
  <c r="C433" i="18" a="1"/>
  <c r="C433" i="18" s="1"/>
  <c r="D433" i="18" a="1"/>
  <c r="D433" i="18" s="1"/>
  <c r="A434" i="18" a="1"/>
  <c r="A434" i="18" s="1"/>
  <c r="B434" i="18" a="1"/>
  <c r="B434" i="18" s="1"/>
  <c r="C434" i="18" a="1"/>
  <c r="C434" i="18" s="1"/>
  <c r="D434" i="18" a="1"/>
  <c r="D434" i="18" s="1"/>
  <c r="A435" i="18" a="1"/>
  <c r="A435" i="18" s="1"/>
  <c r="B435" i="18" a="1"/>
  <c r="B435" i="18" s="1"/>
  <c r="C435" i="18" a="1"/>
  <c r="C435" i="18" s="1"/>
  <c r="D435" i="18" a="1"/>
  <c r="D435" i="18" s="1"/>
  <c r="A436" i="18" a="1"/>
  <c r="A436" i="18" s="1"/>
  <c r="B436" i="18" a="1"/>
  <c r="B436" i="18" s="1"/>
  <c r="C436" i="18" a="1"/>
  <c r="C436" i="18" s="1"/>
  <c r="D436" i="18" a="1"/>
  <c r="D436" i="18" s="1"/>
  <c r="A437" i="18" a="1"/>
  <c r="A437" i="18" s="1"/>
  <c r="B437" i="18" a="1"/>
  <c r="B437" i="18" s="1"/>
  <c r="C437" i="18" a="1"/>
  <c r="C437" i="18" s="1"/>
  <c r="D437" i="18" a="1"/>
  <c r="D437" i="18" s="1"/>
  <c r="A438" i="18" a="1"/>
  <c r="A438" i="18" s="1"/>
  <c r="B438" i="18" a="1"/>
  <c r="B438" i="18" s="1"/>
  <c r="C438" i="18" a="1"/>
  <c r="C438" i="18" s="1"/>
  <c r="D438" i="18" a="1"/>
  <c r="D438" i="18" s="1"/>
  <c r="A439" i="18" a="1"/>
  <c r="A439" i="18" s="1"/>
  <c r="B439" i="18" a="1"/>
  <c r="B439" i="18" s="1"/>
  <c r="C439" i="18" a="1"/>
  <c r="C439" i="18" s="1"/>
  <c r="D439" i="18" a="1"/>
  <c r="D439" i="18" s="1"/>
  <c r="A440" i="18" a="1"/>
  <c r="A440" i="18" s="1"/>
  <c r="B440" i="18" a="1"/>
  <c r="B440" i="18" s="1"/>
  <c r="C440" i="18" a="1"/>
  <c r="C440" i="18" s="1"/>
  <c r="D440" i="18" a="1"/>
  <c r="D440" i="18" s="1"/>
  <c r="A441" i="18" a="1"/>
  <c r="A441" i="18" s="1"/>
  <c r="B441" i="18" a="1"/>
  <c r="B441" i="18" s="1"/>
  <c r="C441" i="18" a="1"/>
  <c r="C441" i="18" s="1"/>
  <c r="D441" i="18" a="1"/>
  <c r="D441" i="18" s="1"/>
  <c r="A442" i="18" a="1"/>
  <c r="A442" i="18" s="1"/>
  <c r="B442" i="18" a="1"/>
  <c r="B442" i="18" s="1"/>
  <c r="C442" i="18" a="1"/>
  <c r="C442" i="18"/>
  <c r="D442" i="18" a="1"/>
  <c r="D442" i="18" s="1"/>
  <c r="A443" i="18" a="1"/>
  <c r="A443" i="18" s="1"/>
  <c r="B443" i="18" a="1"/>
  <c r="B443" i="18" s="1"/>
  <c r="C443" i="18" a="1"/>
  <c r="C443" i="18" s="1"/>
  <c r="D443" i="18" a="1"/>
  <c r="D443" i="18"/>
  <c r="A444" i="18" a="1"/>
  <c r="A444" i="18" s="1"/>
  <c r="B444" i="18" a="1"/>
  <c r="B444" i="18" s="1"/>
  <c r="C444" i="18" a="1"/>
  <c r="C444" i="18" s="1"/>
  <c r="D444" i="18" a="1"/>
  <c r="D444" i="18"/>
  <c r="A445" i="18" a="1"/>
  <c r="A445" i="18" s="1"/>
  <c r="B445" i="18" a="1"/>
  <c r="B445" i="18" s="1"/>
  <c r="C445" i="18" a="1"/>
  <c r="C445" i="18" s="1"/>
  <c r="D445" i="18" a="1"/>
  <c r="D445" i="18" s="1"/>
  <c r="A446" i="18" a="1"/>
  <c r="A446" i="18" s="1"/>
  <c r="B446" i="18" a="1"/>
  <c r="B446" i="18" s="1"/>
  <c r="C446" i="18" a="1"/>
  <c r="C446" i="18" s="1"/>
  <c r="D446" i="18" a="1"/>
  <c r="D446" i="18" s="1"/>
  <c r="A447" i="18" a="1"/>
  <c r="A447" i="18" s="1"/>
  <c r="B447" i="18" a="1"/>
  <c r="B447" i="18" s="1"/>
  <c r="C447" i="18" a="1"/>
  <c r="C447" i="18" s="1"/>
  <c r="D447" i="18" a="1"/>
  <c r="D447" i="18"/>
  <c r="A448" i="18" a="1"/>
  <c r="A448" i="18" s="1"/>
  <c r="B448" i="18" a="1"/>
  <c r="B448" i="18" s="1"/>
  <c r="C448" i="18" a="1"/>
  <c r="C448" i="18" s="1"/>
  <c r="D448" i="18" a="1"/>
  <c r="D448" i="18" s="1"/>
  <c r="A449" i="18" a="1"/>
  <c r="A449" i="18" s="1"/>
  <c r="B449" i="18" a="1"/>
  <c r="B449" i="18" s="1"/>
  <c r="C449" i="18" a="1"/>
  <c r="C449" i="18" s="1"/>
  <c r="D449" i="18" a="1"/>
  <c r="D449" i="18" s="1"/>
  <c r="A450" i="18" a="1"/>
  <c r="A450" i="18" s="1"/>
  <c r="B450" i="18" a="1"/>
  <c r="B450" i="18" s="1"/>
  <c r="C450" i="18" a="1"/>
  <c r="C450" i="18" s="1"/>
  <c r="D450" i="18" a="1"/>
  <c r="D450" i="18" s="1"/>
  <c r="A451" i="18" a="1"/>
  <c r="A451" i="18" s="1"/>
  <c r="B451" i="18" a="1"/>
  <c r="B451" i="18" s="1"/>
  <c r="C451" i="18" a="1"/>
  <c r="C451" i="18" s="1"/>
  <c r="D451" i="18" a="1"/>
  <c r="D451" i="18" s="1"/>
  <c r="A452" i="18" a="1"/>
  <c r="A452" i="18" s="1"/>
  <c r="B452" i="18" a="1"/>
  <c r="B452" i="18" s="1"/>
  <c r="C452" i="18" a="1"/>
  <c r="C452" i="18" s="1"/>
  <c r="D452" i="18" a="1"/>
  <c r="D452" i="18" s="1"/>
  <c r="A453" i="18" a="1"/>
  <c r="A453" i="18" s="1"/>
  <c r="B453" i="18" a="1"/>
  <c r="B453" i="18"/>
  <c r="C453" i="18" a="1"/>
  <c r="C453" i="18" s="1"/>
  <c r="D453" i="18" a="1"/>
  <c r="D453" i="18" s="1"/>
  <c r="A454" i="18" a="1"/>
  <c r="A454" i="18" s="1"/>
  <c r="B454" i="18" a="1"/>
  <c r="B454" i="18" s="1"/>
  <c r="C454" i="18" a="1"/>
  <c r="C454" i="18" s="1"/>
  <c r="D454" i="18" a="1"/>
  <c r="D454" i="18" s="1"/>
  <c r="A455" i="18" a="1"/>
  <c r="A455" i="18" s="1"/>
  <c r="B455" i="18" a="1"/>
  <c r="B455" i="18" s="1"/>
  <c r="C455" i="18" a="1"/>
  <c r="C455" i="18" s="1"/>
  <c r="D455" i="18" a="1"/>
  <c r="D455" i="18" s="1"/>
  <c r="A456" i="18" a="1"/>
  <c r="A456" i="18" s="1"/>
  <c r="B456" i="18" a="1"/>
  <c r="B456" i="18" s="1"/>
  <c r="C456" i="18" a="1"/>
  <c r="C456" i="18" s="1"/>
  <c r="D456" i="18" a="1"/>
  <c r="D456" i="18" s="1"/>
  <c r="A457" i="18" a="1"/>
  <c r="A457" i="18"/>
  <c r="B457" i="18" a="1"/>
  <c r="B457" i="18" s="1"/>
  <c r="C457" i="18" a="1"/>
  <c r="C457" i="18" s="1"/>
  <c r="D457" i="18" a="1"/>
  <c r="D457" i="18" s="1"/>
  <c r="A458" i="18" a="1"/>
  <c r="A458" i="18" s="1"/>
  <c r="B458" i="18" a="1"/>
  <c r="B458" i="18" s="1"/>
  <c r="C458" i="18" a="1"/>
  <c r="C458" i="18" s="1"/>
  <c r="D458" i="18" a="1"/>
  <c r="D458" i="18" s="1"/>
  <c r="A459" i="18" a="1"/>
  <c r="A459" i="18" s="1"/>
  <c r="B459" i="18" a="1"/>
  <c r="B459" i="18" s="1"/>
  <c r="C459" i="18" a="1"/>
  <c r="C459" i="18" s="1"/>
  <c r="D459" i="18" a="1"/>
  <c r="D459" i="18" s="1"/>
  <c r="A460" i="18" a="1"/>
  <c r="A460" i="18" s="1"/>
  <c r="B460" i="18" a="1"/>
  <c r="B460" i="18"/>
  <c r="C460" i="18" a="1"/>
  <c r="C460" i="18" s="1"/>
  <c r="D460" i="18" a="1"/>
  <c r="D460" i="18" s="1"/>
  <c r="A461" i="18" a="1"/>
  <c r="A461" i="18" s="1"/>
  <c r="B461" i="18" a="1"/>
  <c r="B461" i="18" s="1"/>
  <c r="C461" i="18" a="1"/>
  <c r="C461" i="18" s="1"/>
  <c r="D461" i="18" a="1"/>
  <c r="D461" i="18" s="1"/>
  <c r="A462" i="18" a="1"/>
  <c r="A462" i="18" s="1"/>
  <c r="B462" i="18" a="1"/>
  <c r="B462" i="18" s="1"/>
  <c r="C462" i="18" a="1"/>
  <c r="C462" i="18" s="1"/>
  <c r="D462" i="18" a="1"/>
  <c r="D462" i="18" s="1"/>
  <c r="A463" i="18" a="1"/>
  <c r="A463" i="18"/>
  <c r="B463" i="18" a="1"/>
  <c r="B463" i="18" s="1"/>
  <c r="C463" i="18" a="1"/>
  <c r="C463" i="18" s="1"/>
  <c r="D463" i="18" a="1"/>
  <c r="D463" i="18" s="1"/>
  <c r="A464" i="18" a="1"/>
  <c r="A464" i="18" s="1"/>
  <c r="B464" i="18" a="1"/>
  <c r="B464" i="18" s="1"/>
  <c r="C464" i="18" a="1"/>
  <c r="C464" i="18" s="1"/>
  <c r="D464" i="18" a="1"/>
  <c r="D464" i="18" s="1"/>
  <c r="A465" i="18" a="1"/>
  <c r="A465" i="18" s="1"/>
  <c r="B465" i="18" a="1"/>
  <c r="B465" i="18" s="1"/>
  <c r="C465" i="18" a="1"/>
  <c r="C465" i="18" s="1"/>
  <c r="D465" i="18" a="1"/>
  <c r="D465" i="18" s="1"/>
  <c r="A466" i="18" a="1"/>
  <c r="A466" i="18" s="1"/>
  <c r="B466" i="18" a="1"/>
  <c r="B466" i="18" s="1"/>
  <c r="C466" i="18" a="1"/>
  <c r="C466" i="18" s="1"/>
  <c r="D466" i="18" a="1"/>
  <c r="D466" i="18" s="1"/>
  <c r="A467" i="18" a="1"/>
  <c r="A467" i="18" s="1"/>
  <c r="B467" i="18" a="1"/>
  <c r="B467" i="18" s="1"/>
  <c r="C467" i="18" a="1"/>
  <c r="C467" i="18" s="1"/>
  <c r="D467" i="18" a="1"/>
  <c r="D467" i="18" s="1"/>
  <c r="A468" i="18" a="1"/>
  <c r="A468" i="18" s="1"/>
  <c r="B468" i="18" a="1"/>
  <c r="B468" i="18"/>
  <c r="C468" i="18" a="1"/>
  <c r="C468" i="18" s="1"/>
  <c r="D468" i="18" a="1"/>
  <c r="D468" i="18" s="1"/>
  <c r="A469" i="18" a="1"/>
  <c r="A469" i="18" s="1"/>
  <c r="B469" i="18" a="1"/>
  <c r="B469" i="18"/>
  <c r="C469" i="18" a="1"/>
  <c r="C469" i="18" s="1"/>
  <c r="D469" i="18" a="1"/>
  <c r="D469" i="18" s="1"/>
  <c r="A470" i="18" a="1"/>
  <c r="A470" i="18" s="1"/>
  <c r="B470" i="18" a="1"/>
  <c r="B470" i="18" s="1"/>
  <c r="C470" i="18" a="1"/>
  <c r="C470" i="18" s="1"/>
  <c r="D470" i="18" a="1"/>
  <c r="D470" i="18" s="1"/>
  <c r="A471" i="18" a="1"/>
  <c r="A471" i="18" s="1"/>
  <c r="B471" i="18" a="1"/>
  <c r="B471" i="18" s="1"/>
  <c r="C471" i="18" a="1"/>
  <c r="C471" i="18" s="1"/>
  <c r="D471" i="18" a="1"/>
  <c r="D471" i="18" s="1"/>
  <c r="A472" i="18" a="1"/>
  <c r="A472" i="18" s="1"/>
  <c r="B472" i="18" a="1"/>
  <c r="B472" i="18" s="1"/>
  <c r="C472" i="18" a="1"/>
  <c r="C472" i="18" s="1"/>
  <c r="D472" i="18" a="1"/>
  <c r="D472" i="18" s="1"/>
  <c r="A473" i="18" a="1"/>
  <c r="A473" i="18" s="1"/>
  <c r="B473" i="18" a="1"/>
  <c r="B473" i="18" s="1"/>
  <c r="C473" i="18" a="1"/>
  <c r="C473" i="18" s="1"/>
  <c r="D473" i="18" a="1"/>
  <c r="D473" i="18" s="1"/>
  <c r="A474" i="18" a="1"/>
  <c r="A474" i="18" s="1"/>
  <c r="B474" i="18" a="1"/>
  <c r="B474" i="18" s="1"/>
  <c r="C474" i="18" a="1"/>
  <c r="C474" i="18" s="1"/>
  <c r="D474" i="18" a="1"/>
  <c r="D474" i="18" s="1"/>
  <c r="A475" i="18" a="1"/>
  <c r="A475" i="18" s="1"/>
  <c r="B475" i="18" a="1"/>
  <c r="B475" i="18" s="1"/>
  <c r="C475" i="18" a="1"/>
  <c r="C475" i="18" s="1"/>
  <c r="D475" i="18" a="1"/>
  <c r="D475" i="18" s="1"/>
  <c r="A476" i="18" a="1"/>
  <c r="A476" i="18" s="1"/>
  <c r="B476" i="18" a="1"/>
  <c r="B476" i="18" s="1"/>
  <c r="C476" i="18" a="1"/>
  <c r="C476" i="18" s="1"/>
  <c r="D476" i="18" a="1"/>
  <c r="D476" i="18" s="1"/>
  <c r="A477" i="18" a="1"/>
  <c r="A477" i="18" s="1"/>
  <c r="B477" i="18" a="1"/>
  <c r="B477" i="18" s="1"/>
  <c r="C477" i="18" a="1"/>
  <c r="C477" i="18" s="1"/>
  <c r="D477" i="18" a="1"/>
  <c r="D477" i="18" s="1"/>
  <c r="A478" i="18" a="1"/>
  <c r="A478" i="18" s="1"/>
  <c r="B478" i="18" a="1"/>
  <c r="B478" i="18" s="1"/>
  <c r="C478" i="18" a="1"/>
  <c r="C478" i="18" s="1"/>
  <c r="D478" i="18" a="1"/>
  <c r="D478" i="18" s="1"/>
  <c r="A479" i="18" a="1"/>
  <c r="A479" i="18" s="1"/>
  <c r="B479" i="18" a="1"/>
  <c r="B479" i="18" s="1"/>
  <c r="C479" i="18" a="1"/>
  <c r="C479" i="18" s="1"/>
  <c r="D479" i="18" a="1"/>
  <c r="D479" i="18" s="1"/>
  <c r="A480" i="18" a="1"/>
  <c r="A480" i="18" s="1"/>
  <c r="B480" i="18" a="1"/>
  <c r="B480" i="18" s="1"/>
  <c r="C480" i="18" a="1"/>
  <c r="C480" i="18" s="1"/>
  <c r="D480" i="18" a="1"/>
  <c r="D480" i="18" s="1"/>
  <c r="A481" i="18" a="1"/>
  <c r="A481" i="18" s="1"/>
  <c r="B481" i="18" a="1"/>
  <c r="B481" i="18" s="1"/>
  <c r="C481" i="18" a="1"/>
  <c r="C481" i="18" s="1"/>
  <c r="D481" i="18" a="1"/>
  <c r="D481" i="18" s="1"/>
  <c r="A482" i="18" a="1"/>
  <c r="A482" i="18" s="1"/>
  <c r="B482" i="18" a="1"/>
  <c r="B482" i="18" s="1"/>
  <c r="C482" i="18" a="1"/>
  <c r="C482" i="18" s="1"/>
  <c r="D482" i="18" a="1"/>
  <c r="D482" i="18"/>
  <c r="A483" i="18" a="1"/>
  <c r="A483" i="18" s="1"/>
  <c r="B483" i="18" a="1"/>
  <c r="B483" i="18" s="1"/>
  <c r="C483" i="18" a="1"/>
  <c r="C483" i="18" s="1"/>
  <c r="D483" i="18" a="1"/>
  <c r="D483" i="18" s="1"/>
  <c r="A484" i="18" a="1"/>
  <c r="A484" i="18" s="1"/>
  <c r="B484" i="18" a="1"/>
  <c r="B484" i="18" s="1"/>
  <c r="C484" i="18" a="1"/>
  <c r="C484" i="18" s="1"/>
  <c r="D484" i="18" a="1"/>
  <c r="D484" i="18" s="1"/>
  <c r="A485" i="18" a="1"/>
  <c r="A485" i="18" s="1"/>
  <c r="B485" i="18" a="1"/>
  <c r="B485" i="18" s="1"/>
  <c r="C485" i="18" a="1"/>
  <c r="C485" i="18"/>
  <c r="D485" i="18" a="1"/>
  <c r="D485" i="18" s="1"/>
  <c r="A486" i="18" a="1"/>
  <c r="A486" i="18" s="1"/>
  <c r="B486" i="18" a="1"/>
  <c r="B486" i="18" s="1"/>
  <c r="C486" i="18" a="1"/>
  <c r="C486" i="18" s="1"/>
  <c r="D486" i="18" a="1"/>
  <c r="D486" i="18" s="1"/>
  <c r="A487" i="18" a="1"/>
  <c r="A487" i="18" s="1"/>
  <c r="B487" i="18" a="1"/>
  <c r="B487" i="18" s="1"/>
  <c r="C487" i="18" a="1"/>
  <c r="C487" i="18" s="1"/>
  <c r="D487" i="18" a="1"/>
  <c r="D487" i="18" s="1"/>
  <c r="A488" i="18" a="1"/>
  <c r="A488" i="18" s="1"/>
  <c r="B488" i="18" a="1"/>
  <c r="B488" i="18" s="1"/>
  <c r="C488" i="18" a="1"/>
  <c r="C488" i="18" s="1"/>
  <c r="D488" i="18" a="1"/>
  <c r="D488" i="18" s="1"/>
  <c r="A489" i="18" a="1"/>
  <c r="A489" i="18" s="1"/>
  <c r="B489" i="18" a="1"/>
  <c r="B489" i="18" s="1"/>
  <c r="C489" i="18" a="1"/>
  <c r="C489" i="18" s="1"/>
  <c r="D489" i="18" a="1"/>
  <c r="D489" i="18" s="1"/>
  <c r="A490" i="18" a="1"/>
  <c r="A490" i="18" s="1"/>
  <c r="B490" i="18" a="1"/>
  <c r="B490" i="18"/>
  <c r="C490" i="18" a="1"/>
  <c r="C490" i="18" s="1"/>
  <c r="D490" i="18" a="1"/>
  <c r="D490" i="18" s="1"/>
  <c r="A491" i="18" a="1"/>
  <c r="A491" i="18" s="1"/>
  <c r="B491" i="18" a="1"/>
  <c r="B491" i="18" s="1"/>
  <c r="C491" i="18" a="1"/>
  <c r="C491" i="18" s="1"/>
  <c r="D491" i="18" a="1"/>
  <c r="D491" i="18" s="1"/>
  <c r="A492" i="18" a="1"/>
  <c r="A492" i="18" s="1"/>
  <c r="B492" i="18" a="1"/>
  <c r="B492" i="18" s="1"/>
  <c r="C492" i="18" a="1"/>
  <c r="C492" i="18" s="1"/>
  <c r="D492" i="18" a="1"/>
  <c r="D492" i="18" s="1"/>
  <c r="A493" i="18" a="1"/>
  <c r="A493" i="18" s="1"/>
  <c r="B493" i="18" a="1"/>
  <c r="B493" i="18" s="1"/>
  <c r="C493" i="18" a="1"/>
  <c r="C493" i="18" s="1"/>
  <c r="D493" i="18" a="1"/>
  <c r="D493" i="18" s="1"/>
  <c r="A494" i="18" a="1"/>
  <c r="A494" i="18"/>
  <c r="B494" i="18" a="1"/>
  <c r="B494" i="18" s="1"/>
  <c r="C494" i="18" a="1"/>
  <c r="C494" i="18" s="1"/>
  <c r="D494" i="18" a="1"/>
  <c r="D494" i="18" s="1"/>
  <c r="A495" i="18" a="1"/>
  <c r="A495" i="18" s="1"/>
  <c r="B495" i="18" a="1"/>
  <c r="B495" i="18" s="1"/>
  <c r="C495" i="18" a="1"/>
  <c r="C495" i="18" s="1"/>
  <c r="D495" i="18" a="1"/>
  <c r="D495" i="18" s="1"/>
  <c r="A496" i="18" a="1"/>
  <c r="A496" i="18" s="1"/>
  <c r="B496" i="18" a="1"/>
  <c r="B496" i="18" s="1"/>
  <c r="C496" i="18" a="1"/>
  <c r="C496" i="18" s="1"/>
  <c r="D496" i="18" a="1"/>
  <c r="D496" i="18" s="1"/>
  <c r="A497" i="18" a="1"/>
  <c r="A497" i="18" s="1"/>
  <c r="B497" i="18" a="1"/>
  <c r="B497" i="18" s="1"/>
  <c r="C497" i="18" a="1"/>
  <c r="C497" i="18" s="1"/>
  <c r="D497" i="18" a="1"/>
  <c r="D497" i="18" s="1"/>
  <c r="A498" i="18" a="1"/>
  <c r="A498" i="18" s="1"/>
  <c r="B498" i="18" a="1"/>
  <c r="B498" i="18" s="1"/>
  <c r="C498" i="18" a="1"/>
  <c r="C498" i="18" s="1"/>
  <c r="D498" i="18" a="1"/>
  <c r="D498" i="18" s="1"/>
  <c r="A499" i="18" a="1"/>
  <c r="A499" i="18" s="1"/>
  <c r="B499" i="18" a="1"/>
  <c r="B499" i="18" s="1"/>
  <c r="C499" i="18" a="1"/>
  <c r="C499" i="18" s="1"/>
  <c r="D499" i="18" a="1"/>
  <c r="D499" i="18" s="1"/>
  <c r="A500" i="18" a="1"/>
  <c r="A500" i="18" s="1"/>
  <c r="B500" i="18" a="1"/>
  <c r="B500" i="18" s="1"/>
  <c r="C500" i="18" a="1"/>
  <c r="C500" i="18" s="1"/>
  <c r="D500" i="18" a="1"/>
  <c r="D500" i="18" s="1"/>
  <c r="A501" i="18" a="1"/>
  <c r="A501" i="18" s="1"/>
  <c r="B501" i="18" a="1"/>
  <c r="B501" i="18" s="1"/>
  <c r="C501" i="18" a="1"/>
  <c r="C501" i="18" s="1"/>
  <c r="D501" i="18" a="1"/>
  <c r="D501" i="18" s="1"/>
  <c r="A502" i="18" a="1"/>
  <c r="A502" i="18" s="1"/>
  <c r="B502" i="18" a="1"/>
  <c r="B502" i="18" s="1"/>
  <c r="C502" i="18" a="1"/>
  <c r="C502" i="18" s="1"/>
  <c r="D502" i="18" a="1"/>
  <c r="D502" i="18" s="1"/>
  <c r="A503" i="18" a="1"/>
  <c r="A503" i="18" s="1"/>
  <c r="B503" i="18" a="1"/>
  <c r="B503" i="18" s="1"/>
  <c r="C503" i="18" a="1"/>
  <c r="C503" i="18" s="1"/>
  <c r="D503" i="18" a="1"/>
  <c r="D503" i="18" s="1"/>
  <c r="A504" i="18" a="1"/>
  <c r="A504" i="18" s="1"/>
  <c r="B504" i="18" a="1"/>
  <c r="B504" i="18" s="1"/>
  <c r="C504" i="18" a="1"/>
  <c r="C504" i="18" s="1"/>
  <c r="D504" i="18" a="1"/>
  <c r="D504" i="18"/>
  <c r="A505" i="18" a="1"/>
  <c r="A505" i="18" s="1"/>
  <c r="B505" i="18" a="1"/>
  <c r="B505" i="18" s="1"/>
  <c r="C505" i="18" a="1"/>
  <c r="C505" i="18" s="1"/>
  <c r="D505" i="18" a="1"/>
  <c r="D505" i="18" s="1"/>
  <c r="A506" i="18" a="1"/>
  <c r="A506" i="18" s="1"/>
  <c r="B506" i="18" a="1"/>
  <c r="B506" i="18" s="1"/>
  <c r="C506" i="18" a="1"/>
  <c r="C506" i="18" s="1"/>
  <c r="D506" i="18" a="1"/>
  <c r="D506" i="18" s="1"/>
  <c r="A507" i="18" a="1"/>
  <c r="A507" i="18" s="1"/>
  <c r="B507" i="18" a="1"/>
  <c r="B507" i="18" s="1"/>
  <c r="C507" i="18" a="1"/>
  <c r="C507" i="18" s="1"/>
  <c r="D507" i="18" a="1"/>
  <c r="D507" i="18" s="1"/>
  <c r="A508" i="18" a="1"/>
  <c r="A508" i="18" s="1"/>
  <c r="B508" i="18" a="1"/>
  <c r="B508" i="18" s="1"/>
  <c r="C508" i="18" a="1"/>
  <c r="C508" i="18" s="1"/>
  <c r="D508" i="18" a="1"/>
  <c r="D508" i="18"/>
  <c r="A509" i="18" a="1"/>
  <c r="A509" i="18" s="1"/>
  <c r="B509" i="18" a="1"/>
  <c r="B509" i="18" s="1"/>
  <c r="C509" i="18" a="1"/>
  <c r="C509" i="18" s="1"/>
  <c r="D509" i="18" a="1"/>
  <c r="D509" i="18" s="1"/>
  <c r="A510" i="18" a="1"/>
  <c r="A510" i="18" s="1"/>
  <c r="B510" i="18" a="1"/>
  <c r="B510" i="18"/>
  <c r="C510" i="18" a="1"/>
  <c r="C510" i="18" s="1"/>
  <c r="D510" i="18" a="1"/>
  <c r="D510" i="18" s="1"/>
  <c r="A511" i="18" a="1"/>
  <c r="A511" i="18"/>
  <c r="B511" i="18" a="1"/>
  <c r="B511" i="18" s="1"/>
  <c r="C511" i="18" a="1"/>
  <c r="C511" i="18" s="1"/>
  <c r="D511" i="18" a="1"/>
  <c r="D511" i="18" s="1"/>
  <c r="A512" i="18" a="1"/>
  <c r="A512" i="18"/>
  <c r="B512" i="18" a="1"/>
  <c r="B512" i="18" s="1"/>
  <c r="C512" i="18" a="1"/>
  <c r="C512" i="18" s="1"/>
  <c r="D512" i="18" a="1"/>
  <c r="D512" i="18" s="1"/>
  <c r="A513" i="18" a="1"/>
  <c r="A513" i="18"/>
  <c r="B513" i="18" a="1"/>
  <c r="B513" i="18" s="1"/>
  <c r="C513" i="18" a="1"/>
  <c r="C513" i="18" s="1"/>
  <c r="D513" i="18" a="1"/>
  <c r="D513" i="18" s="1"/>
  <c r="A514" i="18" a="1"/>
  <c r="A514" i="18" s="1"/>
  <c r="B514" i="18" a="1"/>
  <c r="B514" i="18" s="1"/>
  <c r="C514" i="18" a="1"/>
  <c r="C514" i="18" s="1"/>
  <c r="D514" i="18" a="1"/>
  <c r="D514" i="18" s="1"/>
  <c r="A515" i="18" a="1"/>
  <c r="A515" i="18" s="1"/>
  <c r="B515" i="18" a="1"/>
  <c r="B515" i="18" s="1"/>
  <c r="C515" i="18" a="1"/>
  <c r="C515" i="18" s="1"/>
  <c r="D515" i="18" a="1"/>
  <c r="D515" i="18"/>
  <c r="A516" i="18" a="1"/>
  <c r="A516" i="18" s="1"/>
  <c r="B516" i="18" a="1"/>
  <c r="B516" i="18" s="1"/>
  <c r="C516" i="18" a="1"/>
  <c r="C516" i="18" s="1"/>
  <c r="D516" i="18" a="1"/>
  <c r="D516" i="18" s="1"/>
  <c r="A517" i="18" a="1"/>
  <c r="A517" i="18" s="1"/>
  <c r="B517" i="18" a="1"/>
  <c r="B517" i="18" s="1"/>
  <c r="C517" i="18" a="1"/>
  <c r="C517" i="18" s="1"/>
  <c r="D517" i="18" a="1"/>
  <c r="D517" i="18" s="1"/>
  <c r="A518" i="18" a="1"/>
  <c r="A518" i="18" s="1"/>
  <c r="B518" i="18" a="1"/>
  <c r="B518" i="18" s="1"/>
  <c r="C518" i="18" a="1"/>
  <c r="C518" i="18" s="1"/>
  <c r="D518" i="18" a="1"/>
  <c r="D518" i="18" s="1"/>
  <c r="A519" i="18" a="1"/>
  <c r="A519" i="18" s="1"/>
  <c r="B519" i="18" a="1"/>
  <c r="B519" i="18" s="1"/>
  <c r="C519" i="18" a="1"/>
  <c r="C519" i="18" s="1"/>
  <c r="D519" i="18" a="1"/>
  <c r="D519" i="18" s="1"/>
  <c r="A520" i="18" a="1"/>
  <c r="A520" i="18" s="1"/>
  <c r="B520" i="18" a="1"/>
  <c r="B520" i="18" s="1"/>
  <c r="C520" i="18" a="1"/>
  <c r="C520" i="18"/>
  <c r="D520" i="18" a="1"/>
  <c r="D520" i="18" s="1"/>
  <c r="A521" i="18" a="1"/>
  <c r="A521" i="18" s="1"/>
  <c r="B521" i="18" a="1"/>
  <c r="B521" i="18" s="1"/>
  <c r="C521" i="18" a="1"/>
  <c r="C521" i="18" s="1"/>
  <c r="D521" i="18" a="1"/>
  <c r="D521" i="18" s="1"/>
  <c r="A522" i="18" a="1"/>
  <c r="A522" i="18" s="1"/>
  <c r="B522" i="18" a="1"/>
  <c r="B522" i="18" s="1"/>
  <c r="C522" i="18" a="1"/>
  <c r="C522" i="18" s="1"/>
  <c r="D522" i="18" a="1"/>
  <c r="D522" i="18" s="1"/>
  <c r="A523" i="18" a="1"/>
  <c r="A523" i="18" s="1"/>
  <c r="B523" i="18" a="1"/>
  <c r="B523" i="18" s="1"/>
  <c r="C523" i="18" a="1"/>
  <c r="C523" i="18" s="1"/>
  <c r="D523" i="18" a="1"/>
  <c r="D523" i="18" s="1"/>
  <c r="A524" i="18" a="1"/>
  <c r="A524" i="18" s="1"/>
  <c r="B524" i="18" a="1"/>
  <c r="B524" i="18" s="1"/>
  <c r="C524" i="18" a="1"/>
  <c r="C524" i="18" s="1"/>
  <c r="D524" i="18" a="1"/>
  <c r="D524" i="18" s="1"/>
  <c r="A525" i="18" a="1"/>
  <c r="A525" i="18" s="1"/>
  <c r="B525" i="18" a="1"/>
  <c r="B525" i="18" s="1"/>
  <c r="C525" i="18" a="1"/>
  <c r="C525" i="18" s="1"/>
  <c r="D525" i="18" a="1"/>
  <c r="D525" i="18" s="1"/>
  <c r="A526" i="18" a="1"/>
  <c r="A526" i="18" s="1"/>
  <c r="B526" i="18" a="1"/>
  <c r="B526" i="18"/>
  <c r="C526" i="18" a="1"/>
  <c r="C526" i="18" s="1"/>
  <c r="D526" i="18" a="1"/>
  <c r="D526" i="18" s="1"/>
  <c r="A527" i="18" a="1"/>
  <c r="A527" i="18" s="1"/>
  <c r="B527" i="18" a="1"/>
  <c r="B527" i="18" s="1"/>
  <c r="C527" i="18" a="1"/>
  <c r="C527" i="18" s="1"/>
  <c r="D527" i="18" a="1"/>
  <c r="D527" i="18" s="1"/>
  <c r="A528" i="18" a="1"/>
  <c r="A528" i="18" s="1"/>
  <c r="B528" i="18" a="1"/>
  <c r="B528" i="18" s="1"/>
  <c r="C528" i="18" a="1"/>
  <c r="C528" i="18" s="1"/>
  <c r="D528" i="18" a="1"/>
  <c r="D528" i="18" s="1"/>
  <c r="A529" i="18" a="1"/>
  <c r="A529" i="18" s="1"/>
  <c r="B529" i="18" a="1"/>
  <c r="B529" i="18"/>
  <c r="C529" i="18" a="1"/>
  <c r="C529" i="18" s="1"/>
  <c r="D529" i="18" a="1"/>
  <c r="D529" i="18" s="1"/>
  <c r="A530" i="18" a="1"/>
  <c r="A530" i="18" s="1"/>
  <c r="B530" i="18" a="1"/>
  <c r="B530" i="18" s="1"/>
  <c r="C530" i="18" a="1"/>
  <c r="C530" i="18" s="1"/>
  <c r="D530" i="18" a="1"/>
  <c r="D530" i="18" s="1"/>
  <c r="A531" i="18" a="1"/>
  <c r="A531" i="18" s="1"/>
  <c r="B531" i="18" a="1"/>
  <c r="B531" i="18" s="1"/>
  <c r="C531" i="18" a="1"/>
  <c r="C531" i="18" s="1"/>
  <c r="D531" i="18" a="1"/>
  <c r="D531" i="18" s="1"/>
  <c r="A532" i="18" a="1"/>
  <c r="A532" i="18" s="1"/>
  <c r="B532" i="18" a="1"/>
  <c r="B532" i="18" s="1"/>
  <c r="C532" i="18" a="1"/>
  <c r="C532" i="18" s="1"/>
  <c r="D532" i="18" a="1"/>
  <c r="D532" i="18" s="1"/>
  <c r="A533" i="18" a="1"/>
  <c r="A533" i="18" s="1"/>
  <c r="B533" i="18" a="1"/>
  <c r="B533" i="18" s="1"/>
  <c r="C533" i="18" a="1"/>
  <c r="C533" i="18" s="1"/>
  <c r="D533" i="18" a="1"/>
  <c r="D533" i="18" s="1"/>
  <c r="A534" i="18" a="1"/>
  <c r="A534" i="18" s="1"/>
  <c r="B534" i="18" a="1"/>
  <c r="B534" i="18" s="1"/>
  <c r="C534" i="18" a="1"/>
  <c r="C534" i="18" s="1"/>
  <c r="D534" i="18" a="1"/>
  <c r="D534" i="18" s="1"/>
  <c r="A535" i="18" a="1"/>
  <c r="A535" i="18" s="1"/>
  <c r="B535" i="18" a="1"/>
  <c r="B535" i="18"/>
  <c r="C535" i="18" a="1"/>
  <c r="C535" i="18" s="1"/>
  <c r="D535" i="18" a="1"/>
  <c r="D535" i="18" s="1"/>
  <c r="A536" i="18" a="1"/>
  <c r="A536" i="18" s="1"/>
  <c r="B536" i="18" a="1"/>
  <c r="B536" i="18" s="1"/>
  <c r="C536" i="18" a="1"/>
  <c r="C536" i="18" s="1"/>
  <c r="D536" i="18" a="1"/>
  <c r="D536" i="18" s="1"/>
  <c r="A537" i="18" a="1"/>
  <c r="A537" i="18" s="1"/>
  <c r="B537" i="18" a="1"/>
  <c r="B537" i="18" s="1"/>
  <c r="C537" i="18" a="1"/>
  <c r="C537" i="18" s="1"/>
  <c r="D537" i="18" a="1"/>
  <c r="D537" i="18" s="1"/>
  <c r="A538" i="18" a="1"/>
  <c r="A538" i="18" s="1"/>
  <c r="B538" i="18" a="1"/>
  <c r="B538" i="18" s="1"/>
  <c r="C538" i="18" a="1"/>
  <c r="C538" i="18" s="1"/>
  <c r="D538" i="18" a="1"/>
  <c r="D538" i="18" s="1"/>
  <c r="A539" i="18" a="1"/>
  <c r="A539" i="18" s="1"/>
  <c r="B539" i="18" a="1"/>
  <c r="B539" i="18" s="1"/>
  <c r="C539" i="18" a="1"/>
  <c r="C539" i="18" s="1"/>
  <c r="D539" i="18" a="1"/>
  <c r="D539" i="18" s="1"/>
  <c r="A540" i="18" a="1"/>
  <c r="A540" i="18" s="1"/>
  <c r="B540" i="18" a="1"/>
  <c r="B540" i="18" s="1"/>
  <c r="C540" i="18" a="1"/>
  <c r="C540" i="18" s="1"/>
  <c r="D540" i="18" a="1"/>
  <c r="D540" i="18" s="1"/>
  <c r="A541" i="18" a="1"/>
  <c r="A541" i="18" s="1"/>
  <c r="B541" i="18" a="1"/>
  <c r="B541" i="18"/>
  <c r="C541" i="18" a="1"/>
  <c r="C541" i="18"/>
  <c r="D541" i="18" a="1"/>
  <c r="D541" i="18" s="1"/>
  <c r="A542" i="18" a="1"/>
  <c r="A542" i="18" s="1"/>
  <c r="B542" i="18" a="1"/>
  <c r="B542" i="18" s="1"/>
  <c r="C542" i="18" a="1"/>
  <c r="C542" i="18" s="1"/>
  <c r="D542" i="18" a="1"/>
  <c r="D542" i="18" s="1"/>
  <c r="A543" i="18" a="1"/>
  <c r="A543" i="18" s="1"/>
  <c r="B543" i="18" a="1"/>
  <c r="B543" i="18" s="1"/>
  <c r="C543" i="18" a="1"/>
  <c r="C543" i="18" s="1"/>
  <c r="D543" i="18" a="1"/>
  <c r="D543" i="18" s="1"/>
  <c r="A544" i="18" a="1"/>
  <c r="A544" i="18" s="1"/>
  <c r="B544" i="18" a="1"/>
  <c r="B544" i="18" s="1"/>
  <c r="C544" i="18" a="1"/>
  <c r="C544" i="18" s="1"/>
  <c r="D544" i="18" a="1"/>
  <c r="D544" i="18"/>
  <c r="A545" i="18" a="1"/>
  <c r="A545" i="18"/>
  <c r="B545" i="18" a="1"/>
  <c r="B545" i="18" s="1"/>
  <c r="C545" i="18" a="1"/>
  <c r="C545" i="18" s="1"/>
  <c r="D545" i="18" a="1"/>
  <c r="D545" i="18"/>
  <c r="A546" i="18" a="1"/>
  <c r="A546" i="18" s="1"/>
  <c r="B546" i="18" a="1"/>
  <c r="B546" i="18" s="1"/>
  <c r="C546" i="18" a="1"/>
  <c r="C546" i="18" s="1"/>
  <c r="D546" i="18" a="1"/>
  <c r="D546" i="18" s="1"/>
  <c r="A547" i="18" a="1"/>
  <c r="A547" i="18" s="1"/>
  <c r="B547" i="18" a="1"/>
  <c r="B547" i="18" s="1"/>
  <c r="C547" i="18" a="1"/>
  <c r="C547" i="18" s="1"/>
  <c r="D547" i="18" a="1"/>
  <c r="D547" i="18" s="1"/>
  <c r="A548" i="18" a="1"/>
  <c r="A548" i="18"/>
  <c r="B548" i="18" a="1"/>
  <c r="B548" i="18" s="1"/>
  <c r="C548" i="18" a="1"/>
  <c r="C548" i="18" s="1"/>
  <c r="D548" i="18" a="1"/>
  <c r="D548" i="18" s="1"/>
  <c r="A549" i="18" a="1"/>
  <c r="A549" i="18" s="1"/>
  <c r="B549" i="18" a="1"/>
  <c r="B549" i="18" s="1"/>
  <c r="C549" i="18" a="1"/>
  <c r="C549" i="18"/>
  <c r="D549" i="18" a="1"/>
  <c r="D549" i="18" s="1"/>
  <c r="A550" i="18" a="1"/>
  <c r="A550" i="18" s="1"/>
  <c r="B550" i="18" a="1"/>
  <c r="B550" i="18"/>
  <c r="C550" i="18" a="1"/>
  <c r="C550" i="18"/>
  <c r="D550" i="18" a="1"/>
  <c r="D550" i="18" s="1"/>
  <c r="A551" i="18" a="1"/>
  <c r="A551" i="18" s="1"/>
  <c r="B551" i="18" a="1"/>
  <c r="B551" i="18" s="1"/>
  <c r="C551" i="18" a="1"/>
  <c r="C551" i="18" s="1"/>
  <c r="D551" i="18" a="1"/>
  <c r="D551" i="18" s="1"/>
  <c r="A552" i="18" a="1"/>
  <c r="A552" i="18" s="1"/>
  <c r="B552" i="18" a="1"/>
  <c r="B552" i="18" s="1"/>
  <c r="C552" i="18" a="1"/>
  <c r="C552" i="18" s="1"/>
  <c r="D552" i="18" a="1"/>
  <c r="D552" i="18" s="1"/>
  <c r="A553" i="18" a="1"/>
  <c r="A553" i="18" s="1"/>
  <c r="B553" i="18" a="1"/>
  <c r="B553" i="18" s="1"/>
  <c r="C553" i="18" a="1"/>
  <c r="C553" i="18" s="1"/>
  <c r="D553" i="18" a="1"/>
  <c r="D553" i="18" s="1"/>
  <c r="A554" i="18" a="1"/>
  <c r="A554" i="18" s="1"/>
  <c r="B554" i="18" a="1"/>
  <c r="B554" i="18" s="1"/>
  <c r="C554" i="18" a="1"/>
  <c r="C554" i="18" s="1"/>
  <c r="D554" i="18" a="1"/>
  <c r="D554" i="18" s="1"/>
  <c r="A555" i="18" a="1"/>
  <c r="A555" i="18" s="1"/>
  <c r="B555" i="18" a="1"/>
  <c r="B555" i="18" s="1"/>
  <c r="C555" i="18" a="1"/>
  <c r="C555" i="18" s="1"/>
  <c r="D555" i="18" a="1"/>
  <c r="D555" i="18" s="1"/>
  <c r="A556" i="18" a="1"/>
  <c r="A556" i="18" s="1"/>
  <c r="B556" i="18" a="1"/>
  <c r="B556" i="18" s="1"/>
  <c r="C556" i="18" a="1"/>
  <c r="C556" i="18" s="1"/>
  <c r="D556" i="18" a="1"/>
  <c r="D556" i="18" s="1"/>
  <c r="A557" i="18" a="1"/>
  <c r="A557" i="18" s="1"/>
  <c r="B557" i="18" a="1"/>
  <c r="B557" i="18" s="1"/>
  <c r="C557" i="18" a="1"/>
  <c r="C557" i="18" s="1"/>
  <c r="D557" i="18" a="1"/>
  <c r="D557" i="18" s="1"/>
  <c r="A558" i="18" a="1"/>
  <c r="A558" i="18" s="1"/>
  <c r="B558" i="18" a="1"/>
  <c r="B558" i="18" s="1"/>
  <c r="C558" i="18" a="1"/>
  <c r="C558" i="18" s="1"/>
  <c r="D558" i="18" a="1"/>
  <c r="D558" i="18" s="1"/>
  <c r="A559" i="18" a="1"/>
  <c r="A559" i="18" s="1"/>
  <c r="B559" i="18" a="1"/>
  <c r="B559" i="18" s="1"/>
  <c r="C559" i="18" a="1"/>
  <c r="C559" i="18"/>
  <c r="D559" i="18" a="1"/>
  <c r="D559" i="18" s="1"/>
  <c r="A560" i="18" a="1"/>
  <c r="A560" i="18" s="1"/>
  <c r="B560" i="18" a="1"/>
  <c r="B560" i="18" s="1"/>
  <c r="C560" i="18" a="1"/>
  <c r="C560" i="18" s="1"/>
  <c r="D560" i="18" a="1"/>
  <c r="D560" i="18" s="1"/>
  <c r="A561" i="18" a="1"/>
  <c r="A561" i="18" s="1"/>
  <c r="B561" i="18" a="1"/>
  <c r="B561" i="18" s="1"/>
  <c r="C561" i="18" a="1"/>
  <c r="C561" i="18" s="1"/>
  <c r="D561" i="18" a="1"/>
  <c r="D561" i="18" s="1"/>
  <c r="A562" i="18" a="1"/>
  <c r="A562" i="18" s="1"/>
  <c r="B562" i="18" a="1"/>
  <c r="B562" i="18" s="1"/>
  <c r="C562" i="18" a="1"/>
  <c r="C562" i="18" s="1"/>
  <c r="D562" i="18" a="1"/>
  <c r="D562" i="18" s="1"/>
  <c r="A563" i="18" a="1"/>
  <c r="A563" i="18" s="1"/>
  <c r="B563" i="18" a="1"/>
  <c r="B563" i="18" s="1"/>
  <c r="C563" i="18" a="1"/>
  <c r="C563" i="18" s="1"/>
  <c r="D563" i="18" a="1"/>
  <c r="D563" i="18" s="1"/>
  <c r="A564" i="18" a="1"/>
  <c r="A564" i="18" s="1"/>
  <c r="B564" i="18" a="1"/>
  <c r="B564" i="18" s="1"/>
  <c r="C564" i="18" a="1"/>
  <c r="C564" i="18" s="1"/>
  <c r="D564" i="18" a="1"/>
  <c r="D564" i="18" s="1"/>
  <c r="A565" i="18" a="1"/>
  <c r="A565" i="18" s="1"/>
  <c r="B565" i="18" a="1"/>
  <c r="B565" i="18" s="1"/>
  <c r="C565" i="18" a="1"/>
  <c r="C565" i="18" s="1"/>
  <c r="D565" i="18" a="1"/>
  <c r="D565" i="18" s="1"/>
  <c r="A566" i="18" a="1"/>
  <c r="A566" i="18" s="1"/>
  <c r="B566" i="18" a="1"/>
  <c r="B566" i="18" s="1"/>
  <c r="C566" i="18" a="1"/>
  <c r="C566" i="18" s="1"/>
  <c r="D566" i="18" a="1"/>
  <c r="D566" i="18" s="1"/>
  <c r="A567" i="18" a="1"/>
  <c r="A567" i="18" s="1"/>
  <c r="B567" i="18" a="1"/>
  <c r="B567" i="18" s="1"/>
  <c r="C567" i="18" a="1"/>
  <c r="C567" i="18" s="1"/>
  <c r="D567" i="18" a="1"/>
  <c r="D567" i="18" s="1"/>
  <c r="A568" i="18" a="1"/>
  <c r="A568" i="18" s="1"/>
  <c r="B568" i="18" a="1"/>
  <c r="B568" i="18" s="1"/>
  <c r="C568" i="18" a="1"/>
  <c r="C568" i="18" s="1"/>
  <c r="D568" i="18" a="1"/>
  <c r="D568" i="18" s="1"/>
  <c r="A569" i="18" a="1"/>
  <c r="A569" i="18" s="1"/>
  <c r="B569" i="18" a="1"/>
  <c r="B569" i="18" s="1"/>
  <c r="C569" i="18" a="1"/>
  <c r="C569" i="18" s="1"/>
  <c r="D569" i="18" a="1"/>
  <c r="D569" i="18" s="1"/>
  <c r="A570" i="18" a="1"/>
  <c r="A570" i="18" s="1"/>
  <c r="B570" i="18" a="1"/>
  <c r="B570" i="18" s="1"/>
  <c r="C570" i="18" a="1"/>
  <c r="C570" i="18" s="1"/>
  <c r="D570" i="18" a="1"/>
  <c r="D570" i="18" s="1"/>
  <c r="A571" i="18" a="1"/>
  <c r="A571" i="18" s="1"/>
  <c r="B571" i="18" a="1"/>
  <c r="B571" i="18" s="1"/>
  <c r="C571" i="18" a="1"/>
  <c r="C571" i="18" s="1"/>
  <c r="D571" i="18" a="1"/>
  <c r="D571" i="18"/>
  <c r="A572" i="18" a="1"/>
  <c r="A572" i="18" s="1"/>
  <c r="B572" i="18" a="1"/>
  <c r="B572" i="18" s="1"/>
  <c r="C572" i="18" a="1"/>
  <c r="C572" i="18" s="1"/>
  <c r="D572" i="18" a="1"/>
  <c r="D572" i="18" s="1"/>
  <c r="A573" i="18" a="1"/>
  <c r="A573" i="18"/>
  <c r="B573" i="18" a="1"/>
  <c r="B573" i="18" s="1"/>
  <c r="C573" i="18" a="1"/>
  <c r="C573" i="18" s="1"/>
  <c r="D573" i="18" a="1"/>
  <c r="D573" i="18" s="1"/>
  <c r="A574" i="18" a="1"/>
  <c r="A574" i="18" s="1"/>
  <c r="B574" i="18" a="1"/>
  <c r="B574" i="18" s="1"/>
  <c r="C574" i="18" a="1"/>
  <c r="C574" i="18" s="1"/>
  <c r="D574" i="18" a="1"/>
  <c r="D574" i="18" s="1"/>
  <c r="A575" i="18" a="1"/>
  <c r="A575" i="18" s="1"/>
  <c r="B575" i="18" a="1"/>
  <c r="B575" i="18" s="1"/>
  <c r="C575" i="18" a="1"/>
  <c r="C575" i="18" s="1"/>
  <c r="D575" i="18" a="1"/>
  <c r="D575" i="18" s="1"/>
  <c r="A576" i="18" a="1"/>
  <c r="A576" i="18" s="1"/>
  <c r="B576" i="18" a="1"/>
  <c r="B576" i="18" s="1"/>
  <c r="C576" i="18" a="1"/>
  <c r="C576" i="18" s="1"/>
  <c r="D576" i="18" a="1"/>
  <c r="D576" i="18" s="1"/>
  <c r="A577" i="18" a="1"/>
  <c r="A577" i="18" s="1"/>
  <c r="B577" i="18" a="1"/>
  <c r="B577" i="18" s="1"/>
  <c r="C577" i="18" a="1"/>
  <c r="C577" i="18" s="1"/>
  <c r="D577" i="18" a="1"/>
  <c r="D577" i="18" s="1"/>
  <c r="A578" i="18" a="1"/>
  <c r="A578" i="18" s="1"/>
  <c r="B578" i="18" a="1"/>
  <c r="B578" i="18" s="1"/>
  <c r="C578" i="18" a="1"/>
  <c r="C578" i="18"/>
  <c r="D578" i="18" a="1"/>
  <c r="D578" i="18" s="1"/>
  <c r="A579" i="18" a="1"/>
  <c r="A579" i="18" s="1"/>
  <c r="B579" i="18" a="1"/>
  <c r="B579" i="18" s="1"/>
  <c r="C579" i="18" a="1"/>
  <c r="C579" i="18"/>
  <c r="D579" i="18" a="1"/>
  <c r="D579" i="18" s="1"/>
  <c r="A580" i="18" a="1"/>
  <c r="A580" i="18" s="1"/>
  <c r="B580" i="18" a="1"/>
  <c r="B580" i="18" s="1"/>
  <c r="C580" i="18" a="1"/>
  <c r="C580" i="18" s="1"/>
  <c r="D580" i="18" a="1"/>
  <c r="D580" i="18" s="1"/>
  <c r="A581" i="18" a="1"/>
  <c r="A581" i="18" s="1"/>
  <c r="B581" i="18" a="1"/>
  <c r="B581" i="18" s="1"/>
  <c r="C581" i="18" a="1"/>
  <c r="C581" i="18" s="1"/>
  <c r="D581" i="18" a="1"/>
  <c r="D581" i="18" s="1"/>
  <c r="A582" i="18" a="1"/>
  <c r="A582" i="18" s="1"/>
  <c r="B582" i="18" a="1"/>
  <c r="B582" i="18"/>
  <c r="C582" i="18" a="1"/>
  <c r="C582" i="18" s="1"/>
  <c r="D582" i="18" a="1"/>
  <c r="D582" i="18" s="1"/>
  <c r="A583" i="18" a="1"/>
  <c r="A583" i="18" s="1"/>
  <c r="B583" i="18" a="1"/>
  <c r="B583" i="18" s="1"/>
  <c r="C583" i="18" a="1"/>
  <c r="C583" i="18" s="1"/>
  <c r="D583" i="18" a="1"/>
  <c r="D583" i="18" s="1"/>
  <c r="A584" i="18" a="1"/>
  <c r="A584" i="18" s="1"/>
  <c r="B584" i="18" a="1"/>
  <c r="B584" i="18" s="1"/>
  <c r="C584" i="18" a="1"/>
  <c r="C584" i="18" s="1"/>
  <c r="D584" i="18" a="1"/>
  <c r="D584" i="18"/>
  <c r="A585" i="18" a="1"/>
  <c r="A585" i="18" s="1"/>
  <c r="B585" i="18" a="1"/>
  <c r="B585" i="18" s="1"/>
  <c r="C585" i="18" a="1"/>
  <c r="C585" i="18" s="1"/>
  <c r="D585" i="18" a="1"/>
  <c r="D585" i="18" s="1"/>
  <c r="A586" i="18" a="1"/>
  <c r="A586" i="18" s="1"/>
  <c r="B586" i="18" a="1"/>
  <c r="B586" i="18" s="1"/>
  <c r="C586" i="18" a="1"/>
  <c r="C586" i="18" s="1"/>
  <c r="D586" i="18" a="1"/>
  <c r="D586" i="18" s="1"/>
  <c r="A587" i="18" a="1"/>
  <c r="A587" i="18" s="1"/>
  <c r="B587" i="18" a="1"/>
  <c r="B587" i="18" s="1"/>
  <c r="C587" i="18" a="1"/>
  <c r="C587" i="18" s="1"/>
  <c r="D587" i="18" a="1"/>
  <c r="D587" i="18" s="1"/>
  <c r="A588" i="18" a="1"/>
  <c r="A588" i="18" s="1"/>
  <c r="B588" i="18" a="1"/>
  <c r="B588" i="18" s="1"/>
  <c r="C588" i="18" a="1"/>
  <c r="C588" i="18" s="1"/>
  <c r="D588" i="18" a="1"/>
  <c r="D588" i="18" s="1"/>
  <c r="A589" i="18" a="1"/>
  <c r="A589" i="18" s="1"/>
  <c r="B589" i="18" a="1"/>
  <c r="B589" i="18"/>
  <c r="C589" i="18" a="1"/>
  <c r="C589" i="18" s="1"/>
  <c r="D589" i="18" a="1"/>
  <c r="D589" i="18" s="1"/>
  <c r="A590" i="18" a="1"/>
  <c r="A590" i="18" s="1"/>
  <c r="B590" i="18" a="1"/>
  <c r="B590" i="18" s="1"/>
  <c r="C590" i="18" a="1"/>
  <c r="C590" i="18" s="1"/>
  <c r="D590" i="18" a="1"/>
  <c r="D590" i="18" s="1"/>
  <c r="A591" i="18" a="1"/>
  <c r="A591" i="18" s="1"/>
  <c r="B591" i="18" a="1"/>
  <c r="B591" i="18" s="1"/>
  <c r="C591" i="18" a="1"/>
  <c r="C591" i="18" s="1"/>
  <c r="D591" i="18" a="1"/>
  <c r="D591" i="18" s="1"/>
  <c r="A592" i="18" a="1"/>
  <c r="A592" i="18" s="1"/>
  <c r="B592" i="18" a="1"/>
  <c r="B592" i="18" s="1"/>
  <c r="C592" i="18" a="1"/>
  <c r="C592" i="18" s="1"/>
  <c r="D592" i="18" a="1"/>
  <c r="D592" i="18" s="1"/>
  <c r="A593" i="18" a="1"/>
  <c r="A593" i="18" s="1"/>
  <c r="B593" i="18" a="1"/>
  <c r="B593" i="18" s="1"/>
  <c r="C593" i="18" a="1"/>
  <c r="C593" i="18"/>
  <c r="D593" i="18" a="1"/>
  <c r="D593" i="18" s="1"/>
  <c r="A594" i="18" a="1"/>
  <c r="A594" i="18" s="1"/>
  <c r="B594" i="18" a="1"/>
  <c r="B594" i="18" s="1"/>
  <c r="C594" i="18" a="1"/>
  <c r="C594" i="18" s="1"/>
  <c r="D594" i="18" a="1"/>
  <c r="D594" i="18" s="1"/>
  <c r="A595" i="18" a="1"/>
  <c r="A595" i="18" s="1"/>
  <c r="B595" i="18" a="1"/>
  <c r="B595" i="18" s="1"/>
  <c r="C595" i="18" a="1"/>
  <c r="C595" i="18" s="1"/>
  <c r="D595" i="18" a="1"/>
  <c r="D595" i="18" s="1"/>
  <c r="A596" i="18" a="1"/>
  <c r="A596" i="18" s="1"/>
  <c r="B596" i="18" a="1"/>
  <c r="B596" i="18" s="1"/>
  <c r="C596" i="18" a="1"/>
  <c r="C596" i="18" s="1"/>
  <c r="D596" i="18" a="1"/>
  <c r="D596" i="18" s="1"/>
  <c r="A597" i="18" a="1"/>
  <c r="A597" i="18" s="1"/>
  <c r="B597" i="18" a="1"/>
  <c r="B597" i="18" s="1"/>
  <c r="C597" i="18" a="1"/>
  <c r="C597" i="18" s="1"/>
  <c r="D597" i="18" a="1"/>
  <c r="D597" i="18" s="1"/>
  <c r="A598" i="18" a="1"/>
  <c r="A598" i="18" s="1"/>
  <c r="B598" i="18" a="1"/>
  <c r="B598" i="18" s="1"/>
  <c r="C598" i="18" a="1"/>
  <c r="C598" i="18" s="1"/>
  <c r="D598" i="18" a="1"/>
  <c r="D598" i="18" s="1"/>
  <c r="A599" i="18" a="1"/>
  <c r="A599" i="18" s="1"/>
  <c r="B599" i="18" a="1"/>
  <c r="B599" i="18" s="1"/>
  <c r="C599" i="18" a="1"/>
  <c r="C599" i="18" s="1"/>
  <c r="D599" i="18" a="1"/>
  <c r="D599" i="18" s="1"/>
  <c r="A600" i="18" a="1"/>
  <c r="A600" i="18" s="1"/>
  <c r="B600" i="18" a="1"/>
  <c r="B600" i="18" s="1"/>
  <c r="C600" i="18" a="1"/>
  <c r="C600" i="18" s="1"/>
  <c r="D600" i="18" a="1"/>
  <c r="D600" i="18" s="1"/>
  <c r="A601" i="18" a="1"/>
  <c r="A601" i="18" s="1"/>
  <c r="B601" i="18" a="1"/>
  <c r="B601" i="18" s="1"/>
  <c r="C601" i="18" a="1"/>
  <c r="C601" i="18"/>
  <c r="D601" i="18" a="1"/>
  <c r="D601" i="18" s="1"/>
  <c r="A602" i="18" a="1"/>
  <c r="A602" i="18" s="1"/>
  <c r="B602" i="18" a="1"/>
  <c r="B602" i="18" s="1"/>
  <c r="C602" i="18" a="1"/>
  <c r="C602" i="18" s="1"/>
  <c r="D602" i="18" a="1"/>
  <c r="D602" i="18" s="1"/>
  <c r="A603" i="18" a="1"/>
  <c r="A603" i="18" s="1"/>
  <c r="B603" i="18" a="1"/>
  <c r="B603" i="18" s="1"/>
  <c r="C603" i="18" a="1"/>
  <c r="C603" i="18"/>
  <c r="D603" i="18" a="1"/>
  <c r="D603" i="18" s="1"/>
  <c r="A604" i="18" a="1"/>
  <c r="A604" i="18" s="1"/>
  <c r="B604" i="18" a="1"/>
  <c r="B604" i="18" s="1"/>
  <c r="C604" i="18" a="1"/>
  <c r="C604" i="18" s="1"/>
  <c r="D604" i="18" a="1"/>
  <c r="D604" i="18" s="1"/>
  <c r="A605" i="18" a="1"/>
  <c r="A605" i="18" s="1"/>
  <c r="B605" i="18" a="1"/>
  <c r="B605" i="18" s="1"/>
  <c r="C605" i="18" a="1"/>
  <c r="C605" i="18" s="1"/>
  <c r="D605" i="18" a="1"/>
  <c r="D605" i="18" s="1"/>
  <c r="A606" i="18" a="1"/>
  <c r="A606" i="18"/>
  <c r="B606" i="18" a="1"/>
  <c r="B606" i="18"/>
  <c r="C606" i="18" a="1"/>
  <c r="C606" i="18" s="1"/>
  <c r="D606" i="18" a="1"/>
  <c r="D606" i="18" s="1"/>
  <c r="A607" i="18" a="1"/>
  <c r="A607" i="18"/>
  <c r="B607" i="18" a="1"/>
  <c r="B607" i="18"/>
  <c r="C607" i="18" a="1"/>
  <c r="C607" i="18" s="1"/>
  <c r="D607" i="18" a="1"/>
  <c r="D607" i="18" s="1"/>
  <c r="A608" i="18" a="1"/>
  <c r="A608" i="18" s="1"/>
  <c r="B608" i="18" a="1"/>
  <c r="B608" i="18" s="1"/>
  <c r="C608" i="18" a="1"/>
  <c r="C608" i="18" s="1"/>
  <c r="D608" i="18" a="1"/>
  <c r="D608" i="18" s="1"/>
  <c r="A609" i="18" a="1"/>
  <c r="A609" i="18" s="1"/>
  <c r="B609" i="18" a="1"/>
  <c r="B609" i="18" s="1"/>
  <c r="C609" i="18" a="1"/>
  <c r="C609" i="18" s="1"/>
  <c r="D609" i="18" a="1"/>
  <c r="D609" i="18" s="1"/>
  <c r="A610" i="18" a="1"/>
  <c r="A610" i="18" s="1"/>
  <c r="B610" i="18" a="1"/>
  <c r="B610" i="18" s="1"/>
  <c r="C610" i="18" a="1"/>
  <c r="C610" i="18" s="1"/>
  <c r="D610" i="18" a="1"/>
  <c r="D610" i="18" s="1"/>
  <c r="A611" i="18" a="1"/>
  <c r="A611" i="18" s="1"/>
  <c r="B611" i="18" a="1"/>
  <c r="B611" i="18" s="1"/>
  <c r="C611" i="18" a="1"/>
  <c r="C611" i="18" s="1"/>
  <c r="D611" i="18" a="1"/>
  <c r="D611" i="18" s="1"/>
  <c r="A612" i="18" a="1"/>
  <c r="A612" i="18" s="1"/>
  <c r="B612" i="18" a="1"/>
  <c r="B612" i="18" s="1"/>
  <c r="C612" i="18" a="1"/>
  <c r="C612" i="18" s="1"/>
  <c r="D612" i="18" a="1"/>
  <c r="D612" i="18" s="1"/>
  <c r="A613" i="18" a="1"/>
  <c r="A613" i="18" s="1"/>
  <c r="B613" i="18" a="1"/>
  <c r="B613" i="18" s="1"/>
  <c r="C613" i="18" a="1"/>
  <c r="C613" i="18" s="1"/>
  <c r="D613" i="18" a="1"/>
  <c r="D613" i="18"/>
  <c r="A614" i="18" a="1"/>
  <c r="A614" i="18" s="1"/>
  <c r="B614" i="18" a="1"/>
  <c r="B614" i="18" s="1"/>
  <c r="C614" i="18" a="1"/>
  <c r="C614" i="18" s="1"/>
  <c r="D614" i="18" a="1"/>
  <c r="D614" i="18" s="1"/>
  <c r="A615" i="18" a="1"/>
  <c r="A615" i="18" s="1"/>
  <c r="B615" i="18" a="1"/>
  <c r="B615" i="18" s="1"/>
  <c r="C615" i="18" a="1"/>
  <c r="C615" i="18" s="1"/>
  <c r="D615" i="18" a="1"/>
  <c r="D615" i="18" s="1"/>
  <c r="A616" i="18" a="1"/>
  <c r="A616" i="18" s="1"/>
  <c r="B616" i="18" a="1"/>
  <c r="B616" i="18" s="1"/>
  <c r="C616" i="18" a="1"/>
  <c r="C616" i="18" s="1"/>
  <c r="D616" i="18" a="1"/>
  <c r="D616" i="18" s="1"/>
  <c r="A617" i="18" a="1"/>
  <c r="A617" i="18" s="1"/>
  <c r="B617" i="18" a="1"/>
  <c r="B617" i="18" s="1"/>
  <c r="C617" i="18" a="1"/>
  <c r="C617" i="18" s="1"/>
  <c r="D617" i="18" a="1"/>
  <c r="D617" i="18" s="1"/>
  <c r="A618" i="18" a="1"/>
  <c r="A618" i="18" s="1"/>
  <c r="B618" i="18" a="1"/>
  <c r="B618" i="18" s="1"/>
  <c r="C618" i="18" a="1"/>
  <c r="C618" i="18" s="1"/>
  <c r="D618" i="18" a="1"/>
  <c r="D618" i="18" s="1"/>
  <c r="A619" i="18" a="1"/>
  <c r="A619" i="18" s="1"/>
  <c r="B619" i="18" a="1"/>
  <c r="B619" i="18" s="1"/>
  <c r="C619" i="18" a="1"/>
  <c r="C619" i="18" s="1"/>
  <c r="D619" i="18" a="1"/>
  <c r="D619" i="18" s="1"/>
  <c r="A620" i="18" a="1"/>
  <c r="A620" i="18" s="1"/>
  <c r="B620" i="18" a="1"/>
  <c r="B620" i="18" s="1"/>
  <c r="C620" i="18" a="1"/>
  <c r="C620" i="18"/>
  <c r="D620" i="18" a="1"/>
  <c r="D620" i="18" s="1"/>
  <c r="A621" i="18" a="1"/>
  <c r="A621" i="18" s="1"/>
  <c r="B621" i="18" a="1"/>
  <c r="B621" i="18" s="1"/>
  <c r="C621" i="18" a="1"/>
  <c r="C621" i="18" s="1"/>
  <c r="D621" i="18" a="1"/>
  <c r="D621" i="18" s="1"/>
  <c r="A622" i="18" a="1"/>
  <c r="A622" i="18" s="1"/>
  <c r="B622" i="18" a="1"/>
  <c r="B622" i="18" s="1"/>
  <c r="C622" i="18" a="1"/>
  <c r="C622" i="18" s="1"/>
  <c r="D622" i="18" a="1"/>
  <c r="D622" i="18" s="1"/>
  <c r="A623" i="18" a="1"/>
  <c r="A623" i="18" s="1"/>
  <c r="B623" i="18" a="1"/>
  <c r="B623" i="18" s="1"/>
  <c r="C623" i="18" a="1"/>
  <c r="C623" i="18" s="1"/>
  <c r="D623" i="18" a="1"/>
  <c r="D623" i="18" s="1"/>
  <c r="A624" i="18" a="1"/>
  <c r="A624" i="18" s="1"/>
  <c r="B624" i="18" a="1"/>
  <c r="B624" i="18" s="1"/>
  <c r="C624" i="18" a="1"/>
  <c r="C624" i="18" s="1"/>
  <c r="D624" i="18" a="1"/>
  <c r="D624" i="18" s="1"/>
  <c r="A625" i="18" a="1"/>
  <c r="A625" i="18" s="1"/>
  <c r="B625" i="18" a="1"/>
  <c r="B625" i="18" s="1"/>
  <c r="C625" i="18" a="1"/>
  <c r="C625" i="18" s="1"/>
  <c r="D625" i="18" a="1"/>
  <c r="D625" i="18" s="1"/>
  <c r="A626" i="18" a="1"/>
  <c r="A626" i="18" s="1"/>
  <c r="B626" i="18" a="1"/>
  <c r="B626" i="18" s="1"/>
  <c r="C626" i="18" a="1"/>
  <c r="C626" i="18" s="1"/>
  <c r="D626" i="18" a="1"/>
  <c r="D626" i="18" s="1"/>
  <c r="A627" i="18" a="1"/>
  <c r="A627" i="18" s="1"/>
  <c r="B627" i="18" a="1"/>
  <c r="B627" i="18" s="1"/>
  <c r="C627" i="18" a="1"/>
  <c r="C627" i="18" s="1"/>
  <c r="D627" i="18" a="1"/>
  <c r="D627" i="18" s="1"/>
  <c r="A628" i="18" a="1"/>
  <c r="A628" i="18" s="1"/>
  <c r="B628" i="18" a="1"/>
  <c r="B628" i="18" s="1"/>
  <c r="C628" i="18" a="1"/>
  <c r="C628" i="18" s="1"/>
  <c r="D628" i="18" a="1"/>
  <c r="D628" i="18" s="1"/>
  <c r="A629" i="18" a="1"/>
  <c r="A629" i="18" s="1"/>
  <c r="B629" i="18" a="1"/>
  <c r="B629" i="18" s="1"/>
  <c r="C629" i="18" a="1"/>
  <c r="C629" i="18" s="1"/>
  <c r="D629" i="18" a="1"/>
  <c r="D629" i="18" s="1"/>
  <c r="A630" i="18" a="1"/>
  <c r="A630" i="18" s="1"/>
  <c r="B630" i="18" a="1"/>
  <c r="B630" i="18" s="1"/>
  <c r="C630" i="18" a="1"/>
  <c r="C630" i="18" s="1"/>
  <c r="D630" i="18" a="1"/>
  <c r="D630" i="18" s="1"/>
  <c r="A631" i="18" a="1"/>
  <c r="A631" i="18" s="1"/>
  <c r="B631" i="18" a="1"/>
  <c r="B631" i="18" s="1"/>
  <c r="C631" i="18" a="1"/>
  <c r="C631" i="18" s="1"/>
  <c r="D631" i="18" a="1"/>
  <c r="D631" i="18"/>
  <c r="A632" i="18" a="1"/>
  <c r="A632" i="18" s="1"/>
  <c r="B632" i="18" a="1"/>
  <c r="B632" i="18" s="1"/>
  <c r="C632" i="18" a="1"/>
  <c r="C632" i="18" s="1"/>
  <c r="D632" i="18" a="1"/>
  <c r="D632" i="18" s="1"/>
  <c r="A633" i="18" a="1"/>
  <c r="A633" i="18" s="1"/>
  <c r="B633" i="18" a="1"/>
  <c r="B633" i="18" s="1"/>
  <c r="C633" i="18" a="1"/>
  <c r="C633" i="18" s="1"/>
  <c r="D633" i="18" a="1"/>
  <c r="D633" i="18" s="1"/>
  <c r="A634" i="18" a="1"/>
  <c r="A634" i="18" s="1"/>
  <c r="B634" i="18" a="1"/>
  <c r="B634" i="18" s="1"/>
  <c r="C634" i="18" a="1"/>
  <c r="C634" i="18" s="1"/>
  <c r="D634" i="18" a="1"/>
  <c r="D634" i="18" s="1"/>
  <c r="A635" i="18" a="1"/>
  <c r="A635" i="18" s="1"/>
  <c r="B635" i="18" a="1"/>
  <c r="B635" i="18" s="1"/>
  <c r="C635" i="18" a="1"/>
  <c r="C635" i="18" s="1"/>
  <c r="D635" i="18" a="1"/>
  <c r="D635" i="18" s="1"/>
  <c r="A636" i="18" a="1"/>
  <c r="A636" i="18"/>
  <c r="B636" i="18" a="1"/>
  <c r="B636" i="18" s="1"/>
  <c r="C636" i="18" a="1"/>
  <c r="C636" i="18" s="1"/>
  <c r="D636" i="18" a="1"/>
  <c r="D636" i="18" s="1"/>
  <c r="A637" i="18" a="1"/>
  <c r="A637" i="18" s="1"/>
  <c r="B637" i="18" a="1"/>
  <c r="B637" i="18" s="1"/>
  <c r="C637" i="18" a="1"/>
  <c r="C637" i="18" s="1"/>
  <c r="D637" i="18" a="1"/>
  <c r="D637" i="18" s="1"/>
  <c r="A638" i="18" a="1"/>
  <c r="A638" i="18" s="1"/>
  <c r="B638" i="18" a="1"/>
  <c r="B638" i="18" s="1"/>
  <c r="C638" i="18" a="1"/>
  <c r="C638" i="18" s="1"/>
  <c r="D638" i="18" a="1"/>
  <c r="D638" i="18" s="1"/>
  <c r="A639" i="18" a="1"/>
  <c r="A639" i="18" s="1"/>
  <c r="B639" i="18" a="1"/>
  <c r="B639" i="18" s="1"/>
  <c r="C639" i="18" a="1"/>
  <c r="C639" i="18" s="1"/>
  <c r="D639" i="18" a="1"/>
  <c r="D639" i="18" s="1"/>
  <c r="A640" i="18" a="1"/>
  <c r="A640" i="18" s="1"/>
  <c r="B640" i="18" a="1"/>
  <c r="B640" i="18" s="1"/>
  <c r="C640" i="18" a="1"/>
  <c r="C640" i="18" s="1"/>
  <c r="D640" i="18" a="1"/>
  <c r="D640" i="18" s="1"/>
  <c r="A641" i="18" a="1"/>
  <c r="A641" i="18" s="1"/>
  <c r="B641" i="18" a="1"/>
  <c r="B641" i="18" s="1"/>
  <c r="C641" i="18" a="1"/>
  <c r="C641" i="18" s="1"/>
  <c r="D641" i="18" a="1"/>
  <c r="D641" i="18" s="1"/>
  <c r="A642" i="18" a="1"/>
  <c r="A642" i="18" s="1"/>
  <c r="B642" i="18" a="1"/>
  <c r="B642" i="18" s="1"/>
  <c r="C642" i="18" a="1"/>
  <c r="C642" i="18" s="1"/>
  <c r="D642" i="18" a="1"/>
  <c r="D642" i="18" s="1"/>
  <c r="A643" i="18" a="1"/>
  <c r="A643" i="18" s="1"/>
  <c r="B643" i="18" a="1"/>
  <c r="B643" i="18" s="1"/>
  <c r="C643" i="18" a="1"/>
  <c r="C643" i="18" s="1"/>
  <c r="D643" i="18" a="1"/>
  <c r="D643" i="18" s="1"/>
  <c r="A644" i="18" a="1"/>
  <c r="A644" i="18" s="1"/>
  <c r="B644" i="18" a="1"/>
  <c r="B644" i="18" s="1"/>
  <c r="C644" i="18" a="1"/>
  <c r="C644" i="18" s="1"/>
  <c r="D644" i="18" a="1"/>
  <c r="D644" i="18" s="1"/>
  <c r="A645" i="18" a="1"/>
  <c r="A645" i="18" s="1"/>
  <c r="B645" i="18" a="1"/>
  <c r="B645" i="18" s="1"/>
  <c r="C645" i="18" a="1"/>
  <c r="C645" i="18" s="1"/>
  <c r="D645" i="18" a="1"/>
  <c r="D645" i="18" s="1"/>
  <c r="A646" i="18" a="1"/>
  <c r="A646" i="18" s="1"/>
  <c r="B646" i="18" a="1"/>
  <c r="B646" i="18" s="1"/>
  <c r="C646" i="18" a="1"/>
  <c r="C646" i="18" s="1"/>
  <c r="D646" i="18" a="1"/>
  <c r="D646" i="18" s="1"/>
  <c r="A647" i="18" a="1"/>
  <c r="A647" i="18" s="1"/>
  <c r="B647" i="18" a="1"/>
  <c r="B647" i="18" s="1"/>
  <c r="C647" i="18" a="1"/>
  <c r="C647" i="18" s="1"/>
  <c r="D647" i="18" a="1"/>
  <c r="D647" i="18" s="1"/>
  <c r="A648" i="18" a="1"/>
  <c r="A648" i="18" s="1"/>
  <c r="B648" i="18" a="1"/>
  <c r="B648" i="18" s="1"/>
  <c r="C648" i="18" a="1"/>
  <c r="C648" i="18" s="1"/>
  <c r="D648" i="18" a="1"/>
  <c r="D648" i="18" s="1"/>
  <c r="A649" i="18" a="1"/>
  <c r="A649" i="18" s="1"/>
  <c r="B649" i="18" a="1"/>
  <c r="B649" i="18" s="1"/>
  <c r="C649" i="18" a="1"/>
  <c r="C649" i="18" s="1"/>
  <c r="D649" i="18" a="1"/>
  <c r="D649" i="18"/>
  <c r="A650" i="18" a="1"/>
  <c r="A650" i="18" s="1"/>
  <c r="B650" i="18" a="1"/>
  <c r="B650" i="18" s="1"/>
  <c r="C650" i="18" a="1"/>
  <c r="C650" i="18" s="1"/>
  <c r="D650" i="18" a="1"/>
  <c r="D650" i="18" s="1"/>
  <c r="A651" i="18" a="1"/>
  <c r="A651" i="18" s="1"/>
  <c r="B651" i="18" a="1"/>
  <c r="B651" i="18" s="1"/>
  <c r="C651" i="18" a="1"/>
  <c r="C651" i="18" s="1"/>
  <c r="D651" i="18" a="1"/>
  <c r="D651" i="18" s="1"/>
  <c r="A652" i="18" a="1"/>
  <c r="A652" i="18"/>
  <c r="B652" i="18" a="1"/>
  <c r="B652" i="18"/>
  <c r="C652" i="18" a="1"/>
  <c r="C652" i="18" s="1"/>
  <c r="D652" i="18" a="1"/>
  <c r="D652" i="18" s="1"/>
  <c r="A653" i="18" a="1"/>
  <c r="A653" i="18" s="1"/>
  <c r="B653" i="18" a="1"/>
  <c r="B653" i="18" s="1"/>
  <c r="C653" i="18" a="1"/>
  <c r="C653" i="18" s="1"/>
  <c r="D653" i="18" a="1"/>
  <c r="D653" i="18" s="1"/>
  <c r="A654" i="18" a="1"/>
  <c r="A654" i="18"/>
  <c r="B654" i="18" a="1"/>
  <c r="B654" i="18"/>
  <c r="C654" i="18" a="1"/>
  <c r="C654" i="18" s="1"/>
  <c r="D654" i="18" a="1"/>
  <c r="D654" i="18" s="1"/>
  <c r="A655" i="18" a="1"/>
  <c r="A655" i="18" s="1"/>
  <c r="B655" i="18" a="1"/>
  <c r="B655" i="18" s="1"/>
  <c r="C655" i="18" a="1"/>
  <c r="C655" i="18"/>
  <c r="D655" i="18" a="1"/>
  <c r="D655" i="18" s="1"/>
  <c r="A656" i="18" a="1"/>
  <c r="A656" i="18" s="1"/>
  <c r="B656" i="18" a="1"/>
  <c r="B656" i="18" s="1"/>
  <c r="C656" i="18" a="1"/>
  <c r="C656" i="18" s="1"/>
  <c r="D656" i="18" a="1"/>
  <c r="D656" i="18"/>
  <c r="A657" i="18" a="1"/>
  <c r="A657" i="18" s="1"/>
  <c r="B657" i="18" a="1"/>
  <c r="B657" i="18" s="1"/>
  <c r="C657" i="18" a="1"/>
  <c r="C657" i="18" s="1"/>
  <c r="D657" i="18" a="1"/>
  <c r="D657" i="18" s="1"/>
  <c r="A658" i="18" a="1"/>
  <c r="A658" i="18"/>
  <c r="B658" i="18" a="1"/>
  <c r="B658" i="18" s="1"/>
  <c r="C658" i="18" a="1"/>
  <c r="C658" i="18" s="1"/>
  <c r="D658" i="18" a="1"/>
  <c r="D658" i="18" s="1"/>
  <c r="A659" i="18" a="1"/>
  <c r="A659" i="18" s="1"/>
  <c r="B659" i="18" a="1"/>
  <c r="B659" i="18" s="1"/>
  <c r="C659" i="18" a="1"/>
  <c r="C659" i="18" s="1"/>
  <c r="D659" i="18" a="1"/>
  <c r="D659" i="18" s="1"/>
  <c r="A660" i="18" a="1"/>
  <c r="A660" i="18" s="1"/>
  <c r="B660" i="18" a="1"/>
  <c r="B660" i="18" s="1"/>
  <c r="C660" i="18" a="1"/>
  <c r="C660" i="18" s="1"/>
  <c r="D660" i="18" a="1"/>
  <c r="D660" i="18" s="1"/>
  <c r="A661" i="18" a="1"/>
  <c r="A661" i="18" s="1"/>
  <c r="B661" i="18" a="1"/>
  <c r="B661" i="18" s="1"/>
  <c r="C661" i="18" a="1"/>
  <c r="C661" i="18" s="1"/>
  <c r="D661" i="18" a="1"/>
  <c r="D661" i="18" s="1"/>
  <c r="A662" i="18" a="1"/>
  <c r="A662" i="18" s="1"/>
  <c r="B662" i="18" a="1"/>
  <c r="B662" i="18" s="1"/>
  <c r="C662" i="18" a="1"/>
  <c r="C662" i="18" s="1"/>
  <c r="D662" i="18" a="1"/>
  <c r="D662" i="18" s="1"/>
  <c r="A663" i="18" a="1"/>
  <c r="A663" i="18" s="1"/>
  <c r="B663" i="18" a="1"/>
  <c r="B663" i="18" s="1"/>
  <c r="C663" i="18" a="1"/>
  <c r="C663" i="18" s="1"/>
  <c r="D663" i="18" a="1"/>
  <c r="D663" i="18" s="1"/>
  <c r="A664" i="18" a="1"/>
  <c r="A664" i="18" s="1"/>
  <c r="B664" i="18" a="1"/>
  <c r="B664" i="18" s="1"/>
  <c r="C664" i="18" a="1"/>
  <c r="C664" i="18"/>
  <c r="D664" i="18" a="1"/>
  <c r="D664" i="18"/>
  <c r="A665" i="18" a="1"/>
  <c r="A665" i="18" s="1"/>
  <c r="B665" i="18" a="1"/>
  <c r="B665" i="18" s="1"/>
  <c r="C665" i="18" a="1"/>
  <c r="C665" i="18" s="1"/>
  <c r="D665" i="18" a="1"/>
  <c r="D665" i="18"/>
  <c r="A666" i="18" a="1"/>
  <c r="A666" i="18" s="1"/>
  <c r="B666" i="18" a="1"/>
  <c r="B666" i="18" s="1"/>
  <c r="C666" i="18" a="1"/>
  <c r="C666" i="18" s="1"/>
  <c r="D666" i="18" a="1"/>
  <c r="D666" i="18" s="1"/>
  <c r="A667" i="18" a="1"/>
  <c r="A667" i="18" s="1"/>
  <c r="B667" i="18" a="1"/>
  <c r="B667" i="18" s="1"/>
  <c r="C667" i="18" a="1"/>
  <c r="C667" i="18" s="1"/>
  <c r="D667" i="18" a="1"/>
  <c r="D667" i="18" s="1"/>
  <c r="A668" i="18" a="1"/>
  <c r="A668" i="18"/>
  <c r="B668" i="18" a="1"/>
  <c r="B668" i="18" s="1"/>
  <c r="C668" i="18" a="1"/>
  <c r="C668" i="18" s="1"/>
  <c r="D668" i="18" a="1"/>
  <c r="D668" i="18" s="1"/>
  <c r="A669" i="18" a="1"/>
  <c r="A669" i="18" s="1"/>
  <c r="B669" i="18" a="1"/>
  <c r="B669" i="18" s="1"/>
  <c r="C669" i="18" a="1"/>
  <c r="C669" i="18" s="1"/>
  <c r="D669" i="18" a="1"/>
  <c r="D669" i="18" s="1"/>
  <c r="A670" i="18" a="1"/>
  <c r="A670" i="18" s="1"/>
  <c r="B670" i="18" a="1"/>
  <c r="B670" i="18" s="1"/>
  <c r="C670" i="18" a="1"/>
  <c r="C670" i="18" s="1"/>
  <c r="D670" i="18" a="1"/>
  <c r="D670" i="18" s="1"/>
  <c r="A671" i="18" a="1"/>
  <c r="A671" i="18" s="1"/>
  <c r="B671" i="18" a="1"/>
  <c r="B671" i="18" s="1"/>
  <c r="C671" i="18" a="1"/>
  <c r="C671" i="18" s="1"/>
  <c r="D671" i="18" a="1"/>
  <c r="D671" i="18" s="1"/>
  <c r="A672" i="18" a="1"/>
  <c r="A672" i="18" s="1"/>
  <c r="B672" i="18" a="1"/>
  <c r="B672" i="18" s="1"/>
  <c r="C672" i="18" a="1"/>
  <c r="C672" i="18" s="1"/>
  <c r="D672" i="18" a="1"/>
  <c r="D672" i="18" s="1"/>
  <c r="A673" i="18" a="1"/>
  <c r="A673" i="18" s="1"/>
  <c r="B673" i="18" a="1"/>
  <c r="B673" i="18"/>
  <c r="C673" i="18" a="1"/>
  <c r="C673" i="18" s="1"/>
  <c r="D673" i="18" a="1"/>
  <c r="D673" i="18" s="1"/>
  <c r="A674" i="18" a="1"/>
  <c r="A674" i="18" s="1"/>
  <c r="B674" i="18" a="1"/>
  <c r="B674" i="18" s="1"/>
  <c r="C674" i="18" a="1"/>
  <c r="C674" i="18"/>
  <c r="D674" i="18" a="1"/>
  <c r="D674" i="18" s="1"/>
  <c r="A675" i="18" a="1"/>
  <c r="A675" i="18" s="1"/>
  <c r="B675" i="18" a="1"/>
  <c r="B675" i="18" s="1"/>
  <c r="C675" i="18" a="1"/>
  <c r="C675" i="18"/>
  <c r="D675" i="18" a="1"/>
  <c r="D675" i="18" s="1"/>
  <c r="A676" i="18" a="1"/>
  <c r="A676" i="18" s="1"/>
  <c r="B676" i="18" a="1"/>
  <c r="B676" i="18" s="1"/>
  <c r="C676" i="18" a="1"/>
  <c r="C676" i="18" s="1"/>
  <c r="D676" i="18" a="1"/>
  <c r="D676" i="18"/>
  <c r="A677" i="18" a="1"/>
  <c r="A677" i="18" s="1"/>
  <c r="B677" i="18" a="1"/>
  <c r="B677" i="18" s="1"/>
  <c r="C677" i="18" a="1"/>
  <c r="C677" i="18" s="1"/>
  <c r="D677" i="18" a="1"/>
  <c r="D677" i="18" s="1"/>
  <c r="A678" i="18" a="1"/>
  <c r="A678" i="18" s="1"/>
  <c r="B678" i="18" a="1"/>
  <c r="B678" i="18" s="1"/>
  <c r="C678" i="18" a="1"/>
  <c r="C678" i="18" s="1"/>
  <c r="D678" i="18" a="1"/>
  <c r="D678" i="18" s="1"/>
  <c r="A679" i="18" a="1"/>
  <c r="A679" i="18" s="1"/>
  <c r="B679" i="18" a="1"/>
  <c r="B679" i="18" s="1"/>
  <c r="C679" i="18" a="1"/>
  <c r="C679" i="18" s="1"/>
  <c r="D679" i="18" a="1"/>
  <c r="D679" i="18" s="1"/>
  <c r="A680" i="18" a="1"/>
  <c r="A680" i="18" s="1"/>
  <c r="B680" i="18" a="1"/>
  <c r="B680" i="18" s="1"/>
  <c r="C680" i="18" a="1"/>
  <c r="C680" i="18"/>
  <c r="D680" i="18" a="1"/>
  <c r="D680" i="18" s="1"/>
  <c r="A681" i="18" a="1"/>
  <c r="A681" i="18" s="1"/>
  <c r="B681" i="18" a="1"/>
  <c r="B681" i="18" s="1"/>
  <c r="C681" i="18" a="1"/>
  <c r="C681" i="18" s="1"/>
  <c r="D681" i="18" a="1"/>
  <c r="D681" i="18" s="1"/>
  <c r="A682" i="18" a="1"/>
  <c r="A682" i="18" s="1"/>
  <c r="B682" i="18" a="1"/>
  <c r="B682" i="18" s="1"/>
  <c r="C682" i="18" a="1"/>
  <c r="C682" i="18" s="1"/>
  <c r="D682" i="18" a="1"/>
  <c r="D682" i="18" s="1"/>
  <c r="A683" i="18" a="1"/>
  <c r="A683" i="18" s="1"/>
  <c r="B683" i="18" a="1"/>
  <c r="B683" i="18" s="1"/>
  <c r="C683" i="18" a="1"/>
  <c r="C683" i="18" s="1"/>
  <c r="D683" i="18" a="1"/>
  <c r="D683" i="18" s="1"/>
  <c r="A684" i="18" a="1"/>
  <c r="A684" i="18" s="1"/>
  <c r="B684" i="18" a="1"/>
  <c r="B684" i="18" s="1"/>
  <c r="C684" i="18" a="1"/>
  <c r="C684" i="18" s="1"/>
  <c r="D684" i="18" a="1"/>
  <c r="D684" i="18" s="1"/>
  <c r="A685" i="18" a="1"/>
  <c r="A685" i="18" s="1"/>
  <c r="B685" i="18" a="1"/>
  <c r="B685" i="18" s="1"/>
  <c r="C685" i="18" a="1"/>
  <c r="C685" i="18" s="1"/>
  <c r="D685" i="18" a="1"/>
  <c r="D685" i="18" s="1"/>
  <c r="A686" i="18" a="1"/>
  <c r="A686" i="18" s="1"/>
  <c r="B686" i="18" a="1"/>
  <c r="B686" i="18" s="1"/>
  <c r="C686" i="18" a="1"/>
  <c r="C686" i="18" s="1"/>
  <c r="D686" i="18" a="1"/>
  <c r="D686" i="18" s="1"/>
  <c r="A687" i="18" a="1"/>
  <c r="A687" i="18" s="1"/>
  <c r="B687" i="18" a="1"/>
  <c r="B687" i="18" s="1"/>
  <c r="C687" i="18" a="1"/>
  <c r="C687" i="18" s="1"/>
  <c r="D687" i="18" a="1"/>
  <c r="D687" i="18" s="1"/>
  <c r="A688" i="18" a="1"/>
  <c r="A688" i="18" s="1"/>
  <c r="B688" i="18" a="1"/>
  <c r="B688" i="18" s="1"/>
  <c r="C688" i="18" a="1"/>
  <c r="C688" i="18" s="1"/>
  <c r="D688" i="18" a="1"/>
  <c r="D688" i="18" s="1"/>
  <c r="A689" i="18" a="1"/>
  <c r="A689" i="18" s="1"/>
  <c r="B689" i="18" a="1"/>
  <c r="B689" i="18" s="1"/>
  <c r="C689" i="18" a="1"/>
  <c r="C689" i="18"/>
  <c r="D689" i="18" a="1"/>
  <c r="D689" i="18" s="1"/>
  <c r="A690" i="18" a="1"/>
  <c r="A690" i="18" s="1"/>
  <c r="B690" i="18" a="1"/>
  <c r="B690" i="18" s="1"/>
  <c r="C690" i="18" a="1"/>
  <c r="C690" i="18" s="1"/>
  <c r="D690" i="18" a="1"/>
  <c r="D690" i="18" s="1"/>
  <c r="A691" i="18" a="1"/>
  <c r="A691" i="18" s="1"/>
  <c r="B691" i="18" a="1"/>
  <c r="B691" i="18" s="1"/>
  <c r="C691" i="18" a="1"/>
  <c r="C691" i="18" s="1"/>
  <c r="D691" i="18" a="1"/>
  <c r="D691" i="18" s="1"/>
  <c r="A692" i="18" a="1"/>
  <c r="A692" i="18" s="1"/>
  <c r="B692" i="18" a="1"/>
  <c r="B692" i="18" s="1"/>
  <c r="C692" i="18" a="1"/>
  <c r="C692" i="18" s="1"/>
  <c r="D692" i="18" a="1"/>
  <c r="D692" i="18" s="1"/>
  <c r="A693" i="18" a="1"/>
  <c r="A693" i="18" s="1"/>
  <c r="B693" i="18" a="1"/>
  <c r="B693" i="18" s="1"/>
  <c r="C693" i="18" a="1"/>
  <c r="C693" i="18" s="1"/>
  <c r="D693" i="18" a="1"/>
  <c r="D693" i="18" s="1"/>
  <c r="A694" i="18" a="1"/>
  <c r="A694" i="18" s="1"/>
  <c r="B694" i="18" a="1"/>
  <c r="B694" i="18" s="1"/>
  <c r="C694" i="18" a="1"/>
  <c r="C694" i="18" s="1"/>
  <c r="D694" i="18" a="1"/>
  <c r="D694" i="18" s="1"/>
  <c r="A695" i="18" a="1"/>
  <c r="A695" i="18" s="1"/>
  <c r="B695" i="18" a="1"/>
  <c r="B695" i="18" s="1"/>
  <c r="C695" i="18" a="1"/>
  <c r="C695" i="18" s="1"/>
  <c r="D695" i="18" a="1"/>
  <c r="D695" i="18" s="1"/>
  <c r="A696" i="18" a="1"/>
  <c r="A696" i="18"/>
  <c r="B696" i="18" a="1"/>
  <c r="B696" i="18" s="1"/>
  <c r="C696" i="18" a="1"/>
  <c r="C696" i="18" s="1"/>
  <c r="D696" i="18" a="1"/>
  <c r="D696" i="18" s="1"/>
  <c r="A697" i="18" a="1"/>
  <c r="A697" i="18" s="1"/>
  <c r="B697" i="18" a="1"/>
  <c r="B697" i="18" s="1"/>
  <c r="C697" i="18" a="1"/>
  <c r="C697" i="18" s="1"/>
  <c r="D697" i="18" a="1"/>
  <c r="D697" i="18" s="1"/>
  <c r="A698" i="18" a="1"/>
  <c r="A698" i="18" s="1"/>
  <c r="B698" i="18" a="1"/>
  <c r="B698" i="18" s="1"/>
  <c r="C698" i="18" a="1"/>
  <c r="C698" i="18" s="1"/>
  <c r="D698" i="18" a="1"/>
  <c r="D698" i="18" s="1"/>
  <c r="A699" i="18" a="1"/>
  <c r="A699" i="18" s="1"/>
  <c r="B699" i="18" a="1"/>
  <c r="B699" i="18" s="1"/>
  <c r="C699" i="18" a="1"/>
  <c r="C699" i="18"/>
  <c r="D699" i="18" a="1"/>
  <c r="D699" i="18" s="1"/>
  <c r="A700" i="18" a="1"/>
  <c r="A700" i="18" s="1"/>
  <c r="B700" i="18" a="1"/>
  <c r="B700" i="18" s="1"/>
  <c r="C700" i="18" a="1"/>
  <c r="C700" i="18" s="1"/>
  <c r="D700" i="18" a="1"/>
  <c r="D700" i="18" s="1"/>
  <c r="A701" i="18" a="1"/>
  <c r="A701" i="18" s="1"/>
  <c r="B701" i="18" a="1"/>
  <c r="B701" i="18" s="1"/>
  <c r="C701" i="18" a="1"/>
  <c r="C701" i="18" s="1"/>
  <c r="D701" i="18" a="1"/>
  <c r="D701" i="18" s="1"/>
  <c r="A702" i="18" a="1"/>
  <c r="A702" i="18" s="1"/>
  <c r="B702" i="18" a="1"/>
  <c r="B702" i="18" s="1"/>
  <c r="C702" i="18" a="1"/>
  <c r="C702" i="18" s="1"/>
  <c r="D702" i="18" a="1"/>
  <c r="D702" i="18" s="1"/>
  <c r="A703" i="18" a="1"/>
  <c r="A703" i="18" s="1"/>
  <c r="B703" i="18" a="1"/>
  <c r="B703" i="18" s="1"/>
  <c r="C703" i="18" a="1"/>
  <c r="C703" i="18" s="1"/>
  <c r="D703" i="18" a="1"/>
  <c r="D703" i="18" s="1"/>
  <c r="A704" i="18" a="1"/>
  <c r="A704" i="18" s="1"/>
  <c r="B704" i="18" a="1"/>
  <c r="B704" i="18" s="1"/>
  <c r="C704" i="18" a="1"/>
  <c r="C704" i="18" s="1"/>
  <c r="D704" i="18" a="1"/>
  <c r="D704" i="18" s="1"/>
  <c r="A705" i="18" a="1"/>
  <c r="A705" i="18" s="1"/>
  <c r="B705" i="18" a="1"/>
  <c r="B705" i="18" s="1"/>
  <c r="C705" i="18" a="1"/>
  <c r="C705" i="18" s="1"/>
  <c r="D705" i="18" a="1"/>
  <c r="D705" i="18" s="1"/>
  <c r="A706" i="18" a="1"/>
  <c r="A706" i="18" s="1"/>
  <c r="B706" i="18" a="1"/>
  <c r="B706" i="18"/>
  <c r="C706" i="18" a="1"/>
  <c r="C706" i="18"/>
  <c r="D706" i="18" a="1"/>
  <c r="D706" i="18" s="1"/>
  <c r="A707" i="18" a="1"/>
  <c r="A707" i="18" s="1"/>
  <c r="B707" i="18" a="1"/>
  <c r="B707" i="18" s="1"/>
  <c r="C707" i="18" a="1"/>
  <c r="C707" i="18" s="1"/>
  <c r="D707" i="18" a="1"/>
  <c r="D707" i="18"/>
  <c r="A708" i="18" a="1"/>
  <c r="A708" i="18" s="1"/>
  <c r="B708" i="18" a="1"/>
  <c r="B708" i="18" s="1"/>
  <c r="C708" i="18" a="1"/>
  <c r="C708" i="18" s="1"/>
  <c r="D708" i="18" a="1"/>
  <c r="D708" i="18" s="1"/>
  <c r="A709" i="18" a="1"/>
  <c r="A709" i="18" s="1"/>
  <c r="B709" i="18" a="1"/>
  <c r="B709" i="18" s="1"/>
  <c r="C709" i="18" a="1"/>
  <c r="C709" i="18" s="1"/>
  <c r="D709" i="18" a="1"/>
  <c r="D709" i="18" s="1"/>
  <c r="A710" i="18" a="1"/>
  <c r="A710" i="18" s="1"/>
  <c r="B710" i="18" a="1"/>
  <c r="B710" i="18" s="1"/>
  <c r="C710" i="18" a="1"/>
  <c r="C710" i="18" s="1"/>
  <c r="D710" i="18" a="1"/>
  <c r="D710" i="18" s="1"/>
  <c r="A711" i="18" a="1"/>
  <c r="A711" i="18" s="1"/>
  <c r="B711" i="18" a="1"/>
  <c r="B711" i="18" s="1"/>
  <c r="C711" i="18" a="1"/>
  <c r="C711" i="18" s="1"/>
  <c r="D711" i="18" a="1"/>
  <c r="D711" i="18" s="1"/>
  <c r="A712" i="18" a="1"/>
  <c r="A712" i="18" s="1"/>
  <c r="B712" i="18" a="1"/>
  <c r="B712" i="18" s="1"/>
  <c r="C712" i="18" a="1"/>
  <c r="C712" i="18" s="1"/>
  <c r="D712" i="18" a="1"/>
  <c r="D712" i="18" s="1"/>
  <c r="A713" i="18" a="1"/>
  <c r="A713" i="18" s="1"/>
  <c r="B713" i="18" a="1"/>
  <c r="B713" i="18" s="1"/>
  <c r="C713" i="18" a="1"/>
  <c r="C713" i="18" s="1"/>
  <c r="D713" i="18" a="1"/>
  <c r="D713" i="18" s="1"/>
  <c r="A714" i="18" a="1"/>
  <c r="A714" i="18" s="1"/>
  <c r="B714" i="18" a="1"/>
  <c r="B714" i="18"/>
  <c r="C714" i="18" a="1"/>
  <c r="C714" i="18" s="1"/>
  <c r="D714" i="18" a="1"/>
  <c r="D714" i="18" s="1"/>
  <c r="A715" i="18" a="1"/>
  <c r="A715" i="18" s="1"/>
  <c r="B715" i="18" a="1"/>
  <c r="B715" i="18" s="1"/>
  <c r="C715" i="18" a="1"/>
  <c r="C715" i="18" s="1"/>
  <c r="D715" i="18" a="1"/>
  <c r="D715" i="18" s="1"/>
  <c r="A716" i="18" a="1"/>
  <c r="A716" i="18" s="1"/>
  <c r="B716" i="18" a="1"/>
  <c r="B716" i="18" s="1"/>
  <c r="C716" i="18" a="1"/>
  <c r="C716" i="18" s="1"/>
  <c r="D716" i="18" a="1"/>
  <c r="D716" i="18"/>
  <c r="A717" i="18" a="1"/>
  <c r="A717" i="18" s="1"/>
  <c r="B717" i="18" a="1"/>
  <c r="B717" i="18" s="1"/>
  <c r="C717" i="18" a="1"/>
  <c r="C717" i="18" s="1"/>
  <c r="D717" i="18" a="1"/>
  <c r="D717" i="18" s="1"/>
  <c r="A718" i="18" a="1"/>
  <c r="A718" i="18"/>
  <c r="B718" i="18" a="1"/>
  <c r="B718" i="18" s="1"/>
  <c r="C718" i="18" a="1"/>
  <c r="C718" i="18" s="1"/>
  <c r="D718" i="18" a="1"/>
  <c r="D718" i="18" s="1"/>
  <c r="A719" i="18" a="1"/>
  <c r="A719" i="18" s="1"/>
  <c r="B719" i="18" a="1"/>
  <c r="B719" i="18" s="1"/>
  <c r="C719" i="18" a="1"/>
  <c r="C719" i="18" s="1"/>
  <c r="D719" i="18" a="1"/>
  <c r="D719" i="18" s="1"/>
  <c r="A720" i="18" a="1"/>
  <c r="A720" i="18" s="1"/>
  <c r="B720" i="18" a="1"/>
  <c r="B720" i="18" s="1"/>
  <c r="C720" i="18" a="1"/>
  <c r="C720" i="18" s="1"/>
  <c r="D720" i="18" a="1"/>
  <c r="D720" i="18" s="1"/>
  <c r="A721" i="18" a="1"/>
  <c r="A721" i="18" s="1"/>
  <c r="B721" i="18" a="1"/>
  <c r="B721" i="18" s="1"/>
  <c r="C721" i="18" a="1"/>
  <c r="C721" i="18"/>
  <c r="D721" i="18" a="1"/>
  <c r="D721" i="18" s="1"/>
  <c r="A722" i="18" a="1"/>
  <c r="A722" i="18" s="1"/>
  <c r="B722" i="18" a="1"/>
  <c r="B722" i="18" s="1"/>
  <c r="C722" i="18" a="1"/>
  <c r="C722" i="18" s="1"/>
  <c r="D722" i="18" a="1"/>
  <c r="D722" i="18" s="1"/>
  <c r="A723" i="18" a="1"/>
  <c r="A723" i="18" s="1"/>
  <c r="B723" i="18" a="1"/>
  <c r="B723" i="18" s="1"/>
  <c r="C723" i="18" a="1"/>
  <c r="C723" i="18"/>
  <c r="D723" i="18" a="1"/>
  <c r="D723" i="18"/>
  <c r="A724" i="18" a="1"/>
  <c r="A724" i="18" s="1"/>
  <c r="B724" i="18" a="1"/>
  <c r="B724" i="18" s="1"/>
  <c r="C724" i="18" a="1"/>
  <c r="C724" i="18" s="1"/>
  <c r="D724" i="18" a="1"/>
  <c r="D724" i="18" s="1"/>
  <c r="A725" i="18" a="1"/>
  <c r="A725" i="18"/>
  <c r="B725" i="18" a="1"/>
  <c r="B725" i="18" s="1"/>
  <c r="C725" i="18" a="1"/>
  <c r="C725" i="18" s="1"/>
  <c r="D725" i="18" a="1"/>
  <c r="D725" i="18" s="1"/>
  <c r="A726" i="18" a="1"/>
  <c r="A726" i="18"/>
  <c r="B726" i="18" a="1"/>
  <c r="B726" i="18" s="1"/>
  <c r="C726" i="18" a="1"/>
  <c r="C726" i="18" s="1"/>
  <c r="D726" i="18" a="1"/>
  <c r="D726" i="18" s="1"/>
  <c r="A727" i="18" a="1"/>
  <c r="A727" i="18" s="1"/>
  <c r="B727" i="18" a="1"/>
  <c r="B727" i="18" s="1"/>
  <c r="C727" i="18" a="1"/>
  <c r="C727" i="18"/>
  <c r="D727" i="18" a="1"/>
  <c r="D727" i="18" s="1"/>
  <c r="A728" i="18" a="1"/>
  <c r="A728" i="18" s="1"/>
  <c r="B728" i="18" a="1"/>
  <c r="B728" i="18"/>
  <c r="C728" i="18" a="1"/>
  <c r="C728" i="18" s="1"/>
  <c r="D728" i="18" a="1"/>
  <c r="D728" i="18" s="1"/>
  <c r="A729" i="18" a="1"/>
  <c r="A729" i="18" s="1"/>
  <c r="B729" i="18" a="1"/>
  <c r="B729" i="18" s="1"/>
  <c r="C729" i="18" a="1"/>
  <c r="C729" i="18"/>
  <c r="D729" i="18" a="1"/>
  <c r="D729" i="18" s="1"/>
  <c r="A730" i="18" a="1"/>
  <c r="A730" i="18" s="1"/>
  <c r="B730" i="18" a="1"/>
  <c r="B730" i="18" s="1"/>
  <c r="C730" i="18" a="1"/>
  <c r="C730" i="18" s="1"/>
  <c r="D730" i="18" a="1"/>
  <c r="D730" i="18" s="1"/>
  <c r="A731" i="18" a="1"/>
  <c r="A731" i="18" s="1"/>
  <c r="B731" i="18" a="1"/>
  <c r="B731" i="18" s="1"/>
  <c r="C731" i="18" a="1"/>
  <c r="C731" i="18" s="1"/>
  <c r="D731" i="18" a="1"/>
  <c r="D731" i="18" s="1"/>
  <c r="A732" i="18" a="1"/>
  <c r="A732" i="18" s="1"/>
  <c r="B732" i="18" a="1"/>
  <c r="B732" i="18" s="1"/>
  <c r="C732" i="18" a="1"/>
  <c r="C732" i="18" s="1"/>
  <c r="D732" i="18" a="1"/>
  <c r="D732" i="18" s="1"/>
  <c r="A733" i="18" a="1"/>
  <c r="A733" i="18" s="1"/>
  <c r="B733" i="18" a="1"/>
  <c r="B733" i="18" s="1"/>
  <c r="C733" i="18" a="1"/>
  <c r="C733" i="18" s="1"/>
  <c r="D733" i="18" a="1"/>
  <c r="D733" i="18" s="1"/>
  <c r="A734" i="18" a="1"/>
  <c r="A734" i="18" s="1"/>
  <c r="B734" i="18" a="1"/>
  <c r="B734" i="18" s="1"/>
  <c r="C734" i="18" a="1"/>
  <c r="C734" i="18" s="1"/>
  <c r="D734" i="18" a="1"/>
  <c r="D734" i="18" s="1"/>
  <c r="A735" i="18" a="1"/>
  <c r="A735" i="18"/>
  <c r="B735" i="18" a="1"/>
  <c r="B735" i="18" s="1"/>
  <c r="C735" i="18" a="1"/>
  <c r="C735" i="18" s="1"/>
  <c r="D735" i="18" a="1"/>
  <c r="D735" i="18"/>
  <c r="A736" i="18" a="1"/>
  <c r="A736" i="18" s="1"/>
  <c r="B736" i="18" a="1"/>
  <c r="B736" i="18" s="1"/>
  <c r="C736" i="18" a="1"/>
  <c r="C736" i="18" s="1"/>
  <c r="D736" i="18" a="1"/>
  <c r="D736" i="18" s="1"/>
  <c r="A737" i="18" a="1"/>
  <c r="A737" i="18"/>
  <c r="B737" i="18" a="1"/>
  <c r="B737" i="18" s="1"/>
  <c r="C737" i="18" a="1"/>
  <c r="C737" i="18" s="1"/>
  <c r="D737" i="18" a="1"/>
  <c r="D737" i="18" s="1"/>
  <c r="A738" i="18" a="1"/>
  <c r="A738" i="18" s="1"/>
  <c r="B738" i="18" a="1"/>
  <c r="B738" i="18" s="1"/>
  <c r="C738" i="18" a="1"/>
  <c r="C738" i="18" s="1"/>
  <c r="D738" i="18" a="1"/>
  <c r="D738" i="18" s="1"/>
  <c r="A739" i="18" a="1"/>
  <c r="A739" i="18" s="1"/>
  <c r="B739" i="18" a="1"/>
  <c r="B739" i="18" s="1"/>
  <c r="C739" i="18" a="1"/>
  <c r="C739" i="18"/>
  <c r="D739" i="18" a="1"/>
  <c r="D739" i="18" s="1"/>
  <c r="A740" i="18" a="1"/>
  <c r="A740" i="18" s="1"/>
  <c r="B740" i="18" a="1"/>
  <c r="B740" i="18" s="1"/>
  <c r="C740" i="18" a="1"/>
  <c r="C740" i="18" s="1"/>
  <c r="D740" i="18" a="1"/>
  <c r="D740" i="18" s="1"/>
  <c r="A741" i="18" a="1"/>
  <c r="A741" i="18" s="1"/>
  <c r="B741" i="18" a="1"/>
  <c r="B741" i="18" s="1"/>
  <c r="C741" i="18" a="1"/>
  <c r="C741" i="18"/>
  <c r="D741" i="18" a="1"/>
  <c r="D741" i="18"/>
  <c r="A742" i="18" a="1"/>
  <c r="A742" i="18" s="1"/>
  <c r="B742" i="18" a="1"/>
  <c r="B742" i="18" s="1"/>
  <c r="C742" i="18" a="1"/>
  <c r="C742" i="18" s="1"/>
  <c r="D742" i="18" a="1"/>
  <c r="D742" i="18" s="1"/>
  <c r="A743" i="18" a="1"/>
  <c r="A743" i="18" s="1"/>
  <c r="B743" i="18" a="1"/>
  <c r="B743" i="18" s="1"/>
  <c r="C743" i="18" a="1"/>
  <c r="C743" i="18" s="1"/>
  <c r="D743" i="18" a="1"/>
  <c r="D743" i="18" s="1"/>
  <c r="A744" i="18" a="1"/>
  <c r="A744" i="18" s="1"/>
  <c r="B744" i="18" a="1"/>
  <c r="B744" i="18" s="1"/>
  <c r="C744" i="18" a="1"/>
  <c r="C744" i="18" s="1"/>
  <c r="D744" i="18" a="1"/>
  <c r="D744" i="18" s="1"/>
  <c r="A745" i="18" a="1"/>
  <c r="A745" i="18" s="1"/>
  <c r="B745" i="18" a="1"/>
  <c r="B745" i="18" s="1"/>
  <c r="C745" i="18" a="1"/>
  <c r="C745" i="18" s="1"/>
  <c r="D745" i="18" a="1"/>
  <c r="D745" i="18" s="1"/>
  <c r="A746" i="18" a="1"/>
  <c r="A746" i="18"/>
  <c r="B746" i="18" a="1"/>
  <c r="B746" i="18" s="1"/>
  <c r="C746" i="18" a="1"/>
  <c r="C746" i="18" s="1"/>
  <c r="D746" i="18" a="1"/>
  <c r="D746" i="18" s="1"/>
  <c r="A747" i="18" a="1"/>
  <c r="A747" i="18" s="1"/>
  <c r="B747" i="18" a="1"/>
  <c r="B747" i="18" s="1"/>
  <c r="C747" i="18" a="1"/>
  <c r="C747" i="18" s="1"/>
  <c r="D747" i="18" a="1"/>
  <c r="D747" i="18" s="1"/>
  <c r="A748" i="18" a="1"/>
  <c r="A748" i="18" s="1"/>
  <c r="B748" i="18" a="1"/>
  <c r="B748" i="18" s="1"/>
  <c r="C748" i="18" a="1"/>
  <c r="C748" i="18" s="1"/>
  <c r="D748" i="18" a="1"/>
  <c r="D748" i="18" s="1"/>
  <c r="A749" i="18" a="1"/>
  <c r="A749" i="18" s="1"/>
  <c r="B749" i="18" a="1"/>
  <c r="B749" i="18"/>
  <c r="C749" i="18" a="1"/>
  <c r="C749" i="18" s="1"/>
  <c r="D749" i="18" a="1"/>
  <c r="D749" i="18" s="1"/>
  <c r="A750" i="18" a="1"/>
  <c r="A750" i="18" s="1"/>
  <c r="B750" i="18" a="1"/>
  <c r="B750" i="18" s="1"/>
  <c r="C750" i="18" a="1"/>
  <c r="C750" i="18" s="1"/>
  <c r="D750" i="18" a="1"/>
  <c r="D750" i="18" s="1"/>
  <c r="A751" i="18" a="1"/>
  <c r="A751" i="18" s="1"/>
  <c r="B751" i="18" a="1"/>
  <c r="B751" i="18" s="1"/>
  <c r="C751" i="18" a="1"/>
  <c r="C751" i="18" s="1"/>
  <c r="D751" i="18" a="1"/>
  <c r="D751" i="18" s="1"/>
  <c r="A752" i="18" a="1"/>
  <c r="A752" i="18"/>
  <c r="B752" i="18" a="1"/>
  <c r="B752" i="18" s="1"/>
  <c r="C752" i="18" a="1"/>
  <c r="C752" i="18" s="1"/>
  <c r="D752" i="18" a="1"/>
  <c r="D752" i="18" s="1"/>
  <c r="A753" i="18" a="1"/>
  <c r="A753" i="18" s="1"/>
  <c r="B753" i="18" a="1"/>
  <c r="B753" i="18" s="1"/>
  <c r="C753" i="18" a="1"/>
  <c r="C753" i="18" s="1"/>
  <c r="D753" i="18" a="1"/>
  <c r="D753" i="18" s="1"/>
  <c r="A754" i="18" a="1"/>
  <c r="A754" i="18" s="1"/>
  <c r="B754" i="18" a="1"/>
  <c r="B754" i="18" s="1"/>
  <c r="C754" i="18" a="1"/>
  <c r="C754" i="18" s="1"/>
  <c r="D754" i="18" a="1"/>
  <c r="D754" i="18" s="1"/>
  <c r="A755" i="18" a="1"/>
  <c r="A755" i="18" s="1"/>
  <c r="B755" i="18" a="1"/>
  <c r="B755" i="18" s="1"/>
  <c r="C755" i="18" a="1"/>
  <c r="C755" i="18" s="1"/>
  <c r="D755" i="18" a="1"/>
  <c r="D755" i="18" s="1"/>
  <c r="A756" i="18" a="1"/>
  <c r="A756" i="18" s="1"/>
  <c r="B756" i="18" a="1"/>
  <c r="B756" i="18" s="1"/>
  <c r="C756" i="18" a="1"/>
  <c r="C756" i="18" s="1"/>
  <c r="D756" i="18" a="1"/>
  <c r="D756" i="18" s="1"/>
  <c r="A757" i="18" a="1"/>
  <c r="A757" i="18" s="1"/>
  <c r="B757" i="18" a="1"/>
  <c r="B757" i="18" s="1"/>
  <c r="C757" i="18" a="1"/>
  <c r="C757" i="18" s="1"/>
  <c r="D757" i="18" a="1"/>
  <c r="D757" i="18" s="1"/>
  <c r="A758" i="18" a="1"/>
  <c r="A758" i="18" s="1"/>
  <c r="B758" i="18" a="1"/>
  <c r="B758" i="18" s="1"/>
  <c r="C758" i="18" a="1"/>
  <c r="C758" i="18" s="1"/>
  <c r="D758" i="18" a="1"/>
  <c r="D758" i="18" s="1"/>
  <c r="A759" i="18" a="1"/>
  <c r="A759" i="18" s="1"/>
  <c r="B759" i="18" a="1"/>
  <c r="B759" i="18" s="1"/>
  <c r="C759" i="18" a="1"/>
  <c r="C759" i="18" s="1"/>
  <c r="D759" i="18" a="1"/>
  <c r="D759" i="18" s="1"/>
  <c r="A760" i="18" a="1"/>
  <c r="A760" i="18" s="1"/>
  <c r="B760" i="18" a="1"/>
  <c r="B760" i="18" s="1"/>
  <c r="C760" i="18" a="1"/>
  <c r="C760" i="18" s="1"/>
  <c r="D760" i="18" a="1"/>
  <c r="D760" i="18" s="1"/>
  <c r="A761" i="18" a="1"/>
  <c r="A761" i="18" s="1"/>
  <c r="B761" i="18" a="1"/>
  <c r="B761" i="18" s="1"/>
  <c r="C761" i="18" a="1"/>
  <c r="C761" i="18" s="1"/>
  <c r="D761" i="18" a="1"/>
  <c r="D761" i="18" s="1"/>
  <c r="A762" i="18" a="1"/>
  <c r="A762" i="18" s="1"/>
  <c r="B762" i="18" a="1"/>
  <c r="B762" i="18" s="1"/>
  <c r="C762" i="18" a="1"/>
  <c r="C762" i="18" s="1"/>
  <c r="D762" i="18" a="1"/>
  <c r="D762" i="18" s="1"/>
  <c r="A763" i="18" a="1"/>
  <c r="A763" i="18" s="1"/>
  <c r="B763" i="18" a="1"/>
  <c r="B763" i="18" s="1"/>
  <c r="C763" i="18" a="1"/>
  <c r="C763" i="18" s="1"/>
  <c r="D763" i="18" a="1"/>
  <c r="D763" i="18" s="1"/>
  <c r="A764" i="18" a="1"/>
  <c r="A764" i="18" s="1"/>
  <c r="B764" i="18" a="1"/>
  <c r="B764" i="18" s="1"/>
  <c r="C764" i="18" a="1"/>
  <c r="C764" i="18" s="1"/>
  <c r="D764" i="18" a="1"/>
  <c r="D764" i="18" s="1"/>
  <c r="A765" i="18" a="1"/>
  <c r="A765" i="18" s="1"/>
  <c r="B765" i="18" a="1"/>
  <c r="B765" i="18" s="1"/>
  <c r="C765" i="18" a="1"/>
  <c r="C765" i="18" s="1"/>
  <c r="D765" i="18" a="1"/>
  <c r="D765" i="18" s="1"/>
  <c r="A766" i="18" a="1"/>
  <c r="A766" i="18" s="1"/>
  <c r="B766" i="18" a="1"/>
  <c r="B766" i="18" s="1"/>
  <c r="C766" i="18" a="1"/>
  <c r="C766" i="18" s="1"/>
  <c r="D766" i="18" a="1"/>
  <c r="D766" i="18" s="1"/>
  <c r="A767" i="18" a="1"/>
  <c r="A767" i="18" s="1"/>
  <c r="B767" i="18" a="1"/>
  <c r="B767" i="18" s="1"/>
  <c r="C767" i="18" a="1"/>
  <c r="C767" i="18" s="1"/>
  <c r="D767" i="18" a="1"/>
  <c r="D767" i="18" s="1"/>
  <c r="A768" i="18" a="1"/>
  <c r="A768" i="18" s="1"/>
  <c r="B768" i="18" a="1"/>
  <c r="B768" i="18" s="1"/>
  <c r="C768" i="18" a="1"/>
  <c r="C768" i="18" s="1"/>
  <c r="D768" i="18" a="1"/>
  <c r="D768" i="18" s="1"/>
  <c r="A769" i="18" a="1"/>
  <c r="A769" i="18" s="1"/>
  <c r="B769" i="18" a="1"/>
  <c r="B769" i="18" s="1"/>
  <c r="C769" i="18" a="1"/>
  <c r="C769" i="18" s="1"/>
  <c r="D769" i="18" a="1"/>
  <c r="D769" i="18" s="1"/>
  <c r="A770" i="18" a="1"/>
  <c r="A770" i="18" s="1"/>
  <c r="B770" i="18" a="1"/>
  <c r="B770" i="18" s="1"/>
  <c r="C770" i="18" a="1"/>
  <c r="C770" i="18" s="1"/>
  <c r="D770" i="18" a="1"/>
  <c r="D770" i="18" s="1"/>
  <c r="A771" i="18" a="1"/>
  <c r="A771" i="18" s="1"/>
  <c r="B771" i="18" a="1"/>
  <c r="B771" i="18" s="1"/>
  <c r="C771" i="18" a="1"/>
  <c r="C771" i="18" s="1"/>
  <c r="D771" i="18" a="1"/>
  <c r="D771" i="18" s="1"/>
  <c r="A772" i="18" a="1"/>
  <c r="A772" i="18" s="1"/>
  <c r="B772" i="18" a="1"/>
  <c r="B772" i="18" s="1"/>
  <c r="C772" i="18" a="1"/>
  <c r="C772" i="18" s="1"/>
  <c r="D772" i="18" a="1"/>
  <c r="D772" i="18" s="1"/>
  <c r="A773" i="18" a="1"/>
  <c r="A773" i="18"/>
  <c r="B773" i="18" a="1"/>
  <c r="B773" i="18" s="1"/>
  <c r="C773" i="18" a="1"/>
  <c r="C773" i="18" s="1"/>
  <c r="D773" i="18" a="1"/>
  <c r="D773" i="18" s="1"/>
  <c r="A774" i="18" a="1"/>
  <c r="A774" i="18" s="1"/>
  <c r="B774" i="18" a="1"/>
  <c r="B774" i="18" s="1"/>
  <c r="C774" i="18" a="1"/>
  <c r="C774" i="18" s="1"/>
  <c r="D774" i="18" a="1"/>
  <c r="D774" i="18" s="1"/>
  <c r="A775" i="18" a="1"/>
  <c r="A775" i="18" s="1"/>
  <c r="B775" i="18" a="1"/>
  <c r="B775" i="18" s="1"/>
  <c r="C775" i="18" a="1"/>
  <c r="C775" i="18" s="1"/>
  <c r="D775" i="18" a="1"/>
  <c r="D775" i="18" s="1"/>
  <c r="A776" i="18" a="1"/>
  <c r="A776" i="18" s="1"/>
  <c r="B776" i="18" a="1"/>
  <c r="B776" i="18" s="1"/>
  <c r="C776" i="18" a="1"/>
  <c r="C776" i="18" s="1"/>
  <c r="D776" i="18" a="1"/>
  <c r="D776" i="18" s="1"/>
  <c r="A777" i="18" a="1"/>
  <c r="A777" i="18" s="1"/>
  <c r="B777" i="18" a="1"/>
  <c r="B777" i="18" s="1"/>
  <c r="C777" i="18" a="1"/>
  <c r="C777" i="18"/>
  <c r="D777" i="18" a="1"/>
  <c r="D777" i="18" s="1"/>
  <c r="A778" i="18" a="1"/>
  <c r="A778" i="18" s="1"/>
  <c r="B778" i="18" a="1"/>
  <c r="B778" i="18" s="1"/>
  <c r="C778" i="18" a="1"/>
  <c r="C778" i="18" s="1"/>
  <c r="D778" i="18" a="1"/>
  <c r="D778" i="18" s="1"/>
  <c r="A779" i="18" a="1"/>
  <c r="A779" i="18" s="1"/>
  <c r="B779" i="18" a="1"/>
  <c r="B779" i="18" s="1"/>
  <c r="C779" i="18" a="1"/>
  <c r="C779" i="18" s="1"/>
  <c r="D779" i="18" a="1"/>
  <c r="D779" i="18" s="1"/>
  <c r="A780" i="18" a="1"/>
  <c r="A780" i="18" s="1"/>
  <c r="B780" i="18" a="1"/>
  <c r="B780" i="18" s="1"/>
  <c r="C780" i="18" a="1"/>
  <c r="C780" i="18" s="1"/>
  <c r="D780" i="18" a="1"/>
  <c r="D780" i="18" s="1"/>
  <c r="A781" i="18" a="1"/>
  <c r="A781" i="18" s="1"/>
  <c r="B781" i="18" a="1"/>
  <c r="B781" i="18" s="1"/>
  <c r="C781" i="18" a="1"/>
  <c r="C781" i="18" s="1"/>
  <c r="D781" i="18" a="1"/>
  <c r="D781" i="18" s="1"/>
  <c r="A782" i="18" a="1"/>
  <c r="A782" i="18" s="1"/>
  <c r="B782" i="18" a="1"/>
  <c r="B782" i="18"/>
  <c r="C782" i="18" a="1"/>
  <c r="C782" i="18" s="1"/>
  <c r="D782" i="18" a="1"/>
  <c r="D782" i="18" s="1"/>
  <c r="A783" i="18" a="1"/>
  <c r="A783" i="18" s="1"/>
  <c r="B783" i="18" a="1"/>
  <c r="B783" i="18" s="1"/>
  <c r="C783" i="18" a="1"/>
  <c r="C783" i="18" s="1"/>
  <c r="D783" i="18" a="1"/>
  <c r="D783" i="18" s="1"/>
  <c r="A784" i="18" a="1"/>
  <c r="A784" i="18" s="1"/>
  <c r="B784" i="18" a="1"/>
  <c r="B784" i="18" s="1"/>
  <c r="C784" i="18" a="1"/>
  <c r="C784" i="18" s="1"/>
  <c r="D784" i="18" a="1"/>
  <c r="D784" i="18" s="1"/>
  <c r="A785" i="18" a="1"/>
  <c r="A785" i="18" s="1"/>
  <c r="B785" i="18" a="1"/>
  <c r="B785" i="18" s="1"/>
  <c r="C785" i="18" a="1"/>
  <c r="C785" i="18" s="1"/>
  <c r="D785" i="18" a="1"/>
  <c r="D785" i="18" s="1"/>
  <c r="A786" i="18" a="1"/>
  <c r="A786" i="18" s="1"/>
  <c r="B786" i="18" a="1"/>
  <c r="B786" i="18" s="1"/>
  <c r="C786" i="18" a="1"/>
  <c r="C786" i="18" s="1"/>
  <c r="D786" i="18" a="1"/>
  <c r="D786" i="18" s="1"/>
  <c r="A787" i="18" a="1"/>
  <c r="A787" i="18" s="1"/>
  <c r="B787" i="18" a="1"/>
  <c r="B787" i="18" s="1"/>
  <c r="C787" i="18" a="1"/>
  <c r="C787" i="18" s="1"/>
  <c r="D787" i="18" a="1"/>
  <c r="D787" i="18" s="1"/>
  <c r="A788" i="18" a="1"/>
  <c r="A788" i="18" s="1"/>
  <c r="B788" i="18" a="1"/>
  <c r="B788" i="18" s="1"/>
  <c r="C788" i="18" a="1"/>
  <c r="C788" i="18" s="1"/>
  <c r="D788" i="18" a="1"/>
  <c r="D788" i="18" s="1"/>
  <c r="A789" i="18" a="1"/>
  <c r="A789" i="18" s="1"/>
  <c r="B789" i="18" a="1"/>
  <c r="B789" i="18" s="1"/>
  <c r="C789" i="18" a="1"/>
  <c r="C789" i="18" s="1"/>
  <c r="D789" i="18" a="1"/>
  <c r="D789" i="18" s="1"/>
  <c r="A790" i="18" a="1"/>
  <c r="A790" i="18" s="1"/>
  <c r="B790" i="18" a="1"/>
  <c r="B790" i="18" s="1"/>
  <c r="C790" i="18" a="1"/>
  <c r="C790" i="18" s="1"/>
  <c r="D790" i="18" a="1"/>
  <c r="D790" i="18" s="1"/>
  <c r="A791" i="18" a="1"/>
  <c r="A791" i="18" s="1"/>
  <c r="B791" i="18" a="1"/>
  <c r="B791" i="18" s="1"/>
  <c r="C791" i="18" a="1"/>
  <c r="C791" i="18" s="1"/>
  <c r="D791" i="18" a="1"/>
  <c r="D791" i="18" s="1"/>
  <c r="A792" i="18" a="1"/>
  <c r="A792" i="18" s="1"/>
  <c r="B792" i="18" a="1"/>
  <c r="B792" i="18" s="1"/>
  <c r="C792" i="18" a="1"/>
  <c r="C792" i="18"/>
  <c r="D792" i="18" a="1"/>
  <c r="D792" i="18" s="1"/>
  <c r="A793" i="18" a="1"/>
  <c r="A793" i="18" s="1"/>
  <c r="B793" i="18" a="1"/>
  <c r="B793" i="18" s="1"/>
  <c r="C793" i="18" a="1"/>
  <c r="C793" i="18" s="1"/>
  <c r="D793" i="18" a="1"/>
  <c r="D793" i="18" s="1"/>
  <c r="A794" i="18" a="1"/>
  <c r="A794" i="18"/>
  <c r="B794" i="18" a="1"/>
  <c r="B794" i="18" s="1"/>
  <c r="C794" i="18" a="1"/>
  <c r="C794" i="18" s="1"/>
  <c r="D794" i="18" a="1"/>
  <c r="D794" i="18" s="1"/>
  <c r="A795" i="18" a="1"/>
  <c r="A795" i="18" s="1"/>
  <c r="B795" i="18" a="1"/>
  <c r="B795" i="18" s="1"/>
  <c r="C795" i="18" a="1"/>
  <c r="C795" i="18" s="1"/>
  <c r="D795" i="18" a="1"/>
  <c r="D795" i="18" s="1"/>
  <c r="A796" i="18" a="1"/>
  <c r="A796" i="18" s="1"/>
  <c r="B796" i="18" a="1"/>
  <c r="B796" i="18" s="1"/>
  <c r="C796" i="18" a="1"/>
  <c r="C796" i="18" s="1"/>
  <c r="D796" i="18" a="1"/>
  <c r="D796" i="18" s="1"/>
  <c r="A797" i="18" a="1"/>
  <c r="A797" i="18"/>
  <c r="B797" i="18" a="1"/>
  <c r="B797" i="18" s="1"/>
  <c r="C797" i="18" a="1"/>
  <c r="C797" i="18" s="1"/>
  <c r="D797" i="18" a="1"/>
  <c r="D797" i="18" s="1"/>
  <c r="A798" i="18" a="1"/>
  <c r="A798" i="18" s="1"/>
  <c r="B798" i="18" a="1"/>
  <c r="B798" i="18" s="1"/>
  <c r="C798" i="18" a="1"/>
  <c r="C798" i="18" s="1"/>
  <c r="D798" i="18" a="1"/>
  <c r="D798" i="18" s="1"/>
  <c r="A799" i="18" a="1"/>
  <c r="A799" i="18" s="1"/>
  <c r="B799" i="18" a="1"/>
  <c r="B799" i="18" s="1"/>
  <c r="C799" i="18" a="1"/>
  <c r="C799" i="18" s="1"/>
  <c r="D799" i="18" a="1"/>
  <c r="D799" i="18" s="1"/>
  <c r="A800" i="18" a="1"/>
  <c r="A800" i="18" s="1"/>
  <c r="B800" i="18" a="1"/>
  <c r="B800" i="18" s="1"/>
  <c r="C800" i="18" a="1"/>
  <c r="C800" i="18" s="1"/>
  <c r="D800" i="18" a="1"/>
  <c r="D800" i="18" s="1"/>
  <c r="A801" i="18" a="1"/>
  <c r="A801" i="18" s="1"/>
  <c r="B801" i="18" a="1"/>
  <c r="B801" i="18" s="1"/>
  <c r="C801" i="18" a="1"/>
  <c r="C801" i="18" s="1"/>
  <c r="D801" i="18" a="1"/>
  <c r="D801" i="18" s="1"/>
  <c r="A802" i="18" a="1"/>
  <c r="A802" i="18" s="1"/>
  <c r="B802" i="18" a="1"/>
  <c r="B802" i="18" s="1"/>
  <c r="C802" i="18" a="1"/>
  <c r="C802" i="18" s="1"/>
  <c r="D802" i="18" a="1"/>
  <c r="D802" i="18" s="1"/>
  <c r="A803" i="18" a="1"/>
  <c r="A803" i="18" s="1"/>
  <c r="B803" i="18" a="1"/>
  <c r="B803" i="18" s="1"/>
  <c r="C803" i="18" a="1"/>
  <c r="C803" i="18" s="1"/>
  <c r="D803" i="18" a="1"/>
  <c r="D803" i="18" s="1"/>
  <c r="A804" i="18" a="1"/>
  <c r="A804" i="18" s="1"/>
  <c r="B804" i="18" a="1"/>
  <c r="B804" i="18" s="1"/>
  <c r="C804" i="18" a="1"/>
  <c r="C804" i="18"/>
  <c r="D804" i="18" a="1"/>
  <c r="D804" i="18"/>
  <c r="A805" i="18" a="1"/>
  <c r="A805" i="18" s="1"/>
  <c r="B805" i="18" a="1"/>
  <c r="B805" i="18" s="1"/>
  <c r="C805" i="18" a="1"/>
  <c r="C805" i="18" s="1"/>
  <c r="D805" i="18" a="1"/>
  <c r="D805" i="18" s="1"/>
  <c r="A806" i="18" a="1"/>
  <c r="A806" i="18" s="1"/>
  <c r="B806" i="18" a="1"/>
  <c r="B806" i="18" s="1"/>
  <c r="C806" i="18" a="1"/>
  <c r="C806" i="18" s="1"/>
  <c r="D806" i="18" a="1"/>
  <c r="D806" i="18" s="1"/>
  <c r="A807" i="18" a="1"/>
  <c r="A807" i="18" s="1"/>
  <c r="B807" i="18" a="1"/>
  <c r="B807" i="18" s="1"/>
  <c r="C807" i="18" a="1"/>
  <c r="C807" i="18"/>
  <c r="D807" i="18" a="1"/>
  <c r="D807" i="18" s="1"/>
  <c r="A808" i="18" a="1"/>
  <c r="A808" i="18" s="1"/>
  <c r="B808" i="18" a="1"/>
  <c r="B808" i="18" s="1"/>
  <c r="C808" i="18" a="1"/>
  <c r="C808" i="18" s="1"/>
  <c r="D808" i="18" a="1"/>
  <c r="D808" i="18" s="1"/>
  <c r="A809" i="18" a="1"/>
  <c r="A809" i="18" s="1"/>
  <c r="B809" i="18" a="1"/>
  <c r="B809" i="18" s="1"/>
  <c r="C809" i="18" a="1"/>
  <c r="C809" i="18" s="1"/>
  <c r="D809" i="18" a="1"/>
  <c r="D809" i="18" s="1"/>
  <c r="A810" i="18" a="1"/>
  <c r="A810" i="18" s="1"/>
  <c r="B810" i="18" a="1"/>
  <c r="B810" i="18" s="1"/>
  <c r="C810" i="18" a="1"/>
  <c r="C810" i="18" s="1"/>
  <c r="D810" i="18" a="1"/>
  <c r="D810" i="18" s="1"/>
  <c r="A811" i="18" a="1"/>
  <c r="A811" i="18" s="1"/>
  <c r="B811" i="18" a="1"/>
  <c r="B811" i="18" s="1"/>
  <c r="C811" i="18" a="1"/>
  <c r="C811" i="18" s="1"/>
  <c r="D811" i="18" a="1"/>
  <c r="D811" i="18" s="1"/>
  <c r="A812" i="18" a="1"/>
  <c r="A812" i="18" s="1"/>
  <c r="B812" i="18" a="1"/>
  <c r="B812" i="18" s="1"/>
  <c r="C812" i="18" a="1"/>
  <c r="C812" i="18" s="1"/>
  <c r="D812" i="18" a="1"/>
  <c r="D812" i="18" s="1"/>
  <c r="A813" i="18" a="1"/>
  <c r="A813" i="18" s="1"/>
  <c r="B813" i="18" a="1"/>
  <c r="B813" i="18" s="1"/>
  <c r="C813" i="18" a="1"/>
  <c r="C813" i="18" s="1"/>
  <c r="D813" i="18" a="1"/>
  <c r="D813" i="18" s="1"/>
  <c r="A814" i="18" a="1"/>
  <c r="A814" i="18" s="1"/>
  <c r="B814" i="18" a="1"/>
  <c r="B814" i="18" s="1"/>
  <c r="C814" i="18" a="1"/>
  <c r="C814" i="18" s="1"/>
  <c r="D814" i="18" a="1"/>
  <c r="D814" i="18" s="1"/>
  <c r="A815" i="18" a="1"/>
  <c r="A815" i="18" s="1"/>
  <c r="B815" i="18" a="1"/>
  <c r="B815" i="18" s="1"/>
  <c r="C815" i="18" a="1"/>
  <c r="C815" i="18" s="1"/>
  <c r="D815" i="18" a="1"/>
  <c r="D815" i="18" s="1"/>
  <c r="A816" i="18" a="1"/>
  <c r="A816" i="18" s="1"/>
  <c r="B816" i="18" a="1"/>
  <c r="B816" i="18" s="1"/>
  <c r="C816" i="18" a="1"/>
  <c r="C816" i="18" s="1"/>
  <c r="D816" i="18" a="1"/>
  <c r="D816" i="18" s="1"/>
  <c r="A817" i="18" a="1"/>
  <c r="A817" i="18" s="1"/>
  <c r="B817" i="18" a="1"/>
  <c r="B817" i="18" s="1"/>
  <c r="C817" i="18" a="1"/>
  <c r="C817" i="18" s="1"/>
  <c r="D817" i="18" a="1"/>
  <c r="D817" i="18" s="1"/>
  <c r="A818" i="18" a="1"/>
  <c r="A818" i="18" s="1"/>
  <c r="B818" i="18" a="1"/>
  <c r="B818" i="18" s="1"/>
  <c r="C818" i="18" a="1"/>
  <c r="C818" i="18" s="1"/>
  <c r="D818" i="18" a="1"/>
  <c r="D818" i="18" s="1"/>
  <c r="A819" i="18" a="1"/>
  <c r="A819" i="18" s="1"/>
  <c r="B819" i="18" a="1"/>
  <c r="B819" i="18" s="1"/>
  <c r="C819" i="18" a="1"/>
  <c r="C819" i="18" s="1"/>
  <c r="D819" i="18" a="1"/>
  <c r="D819" i="18" s="1"/>
  <c r="A820" i="18" a="1"/>
  <c r="A820" i="18" s="1"/>
  <c r="B820" i="18" a="1"/>
  <c r="B820" i="18" s="1"/>
  <c r="C820" i="18" a="1"/>
  <c r="C820" i="18" s="1"/>
  <c r="D820" i="18" a="1"/>
  <c r="D820" i="18" s="1"/>
  <c r="A821" i="18" a="1"/>
  <c r="A821" i="18"/>
  <c r="B821" i="18" a="1"/>
  <c r="B821" i="18" s="1"/>
  <c r="C821" i="18" a="1"/>
  <c r="C821" i="18" s="1"/>
  <c r="D821" i="18" a="1"/>
  <c r="D821" i="18" s="1"/>
  <c r="A822" i="18" a="1"/>
  <c r="A822" i="18" s="1"/>
  <c r="B822" i="18" a="1"/>
  <c r="B822" i="18" s="1"/>
  <c r="C822" i="18" a="1"/>
  <c r="C822" i="18" s="1"/>
  <c r="D822" i="18" a="1"/>
  <c r="D822" i="18" s="1"/>
  <c r="A823" i="18" a="1"/>
  <c r="A823" i="18" s="1"/>
  <c r="B823" i="18" a="1"/>
  <c r="B823" i="18" s="1"/>
  <c r="C823" i="18" a="1"/>
  <c r="C823" i="18" s="1"/>
  <c r="D823" i="18" a="1"/>
  <c r="D823" i="18" s="1"/>
  <c r="A824" i="18" a="1"/>
  <c r="A824" i="18"/>
  <c r="B824" i="18" a="1"/>
  <c r="B824" i="18" s="1"/>
  <c r="C824" i="18" a="1"/>
  <c r="C824" i="18" s="1"/>
  <c r="D824" i="18" a="1"/>
  <c r="D824" i="18" s="1"/>
  <c r="A825" i="18" a="1"/>
  <c r="A825" i="18" s="1"/>
  <c r="B825" i="18" a="1"/>
  <c r="B825" i="18" s="1"/>
  <c r="C825" i="18" a="1"/>
  <c r="C825" i="18"/>
  <c r="D825" i="18" a="1"/>
  <c r="D825" i="18" s="1"/>
  <c r="A826" i="18" a="1"/>
  <c r="A826" i="18" s="1"/>
  <c r="B826" i="18" a="1"/>
  <c r="B826" i="18" s="1"/>
  <c r="C826" i="18" a="1"/>
  <c r="C826" i="18" s="1"/>
  <c r="D826" i="18" a="1"/>
  <c r="D826" i="18" s="1"/>
  <c r="A827" i="18" a="1"/>
  <c r="A827" i="18" s="1"/>
  <c r="B827" i="18" a="1"/>
  <c r="B827" i="18" s="1"/>
  <c r="C827" i="18" a="1"/>
  <c r="C827" i="18" s="1"/>
  <c r="D827" i="18" a="1"/>
  <c r="D827" i="18" s="1"/>
  <c r="A828" i="18" a="1"/>
  <c r="A828" i="18" s="1"/>
  <c r="B828" i="18" a="1"/>
  <c r="B828" i="18" s="1"/>
  <c r="C828" i="18" a="1"/>
  <c r="C828" i="18" s="1"/>
  <c r="D828" i="18" a="1"/>
  <c r="D828" i="18" s="1"/>
  <c r="A829" i="18" a="1"/>
  <c r="A829" i="18" s="1"/>
  <c r="B829" i="18" a="1"/>
  <c r="B829" i="18" s="1"/>
  <c r="C829" i="18" a="1"/>
  <c r="C829" i="18" s="1"/>
  <c r="D829" i="18" a="1"/>
  <c r="D829" i="18" s="1"/>
  <c r="A830" i="18" a="1"/>
  <c r="A830" i="18" s="1"/>
  <c r="B830" i="18" a="1"/>
  <c r="B830" i="18" s="1"/>
  <c r="C830" i="18" a="1"/>
  <c r="C830" i="18" s="1"/>
  <c r="D830" i="18" a="1"/>
  <c r="D830" i="18" s="1"/>
  <c r="A831" i="18" a="1"/>
  <c r="A831" i="18" s="1"/>
  <c r="B831" i="18" a="1"/>
  <c r="B831" i="18" s="1"/>
  <c r="C831" i="18" a="1"/>
  <c r="C831" i="18" s="1"/>
  <c r="D831" i="18" a="1"/>
  <c r="D831" i="18"/>
  <c r="A832" i="18" a="1"/>
  <c r="A832" i="18" s="1"/>
  <c r="B832" i="18" a="1"/>
  <c r="B832" i="18" s="1"/>
  <c r="C832" i="18" a="1"/>
  <c r="C832" i="18" s="1"/>
  <c r="D832" i="18" a="1"/>
  <c r="D832" i="18" s="1"/>
  <c r="A833" i="18" a="1"/>
  <c r="A833" i="18" s="1"/>
  <c r="B833" i="18" a="1"/>
  <c r="B833" i="18" s="1"/>
  <c r="C833" i="18" a="1"/>
  <c r="C833" i="18" s="1"/>
  <c r="D833" i="18" a="1"/>
  <c r="D833" i="18" s="1"/>
  <c r="A834" i="18" a="1"/>
  <c r="A834" i="18" s="1"/>
  <c r="B834" i="18" a="1"/>
  <c r="B834" i="18" s="1"/>
  <c r="C834" i="18" a="1"/>
  <c r="C834" i="18"/>
  <c r="D834" i="18" a="1"/>
  <c r="D834" i="18" s="1"/>
  <c r="A835" i="18" a="1"/>
  <c r="A835" i="18" s="1"/>
  <c r="B835" i="18" a="1"/>
  <c r="B835" i="18" s="1"/>
  <c r="C835" i="18" a="1"/>
  <c r="C835" i="18" s="1"/>
  <c r="D835" i="18" a="1"/>
  <c r="D835" i="18" s="1"/>
  <c r="A836" i="18" a="1"/>
  <c r="A836" i="18" s="1"/>
  <c r="B836" i="18" a="1"/>
  <c r="B836" i="18" s="1"/>
  <c r="C836" i="18" a="1"/>
  <c r="C836" i="18" s="1"/>
  <c r="D836" i="18" a="1"/>
  <c r="D836" i="18" s="1"/>
  <c r="A837" i="18" a="1"/>
  <c r="A837" i="18" s="1"/>
  <c r="B837" i="18" a="1"/>
  <c r="B837" i="18" s="1"/>
  <c r="C837" i="18" a="1"/>
  <c r="C837" i="18" s="1"/>
  <c r="D837" i="18" a="1"/>
  <c r="D837" i="18" s="1"/>
  <c r="A838" i="18" a="1"/>
  <c r="A838" i="18" s="1"/>
  <c r="B838" i="18" a="1"/>
  <c r="B838" i="18" s="1"/>
  <c r="C838" i="18" a="1"/>
  <c r="C838" i="18" s="1"/>
  <c r="D838" i="18" a="1"/>
  <c r="D838" i="18" s="1"/>
  <c r="A839" i="18" a="1"/>
  <c r="A839" i="18" s="1"/>
  <c r="B839" i="18" a="1"/>
  <c r="B839" i="18" s="1"/>
  <c r="C839" i="18" a="1"/>
  <c r="C839" i="18" s="1"/>
  <c r="D839" i="18" a="1"/>
  <c r="D839" i="18" s="1"/>
  <c r="A840" i="18" a="1"/>
  <c r="A840" i="18" s="1"/>
  <c r="B840" i="18" a="1"/>
  <c r="B840" i="18" s="1"/>
  <c r="C840" i="18" a="1"/>
  <c r="C840" i="18" s="1"/>
  <c r="D840" i="18" a="1"/>
  <c r="D840" i="18" s="1"/>
  <c r="A841" i="18" a="1"/>
  <c r="A841" i="18" s="1"/>
  <c r="B841" i="18" a="1"/>
  <c r="B841" i="18" s="1"/>
  <c r="C841" i="18" a="1"/>
  <c r="C841" i="18" s="1"/>
  <c r="D841" i="18" a="1"/>
  <c r="D841" i="18" s="1"/>
  <c r="A842" i="18" a="1"/>
  <c r="A842" i="18" s="1"/>
  <c r="B842" i="18" a="1"/>
  <c r="B842" i="18" s="1"/>
  <c r="C842" i="18" a="1"/>
  <c r="C842" i="18" s="1"/>
  <c r="D842" i="18" a="1"/>
  <c r="D842" i="18" s="1"/>
  <c r="A843" i="18" a="1"/>
  <c r="A843" i="18" s="1"/>
  <c r="B843" i="18" a="1"/>
  <c r="B843" i="18" s="1"/>
  <c r="C843" i="18" a="1"/>
  <c r="C843" i="18" s="1"/>
  <c r="D843" i="18" a="1"/>
  <c r="D843" i="18" s="1"/>
  <c r="A844" i="18" a="1"/>
  <c r="A844" i="18" s="1"/>
  <c r="B844" i="18" a="1"/>
  <c r="B844" i="18" s="1"/>
  <c r="C844" i="18" a="1"/>
  <c r="C844" i="18" s="1"/>
  <c r="D844" i="18" a="1"/>
  <c r="D844" i="18" s="1"/>
  <c r="A845" i="18" a="1"/>
  <c r="A845" i="18" s="1"/>
  <c r="B845" i="18" a="1"/>
  <c r="B845" i="18" s="1"/>
  <c r="C845" i="18" a="1"/>
  <c r="C845" i="18" s="1"/>
  <c r="D845" i="18" a="1"/>
  <c r="D845" i="18"/>
  <c r="A846" i="18" a="1"/>
  <c r="A846" i="18" s="1"/>
  <c r="B846" i="18" a="1"/>
  <c r="B846" i="18" s="1"/>
  <c r="C846" i="18" a="1"/>
  <c r="C846" i="18" s="1"/>
  <c r="D846" i="18" a="1"/>
  <c r="D846" i="18" s="1"/>
  <c r="A847" i="18" a="1"/>
  <c r="A847" i="18" s="1"/>
  <c r="B847" i="18" a="1"/>
  <c r="B847" i="18" s="1"/>
  <c r="C847" i="18" a="1"/>
  <c r="C847" i="18" s="1"/>
  <c r="D847" i="18" a="1"/>
  <c r="D847" i="18" s="1"/>
  <c r="A848" i="18" a="1"/>
  <c r="A848" i="18"/>
  <c r="B848" i="18" a="1"/>
  <c r="B848" i="18" s="1"/>
  <c r="C848" i="18" a="1"/>
  <c r="C848" i="18" s="1"/>
  <c r="D848" i="18" a="1"/>
  <c r="D848" i="18" s="1"/>
  <c r="A849" i="18" a="1"/>
  <c r="A849" i="18" s="1"/>
  <c r="B849" i="18" a="1"/>
  <c r="B849" i="18" s="1"/>
  <c r="C849" i="18" a="1"/>
  <c r="C849" i="18"/>
  <c r="D849" i="18" a="1"/>
  <c r="D849" i="18" s="1"/>
  <c r="A850" i="18" a="1"/>
  <c r="A850" i="18" s="1"/>
  <c r="B850" i="18" a="1"/>
  <c r="B850" i="18" s="1"/>
  <c r="C850" i="18" a="1"/>
  <c r="C850" i="18" s="1"/>
  <c r="D850" i="18" a="1"/>
  <c r="D850" i="18" s="1"/>
  <c r="A851" i="18" a="1"/>
  <c r="A851" i="18" s="1"/>
  <c r="B851" i="18" a="1"/>
  <c r="B851" i="18" s="1"/>
  <c r="C851" i="18" a="1"/>
  <c r="C851" i="18" s="1"/>
  <c r="D851" i="18" a="1"/>
  <c r="D851" i="18" s="1"/>
  <c r="A852" i="18" a="1"/>
  <c r="A852" i="18" s="1"/>
  <c r="B852" i="18" a="1"/>
  <c r="B852" i="18" s="1"/>
  <c r="C852" i="18" a="1"/>
  <c r="C852" i="18" s="1"/>
  <c r="D852" i="18" a="1"/>
  <c r="D852" i="18" s="1"/>
  <c r="A853" i="18" a="1"/>
  <c r="A853" i="18" s="1"/>
  <c r="B853" i="18" a="1"/>
  <c r="B853" i="18" s="1"/>
  <c r="C853" i="18" a="1"/>
  <c r="C853" i="18" s="1"/>
  <c r="D853" i="18" a="1"/>
  <c r="D853" i="18" s="1"/>
  <c r="A854" i="18" a="1"/>
  <c r="A854" i="18" s="1"/>
  <c r="B854" i="18" a="1"/>
  <c r="B854" i="18" s="1"/>
  <c r="C854" i="18" a="1"/>
  <c r="C854" i="18"/>
  <c r="D854" i="18" a="1"/>
  <c r="D854" i="18" s="1"/>
  <c r="A855" i="18" a="1"/>
  <c r="A855" i="18" s="1"/>
  <c r="B855" i="18" a="1"/>
  <c r="B855" i="18" s="1"/>
  <c r="C855" i="18" a="1"/>
  <c r="C855" i="18"/>
  <c r="D855" i="18" a="1"/>
  <c r="D855" i="18" s="1"/>
  <c r="A856" i="18" a="1"/>
  <c r="A856" i="18" s="1"/>
  <c r="B856" i="18" a="1"/>
  <c r="B856" i="18" s="1"/>
  <c r="C856" i="18" a="1"/>
  <c r="C856" i="18" s="1"/>
  <c r="D856" i="18" a="1"/>
  <c r="D856" i="18" s="1"/>
  <c r="A857" i="18" a="1"/>
  <c r="A857" i="18" s="1"/>
  <c r="B857" i="18" a="1"/>
  <c r="B857" i="18" s="1"/>
  <c r="C857" i="18" a="1"/>
  <c r="C857" i="18" s="1"/>
  <c r="D857" i="18" a="1"/>
  <c r="D857" i="18" s="1"/>
  <c r="A858" i="18" a="1"/>
  <c r="A858" i="18" s="1"/>
  <c r="B858" i="18" a="1"/>
  <c r="B858" i="18" s="1"/>
  <c r="C858" i="18" a="1"/>
  <c r="C858" i="18" s="1"/>
  <c r="D858" i="18" a="1"/>
  <c r="D858" i="18"/>
  <c r="A859" i="18" a="1"/>
  <c r="A859" i="18"/>
  <c r="B859" i="18" a="1"/>
  <c r="B859" i="18" s="1"/>
  <c r="C859" i="18" a="1"/>
  <c r="C859" i="18" s="1"/>
  <c r="D859" i="18" a="1"/>
  <c r="D859" i="18" s="1"/>
  <c r="A860" i="18" a="1"/>
  <c r="A860" i="18" s="1"/>
  <c r="B860" i="18" a="1"/>
  <c r="B860" i="18"/>
  <c r="C860" i="18" a="1"/>
  <c r="C860" i="18" s="1"/>
  <c r="D860" i="18" a="1"/>
  <c r="D860" i="18" s="1"/>
  <c r="A861" i="18" a="1"/>
  <c r="A861" i="18" s="1"/>
  <c r="B861" i="18" a="1"/>
  <c r="B861" i="18" s="1"/>
  <c r="C861" i="18" a="1"/>
  <c r="C861" i="18" s="1"/>
  <c r="D861" i="18" a="1"/>
  <c r="D861" i="18" s="1"/>
  <c r="A862" i="18" a="1"/>
  <c r="A862" i="18" s="1"/>
  <c r="B862" i="18" a="1"/>
  <c r="B862" i="18" s="1"/>
  <c r="C862" i="18" a="1"/>
  <c r="C862" i="18" s="1"/>
  <c r="D862" i="18" a="1"/>
  <c r="D862" i="18" s="1"/>
  <c r="A863" i="18" a="1"/>
  <c r="A863" i="18" s="1"/>
  <c r="B863" i="18" a="1"/>
  <c r="B863" i="18" s="1"/>
  <c r="C863" i="18" a="1"/>
  <c r="C863" i="18" s="1"/>
  <c r="D863" i="18" a="1"/>
  <c r="D863" i="18" s="1"/>
  <c r="A864" i="18" a="1"/>
  <c r="A864" i="18" s="1"/>
  <c r="B864" i="18" a="1"/>
  <c r="B864" i="18" s="1"/>
  <c r="C864" i="18" a="1"/>
  <c r="C864" i="18" s="1"/>
  <c r="D864" i="18" a="1"/>
  <c r="D864" i="18" s="1"/>
  <c r="A865" i="18" a="1"/>
  <c r="A865" i="18" s="1"/>
  <c r="B865" i="18" a="1"/>
  <c r="B865" i="18" s="1"/>
  <c r="C865" i="18" a="1"/>
  <c r="C865" i="18" s="1"/>
  <c r="D865" i="18" a="1"/>
  <c r="D865" i="18" s="1"/>
  <c r="A866" i="18" a="1"/>
  <c r="A866" i="18"/>
  <c r="B866" i="18" a="1"/>
  <c r="B866" i="18"/>
  <c r="C866" i="18" a="1"/>
  <c r="C866" i="18" s="1"/>
  <c r="D866" i="18" a="1"/>
  <c r="D866" i="18" s="1"/>
  <c r="A867" i="18" a="1"/>
  <c r="A867" i="18" s="1"/>
  <c r="B867" i="18" a="1"/>
  <c r="B867" i="18" s="1"/>
  <c r="C867" i="18" a="1"/>
  <c r="C867" i="18"/>
  <c r="D867" i="18" a="1"/>
  <c r="D867" i="18" s="1"/>
  <c r="A868" i="18" a="1"/>
  <c r="A868" i="18" s="1"/>
  <c r="B868" i="18" a="1"/>
  <c r="B868" i="18" s="1"/>
  <c r="C868" i="18" a="1"/>
  <c r="C868" i="18" s="1"/>
  <c r="D868" i="18" a="1"/>
  <c r="D868" i="18" s="1"/>
  <c r="A869" i="18" a="1"/>
  <c r="A869" i="18" s="1"/>
  <c r="B869" i="18" a="1"/>
  <c r="B869" i="18" s="1"/>
  <c r="C869" i="18" a="1"/>
  <c r="C869" i="18" s="1"/>
  <c r="D869" i="18" a="1"/>
  <c r="D869" i="18" s="1"/>
  <c r="A870" i="18" a="1"/>
  <c r="A870" i="18" s="1"/>
  <c r="B870" i="18" a="1"/>
  <c r="B870" i="18" s="1"/>
  <c r="C870" i="18" a="1"/>
  <c r="C870" i="18"/>
  <c r="D870" i="18" a="1"/>
  <c r="D870" i="18" s="1"/>
  <c r="A871" i="18" a="1"/>
  <c r="A871" i="18" s="1"/>
  <c r="B871" i="18" a="1"/>
  <c r="B871" i="18"/>
  <c r="C871" i="18" a="1"/>
  <c r="C871" i="18" s="1"/>
  <c r="D871" i="18" a="1"/>
  <c r="D871" i="18" s="1"/>
  <c r="A872" i="18" a="1"/>
  <c r="A872" i="18"/>
  <c r="B872" i="18" a="1"/>
  <c r="B872" i="18"/>
  <c r="C872" i="18" a="1"/>
  <c r="C872" i="18" s="1"/>
  <c r="D872" i="18" a="1"/>
  <c r="D872" i="18" s="1"/>
  <c r="A873" i="18" a="1"/>
  <c r="A873" i="18" s="1"/>
  <c r="B873" i="18" a="1"/>
  <c r="B873" i="18" s="1"/>
  <c r="C873" i="18" a="1"/>
  <c r="C873" i="18"/>
  <c r="D873" i="18" a="1"/>
  <c r="D873" i="18" s="1"/>
  <c r="A874" i="18" a="1"/>
  <c r="A874" i="18" s="1"/>
  <c r="B874" i="18" a="1"/>
  <c r="B874" i="18" s="1"/>
  <c r="C874" i="18" a="1"/>
  <c r="C874" i="18"/>
  <c r="D874" i="18" a="1"/>
  <c r="D874" i="18" s="1"/>
  <c r="A875" i="18" a="1"/>
  <c r="A875" i="18" s="1"/>
  <c r="B875" i="18" a="1"/>
  <c r="B875" i="18"/>
  <c r="C875" i="18" a="1"/>
  <c r="C875" i="18" s="1"/>
  <c r="D875" i="18" a="1"/>
  <c r="D875" i="18" s="1"/>
  <c r="A876" i="18" a="1"/>
  <c r="A876" i="18" s="1"/>
  <c r="B876" i="18" a="1"/>
  <c r="B876" i="18" s="1"/>
  <c r="C876" i="18" a="1"/>
  <c r="C876" i="18"/>
  <c r="D876" i="18" a="1"/>
  <c r="D876" i="18" s="1"/>
  <c r="A877" i="18" a="1"/>
  <c r="A877" i="18" s="1"/>
  <c r="B877" i="18" a="1"/>
  <c r="B877" i="18" s="1"/>
  <c r="C877" i="18" a="1"/>
  <c r="C877" i="18" s="1"/>
  <c r="D877" i="18" a="1"/>
  <c r="D877" i="18" s="1"/>
  <c r="A878" i="18" a="1"/>
  <c r="A878" i="18" s="1"/>
  <c r="B878" i="18" a="1"/>
  <c r="B878" i="18"/>
  <c r="C878" i="18" a="1"/>
  <c r="C878" i="18" s="1"/>
  <c r="D878" i="18" a="1"/>
  <c r="D878" i="18"/>
  <c r="A879" i="18" a="1"/>
  <c r="A879" i="18" s="1"/>
  <c r="B879" i="18" a="1"/>
  <c r="B879" i="18" s="1"/>
  <c r="C879" i="18" a="1"/>
  <c r="C879" i="18" s="1"/>
  <c r="D879" i="18" a="1"/>
  <c r="D879" i="18" s="1"/>
  <c r="A880" i="18" a="1"/>
  <c r="A880" i="18" s="1"/>
  <c r="B880" i="18" a="1"/>
  <c r="B880" i="18" s="1"/>
  <c r="C880" i="18" a="1"/>
  <c r="C880" i="18" s="1"/>
  <c r="D880" i="18" a="1"/>
  <c r="D880" i="18" s="1"/>
  <c r="A881" i="18" a="1"/>
  <c r="A881" i="18" s="1"/>
  <c r="B881" i="18" a="1"/>
  <c r="B881" i="18" s="1"/>
  <c r="C881" i="18" a="1"/>
  <c r="C881" i="18"/>
  <c r="D881" i="18" a="1"/>
  <c r="D881" i="18" s="1"/>
  <c r="A882" i="18" a="1"/>
  <c r="A882" i="18" s="1"/>
  <c r="B882" i="18" a="1"/>
  <c r="B882" i="18" s="1"/>
  <c r="C882" i="18" a="1"/>
  <c r="C882" i="18" s="1"/>
  <c r="D882" i="18" a="1"/>
  <c r="D882" i="18" s="1"/>
  <c r="A883" i="18" a="1"/>
  <c r="A883" i="18" s="1"/>
  <c r="B883" i="18" a="1"/>
  <c r="B883" i="18" s="1"/>
  <c r="C883" i="18" a="1"/>
  <c r="C883" i="18" s="1"/>
  <c r="D883" i="18" a="1"/>
  <c r="D883" i="18" s="1"/>
  <c r="A884" i="18" a="1"/>
  <c r="A884" i="18"/>
  <c r="B884" i="18" a="1"/>
  <c r="B884" i="18" s="1"/>
  <c r="C884" i="18" a="1"/>
  <c r="C884" i="18" s="1"/>
  <c r="D884" i="18" a="1"/>
  <c r="D884" i="18" s="1"/>
  <c r="A885" i="18" a="1"/>
  <c r="A885" i="18" s="1"/>
  <c r="B885" i="18" a="1"/>
  <c r="B885" i="18" s="1"/>
  <c r="C885" i="18" a="1"/>
  <c r="C885" i="18" s="1"/>
  <c r="D885" i="18" a="1"/>
  <c r="D885" i="18"/>
  <c r="A886" i="18" a="1"/>
  <c r="A886" i="18"/>
  <c r="B886" i="18" a="1"/>
  <c r="B886" i="18" s="1"/>
  <c r="C886" i="18" a="1"/>
  <c r="C886" i="18" s="1"/>
  <c r="D886" i="18" a="1"/>
  <c r="D886" i="18" s="1"/>
  <c r="A887" i="18" a="1"/>
  <c r="A887" i="18" s="1"/>
  <c r="B887" i="18" a="1"/>
  <c r="B887" i="18" s="1"/>
  <c r="C887" i="18" a="1"/>
  <c r="C887" i="18" s="1"/>
  <c r="D887" i="18" a="1"/>
  <c r="D887" i="18" s="1"/>
  <c r="A888" i="18" a="1"/>
  <c r="A888" i="18" s="1"/>
  <c r="B888" i="18" a="1"/>
  <c r="B888" i="18" s="1"/>
  <c r="C888" i="18" a="1"/>
  <c r="C888" i="18"/>
  <c r="D888" i="18" a="1"/>
  <c r="D888" i="18" s="1"/>
  <c r="A889" i="18" a="1"/>
  <c r="A889" i="18" s="1"/>
  <c r="B889" i="18" a="1"/>
  <c r="B889" i="18"/>
  <c r="C889" i="18" a="1"/>
  <c r="C889" i="18" s="1"/>
  <c r="D889" i="18" a="1"/>
  <c r="D889" i="18" s="1"/>
  <c r="A890" i="18" a="1"/>
  <c r="A890" i="18" s="1"/>
  <c r="B890" i="18" a="1"/>
  <c r="B890" i="18" s="1"/>
  <c r="C890" i="18" a="1"/>
  <c r="C890" i="18" s="1"/>
  <c r="D890" i="18" a="1"/>
  <c r="D890" i="18" s="1"/>
  <c r="A891" i="18" a="1"/>
  <c r="A891" i="18"/>
  <c r="B891" i="18" a="1"/>
  <c r="B891" i="18" s="1"/>
  <c r="C891" i="18" a="1"/>
  <c r="C891" i="18"/>
  <c r="D891" i="18" a="1"/>
  <c r="D891" i="18" s="1"/>
  <c r="A892" i="18" a="1"/>
  <c r="A892" i="18" s="1"/>
  <c r="B892" i="18" a="1"/>
  <c r="B892" i="18" s="1"/>
  <c r="C892" i="18" a="1"/>
  <c r="C892" i="18" s="1"/>
  <c r="D892" i="18" a="1"/>
  <c r="D892" i="18" s="1"/>
  <c r="A893" i="18" a="1"/>
  <c r="A893" i="18" s="1"/>
  <c r="B893" i="18" a="1"/>
  <c r="B893" i="18"/>
  <c r="C893" i="18" a="1"/>
  <c r="C893" i="18" s="1"/>
  <c r="D893" i="18" a="1"/>
  <c r="D893" i="18" s="1"/>
  <c r="A894" i="18" a="1"/>
  <c r="A894" i="18" s="1"/>
  <c r="B894" i="18" a="1"/>
  <c r="B894" i="18" s="1"/>
  <c r="C894" i="18" a="1"/>
  <c r="C894" i="18"/>
  <c r="D894" i="18" a="1"/>
  <c r="D894" i="18" s="1"/>
  <c r="A895" i="18" a="1"/>
  <c r="A895" i="18" s="1"/>
  <c r="B895" i="18" a="1"/>
  <c r="B895" i="18"/>
  <c r="C895" i="18" a="1"/>
  <c r="C895" i="18" s="1"/>
  <c r="D895" i="18" a="1"/>
  <c r="D895" i="18" s="1"/>
  <c r="A896" i="18" a="1"/>
  <c r="A896" i="18" s="1"/>
  <c r="B896" i="18" a="1"/>
  <c r="B896" i="18" s="1"/>
  <c r="C896" i="18" a="1"/>
  <c r="C896" i="18" s="1"/>
  <c r="D896" i="18" a="1"/>
  <c r="D896" i="18" s="1"/>
  <c r="A897" i="18" a="1"/>
  <c r="A897" i="18" s="1"/>
  <c r="B897" i="18" a="1"/>
  <c r="B897" i="18" s="1"/>
  <c r="C897" i="18" a="1"/>
  <c r="C897" i="18" s="1"/>
  <c r="D897" i="18" a="1"/>
  <c r="D897" i="18" s="1"/>
  <c r="A898" i="18" a="1"/>
  <c r="A898" i="18" s="1"/>
  <c r="B898" i="18" a="1"/>
  <c r="B898" i="18" s="1"/>
  <c r="C898" i="18" a="1"/>
  <c r="C898" i="18" s="1"/>
  <c r="D898" i="18" a="1"/>
  <c r="D898" i="18" s="1"/>
  <c r="A899" i="18" a="1"/>
  <c r="A899" i="18" s="1"/>
  <c r="B899" i="18" a="1"/>
  <c r="B899" i="18"/>
  <c r="C899" i="18" a="1"/>
  <c r="C899" i="18" s="1"/>
  <c r="D899" i="18" a="1"/>
  <c r="D899" i="18"/>
  <c r="A900" i="18" a="1"/>
  <c r="A900" i="18"/>
  <c r="B900" i="18" a="1"/>
  <c r="B900" i="18" s="1"/>
  <c r="C900" i="18" a="1"/>
  <c r="C900" i="18" s="1"/>
  <c r="D900" i="18" a="1"/>
  <c r="D900" i="18" s="1"/>
  <c r="A901" i="18" a="1"/>
  <c r="A901" i="18" s="1"/>
  <c r="B901" i="18" a="1"/>
  <c r="B901" i="18" s="1"/>
  <c r="C901" i="18" a="1"/>
  <c r="C901" i="18" s="1"/>
  <c r="D901" i="18" a="1"/>
  <c r="D901" i="18" s="1"/>
  <c r="A902" i="18" a="1"/>
  <c r="A902" i="18"/>
  <c r="B902" i="18" a="1"/>
  <c r="B902" i="18" s="1"/>
  <c r="C902" i="18" a="1"/>
  <c r="C902" i="18" s="1"/>
  <c r="D902" i="18" a="1"/>
  <c r="D902" i="18"/>
  <c r="A903" i="18" a="1"/>
  <c r="A903" i="18" s="1"/>
  <c r="B903" i="18" a="1"/>
  <c r="B903" i="18" s="1"/>
  <c r="C903" i="18" a="1"/>
  <c r="C903" i="18" s="1"/>
  <c r="D903" i="18" a="1"/>
  <c r="D903" i="18"/>
  <c r="A904" i="18" a="1"/>
  <c r="A904" i="18" s="1"/>
  <c r="B904" i="18" a="1"/>
  <c r="B904" i="18" s="1"/>
  <c r="C904" i="18" a="1"/>
  <c r="C904" i="18" s="1"/>
  <c r="D904" i="18" a="1"/>
  <c r="D904" i="18" s="1"/>
  <c r="A905" i="18" a="1"/>
  <c r="A905" i="18" s="1"/>
  <c r="B905" i="18" a="1"/>
  <c r="B905" i="18" s="1"/>
  <c r="C905" i="18" a="1"/>
  <c r="C905" i="18" s="1"/>
  <c r="D905" i="18" a="1"/>
  <c r="D905" i="18" s="1"/>
  <c r="A906" i="18" a="1"/>
  <c r="A906" i="18" s="1"/>
  <c r="B906" i="18" a="1"/>
  <c r="B906" i="18" s="1"/>
  <c r="C906" i="18" a="1"/>
  <c r="C906" i="18" s="1"/>
  <c r="D906" i="18" a="1"/>
  <c r="D906" i="18"/>
  <c r="A907" i="18" a="1"/>
  <c r="A907" i="18"/>
  <c r="B907" i="18" a="1"/>
  <c r="B907" i="18" s="1"/>
  <c r="C907" i="18" a="1"/>
  <c r="C907" i="18" s="1"/>
  <c r="D907" i="18" a="1"/>
  <c r="D907" i="18" s="1"/>
  <c r="A908" i="18" a="1"/>
  <c r="A908" i="18" s="1"/>
  <c r="B908" i="18" a="1"/>
  <c r="B908" i="18" s="1"/>
  <c r="C908" i="18" a="1"/>
  <c r="C908" i="18" s="1"/>
  <c r="D908" i="18" a="1"/>
  <c r="D908" i="18" s="1"/>
  <c r="A909" i="18" a="1"/>
  <c r="A909" i="18" s="1"/>
  <c r="B909" i="18" a="1"/>
  <c r="B909" i="18" s="1"/>
  <c r="C909" i="18" a="1"/>
  <c r="C909" i="18"/>
  <c r="D909" i="18" a="1"/>
  <c r="D909" i="18" s="1"/>
  <c r="A910" i="18" a="1"/>
  <c r="A910" i="18" s="1"/>
  <c r="B910" i="18" a="1"/>
  <c r="B910" i="18" s="1"/>
  <c r="C910" i="18" a="1"/>
  <c r="C910" i="18" s="1"/>
  <c r="D910" i="18" a="1"/>
  <c r="D910" i="18" s="1"/>
  <c r="A911" i="18" a="1"/>
  <c r="A911" i="18" s="1"/>
  <c r="B911" i="18" a="1"/>
  <c r="B911" i="18" s="1"/>
  <c r="C911" i="18" a="1"/>
  <c r="C911" i="18" s="1"/>
  <c r="D911" i="18" a="1"/>
  <c r="D911" i="18" s="1"/>
  <c r="A912" i="18" a="1"/>
  <c r="A912" i="18" s="1"/>
  <c r="B912" i="18" a="1"/>
  <c r="B912" i="18" s="1"/>
  <c r="C912" i="18" a="1"/>
  <c r="C912" i="18"/>
  <c r="D912" i="18" a="1"/>
  <c r="D912" i="18" s="1"/>
  <c r="A913" i="18" a="1"/>
  <c r="A913" i="18" s="1"/>
  <c r="B913" i="18" a="1"/>
  <c r="B913" i="18" s="1"/>
  <c r="C913" i="18" a="1"/>
  <c r="C913" i="18"/>
  <c r="D913" i="18" a="1"/>
  <c r="D913" i="18" s="1"/>
  <c r="A914" i="18" a="1"/>
  <c r="A914" i="18"/>
  <c r="B914" i="18" a="1"/>
  <c r="B914" i="18" s="1"/>
  <c r="C914" i="18" a="1"/>
  <c r="C914" i="18" s="1"/>
  <c r="D914" i="18" a="1"/>
  <c r="D914" i="18" s="1"/>
  <c r="A915" i="18" a="1"/>
  <c r="A915" i="18" s="1"/>
  <c r="B915" i="18" a="1"/>
  <c r="B915" i="18" s="1"/>
  <c r="C915" i="18" a="1"/>
  <c r="C915" i="18" s="1"/>
  <c r="D915" i="18" a="1"/>
  <c r="D915" i="18" s="1"/>
  <c r="A916" i="18" a="1"/>
  <c r="A916" i="18" s="1"/>
  <c r="B916" i="18" a="1"/>
  <c r="B916" i="18" s="1"/>
  <c r="C916" i="18" a="1"/>
  <c r="C916" i="18" s="1"/>
  <c r="D916" i="18" a="1"/>
  <c r="D916" i="18" s="1"/>
  <c r="A917" i="18" a="1"/>
  <c r="A917" i="18" s="1"/>
  <c r="B917" i="18" a="1"/>
  <c r="B917" i="18" s="1"/>
  <c r="C917" i="18" a="1"/>
  <c r="C917" i="18" s="1"/>
  <c r="D917" i="18" a="1"/>
  <c r="D917" i="18" s="1"/>
  <c r="A918" i="18" a="1"/>
  <c r="A918" i="18"/>
  <c r="B918" i="18" a="1"/>
  <c r="B918" i="18" s="1"/>
  <c r="C918" i="18" a="1"/>
  <c r="C918" i="18"/>
  <c r="D918" i="18" a="1"/>
  <c r="D918" i="18" s="1"/>
  <c r="A919" i="18" a="1"/>
  <c r="A919" i="18" s="1"/>
  <c r="B919" i="18" a="1"/>
  <c r="B919" i="18" s="1"/>
  <c r="C919" i="18" a="1"/>
  <c r="C919" i="18" s="1"/>
  <c r="D919" i="18" a="1"/>
  <c r="D919" i="18" s="1"/>
  <c r="A920" i="18" a="1"/>
  <c r="A920" i="18" s="1"/>
  <c r="B920" i="18" a="1"/>
  <c r="B920" i="18" s="1"/>
  <c r="C920" i="18" a="1"/>
  <c r="C920" i="18"/>
  <c r="D920" i="18" a="1"/>
  <c r="D920" i="18" s="1"/>
  <c r="A921" i="18" a="1"/>
  <c r="A921" i="18" s="1"/>
  <c r="B921" i="18" a="1"/>
  <c r="B921" i="18" s="1"/>
  <c r="C921" i="18" a="1"/>
  <c r="C921" i="18"/>
  <c r="D921" i="18" a="1"/>
  <c r="D921" i="18" s="1"/>
  <c r="A922" i="18" a="1"/>
  <c r="A922" i="18" s="1"/>
  <c r="B922" i="18" a="1"/>
  <c r="B922" i="18" s="1"/>
  <c r="C922" i="18" a="1"/>
  <c r="C922" i="18" s="1"/>
  <c r="D922" i="18" a="1"/>
  <c r="D922" i="18" s="1"/>
  <c r="A923" i="18" a="1"/>
  <c r="A923" i="18" s="1"/>
  <c r="B923" i="18" a="1"/>
  <c r="B923" i="18" s="1"/>
  <c r="C923" i="18" a="1"/>
  <c r="C923" i="18" s="1"/>
  <c r="D923" i="18" a="1"/>
  <c r="D923" i="18" s="1"/>
  <c r="A924" i="18" a="1"/>
  <c r="A924" i="18" s="1"/>
  <c r="B924" i="18" a="1"/>
  <c r="B924" i="18" s="1"/>
  <c r="C924" i="18" a="1"/>
  <c r="C924" i="18" s="1"/>
  <c r="D924" i="18" a="1"/>
  <c r="D924" i="18" s="1"/>
  <c r="A925" i="18" a="1"/>
  <c r="A925" i="18" s="1"/>
  <c r="B925" i="18" a="1"/>
  <c r="B925" i="18"/>
  <c r="C925" i="18" a="1"/>
  <c r="C925" i="18" s="1"/>
  <c r="D925" i="18" a="1"/>
  <c r="D925" i="18" s="1"/>
  <c r="A926" i="18" a="1"/>
  <c r="A926" i="18" s="1"/>
  <c r="B926" i="18" a="1"/>
  <c r="B926" i="18" s="1"/>
  <c r="C926" i="18" a="1"/>
  <c r="C926" i="18" s="1"/>
  <c r="D926" i="18" a="1"/>
  <c r="D926" i="18" s="1"/>
  <c r="A927" i="18" a="1"/>
  <c r="A927" i="18" s="1"/>
  <c r="B927" i="18" a="1"/>
  <c r="B927" i="18" s="1"/>
  <c r="C927" i="18" a="1"/>
  <c r="C927" i="18"/>
  <c r="D927" i="18" a="1"/>
  <c r="D927" i="18" s="1"/>
  <c r="A928" i="18" a="1"/>
  <c r="A928" i="18" s="1"/>
  <c r="B928" i="18" a="1"/>
  <c r="B928" i="18" s="1"/>
  <c r="C928" i="18" a="1"/>
  <c r="C928" i="18" s="1"/>
  <c r="D928" i="18" a="1"/>
  <c r="D928" i="18" s="1"/>
  <c r="A929" i="18" a="1"/>
  <c r="A929" i="18" s="1"/>
  <c r="B929" i="18" a="1"/>
  <c r="B929" i="18" s="1"/>
  <c r="C929" i="18" a="1"/>
  <c r="C929" i="18" s="1"/>
  <c r="D929" i="18" a="1"/>
  <c r="D929" i="18" s="1"/>
  <c r="A930" i="18" a="1"/>
  <c r="A930" i="18" s="1"/>
  <c r="B930" i="18" a="1"/>
  <c r="B930" i="18" s="1"/>
  <c r="C930" i="18" a="1"/>
  <c r="C930" i="18" s="1"/>
  <c r="D930" i="18" a="1"/>
  <c r="D930" i="18" s="1"/>
  <c r="A931" i="18" a="1"/>
  <c r="A931" i="18" s="1"/>
  <c r="B931" i="18" a="1"/>
  <c r="B931" i="18"/>
  <c r="C931" i="18" a="1"/>
  <c r="C931" i="18" s="1"/>
  <c r="D931" i="18" a="1"/>
  <c r="D931" i="18" s="1"/>
  <c r="A932" i="18" a="1"/>
  <c r="A932" i="18"/>
  <c r="B932" i="18" a="1"/>
  <c r="B932" i="18" s="1"/>
  <c r="C932" i="18" a="1"/>
  <c r="C932" i="18" s="1"/>
  <c r="D932" i="18" a="1"/>
  <c r="D932" i="18" s="1"/>
  <c r="A933" i="18" a="1"/>
  <c r="A933" i="18" s="1"/>
  <c r="B933" i="18" a="1"/>
  <c r="B933" i="18" s="1"/>
  <c r="C933" i="18" a="1"/>
  <c r="C933" i="18" s="1"/>
  <c r="D933" i="18" a="1"/>
  <c r="D933" i="18" s="1"/>
  <c r="A934" i="18" a="1"/>
  <c r="A934" i="18" s="1"/>
  <c r="B934" i="18" a="1"/>
  <c r="B934" i="18" s="1"/>
  <c r="C934" i="18" a="1"/>
  <c r="C934" i="18" s="1"/>
  <c r="D934" i="18" a="1"/>
  <c r="D934" i="18" s="1"/>
  <c r="A935" i="18" a="1"/>
  <c r="A935" i="18" s="1"/>
  <c r="B935" i="18" a="1"/>
  <c r="B935" i="18" s="1"/>
  <c r="C935" i="18" a="1"/>
  <c r="C935" i="18"/>
  <c r="D935" i="18" a="1"/>
  <c r="D935" i="18"/>
  <c r="A936" i="18" a="1"/>
  <c r="A936" i="18" s="1"/>
  <c r="B936" i="18" a="1"/>
  <c r="B936" i="18" s="1"/>
  <c r="C936" i="18" a="1"/>
  <c r="C936" i="18" s="1"/>
  <c r="D936" i="18" a="1"/>
  <c r="D936" i="18"/>
  <c r="A937" i="18" a="1"/>
  <c r="A937" i="18" s="1"/>
  <c r="B937" i="18" a="1"/>
  <c r="B937" i="18" s="1"/>
  <c r="C937" i="18" a="1"/>
  <c r="C937" i="18" s="1"/>
  <c r="D937" i="18" a="1"/>
  <c r="D937" i="18" s="1"/>
  <c r="A938" i="18" a="1"/>
  <c r="A938" i="18" s="1"/>
  <c r="B938" i="18" a="1"/>
  <c r="B938" i="18" s="1"/>
  <c r="C938" i="18" a="1"/>
  <c r="C938" i="18" s="1"/>
  <c r="D938" i="18" a="1"/>
  <c r="D938" i="18" s="1"/>
  <c r="A939" i="18" a="1"/>
  <c r="A939" i="18"/>
  <c r="B939" i="18" a="1"/>
  <c r="B939" i="18" s="1"/>
  <c r="C939" i="18" a="1"/>
  <c r="C939" i="18"/>
  <c r="D939" i="18" a="1"/>
  <c r="D939" i="18" s="1"/>
  <c r="A940" i="18" a="1"/>
  <c r="A940" i="18"/>
  <c r="B940" i="18" a="1"/>
  <c r="B940" i="18" s="1"/>
  <c r="C940" i="18" a="1"/>
  <c r="C940" i="18" s="1"/>
  <c r="D940" i="18" a="1"/>
  <c r="D940" i="18" s="1"/>
  <c r="A941" i="18" a="1"/>
  <c r="A941" i="18" s="1"/>
  <c r="B941" i="18" a="1"/>
  <c r="B941" i="18" s="1"/>
  <c r="C941" i="18" a="1"/>
  <c r="C941" i="18" s="1"/>
  <c r="D941" i="18" a="1"/>
  <c r="D941" i="18" s="1"/>
  <c r="A942" i="18" a="1"/>
  <c r="A942" i="18" s="1"/>
  <c r="B942" i="18" a="1"/>
  <c r="B942" i="18" s="1"/>
  <c r="C942" i="18" a="1"/>
  <c r="C942" i="18" s="1"/>
  <c r="D942" i="18" a="1"/>
  <c r="D942" i="18" s="1"/>
  <c r="A943" i="18" a="1"/>
  <c r="A943" i="18"/>
  <c r="B943" i="18" a="1"/>
  <c r="B943" i="18" s="1"/>
  <c r="C943" i="18" a="1"/>
  <c r="C943" i="18" s="1"/>
  <c r="D943" i="18" a="1"/>
  <c r="D943" i="18" s="1"/>
  <c r="A944" i="18" a="1"/>
  <c r="A944" i="18"/>
  <c r="B944" i="18" a="1"/>
  <c r="B944" i="18" s="1"/>
  <c r="C944" i="18" a="1"/>
  <c r="C944" i="18" s="1"/>
  <c r="D944" i="18" a="1"/>
  <c r="D944" i="18" s="1"/>
  <c r="A945" i="18" a="1"/>
  <c r="A945" i="18"/>
  <c r="B945" i="18" a="1"/>
  <c r="B945" i="18" s="1"/>
  <c r="C945" i="18" a="1"/>
  <c r="C945" i="18" s="1"/>
  <c r="D945" i="18" a="1"/>
  <c r="D945" i="18" s="1"/>
  <c r="A946" i="18" a="1"/>
  <c r="A946" i="18"/>
  <c r="B946" i="18" a="1"/>
  <c r="B946" i="18" s="1"/>
  <c r="C946" i="18" a="1"/>
  <c r="C946" i="18" s="1"/>
  <c r="D946" i="18" a="1"/>
  <c r="D946" i="18" s="1"/>
  <c r="A947" i="18" a="1"/>
  <c r="A947" i="18" s="1"/>
  <c r="B947" i="18" a="1"/>
  <c r="B947" i="18" s="1"/>
  <c r="C947" i="18" a="1"/>
  <c r="C947" i="18" s="1"/>
  <c r="D947" i="18" a="1"/>
  <c r="D947" i="18" s="1"/>
  <c r="A948" i="18" a="1"/>
  <c r="A948" i="18" s="1"/>
  <c r="B948" i="18" a="1"/>
  <c r="B948" i="18" s="1"/>
  <c r="C948" i="18" a="1"/>
  <c r="C948" i="18"/>
  <c r="D948" i="18" a="1"/>
  <c r="D948" i="18" s="1"/>
  <c r="A949" i="18" a="1"/>
  <c r="A949" i="18"/>
  <c r="B949" i="18" a="1"/>
  <c r="B949" i="18" s="1"/>
  <c r="C949" i="18" a="1"/>
  <c r="C949" i="18" s="1"/>
  <c r="D949" i="18" a="1"/>
  <c r="D949" i="18" s="1"/>
  <c r="A950" i="18" a="1"/>
  <c r="A950" i="18" s="1"/>
  <c r="B950" i="18" a="1"/>
  <c r="B950" i="18" s="1"/>
  <c r="C950" i="18" a="1"/>
  <c r="C950" i="18"/>
  <c r="D950" i="18" a="1"/>
  <c r="D950" i="18" s="1"/>
  <c r="A951" i="18" a="1"/>
  <c r="A951" i="18" s="1"/>
  <c r="B951" i="18" a="1"/>
  <c r="B951" i="18" s="1"/>
  <c r="C951" i="18" a="1"/>
  <c r="C951" i="18" s="1"/>
  <c r="D951" i="18" a="1"/>
  <c r="D951" i="18" s="1"/>
  <c r="A952" i="18" a="1"/>
  <c r="A952" i="18" s="1"/>
  <c r="B952" i="18" a="1"/>
  <c r="B952" i="18" s="1"/>
  <c r="C952" i="18" a="1"/>
  <c r="C952" i="18" s="1"/>
  <c r="D952" i="18" a="1"/>
  <c r="D952" i="18" s="1"/>
  <c r="A953" i="18" a="1"/>
  <c r="A953" i="18" s="1"/>
  <c r="B953" i="18" a="1"/>
  <c r="B953" i="18" s="1"/>
  <c r="C953" i="18" a="1"/>
  <c r="C953" i="18" s="1"/>
  <c r="D953" i="18" a="1"/>
  <c r="D953" i="18" s="1"/>
  <c r="A954" i="18" a="1"/>
  <c r="A954" i="18"/>
  <c r="B954" i="18" a="1"/>
  <c r="B954" i="18" s="1"/>
  <c r="C954" i="18" a="1"/>
  <c r="C954" i="18"/>
  <c r="D954" i="18" a="1"/>
  <c r="D954" i="18"/>
  <c r="A955" i="18" a="1"/>
  <c r="A955" i="18" s="1"/>
  <c r="B955" i="18" a="1"/>
  <c r="B955" i="18" s="1"/>
  <c r="C955" i="18" a="1"/>
  <c r="C955" i="18"/>
  <c r="D955" i="18" a="1"/>
  <c r="D955" i="18" s="1"/>
  <c r="A956" i="18" a="1"/>
  <c r="A956" i="18"/>
  <c r="B956" i="18" a="1"/>
  <c r="B956" i="18" s="1"/>
  <c r="C956" i="18" a="1"/>
  <c r="C956" i="18"/>
  <c r="D956" i="18" a="1"/>
  <c r="D956" i="18"/>
  <c r="A957" i="18" a="1"/>
  <c r="A957" i="18" s="1"/>
  <c r="B957" i="18" a="1"/>
  <c r="B957" i="18" s="1"/>
  <c r="C957" i="18" a="1"/>
  <c r="C957" i="18" s="1"/>
  <c r="D957" i="18" a="1"/>
  <c r="D957" i="18"/>
  <c r="A958" i="18" a="1"/>
  <c r="A958" i="18"/>
  <c r="B958" i="18" a="1"/>
  <c r="B958" i="18" s="1"/>
  <c r="C958" i="18" a="1"/>
  <c r="C958" i="18" s="1"/>
  <c r="D958" i="18" a="1"/>
  <c r="D958" i="18" s="1"/>
  <c r="A959" i="18" a="1"/>
  <c r="A959" i="18" s="1"/>
  <c r="B959" i="18" a="1"/>
  <c r="B959" i="18" s="1"/>
  <c r="C959" i="18" a="1"/>
  <c r="C959" i="18" s="1"/>
  <c r="D959" i="18" a="1"/>
  <c r="D959" i="18" s="1"/>
  <c r="A960" i="18" a="1"/>
  <c r="A960" i="18" s="1"/>
  <c r="B960" i="18" a="1"/>
  <c r="B960" i="18" s="1"/>
  <c r="C960" i="18" a="1"/>
  <c r="C960" i="18" s="1"/>
  <c r="D960" i="18" a="1"/>
  <c r="D960" i="18" s="1"/>
  <c r="A961" i="18" a="1"/>
  <c r="A961" i="18" s="1"/>
  <c r="B961" i="18" a="1"/>
  <c r="B961" i="18" s="1"/>
  <c r="C961" i="18" a="1"/>
  <c r="C961" i="18" s="1"/>
  <c r="D961" i="18" a="1"/>
  <c r="D961" i="18" s="1"/>
  <c r="A962" i="18" a="1"/>
  <c r="A962" i="18"/>
  <c r="B962" i="18" a="1"/>
  <c r="B962" i="18" s="1"/>
  <c r="C962" i="18" a="1"/>
  <c r="C962" i="18" s="1"/>
  <c r="D962" i="18" a="1"/>
  <c r="D962" i="18" s="1"/>
  <c r="A963" i="18" a="1"/>
  <c r="A963" i="18" s="1"/>
  <c r="B963" i="18" a="1"/>
  <c r="B963" i="18" s="1"/>
  <c r="C963" i="18" a="1"/>
  <c r="C963" i="18" s="1"/>
  <c r="D963" i="18" a="1"/>
  <c r="D963" i="18" s="1"/>
  <c r="A964" i="18" a="1"/>
  <c r="A964" i="18"/>
  <c r="B964" i="18" a="1"/>
  <c r="B964" i="18" s="1"/>
  <c r="C964" i="18" a="1"/>
  <c r="C964" i="18" s="1"/>
  <c r="D964" i="18" a="1"/>
  <c r="D964" i="18" s="1"/>
  <c r="A965" i="18" a="1"/>
  <c r="A965" i="18" s="1"/>
  <c r="B965" i="18" a="1"/>
  <c r="B965" i="18" s="1"/>
  <c r="C965" i="18" a="1"/>
  <c r="C965" i="18" s="1"/>
  <c r="D965" i="18" a="1"/>
  <c r="D965" i="18" s="1"/>
  <c r="A966" i="18" a="1"/>
  <c r="A966" i="18" s="1"/>
  <c r="B966" i="18" a="1"/>
  <c r="B966" i="18" s="1"/>
  <c r="C966" i="18" a="1"/>
  <c r="C966" i="18"/>
  <c r="D966" i="18" a="1"/>
  <c r="D966" i="18" s="1"/>
  <c r="A967" i="18" a="1"/>
  <c r="A967" i="18" s="1"/>
  <c r="B967" i="18" a="1"/>
  <c r="B967" i="18" s="1"/>
  <c r="C967" i="18" a="1"/>
  <c r="C967" i="18" s="1"/>
  <c r="D967" i="18" a="1"/>
  <c r="D967" i="18" s="1"/>
  <c r="A968" i="18" a="1"/>
  <c r="A968" i="18"/>
  <c r="B968" i="18" a="1"/>
  <c r="B968" i="18" s="1"/>
  <c r="C968" i="18" a="1"/>
  <c r="C968" i="18" s="1"/>
  <c r="D968" i="18" a="1"/>
  <c r="D968" i="18" s="1"/>
  <c r="A969" i="18" a="1"/>
  <c r="A969" i="18" s="1"/>
  <c r="B969" i="18" a="1"/>
  <c r="B969" i="18" s="1"/>
  <c r="C969" i="18" a="1"/>
  <c r="C969" i="18"/>
  <c r="D969" i="18" a="1"/>
  <c r="D969" i="18" s="1"/>
  <c r="A970" i="18" a="1"/>
  <c r="A970" i="18" s="1"/>
  <c r="B970" i="18" a="1"/>
  <c r="B970" i="18"/>
  <c r="C970" i="18" a="1"/>
  <c r="C970" i="18"/>
  <c r="D970" i="18" a="1"/>
  <c r="D970" i="18" s="1"/>
  <c r="A971" i="18" a="1"/>
  <c r="A971" i="18" s="1"/>
  <c r="B971" i="18" a="1"/>
  <c r="B971" i="18" s="1"/>
  <c r="C971" i="18" a="1"/>
  <c r="C971" i="18"/>
  <c r="D971" i="18" a="1"/>
  <c r="D971" i="18"/>
  <c r="A972" i="18" a="1"/>
  <c r="A972" i="18" s="1"/>
  <c r="B972" i="18" a="1"/>
  <c r="B972" i="18" s="1"/>
  <c r="C972" i="18" a="1"/>
  <c r="C972" i="18" s="1"/>
  <c r="D972" i="18" a="1"/>
  <c r="D972" i="18"/>
  <c r="A973" i="18" a="1"/>
  <c r="A973" i="18" s="1"/>
  <c r="B973" i="18" a="1"/>
  <c r="B973" i="18" s="1"/>
  <c r="C973" i="18" a="1"/>
  <c r="C973" i="18" s="1"/>
  <c r="D973" i="18" a="1"/>
  <c r="D973" i="18" s="1"/>
  <c r="A974" i="18" a="1"/>
  <c r="A974" i="18" s="1"/>
  <c r="B974" i="18" a="1"/>
  <c r="B974" i="18" s="1"/>
  <c r="C974" i="18" a="1"/>
  <c r="C974" i="18" s="1"/>
  <c r="D974" i="18" a="1"/>
  <c r="D974" i="18" s="1"/>
  <c r="A975" i="18" a="1"/>
  <c r="A975" i="18"/>
  <c r="B975" i="18" a="1"/>
  <c r="B975" i="18" s="1"/>
  <c r="C975" i="18" a="1"/>
  <c r="C975" i="18" s="1"/>
  <c r="D975" i="18" a="1"/>
  <c r="D975" i="18" s="1"/>
  <c r="A976" i="18" a="1"/>
  <c r="A976" i="18" s="1"/>
  <c r="B976" i="18" a="1"/>
  <c r="B976" i="18" s="1"/>
  <c r="C976" i="18" a="1"/>
  <c r="C976" i="18" s="1"/>
  <c r="D976" i="18" a="1"/>
  <c r="D976" i="18" s="1"/>
  <c r="A977" i="18" a="1"/>
  <c r="A977" i="18" s="1"/>
  <c r="B977" i="18" a="1"/>
  <c r="B977" i="18" s="1"/>
  <c r="C977" i="18" a="1"/>
  <c r="C977" i="18" s="1"/>
  <c r="D977" i="18" a="1"/>
  <c r="D977" i="18"/>
  <c r="A978" i="18" a="1"/>
  <c r="A978" i="18" s="1"/>
  <c r="B978" i="18" a="1"/>
  <c r="B978" i="18" s="1"/>
  <c r="C978" i="18" a="1"/>
  <c r="C978" i="18" s="1"/>
  <c r="D978" i="18" a="1"/>
  <c r="D978" i="18" s="1"/>
  <c r="A979" i="18" a="1"/>
  <c r="A979" i="18"/>
  <c r="B979" i="18" a="1"/>
  <c r="B979" i="18" s="1"/>
  <c r="C979" i="18" a="1"/>
  <c r="C979" i="18" s="1"/>
  <c r="D979" i="18" a="1"/>
  <c r="D979" i="18" s="1"/>
  <c r="A980" i="18" a="1"/>
  <c r="A980" i="18" s="1"/>
  <c r="B980" i="18" a="1"/>
  <c r="B980" i="18" s="1"/>
  <c r="C980" i="18" a="1"/>
  <c r="C980" i="18" s="1"/>
  <c r="D980" i="18" a="1"/>
  <c r="D980" i="18" s="1"/>
  <c r="A981" i="18" a="1"/>
  <c r="A981" i="18" s="1"/>
  <c r="B981" i="18" a="1"/>
  <c r="B981" i="18" s="1"/>
  <c r="C981" i="18" a="1"/>
  <c r="C981" i="18" s="1"/>
  <c r="D981" i="18" a="1"/>
  <c r="D981" i="18" s="1"/>
  <c r="A982" i="18" a="1"/>
  <c r="A982" i="18" s="1"/>
  <c r="B982" i="18" a="1"/>
  <c r="B982" i="18" s="1"/>
  <c r="C982" i="18" a="1"/>
  <c r="C982" i="18" s="1"/>
  <c r="D982" i="18" a="1"/>
  <c r="D982" i="18" s="1"/>
  <c r="A983" i="18" a="1"/>
  <c r="A983" i="18" s="1"/>
  <c r="B983" i="18" a="1"/>
  <c r="B983" i="18" s="1"/>
  <c r="C983" i="18" a="1"/>
  <c r="C983" i="18" s="1"/>
  <c r="D983" i="18" a="1"/>
  <c r="D983" i="18" s="1"/>
  <c r="A984" i="18" a="1"/>
  <c r="A984" i="18" s="1"/>
  <c r="B984" i="18" a="1"/>
  <c r="B984" i="18" s="1"/>
  <c r="C984" i="18" a="1"/>
  <c r="C984" i="18" s="1"/>
  <c r="D984" i="18" a="1"/>
  <c r="D984" i="18" s="1"/>
  <c r="A985" i="18" a="1"/>
  <c r="A985" i="18"/>
  <c r="B985" i="18" a="1"/>
  <c r="B985" i="18" s="1"/>
  <c r="C985" i="18" a="1"/>
  <c r="C985" i="18" s="1"/>
  <c r="D985" i="18" a="1"/>
  <c r="D985" i="18" s="1"/>
  <c r="A986" i="18" a="1"/>
  <c r="A986" i="18" s="1"/>
  <c r="B986" i="18" a="1"/>
  <c r="B986" i="18" s="1"/>
  <c r="C986" i="18" a="1"/>
  <c r="C986" i="18" s="1"/>
  <c r="D986" i="18" a="1"/>
  <c r="D986" i="18" s="1"/>
  <c r="A987" i="18" a="1"/>
  <c r="A987" i="18" s="1"/>
  <c r="B987" i="18" a="1"/>
  <c r="B987" i="18" s="1"/>
  <c r="C987" i="18" a="1"/>
  <c r="C987" i="18"/>
  <c r="D987" i="18" a="1"/>
  <c r="D987" i="18" s="1"/>
  <c r="A988" i="18" a="1"/>
  <c r="A988" i="18" s="1"/>
  <c r="B988" i="18" a="1"/>
  <c r="B988" i="18"/>
  <c r="C988" i="18" a="1"/>
  <c r="C988" i="18" s="1"/>
  <c r="D988" i="18" a="1"/>
  <c r="D988" i="18" s="1"/>
  <c r="A989" i="18" a="1"/>
  <c r="A989" i="18" s="1"/>
  <c r="B989" i="18" a="1"/>
  <c r="B989" i="18" s="1"/>
  <c r="C989" i="18" a="1"/>
  <c r="C989" i="18" s="1"/>
  <c r="D989" i="18" a="1"/>
  <c r="D989" i="18" s="1"/>
  <c r="A990" i="18" a="1"/>
  <c r="A990" i="18" s="1"/>
  <c r="B990" i="18" a="1"/>
  <c r="B990" i="18" s="1"/>
  <c r="C990" i="18" a="1"/>
  <c r="C990" i="18" s="1"/>
  <c r="D990" i="18" a="1"/>
  <c r="D990" i="18"/>
  <c r="A991" i="18" a="1"/>
  <c r="A991" i="18" s="1"/>
  <c r="B991" i="18" a="1"/>
  <c r="B991" i="18" s="1"/>
  <c r="C991" i="18" a="1"/>
  <c r="C991" i="18" s="1"/>
  <c r="D991" i="18" a="1"/>
  <c r="D991" i="18" s="1"/>
  <c r="A992" i="18" a="1"/>
  <c r="A992" i="18" s="1"/>
  <c r="B992" i="18" a="1"/>
  <c r="B992" i="18" s="1"/>
  <c r="C992" i="18" a="1"/>
  <c r="C992" i="18" s="1"/>
  <c r="D992" i="18" a="1"/>
  <c r="D992" i="18"/>
  <c r="A993" i="18" a="1"/>
  <c r="A993" i="18"/>
  <c r="B993" i="18" a="1"/>
  <c r="B993" i="18" s="1"/>
  <c r="C993" i="18" a="1"/>
  <c r="C993" i="18" s="1"/>
  <c r="D993" i="18" a="1"/>
  <c r="D993" i="18" s="1"/>
  <c r="A994" i="18" a="1"/>
  <c r="A994" i="18" s="1"/>
  <c r="B994" i="18" a="1"/>
  <c r="B994" i="18" s="1"/>
  <c r="C994" i="18" a="1"/>
  <c r="C994" i="18" s="1"/>
  <c r="D994" i="18" a="1"/>
  <c r="D994" i="18" s="1"/>
  <c r="A995" i="18" a="1"/>
  <c r="A995" i="18" s="1"/>
  <c r="B995" i="18" a="1"/>
  <c r="B995" i="18" s="1"/>
  <c r="C995" i="18" a="1"/>
  <c r="C995" i="18" s="1"/>
  <c r="D995" i="18" a="1"/>
  <c r="D995" i="18"/>
  <c r="A996" i="18" a="1"/>
  <c r="A996" i="18" s="1"/>
  <c r="B996" i="18" a="1"/>
  <c r="B996" i="18" s="1"/>
  <c r="C996" i="18" a="1"/>
  <c r="C996" i="18"/>
  <c r="D996" i="18" a="1"/>
  <c r="D996" i="18" s="1"/>
  <c r="A997" i="18" a="1"/>
  <c r="A997" i="18" s="1"/>
  <c r="B997" i="18" a="1"/>
  <c r="B997" i="18" s="1"/>
  <c r="C997" i="18" a="1"/>
  <c r="C997" i="18" s="1"/>
  <c r="D997" i="18" a="1"/>
  <c r="D997" i="18" s="1"/>
  <c r="A998" i="18" a="1"/>
  <c r="A998" i="18"/>
  <c r="B998" i="18" a="1"/>
  <c r="B998" i="18" s="1"/>
  <c r="C998" i="18" a="1"/>
  <c r="C998" i="18" s="1"/>
  <c r="D998" i="18" a="1"/>
  <c r="D998" i="18" s="1"/>
  <c r="A999" i="18" a="1"/>
  <c r="A999" i="18"/>
  <c r="B999" i="18" a="1"/>
  <c r="B999" i="18" s="1"/>
  <c r="C999" i="18" a="1"/>
  <c r="C999" i="18" s="1"/>
  <c r="D999" i="18" a="1"/>
  <c r="D999" i="18" s="1"/>
  <c r="A1000" i="18" a="1"/>
  <c r="A1000" i="18"/>
  <c r="B1000" i="18" a="1"/>
  <c r="B1000" i="18"/>
  <c r="C1000" i="18" a="1"/>
  <c r="C1000" i="18" s="1"/>
  <c r="D1000" i="18" a="1"/>
  <c r="D1000" i="18" s="1"/>
  <c r="A1001" i="18" a="1"/>
  <c r="A1001" i="18"/>
  <c r="B1001" i="18" a="1"/>
  <c r="B1001" i="18"/>
  <c r="C1001" i="18" a="1"/>
  <c r="C1001" i="18" s="1"/>
  <c r="D1001" i="18" a="1"/>
  <c r="D1001" i="18" s="1"/>
  <c r="A1002" i="18" a="1"/>
  <c r="A1002" i="18" s="1"/>
  <c r="B1002" i="18" a="1"/>
  <c r="B1002" i="18" s="1"/>
  <c r="C1002" i="18" a="1"/>
  <c r="C1002" i="18"/>
  <c r="D1002" i="18" a="1"/>
  <c r="D1002" i="18" s="1"/>
  <c r="A1003" i="18" a="1"/>
  <c r="A1003" i="18" s="1"/>
  <c r="B1003" i="18" a="1"/>
  <c r="B1003" i="18" s="1"/>
  <c r="C1003" i="18" a="1"/>
  <c r="C1003" i="18" s="1"/>
  <c r="D1003" i="18" a="1"/>
  <c r="D1003" i="18" s="1"/>
  <c r="A1004" i="18" a="1"/>
  <c r="A1004" i="18" s="1"/>
  <c r="B1004" i="18" a="1"/>
  <c r="B1004" i="18" s="1"/>
  <c r="C1004" i="18" a="1"/>
  <c r="C1004" i="18"/>
  <c r="D1004" i="18" a="1"/>
  <c r="D1004" i="18" s="1"/>
  <c r="A1005" i="18" a="1"/>
  <c r="A1005" i="18" s="1"/>
  <c r="B1005" i="18" a="1"/>
  <c r="B1005" i="18" s="1"/>
  <c r="C1005" i="18" a="1"/>
  <c r="C1005" i="18" s="1"/>
  <c r="D1005" i="18" a="1"/>
  <c r="D1005" i="18" s="1"/>
  <c r="A1006" i="18" a="1"/>
  <c r="A1006" i="18" s="1"/>
  <c r="B1006" i="18" a="1"/>
  <c r="B1006" i="18"/>
  <c r="C1006" i="18" a="1"/>
  <c r="C1006" i="18" s="1"/>
  <c r="D1006" i="18" a="1"/>
  <c r="D1006" i="18" s="1"/>
  <c r="A1007" i="18" a="1"/>
  <c r="A1007" i="18"/>
  <c r="B1007" i="18" a="1"/>
  <c r="B1007" i="18" s="1"/>
  <c r="C1007" i="18" a="1"/>
  <c r="C1007" i="18" s="1"/>
  <c r="D1007" i="18" a="1"/>
  <c r="D1007" i="18" s="1"/>
  <c r="A1008" i="18" a="1"/>
  <c r="A1008" i="18" s="1"/>
  <c r="B1008" i="18" a="1"/>
  <c r="B1008" i="18" s="1"/>
  <c r="C1008" i="18" a="1"/>
  <c r="C1008" i="18"/>
  <c r="D1008" i="18" a="1"/>
  <c r="D1008" i="18" s="1"/>
  <c r="A1009" i="18" a="1"/>
  <c r="A1009" i="18" s="1"/>
  <c r="B1009" i="18" a="1"/>
  <c r="B1009" i="18" s="1"/>
  <c r="C1009" i="18" a="1"/>
  <c r="C1009" i="18" s="1"/>
  <c r="D1009" i="18" a="1"/>
  <c r="D1009" i="18" s="1"/>
  <c r="A1010" i="18" a="1"/>
  <c r="A1010" i="18" s="1"/>
  <c r="B1010" i="18" a="1"/>
  <c r="B1010" i="18" s="1"/>
  <c r="C1010" i="18" a="1"/>
  <c r="C1010" i="18"/>
  <c r="D1010" i="18" a="1"/>
  <c r="D1010" i="18" s="1"/>
  <c r="A1011" i="18" a="1"/>
  <c r="A1011" i="18" s="1"/>
  <c r="B1011" i="18" a="1"/>
  <c r="B1011" i="18" s="1"/>
  <c r="C1011" i="18" a="1"/>
  <c r="C1011" i="18"/>
  <c r="D1011" i="18" a="1"/>
  <c r="D1011" i="18" s="1"/>
  <c r="A1012" i="18" a="1"/>
  <c r="A1012" i="18" s="1"/>
  <c r="B1012" i="18" a="1"/>
  <c r="B1012" i="18" s="1"/>
  <c r="C1012" i="18" a="1"/>
  <c r="C1012" i="18" s="1"/>
  <c r="D1012" i="18" a="1"/>
  <c r="D1012" i="18" s="1"/>
  <c r="A1013" i="18" a="1"/>
  <c r="A1013" i="18" s="1"/>
  <c r="B1013" i="18" a="1"/>
  <c r="B1013" i="18" s="1"/>
  <c r="C1013" i="18" a="1"/>
  <c r="C1013" i="18" s="1"/>
  <c r="D1013" i="18" a="1"/>
  <c r="D1013" i="18" s="1"/>
  <c r="A1014" i="18" a="1"/>
  <c r="A1014" i="18"/>
  <c r="B1014" i="18" a="1"/>
  <c r="B1014" i="18" s="1"/>
  <c r="C1014" i="18" a="1"/>
  <c r="C1014" i="18" s="1"/>
  <c r="D1014" i="18" a="1"/>
  <c r="D1014" i="18" s="1"/>
  <c r="A1015" i="18" a="1"/>
  <c r="A1015" i="18" s="1"/>
  <c r="B1015" i="18" a="1"/>
  <c r="B1015" i="18"/>
  <c r="C1015" i="18" a="1"/>
  <c r="C1015" i="18" s="1"/>
  <c r="D1015" i="18" a="1"/>
  <c r="D1015" i="18" s="1"/>
  <c r="A1016" i="18" a="1"/>
  <c r="A1016" i="18" s="1"/>
  <c r="B1016" i="18" a="1"/>
  <c r="B1016" i="18" s="1"/>
  <c r="C1016" i="18" a="1"/>
  <c r="C1016" i="18" s="1"/>
  <c r="D1016" i="18" a="1"/>
  <c r="D1016" i="18" s="1"/>
  <c r="A1017" i="18" a="1"/>
  <c r="A1017" i="18" s="1"/>
  <c r="B1017" i="18" a="1"/>
  <c r="B1017" i="18" s="1"/>
  <c r="C1017" i="18" a="1"/>
  <c r="C1017" i="18"/>
  <c r="D1017" i="18" a="1"/>
  <c r="D1017" i="18" s="1"/>
  <c r="A1018" i="18" a="1"/>
  <c r="A1018" i="18" s="1"/>
  <c r="B1018" i="18" a="1"/>
  <c r="B1018" i="18" s="1"/>
  <c r="C1018" i="18" a="1"/>
  <c r="C1018" i="18" s="1"/>
  <c r="D1018" i="18" a="1"/>
  <c r="D1018" i="18" s="1"/>
  <c r="A1019" i="18" a="1"/>
  <c r="A1019" i="18" s="1"/>
  <c r="B1019" i="18" a="1"/>
  <c r="B1019" i="18" s="1"/>
  <c r="C1019" i="18" a="1"/>
  <c r="C1019" i="18" s="1"/>
  <c r="D1019" i="18" a="1"/>
  <c r="D1019" i="18" s="1"/>
  <c r="A1020" i="18" a="1"/>
  <c r="A1020" i="18" s="1"/>
  <c r="B1020" i="18" a="1"/>
  <c r="B1020" i="18" s="1"/>
  <c r="C1020" i="18" a="1"/>
  <c r="C1020" i="18" s="1"/>
  <c r="D1020" i="18" a="1"/>
  <c r="D1020" i="18" s="1"/>
  <c r="A1021" i="18" a="1"/>
  <c r="A1021" i="18" s="1"/>
  <c r="B1021" i="18" a="1"/>
  <c r="B1021" i="18"/>
  <c r="C1021" i="18" a="1"/>
  <c r="C1021" i="18"/>
  <c r="D1021" i="18" a="1"/>
  <c r="D1021" i="18" s="1"/>
  <c r="A1022" i="18" a="1"/>
  <c r="A1022" i="18"/>
  <c r="B1022" i="18" a="1"/>
  <c r="B1022" i="18" s="1"/>
  <c r="C1022" i="18" a="1"/>
  <c r="C1022" i="18"/>
  <c r="D1022" i="18" a="1"/>
  <c r="D1022" i="18" s="1"/>
  <c r="A1023" i="18" a="1"/>
  <c r="A1023" i="18" s="1"/>
  <c r="B1023" i="18" a="1"/>
  <c r="B1023" i="18" s="1"/>
  <c r="C1023" i="18" a="1"/>
  <c r="C1023" i="18"/>
  <c r="D1023" i="18" a="1"/>
  <c r="D1023" i="18" s="1"/>
  <c r="A1024" i="18" a="1"/>
  <c r="A1024" i="18" s="1"/>
  <c r="B1024" i="18" a="1"/>
  <c r="B1024" i="18" s="1"/>
  <c r="C1024" i="18" a="1"/>
  <c r="C1024" i="18" s="1"/>
  <c r="D1024" i="18" a="1"/>
  <c r="D1024" i="18" s="1"/>
  <c r="A1025" i="18" a="1"/>
  <c r="A1025" i="18" s="1"/>
  <c r="B1025" i="18" a="1"/>
  <c r="B1025" i="18" s="1"/>
  <c r="C1025" i="18" a="1"/>
  <c r="C1025" i="18" s="1"/>
  <c r="D1025" i="18" a="1"/>
  <c r="D1025" i="18"/>
  <c r="A1026" i="18" a="1"/>
  <c r="A1026" i="18" s="1"/>
  <c r="B1026" i="18" a="1"/>
  <c r="B1026" i="18" s="1"/>
  <c r="C1026" i="18" a="1"/>
  <c r="C1026" i="18" s="1"/>
  <c r="D1026" i="18" a="1"/>
  <c r="D1026" i="18"/>
  <c r="A1027" i="18" a="1"/>
  <c r="A1027" i="18" s="1"/>
  <c r="B1027" i="18" a="1"/>
  <c r="B1027" i="18" s="1"/>
  <c r="C1027" i="18" a="1"/>
  <c r="C1027" i="18" s="1"/>
  <c r="D1027" i="18" a="1"/>
  <c r="D1027" i="18" s="1"/>
  <c r="A1028" i="18" a="1"/>
  <c r="A1028" i="18" s="1"/>
  <c r="B1028" i="18" a="1"/>
  <c r="B1028" i="18" s="1"/>
  <c r="C1028" i="18" a="1"/>
  <c r="C1028" i="18" s="1"/>
  <c r="D1028" i="18" a="1"/>
  <c r="D1028" i="18"/>
  <c r="A1029" i="18" a="1"/>
  <c r="A1029" i="18" s="1"/>
  <c r="B1029" i="18" a="1"/>
  <c r="B1029" i="18" s="1"/>
  <c r="C1029" i="18" a="1"/>
  <c r="C1029" i="18"/>
  <c r="D1029" i="18" a="1"/>
  <c r="D1029" i="18" s="1"/>
  <c r="A1030" i="18" a="1"/>
  <c r="A1030" i="18" s="1"/>
  <c r="B1030" i="18" a="1"/>
  <c r="B1030" i="18" s="1"/>
  <c r="C1030" i="18" a="1"/>
  <c r="C1030" i="18" s="1"/>
  <c r="D1030" i="18" a="1"/>
  <c r="D1030" i="18" s="1"/>
  <c r="A1031" i="18" a="1"/>
  <c r="A1031" i="18" s="1"/>
  <c r="B1031" i="18" a="1"/>
  <c r="B1031" i="18" s="1"/>
  <c r="C1031" i="18" a="1"/>
  <c r="C1031" i="18" s="1"/>
  <c r="D1031" i="18" a="1"/>
  <c r="D1031" i="18" s="1"/>
  <c r="A1032" i="18" a="1"/>
  <c r="A1032" i="18" s="1"/>
  <c r="B1032" i="18" a="1"/>
  <c r="B1032" i="18" s="1"/>
  <c r="C1032" i="18" a="1"/>
  <c r="C1032" i="18" s="1"/>
  <c r="D1032" i="18" a="1"/>
  <c r="D1032" i="18" s="1"/>
  <c r="A1033" i="18" a="1"/>
  <c r="A1033" i="18"/>
  <c r="B1033" i="18" a="1"/>
  <c r="B1033" i="18" s="1"/>
  <c r="C1033" i="18" a="1"/>
  <c r="C1033" i="18" s="1"/>
  <c r="D1033" i="18" a="1"/>
  <c r="D1033" i="18" s="1"/>
  <c r="A1034" i="18" a="1"/>
  <c r="A1034" i="18"/>
  <c r="B1034" i="18" a="1"/>
  <c r="B1034" i="18" s="1"/>
  <c r="C1034" i="18" a="1"/>
  <c r="C1034" i="18" s="1"/>
  <c r="D1034" i="18" a="1"/>
  <c r="D1034" i="18" s="1"/>
  <c r="A1035" i="18" a="1"/>
  <c r="A1035" i="18"/>
  <c r="B1035" i="18" a="1"/>
  <c r="B1035" i="18" s="1"/>
  <c r="C1035" i="18" a="1"/>
  <c r="C1035" i="18" s="1"/>
  <c r="D1035" i="18" a="1"/>
  <c r="D1035" i="18" s="1"/>
  <c r="A1036" i="18" a="1"/>
  <c r="A1036" i="18" s="1"/>
  <c r="B1036" i="18" a="1"/>
  <c r="B1036" i="18"/>
  <c r="C1036" i="18" a="1"/>
  <c r="C1036" i="18"/>
  <c r="D1036" i="18" a="1"/>
  <c r="D1036" i="18" s="1"/>
  <c r="A1037" i="18" a="1"/>
  <c r="A1037" i="18" s="1"/>
  <c r="B1037" i="18" a="1"/>
  <c r="B1037" i="18" s="1"/>
  <c r="C1037" i="18" a="1"/>
  <c r="C1037" i="18"/>
  <c r="D1037" i="18" a="1"/>
  <c r="D1037" i="18" s="1"/>
  <c r="A1038" i="18" a="1"/>
  <c r="A1038" i="18" s="1"/>
  <c r="B1038" i="18" a="1"/>
  <c r="B1038" i="18" s="1"/>
  <c r="C1038" i="18" a="1"/>
  <c r="C1038" i="18"/>
  <c r="D1038" i="18" a="1"/>
  <c r="D1038" i="18" s="1"/>
  <c r="A1039" i="18" a="1"/>
  <c r="A1039" i="18"/>
  <c r="B1039" i="18" a="1"/>
  <c r="B1039" i="18" s="1"/>
  <c r="C1039" i="18" a="1"/>
  <c r="C1039" i="18"/>
  <c r="D1039" i="18" a="1"/>
  <c r="D1039" i="18" s="1"/>
  <c r="A1040" i="18" a="1"/>
  <c r="A1040" i="18" s="1"/>
  <c r="B1040" i="18" a="1"/>
  <c r="B1040" i="18"/>
  <c r="C1040" i="18" a="1"/>
  <c r="C1040" i="18" s="1"/>
  <c r="D1040" i="18" a="1"/>
  <c r="D1040" i="18"/>
  <c r="A3" i="18" a="1"/>
  <c r="A3" i="18" s="1"/>
  <c r="B3" i="18" a="1"/>
  <c r="B3" i="18"/>
  <c r="C3" i="18" a="1"/>
  <c r="C3" i="18" s="1"/>
  <c r="D3" i="18" a="1"/>
  <c r="D3" i="18" s="1"/>
  <c r="A4" i="18" a="1"/>
  <c r="A4" i="18" s="1"/>
  <c r="B4" i="18" a="1"/>
  <c r="B4" i="18" s="1"/>
  <c r="C4" i="18" a="1"/>
  <c r="C4" i="18" s="1"/>
  <c r="D4" i="18" a="1"/>
  <c r="D4" i="18" s="1"/>
  <c r="A5" i="18" a="1"/>
  <c r="A5" i="18"/>
  <c r="B5" i="18" a="1"/>
  <c r="B5" i="18" s="1"/>
  <c r="C5" i="18" a="1"/>
  <c r="C5" i="18" s="1"/>
  <c r="D5" i="18" a="1"/>
  <c r="D5" i="18"/>
  <c r="A6" i="18" a="1"/>
  <c r="A6" i="18" s="1"/>
  <c r="B6" i="18" a="1"/>
  <c r="B6" i="18" s="1"/>
  <c r="C6" i="18" a="1"/>
  <c r="C6" i="18" s="1"/>
  <c r="D6" i="18" a="1"/>
  <c r="D6" i="18" s="1"/>
  <c r="A7" i="18" a="1"/>
  <c r="A7" i="18" s="1"/>
  <c r="B7" i="18" a="1"/>
  <c r="B7" i="18" s="1"/>
  <c r="C7" i="18" a="1"/>
  <c r="C7" i="18" s="1"/>
  <c r="D7" i="18" a="1"/>
  <c r="D7" i="18"/>
  <c r="A8" i="18" a="1"/>
  <c r="A8" i="18" s="1"/>
  <c r="B8" i="18" a="1"/>
  <c r="B8" i="18" s="1"/>
  <c r="C8" i="18" a="1"/>
  <c r="C8" i="18" s="1"/>
  <c r="D8" i="18" a="1"/>
  <c r="D8" i="18" s="1"/>
  <c r="A9" i="18" a="1"/>
  <c r="A9" i="18" s="1"/>
  <c r="B9" i="18" a="1"/>
  <c r="B9" i="18" s="1"/>
  <c r="C9" i="18" a="1"/>
  <c r="C9" i="18" s="1"/>
  <c r="D9" i="18" a="1"/>
  <c r="D9" i="18"/>
  <c r="A2" i="18" a="1"/>
  <c r="A2" i="18" s="1"/>
  <c r="D2" i="18" a="1"/>
  <c r="D2" i="18"/>
  <c r="C2" i="18" a="1"/>
  <c r="C2" i="18" s="1"/>
  <c r="B2" i="18" a="1"/>
  <c r="B2" i="18" s="1"/>
  <c r="A53" i="17"/>
  <c r="A13" i="17"/>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4" i="17"/>
  <c r="A5" i="17" s="1"/>
  <c r="A6" i="17" s="1"/>
  <c r="A7" i="17" s="1"/>
  <c r="A8" i="17" s="1"/>
  <c r="A9" i="17" s="1"/>
  <c r="A10" i="17" s="1"/>
  <c r="A11" i="17" s="1"/>
  <c r="A12" i="17" s="1"/>
  <c r="A3" i="17"/>
  <c r="A2" i="17"/>
  <c r="E26" i="34" l="1"/>
  <c r="G253" i="34"/>
  <c r="F253" i="34"/>
  <c r="C253" i="34"/>
  <c r="E253" i="34"/>
  <c r="D253" i="34"/>
  <c r="D47" i="34"/>
  <c r="C47" i="34"/>
  <c r="F47" i="34"/>
  <c r="G47" i="34"/>
  <c r="E47" i="34"/>
  <c r="G242" i="34"/>
  <c r="D242" i="34"/>
  <c r="C242" i="34"/>
  <c r="F242" i="34"/>
  <c r="E242" i="34"/>
  <c r="G218" i="34"/>
  <c r="D218" i="34"/>
  <c r="F218" i="34"/>
  <c r="C218" i="34"/>
  <c r="G194" i="34"/>
  <c r="F194" i="34"/>
  <c r="D194" i="34"/>
  <c r="E194" i="34"/>
  <c r="C194" i="34"/>
  <c r="G170" i="34"/>
  <c r="D170" i="34"/>
  <c r="C170" i="34"/>
  <c r="F170" i="34"/>
  <c r="G146" i="34"/>
  <c r="D146" i="34"/>
  <c r="C146" i="34"/>
  <c r="F146" i="34"/>
  <c r="E146" i="34"/>
  <c r="G122" i="34"/>
  <c r="F122" i="34"/>
  <c r="D122" i="34"/>
  <c r="C122" i="34"/>
  <c r="G98" i="34"/>
  <c r="D98" i="34"/>
  <c r="F98" i="34"/>
  <c r="C98" i="34"/>
  <c r="E98" i="34"/>
  <c r="G62" i="34"/>
  <c r="F62" i="34"/>
  <c r="D62" i="34"/>
  <c r="E62" i="34"/>
  <c r="G26" i="34"/>
  <c r="D26" i="34"/>
  <c r="C26" i="34"/>
  <c r="G49" i="34"/>
  <c r="F49" i="34"/>
  <c r="C49" i="34"/>
  <c r="E49" i="34"/>
  <c r="D49" i="34"/>
  <c r="G38" i="34"/>
  <c r="D38" i="34"/>
  <c r="C38" i="34"/>
  <c r="E38" i="34"/>
  <c r="F38" i="34"/>
  <c r="G254" i="34"/>
  <c r="C254" i="34"/>
  <c r="F254" i="34"/>
  <c r="E254" i="34"/>
  <c r="D254" i="34"/>
  <c r="G230" i="34"/>
  <c r="D230" i="34"/>
  <c r="E230" i="34"/>
  <c r="G206" i="34"/>
  <c r="F206" i="34"/>
  <c r="D206" i="34"/>
  <c r="E206" i="34"/>
  <c r="G182" i="34"/>
  <c r="F182" i="34"/>
  <c r="C182" i="34"/>
  <c r="E182" i="34"/>
  <c r="D182" i="34"/>
  <c r="G158" i="34"/>
  <c r="D158" i="34"/>
  <c r="F158" i="34"/>
  <c r="C158" i="34"/>
  <c r="E158" i="34"/>
  <c r="G134" i="34"/>
  <c r="F134" i="34"/>
  <c r="D134" i="34"/>
  <c r="E134" i="34"/>
  <c r="C134" i="34"/>
  <c r="G110" i="34"/>
  <c r="D110" i="34"/>
  <c r="F110" i="34"/>
  <c r="C110" i="34"/>
  <c r="E110" i="34"/>
  <c r="G86" i="34"/>
  <c r="D86" i="34"/>
  <c r="F86" i="34"/>
  <c r="E86" i="34"/>
  <c r="G74" i="34"/>
  <c r="D74" i="34"/>
  <c r="C74" i="34"/>
  <c r="G14" i="34"/>
  <c r="D14" i="34"/>
  <c r="C14" i="34"/>
  <c r="E14" i="34"/>
  <c r="F14" i="34"/>
  <c r="E74" i="34"/>
  <c r="G61" i="34"/>
  <c r="D61" i="34"/>
  <c r="E61" i="34"/>
  <c r="F61" i="34"/>
  <c r="C61" i="34"/>
  <c r="C230" i="34"/>
  <c r="G50" i="34"/>
  <c r="F50" i="34"/>
  <c r="C50" i="34"/>
  <c r="D50" i="34"/>
  <c r="E50" i="34"/>
  <c r="G37" i="34"/>
  <c r="F37" i="34"/>
  <c r="D37" i="34"/>
  <c r="C37" i="34"/>
  <c r="E37" i="34"/>
  <c r="C86" i="34"/>
  <c r="E218" i="34"/>
  <c r="C62" i="34"/>
  <c r="E170" i="34"/>
  <c r="D60" i="34"/>
  <c r="G60" i="34"/>
  <c r="C60" i="34"/>
  <c r="D59" i="34"/>
  <c r="C59" i="34"/>
  <c r="G59" i="34"/>
  <c r="G22" i="34"/>
  <c r="F22" i="34"/>
  <c r="C22" i="34"/>
  <c r="D22" i="34"/>
  <c r="E22" i="34"/>
  <c r="F227" i="34"/>
  <c r="G34" i="34"/>
  <c r="F34" i="34"/>
  <c r="C34" i="34"/>
  <c r="E34" i="34"/>
  <c r="G229" i="34"/>
  <c r="D229" i="34"/>
  <c r="G205" i="34"/>
  <c r="D205" i="34"/>
  <c r="G181" i="34"/>
  <c r="F181" i="34"/>
  <c r="C181" i="34"/>
  <c r="G145" i="34"/>
  <c r="D145" i="34"/>
  <c r="C145" i="34"/>
  <c r="F145" i="34"/>
  <c r="G121" i="34"/>
  <c r="F121" i="34"/>
  <c r="G97" i="34"/>
  <c r="D97" i="34"/>
  <c r="G73" i="34"/>
  <c r="D73" i="34"/>
  <c r="C73" i="34"/>
  <c r="G13" i="34"/>
  <c r="F13" i="34"/>
  <c r="F229" i="34"/>
  <c r="G228" i="34"/>
  <c r="D228" i="34"/>
  <c r="D216" i="34"/>
  <c r="F216" i="34"/>
  <c r="C216" i="34"/>
  <c r="D204" i="34"/>
  <c r="F204" i="34"/>
  <c r="G192" i="34"/>
  <c r="F192" i="34"/>
  <c r="D192" i="34"/>
  <c r="G180" i="34"/>
  <c r="F180" i="34"/>
  <c r="C180" i="34"/>
  <c r="G156" i="34"/>
  <c r="D156" i="34"/>
  <c r="D132" i="34"/>
  <c r="G132" i="34"/>
  <c r="G108" i="34"/>
  <c r="F108" i="34"/>
  <c r="C108" i="34"/>
  <c r="F84" i="34"/>
  <c r="G84" i="34"/>
  <c r="D72" i="34"/>
  <c r="C72" i="34"/>
  <c r="G24" i="34"/>
  <c r="D24" i="34"/>
  <c r="F228" i="34"/>
  <c r="C11" i="34"/>
  <c r="F11" i="34"/>
  <c r="C121" i="34"/>
  <c r="G96" i="34"/>
  <c r="D46" i="34"/>
  <c r="C46" i="34"/>
  <c r="E46" i="34"/>
  <c r="G46" i="34"/>
  <c r="C97" i="34"/>
  <c r="E180" i="34"/>
  <c r="E84" i="34"/>
  <c r="E36" i="34"/>
  <c r="D21" i="34"/>
  <c r="G21" i="34"/>
  <c r="F21" i="34"/>
  <c r="C21" i="34"/>
  <c r="E21" i="34"/>
  <c r="E227" i="34"/>
  <c r="E179" i="34"/>
  <c r="E131" i="34"/>
  <c r="D11" i="34"/>
  <c r="D248" i="34"/>
  <c r="C248" i="34"/>
  <c r="G248" i="34"/>
  <c r="E248" i="34"/>
  <c r="D224" i="34"/>
  <c r="C224" i="34"/>
  <c r="G224" i="34"/>
  <c r="F224" i="34"/>
  <c r="E224" i="34"/>
  <c r="D200" i="34"/>
  <c r="C200" i="34"/>
  <c r="F200" i="34"/>
  <c r="E200" i="34"/>
  <c r="D176" i="34"/>
  <c r="C176" i="34"/>
  <c r="G176" i="34"/>
  <c r="E176" i="34"/>
  <c r="D152" i="34"/>
  <c r="C152" i="34"/>
  <c r="G152" i="34"/>
  <c r="F152" i="34"/>
  <c r="E152" i="34"/>
  <c r="D128" i="34"/>
  <c r="C128" i="34"/>
  <c r="F128" i="34"/>
  <c r="E128" i="34"/>
  <c r="D104" i="34"/>
  <c r="C104" i="34"/>
  <c r="F104" i="34"/>
  <c r="E104" i="34"/>
  <c r="G104" i="34"/>
  <c r="D80" i="34"/>
  <c r="C80" i="34"/>
  <c r="G80" i="34"/>
  <c r="F80" i="34"/>
  <c r="E80" i="34"/>
  <c r="D68" i="34"/>
  <c r="C68" i="34"/>
  <c r="F68" i="34"/>
  <c r="E68" i="34"/>
  <c r="C8" i="34"/>
  <c r="G8" i="34"/>
  <c r="F8" i="34"/>
  <c r="E8" i="34"/>
  <c r="C13" i="34"/>
  <c r="E240" i="34"/>
  <c r="E145" i="34"/>
  <c r="E97" i="34"/>
  <c r="F191" i="34"/>
  <c r="G226" i="34"/>
  <c r="C156" i="34"/>
  <c r="C12" i="34"/>
  <c r="E192" i="34"/>
  <c r="E96" i="34"/>
  <c r="D181" i="34"/>
  <c r="F168" i="34"/>
  <c r="F60" i="34"/>
  <c r="G200" i="34"/>
  <c r="G241" i="34"/>
  <c r="F241" i="34"/>
  <c r="G217" i="34"/>
  <c r="D217" i="34"/>
  <c r="F217" i="34"/>
  <c r="C217" i="34"/>
  <c r="G193" i="34"/>
  <c r="F193" i="34"/>
  <c r="D193" i="34"/>
  <c r="G169" i="34"/>
  <c r="D169" i="34"/>
  <c r="G157" i="34"/>
  <c r="F157" i="34"/>
  <c r="D157" i="34"/>
  <c r="G133" i="34"/>
  <c r="D133" i="34"/>
  <c r="G109" i="34"/>
  <c r="F109" i="34"/>
  <c r="C109" i="34"/>
  <c r="G85" i="34"/>
  <c r="F85" i="34"/>
  <c r="G25" i="34"/>
  <c r="D25" i="34"/>
  <c r="F73" i="34"/>
  <c r="G252" i="34"/>
  <c r="F252" i="34"/>
  <c r="C252" i="34"/>
  <c r="D144" i="34"/>
  <c r="C144" i="34"/>
  <c r="F144" i="34"/>
  <c r="G120" i="34"/>
  <c r="F120" i="34"/>
  <c r="D120" i="34"/>
  <c r="C204" i="34"/>
  <c r="F205" i="34"/>
  <c r="G168" i="34"/>
  <c r="C215" i="34"/>
  <c r="F215" i="34"/>
  <c r="G23" i="34"/>
  <c r="F23" i="34"/>
  <c r="C23" i="34"/>
  <c r="D23" i="34"/>
  <c r="F97" i="34"/>
  <c r="G204" i="34"/>
  <c r="D58" i="34"/>
  <c r="C58" i="34"/>
  <c r="G58" i="34"/>
  <c r="E58" i="34"/>
  <c r="E228" i="34"/>
  <c r="E132" i="34"/>
  <c r="F226" i="34"/>
  <c r="D33" i="34"/>
  <c r="C33" i="34"/>
  <c r="E33" i="34"/>
  <c r="F33" i="34"/>
  <c r="C260" i="34"/>
  <c r="D260" i="34"/>
  <c r="E260" i="34"/>
  <c r="F260" i="34"/>
  <c r="D236" i="34"/>
  <c r="G236" i="34"/>
  <c r="F236" i="34"/>
  <c r="C236" i="34"/>
  <c r="E236" i="34"/>
  <c r="D212" i="34"/>
  <c r="C212" i="34"/>
  <c r="G212" i="34"/>
  <c r="E212" i="34"/>
  <c r="D188" i="34"/>
  <c r="C188" i="34"/>
  <c r="E188" i="34"/>
  <c r="D164" i="34"/>
  <c r="G164" i="34"/>
  <c r="F164" i="34"/>
  <c r="C164" i="34"/>
  <c r="E164" i="34"/>
  <c r="D140" i="34"/>
  <c r="C140" i="34"/>
  <c r="E140" i="34"/>
  <c r="G140" i="34"/>
  <c r="D116" i="34"/>
  <c r="C116" i="34"/>
  <c r="E116" i="34"/>
  <c r="D92" i="34"/>
  <c r="G92" i="34"/>
  <c r="F92" i="34"/>
  <c r="C92" i="34"/>
  <c r="E92" i="34"/>
  <c r="D56" i="34"/>
  <c r="C56" i="34"/>
  <c r="E56" i="34"/>
  <c r="F56" i="34"/>
  <c r="D44" i="34"/>
  <c r="C44" i="34"/>
  <c r="G44" i="34"/>
  <c r="E44" i="34"/>
  <c r="C132" i="34"/>
  <c r="E252" i="34"/>
  <c r="D8" i="34"/>
  <c r="D180" i="34"/>
  <c r="D108" i="34"/>
  <c r="D84" i="34"/>
  <c r="F59" i="34"/>
  <c r="G33" i="34"/>
  <c r="G12" i="34"/>
  <c r="F25" i="34"/>
  <c r="G48" i="34"/>
  <c r="F48" i="34"/>
  <c r="F72" i="34"/>
  <c r="F24" i="34"/>
  <c r="C71" i="34"/>
  <c r="F71" i="34"/>
  <c r="E229" i="34"/>
  <c r="E181" i="34"/>
  <c r="E133" i="34"/>
  <c r="E85" i="34"/>
  <c r="D121" i="34"/>
  <c r="C70" i="34"/>
  <c r="E70" i="34"/>
  <c r="F70" i="34"/>
  <c r="F96" i="34"/>
  <c r="C261" i="34"/>
  <c r="D249" i="34"/>
  <c r="C249" i="34"/>
  <c r="G249" i="34"/>
  <c r="E249" i="34"/>
  <c r="D237" i="34"/>
  <c r="G237" i="34"/>
  <c r="F237" i="34"/>
  <c r="C237" i="34"/>
  <c r="E237" i="34"/>
  <c r="D225" i="34"/>
  <c r="C225" i="34"/>
  <c r="G225" i="34"/>
  <c r="F225" i="34"/>
  <c r="E225" i="34"/>
  <c r="D213" i="34"/>
  <c r="C213" i="34"/>
  <c r="G213" i="34"/>
  <c r="E213" i="34"/>
  <c r="D201" i="34"/>
  <c r="C201" i="34"/>
  <c r="F201" i="34"/>
  <c r="E201" i="34"/>
  <c r="D189" i="34"/>
  <c r="C189" i="34"/>
  <c r="E189" i="34"/>
  <c r="D177" i="34"/>
  <c r="C177" i="34"/>
  <c r="F177" i="34"/>
  <c r="G177" i="34"/>
  <c r="E177" i="34"/>
  <c r="D165" i="34"/>
  <c r="G165" i="34"/>
  <c r="F165" i="34"/>
  <c r="C165" i="34"/>
  <c r="E165" i="34"/>
  <c r="D153" i="34"/>
  <c r="C153" i="34"/>
  <c r="G153" i="34"/>
  <c r="F153" i="34"/>
  <c r="E153" i="34"/>
  <c r="D141" i="34"/>
  <c r="C141" i="34"/>
  <c r="F141" i="34"/>
  <c r="E141" i="34"/>
  <c r="D129" i="34"/>
  <c r="C129" i="34"/>
  <c r="F129" i="34"/>
  <c r="E129" i="34"/>
  <c r="D117" i="34"/>
  <c r="C117" i="34"/>
  <c r="G117" i="34"/>
  <c r="E117" i="34"/>
  <c r="D105" i="34"/>
  <c r="C105" i="34"/>
  <c r="F105" i="34"/>
  <c r="E105" i="34"/>
  <c r="D93" i="34"/>
  <c r="G93" i="34"/>
  <c r="F93" i="34"/>
  <c r="C93" i="34"/>
  <c r="E93" i="34"/>
  <c r="D81" i="34"/>
  <c r="C81" i="34"/>
  <c r="G81" i="34"/>
  <c r="F81" i="34"/>
  <c r="E81" i="34"/>
  <c r="D69" i="34"/>
  <c r="C69" i="34"/>
  <c r="F69" i="34"/>
  <c r="E69" i="34"/>
  <c r="D57" i="34"/>
  <c r="C57" i="34"/>
  <c r="E57" i="34"/>
  <c r="C9" i="34"/>
  <c r="G9" i="34"/>
  <c r="F9" i="34"/>
  <c r="E9" i="34"/>
  <c r="C240" i="34"/>
  <c r="C96" i="34"/>
  <c r="E241" i="34"/>
  <c r="D32" i="34"/>
  <c r="C32" i="34"/>
  <c r="E32" i="34"/>
  <c r="F32" i="34"/>
  <c r="C193" i="34"/>
  <c r="E205" i="34"/>
  <c r="E157" i="34"/>
  <c r="E109" i="34"/>
  <c r="E13" i="34"/>
  <c r="D13" i="34"/>
  <c r="F213" i="34"/>
  <c r="F188" i="34"/>
  <c r="F58" i="34"/>
  <c r="G128" i="34"/>
  <c r="G105" i="34"/>
  <c r="G56" i="34"/>
  <c r="G32" i="34"/>
  <c r="G11" i="34"/>
  <c r="C205" i="34"/>
  <c r="G36" i="34"/>
  <c r="F36" i="34"/>
  <c r="C36" i="34"/>
  <c r="G251" i="34"/>
  <c r="C251" i="34"/>
  <c r="G239" i="34"/>
  <c r="F239" i="34"/>
  <c r="C239" i="34"/>
  <c r="C227" i="34"/>
  <c r="D227" i="34"/>
  <c r="D203" i="34"/>
  <c r="C203" i="34"/>
  <c r="F203" i="34"/>
  <c r="D191" i="34"/>
  <c r="C191" i="34"/>
  <c r="G191" i="34"/>
  <c r="G179" i="34"/>
  <c r="F179" i="34"/>
  <c r="C179" i="34"/>
  <c r="G167" i="34"/>
  <c r="F167" i="34"/>
  <c r="C167" i="34"/>
  <c r="C155" i="34"/>
  <c r="G155" i="34"/>
  <c r="D155" i="34"/>
  <c r="C143" i="34"/>
  <c r="F143" i="34"/>
  <c r="D131" i="34"/>
  <c r="C131" i="34"/>
  <c r="D119" i="34"/>
  <c r="C119" i="34"/>
  <c r="G119" i="34"/>
  <c r="G107" i="34"/>
  <c r="F107" i="34"/>
  <c r="C107" i="34"/>
  <c r="G95" i="34"/>
  <c r="F95" i="34"/>
  <c r="C95" i="34"/>
  <c r="D95" i="34"/>
  <c r="C83" i="34"/>
  <c r="F83" i="34"/>
  <c r="D83" i="34"/>
  <c r="G83" i="34"/>
  <c r="G35" i="34"/>
  <c r="F35" i="34"/>
  <c r="C35" i="34"/>
  <c r="G250" i="34"/>
  <c r="F250" i="34"/>
  <c r="C250" i="34"/>
  <c r="D250" i="34"/>
  <c r="G238" i="34"/>
  <c r="F238" i="34"/>
  <c r="C238" i="34"/>
  <c r="C226" i="34"/>
  <c r="E226" i="34"/>
  <c r="C214" i="34"/>
  <c r="E214" i="34"/>
  <c r="G214" i="34"/>
  <c r="D214" i="34"/>
  <c r="D202" i="34"/>
  <c r="C202" i="34"/>
  <c r="F202" i="34"/>
  <c r="E202" i="34"/>
  <c r="D190" i="34"/>
  <c r="C190" i="34"/>
  <c r="E190" i="34"/>
  <c r="G178" i="34"/>
  <c r="F178" i="34"/>
  <c r="C178" i="34"/>
  <c r="E178" i="34"/>
  <c r="G166" i="34"/>
  <c r="F166" i="34"/>
  <c r="C166" i="34"/>
  <c r="E166" i="34"/>
  <c r="C154" i="34"/>
  <c r="G154" i="34"/>
  <c r="D154" i="34"/>
  <c r="E154" i="34"/>
  <c r="C142" i="34"/>
  <c r="F142" i="34"/>
  <c r="E142" i="34"/>
  <c r="D130" i="34"/>
  <c r="C130" i="34"/>
  <c r="E130" i="34"/>
  <c r="F130" i="34"/>
  <c r="D118" i="34"/>
  <c r="C118" i="34"/>
  <c r="G118" i="34"/>
  <c r="E118" i="34"/>
  <c r="G106" i="34"/>
  <c r="F106" i="34"/>
  <c r="C106" i="34"/>
  <c r="E106" i="34"/>
  <c r="G94" i="34"/>
  <c r="F94" i="34"/>
  <c r="C94" i="34"/>
  <c r="D94" i="34"/>
  <c r="E94" i="34"/>
  <c r="C82" i="34"/>
  <c r="G82" i="34"/>
  <c r="E82" i="34"/>
  <c r="D82" i="34"/>
  <c r="C10" i="34"/>
  <c r="F10" i="34"/>
  <c r="E10" i="34"/>
  <c r="G10" i="34"/>
  <c r="C241" i="34"/>
  <c r="D48" i="34"/>
  <c r="D45" i="34"/>
  <c r="C45" i="34"/>
  <c r="G45" i="34"/>
  <c r="E45" i="34"/>
  <c r="D20" i="34"/>
  <c r="G20" i="34"/>
  <c r="F20" i="34"/>
  <c r="C20" i="34"/>
  <c r="E20" i="34"/>
  <c r="C192" i="34"/>
  <c r="C169" i="34"/>
  <c r="C48" i="34"/>
  <c r="C25" i="34"/>
  <c r="E250" i="34"/>
  <c r="E204" i="34"/>
  <c r="E156" i="34"/>
  <c r="E108" i="34"/>
  <c r="E60" i="34"/>
  <c r="E12" i="34"/>
  <c r="D178" i="34"/>
  <c r="D106" i="34"/>
  <c r="D35" i="34"/>
  <c r="D12" i="34"/>
  <c r="F212" i="34"/>
  <c r="F133" i="34"/>
  <c r="F57" i="34"/>
  <c r="G216" i="34"/>
  <c r="D247" i="34"/>
  <c r="D175" i="34"/>
  <c r="D103" i="34"/>
  <c r="D31" i="34"/>
  <c r="G211" i="34"/>
  <c r="G139" i="34"/>
  <c r="G67" i="34"/>
  <c r="D174" i="34"/>
  <c r="D102" i="34"/>
  <c r="G210" i="34"/>
  <c r="G138" i="34"/>
  <c r="G66" i="34"/>
  <c r="D259" i="34"/>
  <c r="D187" i="34"/>
  <c r="D115" i="34"/>
  <c r="D43" i="34"/>
  <c r="G223" i="34"/>
  <c r="G151" i="34"/>
  <c r="G79" i="34"/>
  <c r="G7" i="34"/>
  <c r="D258" i="34"/>
  <c r="D186" i="34"/>
  <c r="D114" i="34"/>
  <c r="G222" i="34"/>
  <c r="G150" i="34"/>
  <c r="G78" i="34"/>
  <c r="G6" i="34"/>
  <c r="F2" i="34"/>
  <c r="E2" i="34"/>
  <c r="G146" i="21"/>
  <c r="G86" i="21"/>
  <c r="G26" i="21"/>
  <c r="G122" i="21"/>
  <c r="G50" i="21"/>
  <c r="G98" i="21"/>
  <c r="G14" i="21"/>
  <c r="E263" i="22" a="1"/>
  <c r="E263" i="22" s="1"/>
  <c r="C263" i="22" a="1"/>
  <c r="C263" i="22" s="1"/>
  <c r="G74" i="21"/>
  <c r="G110" i="21"/>
  <c r="G38" i="21"/>
  <c r="G62" i="21"/>
  <c r="C659" i="22" a="1"/>
  <c r="C659" i="22" s="1"/>
  <c r="C658" i="22" a="1"/>
  <c r="C658" i="22" s="1"/>
  <c r="C1035" i="22" a="1"/>
  <c r="C1035" i="22" s="1"/>
  <c r="C994" i="22" a="1"/>
  <c r="C994" i="22" s="1"/>
  <c r="E370" i="22" a="1"/>
  <c r="E370" i="22" s="1"/>
  <c r="C370" i="22" a="1"/>
  <c r="C370" i="22" s="1"/>
  <c r="E688" i="22" a="1"/>
  <c r="E688" i="22" s="1"/>
  <c r="C688" i="22" a="1"/>
  <c r="C688" i="22" s="1"/>
  <c r="E549" i="22" a="1"/>
  <c r="E549" i="22" s="1"/>
  <c r="C549" i="22" a="1"/>
  <c r="C549" i="22" s="1"/>
  <c r="E516" i="22" a="1"/>
  <c r="E516" i="22" s="1"/>
  <c r="C516" i="22" a="1"/>
  <c r="C516" i="22" s="1"/>
  <c r="E268" i="22" a="1"/>
  <c r="E268" i="22" s="1"/>
  <c r="C268" i="22" a="1"/>
  <c r="C268" i="22" s="1"/>
  <c r="E572" i="22" a="1"/>
  <c r="E572" i="22" s="1"/>
  <c r="C572" i="22" a="1"/>
  <c r="C572" i="22" s="1"/>
  <c r="E783" i="22" a="1"/>
  <c r="E783" i="22" s="1"/>
  <c r="C783" i="22" a="1"/>
  <c r="C783" i="22" s="1"/>
  <c r="E912" i="22" a="1"/>
  <c r="E912" i="22" s="1"/>
  <c r="C912" i="22" a="1"/>
  <c r="C912" i="22" s="1"/>
  <c r="E524" i="22" a="1"/>
  <c r="E524" i="22" s="1"/>
  <c r="C524" i="22" a="1"/>
  <c r="C524" i="22" s="1"/>
  <c r="E101" i="22" a="1"/>
  <c r="E101" i="22" s="1"/>
  <c r="C101" i="22" a="1"/>
  <c r="C101" i="22" s="1"/>
  <c r="E156" i="22" a="1"/>
  <c r="E156" i="22" s="1"/>
  <c r="C156" i="22" a="1"/>
  <c r="C156" i="22" s="1"/>
  <c r="E932" i="22" a="1"/>
  <c r="E932" i="22" s="1"/>
  <c r="C932" i="22" a="1"/>
  <c r="C932" i="22" s="1"/>
  <c r="E778" i="22" a="1"/>
  <c r="E778" i="22" s="1"/>
  <c r="C778" i="22" a="1"/>
  <c r="C778" i="22" s="1"/>
  <c r="C388" i="22" a="1"/>
  <c r="C388" i="22" s="1"/>
  <c r="E388" i="22" a="1"/>
  <c r="E388" i="22" s="1"/>
  <c r="E679" i="22" a="1"/>
  <c r="E679" i="22" s="1"/>
  <c r="C679" i="22" a="1"/>
  <c r="C679" i="22" s="1"/>
  <c r="E513" i="22" a="1"/>
  <c r="E513" i="22" s="1"/>
  <c r="C513" i="22" a="1"/>
  <c r="C513" i="22" s="1"/>
  <c r="E887" i="22" a="1"/>
  <c r="E887" i="22" s="1"/>
  <c r="C887" i="22" a="1"/>
  <c r="C887" i="22" s="1"/>
  <c r="E424" i="22" a="1"/>
  <c r="E424" i="22" s="1"/>
  <c r="C424" i="22" a="1"/>
  <c r="C424" i="22" s="1"/>
  <c r="E112" i="22" a="1"/>
  <c r="E112" i="22" s="1"/>
  <c r="C112" i="22" a="1"/>
  <c r="C112" i="22" s="1"/>
  <c r="E100" i="22" a="1"/>
  <c r="E100" i="22" s="1"/>
  <c r="C100" i="22" a="1"/>
  <c r="C100" i="22" s="1"/>
  <c r="E1036" i="22" a="1"/>
  <c r="E1036" i="22" s="1"/>
  <c r="C1036" i="22" a="1"/>
  <c r="C1036" i="22" s="1"/>
  <c r="E288" i="22" a="1"/>
  <c r="E288" i="22" s="1"/>
  <c r="C288" i="22" a="1"/>
  <c r="C288" i="22" s="1"/>
  <c r="C974" i="22" a="1"/>
  <c r="C974" i="22" s="1"/>
  <c r="E974" i="22" a="1"/>
  <c r="E974" i="22" s="1"/>
  <c r="E765" i="22" a="1"/>
  <c r="E765" i="22" s="1"/>
  <c r="C765" i="22" a="1"/>
  <c r="C765" i="22" s="1"/>
  <c r="E678" i="22" a="1"/>
  <c r="E678" i="22" s="1"/>
  <c r="C678" i="22" a="1"/>
  <c r="C678" i="22" s="1"/>
  <c r="E184" i="22" a="1"/>
  <c r="E184" i="22" s="1"/>
  <c r="C184" i="22" a="1"/>
  <c r="C184" i="22" s="1"/>
  <c r="C187" i="22" a="1"/>
  <c r="C187" i="22" s="1"/>
  <c r="E755" i="22" a="1"/>
  <c r="E755" i="22" s="1"/>
  <c r="C755" i="22" a="1"/>
  <c r="C755" i="22" s="1"/>
  <c r="E183" i="22" a="1"/>
  <c r="E183" i="22" s="1"/>
  <c r="C183" i="22" a="1"/>
  <c r="C183" i="22" s="1"/>
  <c r="E14" i="22" a="1"/>
  <c r="E14" i="22" s="1"/>
  <c r="C14" i="22" a="1"/>
  <c r="C14" i="22" s="1"/>
  <c r="C1041" i="22" a="1"/>
  <c r="C1041" i="22" s="1"/>
  <c r="E1041" i="22" a="1"/>
  <c r="E1041" i="22" s="1"/>
  <c r="C409" i="22" a="1"/>
  <c r="C409" i="22" s="1"/>
  <c r="C82" i="22" a="1"/>
  <c r="C82" i="22" s="1"/>
  <c r="B9" i="28"/>
  <c r="A2" i="24"/>
  <c r="B6" i="27"/>
  <c r="E888" i="22" a="1"/>
  <c r="E888" i="22" s="1"/>
  <c r="C888" i="22" a="1"/>
  <c r="C888" i="22" s="1"/>
  <c r="E413" i="22" a="1"/>
  <c r="E413" i="22" s="1"/>
  <c r="C413" i="22" a="1"/>
  <c r="C413" i="22" s="1"/>
  <c r="E617" i="22" a="1"/>
  <c r="E617" i="22" s="1"/>
  <c r="C617" i="22" a="1"/>
  <c r="C617" i="22" s="1"/>
  <c r="C423" i="22" a="1"/>
  <c r="C423" i="22" s="1"/>
  <c r="E423" i="22" a="1"/>
  <c r="E423" i="22" s="1"/>
  <c r="E74" i="22" a="1"/>
  <c r="E74" i="22" s="1"/>
  <c r="C74" i="22" a="1"/>
  <c r="C74" i="22" s="1"/>
  <c r="E290" i="22" a="1"/>
  <c r="E290" i="22" s="1"/>
  <c r="C290" i="22" a="1"/>
  <c r="C290" i="22" s="1"/>
  <c r="C96" i="22" a="1"/>
  <c r="C96" i="22" s="1"/>
  <c r="E96" i="22" a="1"/>
  <c r="E96" i="22" s="1"/>
  <c r="E42" i="22" a="1"/>
  <c r="E42" i="22" s="1"/>
  <c r="C42" i="22" a="1"/>
  <c r="C42" i="22" s="1"/>
  <c r="B5" i="27"/>
  <c r="C880" i="22" a="1"/>
  <c r="C880" i="22" s="1"/>
  <c r="E880" i="22" a="1"/>
  <c r="E880" i="22" s="1"/>
  <c r="E713" i="22" a="1"/>
  <c r="E713" i="22" s="1"/>
  <c r="C713" i="22" a="1"/>
  <c r="C713" i="22" s="1"/>
  <c r="E319" i="22" a="1"/>
  <c r="E319" i="22" s="1"/>
  <c r="C319" i="22" a="1"/>
  <c r="C319" i="22" s="1"/>
  <c r="C1012" i="22" a="1"/>
  <c r="C1012" i="22" s="1"/>
  <c r="C902" i="22" a="1"/>
  <c r="C902" i="22" s="1"/>
  <c r="C265" i="22" a="1"/>
  <c r="C265" i="22" s="1"/>
  <c r="C1011" i="22" a="1"/>
  <c r="C1011" i="22" s="1"/>
  <c r="C384" i="22" a="1"/>
  <c r="C384" i="22" s="1"/>
  <c r="C159" i="22" a="1"/>
  <c r="C159" i="22" s="1"/>
  <c r="C99" i="22" a="1"/>
  <c r="C99" i="22" s="1"/>
  <c r="C750" i="22" a="1"/>
  <c r="C750" i="22" s="1"/>
  <c r="C12" i="22" a="1"/>
  <c r="C12" i="22" s="1"/>
  <c r="C990" i="22" a="1"/>
  <c r="C990" i="22" s="1"/>
  <c r="C865" i="22" a="1"/>
  <c r="C865" i="22" s="1"/>
  <c r="C741" i="22" a="1"/>
  <c r="C741" i="22" s="1"/>
  <c r="C648" i="22" a="1"/>
  <c r="C648" i="22" s="1"/>
  <c r="C512" i="22" a="1"/>
  <c r="C512" i="22" s="1"/>
  <c r="C362" i="22" a="1"/>
  <c r="C362" i="22" s="1"/>
  <c r="C241" i="22" a="1"/>
  <c r="C241" i="22" s="1"/>
  <c r="C984" i="22" a="1"/>
  <c r="C984" i="22" s="1"/>
  <c r="C843" i="22" a="1"/>
  <c r="C843" i="22" s="1"/>
  <c r="C732" i="22" a="1"/>
  <c r="C732" i="22" s="1"/>
  <c r="C624" i="22" a="1"/>
  <c r="C624" i="22" s="1"/>
  <c r="C495" i="22" a="1"/>
  <c r="C495" i="22" s="1"/>
  <c r="C339" i="22" a="1"/>
  <c r="C339" i="22" s="1"/>
  <c r="C239" i="22" a="1"/>
  <c r="C239" i="22" s="1"/>
  <c r="C147" i="22" a="1"/>
  <c r="C147" i="22" s="1"/>
  <c r="C70" i="22" a="1"/>
  <c r="C70" i="22" s="1"/>
  <c r="E682" i="22" a="1"/>
  <c r="E682" i="22" s="1"/>
  <c r="C836" i="22" a="1"/>
  <c r="C836" i="22" s="1"/>
  <c r="C623" i="22" a="1"/>
  <c r="C623" i="22" s="1"/>
  <c r="C490" i="22" a="1"/>
  <c r="C490" i="22" s="1"/>
  <c r="C338" i="22" a="1"/>
  <c r="C338" i="22" s="1"/>
  <c r="C238" i="22" a="1"/>
  <c r="C238" i="22" s="1"/>
  <c r="C135" i="22" a="1"/>
  <c r="C135" i="22" s="1"/>
  <c r="C62" i="22" a="1"/>
  <c r="C62" i="22" s="1"/>
  <c r="E602" i="22" a="1"/>
  <c r="E602" i="22" s="1"/>
  <c r="C825" i="22" a="1"/>
  <c r="C825" i="22" s="1"/>
  <c r="C729" i="22" a="1"/>
  <c r="C729" i="22" s="1"/>
  <c r="C473" i="22" a="1"/>
  <c r="C473" i="22" s="1"/>
  <c r="C330" i="22" a="1"/>
  <c r="C330" i="22" s="1"/>
  <c r="C230" i="22" a="1"/>
  <c r="C230" i="22" s="1"/>
  <c r="C130" i="22" a="1"/>
  <c r="C130" i="22" s="1"/>
  <c r="C45" i="22" a="1"/>
  <c r="C45" i="22" s="1"/>
  <c r="E588" i="22" a="1"/>
  <c r="E588" i="22" s="1"/>
  <c r="C970" i="22" a="1"/>
  <c r="C970" i="22" s="1"/>
  <c r="C804" i="22" a="1"/>
  <c r="C804" i="22" s="1"/>
  <c r="C469" i="22" a="1"/>
  <c r="C469" i="22" s="1"/>
  <c r="C323" i="22" a="1"/>
  <c r="C323" i="22" s="1"/>
  <c r="C222" i="22" a="1"/>
  <c r="C222" i="22" s="1"/>
  <c r="C127" i="22" a="1"/>
  <c r="C127" i="22" s="1"/>
  <c r="C958" i="22" a="1"/>
  <c r="C958" i="22" s="1"/>
  <c r="C802" i="22" a="1"/>
  <c r="C802" i="22" s="1"/>
  <c r="C711" i="22" a="1"/>
  <c r="C711" i="22" s="1"/>
  <c r="C607" i="22" a="1"/>
  <c r="C607" i="22" s="1"/>
  <c r="C464" i="22" a="1"/>
  <c r="C464" i="22" s="1"/>
  <c r="C218" i="22" a="1"/>
  <c r="C218" i="22" s="1"/>
  <c r="C121" i="22" a="1"/>
  <c r="C121" i="22" s="1"/>
  <c r="C40" i="22" a="1"/>
  <c r="C40" i="22" s="1"/>
  <c r="C1040" i="22" a="1"/>
  <c r="C1040" i="22" s="1"/>
  <c r="C950" i="22" a="1"/>
  <c r="C950" i="22" s="1"/>
  <c r="C787" i="22" a="1"/>
  <c r="C787" i="22" s="1"/>
  <c r="C693" i="22" a="1"/>
  <c r="C693" i="22" s="1"/>
  <c r="C586" i="22" a="1"/>
  <c r="C586" i="22" s="1"/>
  <c r="C452" i="22" a="1"/>
  <c r="C452" i="22" s="1"/>
  <c r="C215" i="22" a="1"/>
  <c r="C215" i="22" s="1"/>
  <c r="C120" i="22" a="1"/>
  <c r="C120" i="22" s="1"/>
  <c r="C28" i="22" a="1"/>
  <c r="C28" i="22" s="1"/>
  <c r="E406" i="22" a="1"/>
  <c r="E406" i="22" s="1"/>
  <c r="D2" i="26"/>
  <c r="F2" i="26"/>
  <c r="G2" i="26"/>
  <c r="E844" i="22" a="1"/>
  <c r="E844" i="22" s="1"/>
  <c r="C844" i="22" a="1"/>
  <c r="C844" i="22" s="1"/>
  <c r="E872" i="22" a="1"/>
  <c r="E872" i="22" s="1"/>
  <c r="C872" i="22" a="1"/>
  <c r="C872" i="22" s="1"/>
  <c r="E853" i="22" a="1"/>
  <c r="E853" i="22" s="1"/>
  <c r="C853" i="22" a="1"/>
  <c r="C853" i="22" s="1"/>
  <c r="E834" i="22" a="1"/>
  <c r="E834" i="22" s="1"/>
  <c r="C834" i="22" a="1"/>
  <c r="C834" i="22" s="1"/>
  <c r="E776" i="22" a="1"/>
  <c r="E776" i="22" s="1"/>
  <c r="C776" i="22" a="1"/>
  <c r="C776" i="22" s="1"/>
  <c r="E767" i="22" a="1"/>
  <c r="E767" i="22" s="1"/>
  <c r="C767" i="22" a="1"/>
  <c r="C767" i="22" s="1"/>
  <c r="E738" i="22" a="1"/>
  <c r="E738" i="22" s="1"/>
  <c r="C738" i="22" a="1"/>
  <c r="C738" i="22" s="1"/>
  <c r="E728" i="22" a="1"/>
  <c r="E728" i="22" s="1"/>
  <c r="C728" i="22" a="1"/>
  <c r="C728" i="22" s="1"/>
  <c r="E720" i="22" a="1"/>
  <c r="E720" i="22" s="1"/>
  <c r="C720" i="22" a="1"/>
  <c r="C720" i="22" s="1"/>
  <c r="E712" i="22" a="1"/>
  <c r="E712" i="22" s="1"/>
  <c r="C712" i="22" a="1"/>
  <c r="C712" i="22" s="1"/>
  <c r="E701" i="22" a="1"/>
  <c r="E701" i="22" s="1"/>
  <c r="C701" i="22" a="1"/>
  <c r="C701" i="22" s="1"/>
  <c r="E690" i="22" a="1"/>
  <c r="E690" i="22" s="1"/>
  <c r="C690" i="22" a="1"/>
  <c r="C690" i="22" s="1"/>
  <c r="E681" i="22" a="1"/>
  <c r="E681" i="22" s="1"/>
  <c r="C681" i="22" a="1"/>
  <c r="C681" i="22" s="1"/>
  <c r="E654" i="22" a="1"/>
  <c r="E654" i="22" s="1"/>
  <c r="C654" i="22" a="1"/>
  <c r="C654" i="22" s="1"/>
  <c r="E558" i="22" a="1"/>
  <c r="E558" i="22" s="1"/>
  <c r="C558" i="22" a="1"/>
  <c r="C558" i="22" s="1"/>
  <c r="E453" i="22" a="1"/>
  <c r="E453" i="22" s="1"/>
  <c r="C453" i="22" a="1"/>
  <c r="C453" i="22" s="1"/>
  <c r="E375" i="22" a="1"/>
  <c r="E375" i="22" s="1"/>
  <c r="C375" i="22" a="1"/>
  <c r="C375" i="22" s="1"/>
  <c r="C357" i="22" a="1"/>
  <c r="C357" i="22" s="1"/>
  <c r="E357" i="22" a="1"/>
  <c r="E357" i="22" s="1"/>
  <c r="E327" i="22" a="1"/>
  <c r="E327" i="22" s="1"/>
  <c r="C327" i="22" a="1"/>
  <c r="C327" i="22" s="1"/>
  <c r="E306" i="22" a="1"/>
  <c r="E306" i="22" s="1"/>
  <c r="C306" i="22" a="1"/>
  <c r="C306" i="22" s="1"/>
  <c r="E235" i="22" a="1"/>
  <c r="E235" i="22" s="1"/>
  <c r="C235" i="22" a="1"/>
  <c r="C235" i="22" s="1"/>
  <c r="E225" i="22" a="1"/>
  <c r="E225" i="22" s="1"/>
  <c r="C225" i="22" a="1"/>
  <c r="C225" i="22" s="1"/>
  <c r="E168" i="22" a="1"/>
  <c r="E168" i="22" s="1"/>
  <c r="C168" i="22" a="1"/>
  <c r="C168" i="22" s="1"/>
  <c r="E150" i="22" a="1"/>
  <c r="E150" i="22" s="1"/>
  <c r="C150" i="22" a="1"/>
  <c r="C150" i="22" s="1"/>
  <c r="E131" i="22" a="1"/>
  <c r="E131" i="22" s="1"/>
  <c r="C131" i="22" a="1"/>
  <c r="C131" i="22" s="1"/>
  <c r="E88" i="22" a="1"/>
  <c r="E88" i="22" s="1"/>
  <c r="C88" i="22" a="1"/>
  <c r="C88" i="22" s="1"/>
  <c r="E68" i="22" a="1"/>
  <c r="E68" i="22" s="1"/>
  <c r="C68" i="22" a="1"/>
  <c r="C68" i="22" s="1"/>
  <c r="E59" i="22" a="1"/>
  <c r="E59" i="22" s="1"/>
  <c r="C59" i="22" a="1"/>
  <c r="C59" i="22" s="1"/>
  <c r="E31" i="22" a="1"/>
  <c r="E31" i="22" s="1"/>
  <c r="C31" i="22" a="1"/>
  <c r="C31" i="22" s="1"/>
  <c r="E22" i="22" a="1"/>
  <c r="E22" i="22" s="1"/>
  <c r="C22" i="22" a="1"/>
  <c r="C22" i="22" s="1"/>
  <c r="E11" i="22" a="1"/>
  <c r="E11" i="22" s="1"/>
  <c r="C11" i="22" a="1"/>
  <c r="C11" i="22" s="1"/>
  <c r="C426" i="22" a="1"/>
  <c r="C426" i="22" s="1"/>
  <c r="E891" i="22" a="1"/>
  <c r="E891" i="22" s="1"/>
  <c r="C891" i="22" a="1"/>
  <c r="C891" i="22" s="1"/>
  <c r="E881" i="22" a="1"/>
  <c r="E881" i="22" s="1"/>
  <c r="C881" i="22" a="1"/>
  <c r="C881" i="22" s="1"/>
  <c r="E862" i="22" a="1"/>
  <c r="E862" i="22" s="1"/>
  <c r="C862" i="22" a="1"/>
  <c r="C862" i="22" s="1"/>
  <c r="E796" i="22" a="1"/>
  <c r="E796" i="22" s="1"/>
  <c r="C796" i="22" a="1"/>
  <c r="C796" i="22" s="1"/>
  <c r="E785" i="22" a="1"/>
  <c r="E785" i="22" s="1"/>
  <c r="C785" i="22" a="1"/>
  <c r="C785" i="22" s="1"/>
  <c r="E775" i="22" a="1"/>
  <c r="E775" i="22" s="1"/>
  <c r="C775" i="22" a="1"/>
  <c r="C775" i="22" s="1"/>
  <c r="E766" i="22" a="1"/>
  <c r="E766" i="22" s="1"/>
  <c r="C766" i="22" a="1"/>
  <c r="C766" i="22" s="1"/>
  <c r="E757" i="22" a="1"/>
  <c r="E757" i="22" s="1"/>
  <c r="C757" i="22" a="1"/>
  <c r="C757" i="22" s="1"/>
  <c r="C748" i="22" a="1"/>
  <c r="C748" i="22" s="1"/>
  <c r="E748" i="22" a="1"/>
  <c r="E748" i="22" s="1"/>
  <c r="E727" i="22" a="1"/>
  <c r="E727" i="22" s="1"/>
  <c r="C727" i="22" a="1"/>
  <c r="C727" i="22" s="1"/>
  <c r="E700" i="22" a="1"/>
  <c r="E700" i="22" s="1"/>
  <c r="C700" i="22" a="1"/>
  <c r="C700" i="22" s="1"/>
  <c r="E653" i="22" a="1"/>
  <c r="E653" i="22" s="1"/>
  <c r="C653" i="22" a="1"/>
  <c r="C653" i="22" s="1"/>
  <c r="E488" i="22" a="1"/>
  <c r="E488" i="22" s="1"/>
  <c r="C488" i="22" a="1"/>
  <c r="C488" i="22" s="1"/>
  <c r="E480" i="22" a="1"/>
  <c r="E480" i="22" s="1"/>
  <c r="C480" i="22" a="1"/>
  <c r="C480" i="22" s="1"/>
  <c r="E470" i="22" a="1"/>
  <c r="E470" i="22" s="1"/>
  <c r="C470" i="22" a="1"/>
  <c r="C470" i="22" s="1"/>
  <c r="E416" i="22" a="1"/>
  <c r="E416" i="22" s="1"/>
  <c r="C416" i="22" a="1"/>
  <c r="C416" i="22" s="1"/>
  <c r="E405" i="22" a="1"/>
  <c r="E405" i="22" s="1"/>
  <c r="C405" i="22" a="1"/>
  <c r="C405" i="22" s="1"/>
  <c r="E395" i="22" a="1"/>
  <c r="E395" i="22" s="1"/>
  <c r="C395" i="22" a="1"/>
  <c r="C395" i="22" s="1"/>
  <c r="E365" i="22" a="1"/>
  <c r="E365" i="22" s="1"/>
  <c r="C365" i="22" a="1"/>
  <c r="C365" i="22" s="1"/>
  <c r="E347" i="22" a="1"/>
  <c r="E347" i="22" s="1"/>
  <c r="C347" i="22" a="1"/>
  <c r="C347" i="22" s="1"/>
  <c r="E254" i="22" a="1"/>
  <c r="E254" i="22" s="1"/>
  <c r="C254" i="22" a="1"/>
  <c r="C254" i="22" s="1"/>
  <c r="E244" i="22" a="1"/>
  <c r="E244" i="22" s="1"/>
  <c r="C244" i="22" a="1"/>
  <c r="C244" i="22" s="1"/>
  <c r="E234" i="22" a="1"/>
  <c r="E234" i="22" s="1"/>
  <c r="C234" i="22" a="1"/>
  <c r="C234" i="22" s="1"/>
  <c r="E186" i="22" a="1"/>
  <c r="E186" i="22" s="1"/>
  <c r="C186" i="22" a="1"/>
  <c r="C186" i="22" s="1"/>
  <c r="E176" i="22" a="1"/>
  <c r="E176" i="22" s="1"/>
  <c r="C176" i="22" a="1"/>
  <c r="C176" i="22" s="1"/>
  <c r="E158" i="22" a="1"/>
  <c r="E158" i="22" s="1"/>
  <c r="C158" i="22" a="1"/>
  <c r="C158" i="22" s="1"/>
  <c r="E119" i="22" a="1"/>
  <c r="E119" i="22" s="1"/>
  <c r="C119" i="22" a="1"/>
  <c r="C119" i="22" s="1"/>
  <c r="E1008" i="22" a="1"/>
  <c r="E1008" i="22" s="1"/>
  <c r="C1008" i="22" a="1"/>
  <c r="C1008" i="22" s="1"/>
  <c r="E998" i="22" a="1"/>
  <c r="E998" i="22" s="1"/>
  <c r="C998" i="22" a="1"/>
  <c r="C998" i="22" s="1"/>
  <c r="C987" i="22" a="1"/>
  <c r="C987" i="22" s="1"/>
  <c r="E987" i="22" a="1"/>
  <c r="E987" i="22" s="1"/>
  <c r="E954" i="22" a="1"/>
  <c r="E954" i="22" s="1"/>
  <c r="C954" i="22" a="1"/>
  <c r="C954" i="22" s="1"/>
  <c r="E944" i="22" a="1"/>
  <c r="E944" i="22" s="1"/>
  <c r="C944" i="22" a="1"/>
  <c r="C944" i="22" s="1"/>
  <c r="E933" i="22" a="1"/>
  <c r="E933" i="22" s="1"/>
  <c r="C933" i="22" a="1"/>
  <c r="C933" i="22" s="1"/>
  <c r="E900" i="22" a="1"/>
  <c r="E900" i="22" s="1"/>
  <c r="C900" i="22" a="1"/>
  <c r="C900" i="22" s="1"/>
  <c r="E890" i="22" a="1"/>
  <c r="E890" i="22" s="1"/>
  <c r="C890" i="22" a="1"/>
  <c r="C890" i="22" s="1"/>
  <c r="E813" i="22" a="1"/>
  <c r="E813" i="22" s="1"/>
  <c r="C813" i="22" a="1"/>
  <c r="C813" i="22" s="1"/>
  <c r="E805" i="22" a="1"/>
  <c r="E805" i="22" s="1"/>
  <c r="C805" i="22" a="1"/>
  <c r="C805" i="22" s="1"/>
  <c r="E479" i="22" a="1"/>
  <c r="E479" i="22" s="1"/>
  <c r="C479" i="22" a="1"/>
  <c r="C479" i="22" s="1"/>
  <c r="E451" i="22" a="1"/>
  <c r="E451" i="22" s="1"/>
  <c r="C451" i="22" a="1"/>
  <c r="C451" i="22" s="1"/>
  <c r="E443" i="22" a="1"/>
  <c r="E443" i="22" s="1"/>
  <c r="C443" i="22" a="1"/>
  <c r="C443" i="22" s="1"/>
  <c r="E433" i="22" a="1"/>
  <c r="E433" i="22" s="1"/>
  <c r="C433" i="22" a="1"/>
  <c r="C433" i="22" s="1"/>
  <c r="E425" i="22" a="1"/>
  <c r="E425" i="22" s="1"/>
  <c r="C425" i="22" a="1"/>
  <c r="C425" i="22" s="1"/>
  <c r="E404" i="22" a="1"/>
  <c r="E404" i="22" s="1"/>
  <c r="C404" i="22" a="1"/>
  <c r="C404" i="22" s="1"/>
  <c r="E394" i="22" a="1"/>
  <c r="E394" i="22" s="1"/>
  <c r="C394" i="22" a="1"/>
  <c r="C394" i="22" s="1"/>
  <c r="E295" i="22" a="1"/>
  <c r="E295" i="22" s="1"/>
  <c r="C295" i="22" a="1"/>
  <c r="C295" i="22" s="1"/>
  <c r="E273" i="22" a="1"/>
  <c r="E273" i="22" s="1"/>
  <c r="C273" i="22" a="1"/>
  <c r="C273" i="22" s="1"/>
  <c r="E264" i="22" a="1"/>
  <c r="E264" i="22" s="1"/>
  <c r="C264" i="22" a="1"/>
  <c r="C264" i="22" s="1"/>
  <c r="E243" i="22" a="1"/>
  <c r="E243" i="22" s="1"/>
  <c r="C243" i="22" a="1"/>
  <c r="C243" i="22" s="1"/>
  <c r="E204" i="22" a="1"/>
  <c r="E204" i="22" s="1"/>
  <c r="C204" i="22" a="1"/>
  <c r="C204" i="22" s="1"/>
  <c r="E194" i="22" a="1"/>
  <c r="E194" i="22" s="1"/>
  <c r="C194" i="22" a="1"/>
  <c r="C194" i="22" s="1"/>
  <c r="E1019" i="22" a="1"/>
  <c r="E1019" i="22" s="1"/>
  <c r="C1019" i="22" a="1"/>
  <c r="C1019" i="22" s="1"/>
  <c r="E1007" i="22" a="1"/>
  <c r="E1007" i="22" s="1"/>
  <c r="C1007" i="22" a="1"/>
  <c r="C1007" i="22" s="1"/>
  <c r="E997" i="22" a="1"/>
  <c r="E997" i="22" s="1"/>
  <c r="C997" i="22" a="1"/>
  <c r="C997" i="22" s="1"/>
  <c r="C965" i="22" a="1"/>
  <c r="C965" i="22" s="1"/>
  <c r="E965" i="22" a="1"/>
  <c r="E965" i="22" s="1"/>
  <c r="E899" i="22" a="1"/>
  <c r="E899" i="22" s="1"/>
  <c r="C899" i="22" a="1"/>
  <c r="C899" i="22" s="1"/>
  <c r="E822" i="22" a="1"/>
  <c r="E822" i="22" s="1"/>
  <c r="C822" i="22" a="1"/>
  <c r="C822" i="22" s="1"/>
  <c r="E812" i="22" a="1"/>
  <c r="E812" i="22" s="1"/>
  <c r="C812" i="22" a="1"/>
  <c r="C812" i="22" s="1"/>
  <c r="E546" i="22" a="1"/>
  <c r="E546" i="22" s="1"/>
  <c r="C546" i="22" a="1"/>
  <c r="C546" i="22" s="1"/>
  <c r="E536" i="22" a="1"/>
  <c r="E536" i="22" s="1"/>
  <c r="C536" i="22" a="1"/>
  <c r="C536" i="22" s="1"/>
  <c r="E526" i="22" a="1"/>
  <c r="E526" i="22" s="1"/>
  <c r="C526" i="22" a="1"/>
  <c r="C526" i="22" s="1"/>
  <c r="E498" i="22" a="1"/>
  <c r="E498" i="22" s="1"/>
  <c r="C498" i="22" a="1"/>
  <c r="C498" i="22" s="1"/>
  <c r="E450" i="22" a="1"/>
  <c r="E450" i="22" s="1"/>
  <c r="C450" i="22" a="1"/>
  <c r="C450" i="22" s="1"/>
  <c r="E304" i="22" a="1"/>
  <c r="E304" i="22" s="1"/>
  <c r="C304" i="22" a="1"/>
  <c r="C304" i="22" s="1"/>
  <c r="E294" i="22" a="1"/>
  <c r="E294" i="22" s="1"/>
  <c r="C294" i="22" a="1"/>
  <c r="C294" i="22" s="1"/>
  <c r="E283" i="22" a="1"/>
  <c r="E283" i="22" s="1"/>
  <c r="C283" i="22" a="1"/>
  <c r="C283" i="22" s="1"/>
  <c r="E213" i="22" a="1"/>
  <c r="E213" i="22" s="1"/>
  <c r="C213" i="22" a="1"/>
  <c r="C213" i="22" s="1"/>
  <c r="E203" i="22" a="1"/>
  <c r="E203" i="22" s="1"/>
  <c r="C203" i="22" a="1"/>
  <c r="C203" i="22" s="1"/>
  <c r="C929" i="22" a="1"/>
  <c r="C929" i="22" s="1"/>
  <c r="E870" i="22" a="1"/>
  <c r="E870" i="22" s="1"/>
  <c r="C870" i="22" a="1"/>
  <c r="C870" i="22" s="1"/>
  <c r="E832" i="22" a="1"/>
  <c r="E832" i="22" s="1"/>
  <c r="C832" i="22" a="1"/>
  <c r="C832" i="22" s="1"/>
  <c r="E593" i="22" a="1"/>
  <c r="E593" i="22" s="1"/>
  <c r="C593" i="22" a="1"/>
  <c r="C593" i="22" s="1"/>
  <c r="E583" i="22" a="1"/>
  <c r="E583" i="22" s="1"/>
  <c r="C583" i="22" a="1"/>
  <c r="C583" i="22" s="1"/>
  <c r="E574" i="22" a="1"/>
  <c r="E574" i="22" s="1"/>
  <c r="C574" i="22" a="1"/>
  <c r="C574" i="22" s="1"/>
  <c r="E554" i="22" a="1"/>
  <c r="E554" i="22" s="1"/>
  <c r="C554" i="22" a="1"/>
  <c r="C554" i="22" s="1"/>
  <c r="E545" i="22" a="1"/>
  <c r="E545" i="22" s="1"/>
  <c r="C545" i="22" a="1"/>
  <c r="C545" i="22" s="1"/>
  <c r="E507" i="22" a="1"/>
  <c r="E507" i="22" s="1"/>
  <c r="C507" i="22" a="1"/>
  <c r="C507" i="22" s="1"/>
  <c r="E497" i="22" a="1"/>
  <c r="E497" i="22" s="1"/>
  <c r="C497" i="22" a="1"/>
  <c r="C497" i="22" s="1"/>
  <c r="E458" i="22" a="1"/>
  <c r="E458" i="22" s="1"/>
  <c r="C458" i="22" a="1"/>
  <c r="C458" i="22" s="1"/>
  <c r="E335" i="22" a="1"/>
  <c r="E335" i="22" s="1"/>
  <c r="C335" i="22" a="1"/>
  <c r="C335" i="22" s="1"/>
  <c r="E313" i="22" a="1"/>
  <c r="E313" i="22" s="1"/>
  <c r="C313" i="22" a="1"/>
  <c r="C313" i="22" s="1"/>
  <c r="E303" i="22" a="1"/>
  <c r="E303" i="22" s="1"/>
  <c r="C303" i="22" a="1"/>
  <c r="C303" i="22" s="1"/>
  <c r="E221" i="22" a="1"/>
  <c r="E221" i="22" s="1"/>
  <c r="C221" i="22" a="1"/>
  <c r="C221" i="22" s="1"/>
  <c r="E212" i="22" a="1"/>
  <c r="E212" i="22" s="1"/>
  <c r="C212" i="22" a="1"/>
  <c r="C212" i="22" s="1"/>
  <c r="C749" i="22" a="1"/>
  <c r="C749" i="22" s="1"/>
  <c r="C140" i="22" a="1"/>
  <c r="C140" i="22" s="1"/>
  <c r="E859" i="22" a="1"/>
  <c r="E859" i="22" s="1"/>
  <c r="C859" i="22" a="1"/>
  <c r="C859" i="22" s="1"/>
  <c r="E849" i="22" a="1"/>
  <c r="E849" i="22" s="1"/>
  <c r="C849" i="22" a="1"/>
  <c r="C849" i="22" s="1"/>
  <c r="E821" i="22" a="1"/>
  <c r="E821" i="22" s="1"/>
  <c r="C821" i="22" a="1"/>
  <c r="C821" i="22" s="1"/>
  <c r="E638" i="22" a="1"/>
  <c r="E638" i="22" s="1"/>
  <c r="C638" i="22" a="1"/>
  <c r="C638" i="22" s="1"/>
  <c r="E619" i="22" a="1"/>
  <c r="E619" i="22" s="1"/>
  <c r="C619" i="22" a="1"/>
  <c r="C619" i="22" s="1"/>
  <c r="E600" i="22" a="1"/>
  <c r="E600" i="22" s="1"/>
  <c r="C600" i="22" a="1"/>
  <c r="C600" i="22" s="1"/>
  <c r="E592" i="22" a="1"/>
  <c r="E592" i="22" s="1"/>
  <c r="C592" i="22" a="1"/>
  <c r="C592" i="22" s="1"/>
  <c r="E573" i="22" a="1"/>
  <c r="E573" i="22" s="1"/>
  <c r="C573" i="22" a="1"/>
  <c r="C573" i="22" s="1"/>
  <c r="E477" i="22" a="1"/>
  <c r="E477" i="22" s="1"/>
  <c r="C477" i="22" a="1"/>
  <c r="C477" i="22" s="1"/>
  <c r="E468" i="22" a="1"/>
  <c r="E468" i="22" s="1"/>
  <c r="C468" i="22" a="1"/>
  <c r="C468" i="22" s="1"/>
  <c r="C250" i="22" a="1"/>
  <c r="C250" i="22" s="1"/>
  <c r="E250" i="22" a="1"/>
  <c r="E250" i="22" s="1"/>
  <c r="E115" i="22" a="1"/>
  <c r="E115" i="22" s="1"/>
  <c r="C115" i="22" a="1"/>
  <c r="C115" i="22" s="1"/>
  <c r="C824" i="22" a="1"/>
  <c r="C824" i="22" s="1"/>
  <c r="E1026" i="22" a="1"/>
  <c r="E1026" i="22" s="1"/>
  <c r="C1026" i="22" a="1"/>
  <c r="C1026" i="22" s="1"/>
  <c r="E1016" i="22" a="1"/>
  <c r="E1016" i="22" s="1"/>
  <c r="C1016" i="22" a="1"/>
  <c r="C1016" i="22" s="1"/>
  <c r="E1005" i="22" a="1"/>
  <c r="E1005" i="22" s="1"/>
  <c r="C1005" i="22" a="1"/>
  <c r="C1005" i="22" s="1"/>
  <c r="E972" i="22" a="1"/>
  <c r="E972" i="22" s="1"/>
  <c r="C972" i="22" a="1"/>
  <c r="C972" i="22" s="1"/>
  <c r="E962" i="22" a="1"/>
  <c r="E962" i="22" s="1"/>
  <c r="C962" i="22" a="1"/>
  <c r="C962" i="22" s="1"/>
  <c r="E951" i="22" a="1"/>
  <c r="E951" i="22" s="1"/>
  <c r="C951" i="22" a="1"/>
  <c r="C951" i="22" s="1"/>
  <c r="E908" i="22" a="1"/>
  <c r="E908" i="22" s="1"/>
  <c r="C908" i="22" a="1"/>
  <c r="C908" i="22" s="1"/>
  <c r="E897" i="22" a="1"/>
  <c r="E897" i="22" s="1"/>
  <c r="C897" i="22" a="1"/>
  <c r="C897" i="22" s="1"/>
  <c r="E637" i="22" a="1"/>
  <c r="E637" i="22" s="1"/>
  <c r="C637" i="22" a="1"/>
  <c r="C637" i="22" s="1"/>
  <c r="E628" i="22" a="1"/>
  <c r="E628" i="22" s="1"/>
  <c r="C628" i="22" a="1"/>
  <c r="C628" i="22" s="1"/>
  <c r="E476" i="22" a="1"/>
  <c r="E476" i="22" s="1"/>
  <c r="C476" i="22" a="1"/>
  <c r="C476" i="22" s="1"/>
  <c r="E467" i="22" a="1"/>
  <c r="E467" i="22" s="1"/>
  <c r="C467" i="22" a="1"/>
  <c r="C467" i="22" s="1"/>
  <c r="E333" i="22" a="1"/>
  <c r="E333" i="22" s="1"/>
  <c r="C333" i="22" a="1"/>
  <c r="C333" i="22" s="1"/>
  <c r="E321" i="22" a="1"/>
  <c r="E321" i="22" s="1"/>
  <c r="C321" i="22" a="1"/>
  <c r="C321" i="22" s="1"/>
  <c r="E291" i="22" a="1"/>
  <c r="E291" i="22" s="1"/>
  <c r="C291" i="22" a="1"/>
  <c r="C291" i="22" s="1"/>
  <c r="E261" i="22" a="1"/>
  <c r="E261" i="22" s="1"/>
  <c r="C261" i="22" a="1"/>
  <c r="C261" i="22" s="1"/>
  <c r="E249" i="22" a="1"/>
  <c r="E249" i="22" s="1"/>
  <c r="C249" i="22" a="1"/>
  <c r="C249" i="22" s="1"/>
  <c r="C911" i="22" a="1"/>
  <c r="C911" i="22" s="1"/>
  <c r="C570" i="22" a="1"/>
  <c r="C570" i="22" s="1"/>
  <c r="C385" i="22" a="1"/>
  <c r="C385" i="22" s="1"/>
  <c r="E1037" i="22" a="1"/>
  <c r="E1037" i="22" s="1"/>
  <c r="C1037" i="22" a="1"/>
  <c r="C1037" i="22" s="1"/>
  <c r="E1025" i="22" a="1"/>
  <c r="E1025" i="22" s="1"/>
  <c r="C1025" i="22" a="1"/>
  <c r="C1025" i="22" s="1"/>
  <c r="E1015" i="22" a="1"/>
  <c r="E1015" i="22" s="1"/>
  <c r="C1015" i="22" a="1"/>
  <c r="C1015" i="22" s="1"/>
  <c r="E983" i="22" a="1"/>
  <c r="E983" i="22" s="1"/>
  <c r="C983" i="22" a="1"/>
  <c r="C983" i="22" s="1"/>
  <c r="E971" i="22" a="1"/>
  <c r="E971" i="22" s="1"/>
  <c r="C971" i="22" a="1"/>
  <c r="C971" i="22" s="1"/>
  <c r="E961" i="22" a="1"/>
  <c r="E961" i="22" s="1"/>
  <c r="C961" i="22" a="1"/>
  <c r="C961" i="22" s="1"/>
  <c r="E917" i="22" a="1"/>
  <c r="E917" i="22" s="1"/>
  <c r="C917" i="22" a="1"/>
  <c r="C917" i="22" s="1"/>
  <c r="E907" i="22" a="1"/>
  <c r="E907" i="22" s="1"/>
  <c r="C907" i="22" a="1"/>
  <c r="C907" i="22" s="1"/>
  <c r="E896" i="22" a="1"/>
  <c r="E896" i="22" s="1"/>
  <c r="C896" i="22" a="1"/>
  <c r="C896" i="22" s="1"/>
  <c r="E685" i="22" a="1"/>
  <c r="E685" i="22" s="1"/>
  <c r="C685" i="22" a="1"/>
  <c r="C685" i="22" s="1"/>
  <c r="E666" i="22" a="1"/>
  <c r="E666" i="22" s="1"/>
  <c r="C666" i="22" a="1"/>
  <c r="C666" i="22" s="1"/>
  <c r="E543" i="22" a="1"/>
  <c r="E543" i="22" s="1"/>
  <c r="C543" i="22" a="1"/>
  <c r="C543" i="22" s="1"/>
  <c r="E534" i="22" a="1"/>
  <c r="E534" i="22" s="1"/>
  <c r="C534" i="22" a="1"/>
  <c r="C534" i="22" s="1"/>
  <c r="E523" i="22" a="1"/>
  <c r="E523" i="22" s="1"/>
  <c r="C523" i="22" a="1"/>
  <c r="C523" i="22" s="1"/>
  <c r="E494" i="22" a="1"/>
  <c r="E494" i="22" s="1"/>
  <c r="C494" i="22" a="1"/>
  <c r="C494" i="22" s="1"/>
  <c r="E475" i="22" a="1"/>
  <c r="E475" i="22" s="1"/>
  <c r="C475" i="22" a="1"/>
  <c r="C475" i="22" s="1"/>
  <c r="E380" i="22" a="1"/>
  <c r="E380" i="22" s="1"/>
  <c r="C380" i="22" a="1"/>
  <c r="C380" i="22" s="1"/>
  <c r="E332" i="22" a="1"/>
  <c r="E332" i="22" s="1"/>
  <c r="C332" i="22" a="1"/>
  <c r="C332" i="22" s="1"/>
  <c r="E280" i="22" a="1"/>
  <c r="E280" i="22" s="1"/>
  <c r="C280" i="22" a="1"/>
  <c r="C280" i="22" s="1"/>
  <c r="E270" i="22" a="1"/>
  <c r="E270" i="22" s="1"/>
  <c r="C270" i="22" a="1"/>
  <c r="C270" i="22" s="1"/>
  <c r="E260" i="22" a="1"/>
  <c r="E260" i="22" s="1"/>
  <c r="C260" i="22" a="1"/>
  <c r="C260" i="22" s="1"/>
  <c r="E103" i="22" a="1"/>
  <c r="E103" i="22" s="1"/>
  <c r="C103" i="22" a="1"/>
  <c r="C103" i="22" s="1"/>
  <c r="E72" i="22" a="1"/>
  <c r="E72" i="22" s="1"/>
  <c r="C72" i="22" a="1"/>
  <c r="C72" i="22" s="1"/>
  <c r="E53" i="22" a="1"/>
  <c r="E53" i="22" s="1"/>
  <c r="C53" i="22" a="1"/>
  <c r="C53" i="22" s="1"/>
  <c r="E44" i="22" a="1"/>
  <c r="E44" i="22" s="1"/>
  <c r="C44" i="22" a="1"/>
  <c r="C44" i="22" s="1"/>
  <c r="E15" i="22" a="1"/>
  <c r="E15" i="22" s="1"/>
  <c r="C15" i="22" a="1"/>
  <c r="C15" i="22" s="1"/>
  <c r="E846" i="22" a="1"/>
  <c r="E846" i="22" s="1"/>
  <c r="C846" i="22" a="1"/>
  <c r="C846" i="22" s="1"/>
  <c r="E770" i="22" a="1"/>
  <c r="E770" i="22" s="1"/>
  <c r="C770" i="22" a="1"/>
  <c r="C770" i="22" s="1"/>
  <c r="E761" i="22" a="1"/>
  <c r="E761" i="22" s="1"/>
  <c r="C761" i="22" a="1"/>
  <c r="C761" i="22" s="1"/>
  <c r="E723" i="22" a="1"/>
  <c r="E723" i="22" s="1"/>
  <c r="C723" i="22" a="1"/>
  <c r="C723" i="22" s="1"/>
  <c r="E704" i="22" a="1"/>
  <c r="E704" i="22" s="1"/>
  <c r="C704" i="22" a="1"/>
  <c r="C704" i="22" s="1"/>
  <c r="E684" i="22" a="1"/>
  <c r="E684" i="22" s="1"/>
  <c r="C684" i="22" a="1"/>
  <c r="C684" i="22" s="1"/>
  <c r="E675" i="22" a="1"/>
  <c r="E675" i="22" s="1"/>
  <c r="C675" i="22" a="1"/>
  <c r="C675" i="22" s="1"/>
  <c r="E656" i="22" a="1"/>
  <c r="E656" i="22" s="1"/>
  <c r="C656" i="22" a="1"/>
  <c r="C656" i="22" s="1"/>
  <c r="E590" i="22" a="1"/>
  <c r="E590" i="22" s="1"/>
  <c r="C590" i="22" a="1"/>
  <c r="C590" i="22" s="1"/>
  <c r="E560" i="22" a="1"/>
  <c r="E560" i="22" s="1"/>
  <c r="C560" i="22" a="1"/>
  <c r="C560" i="22" s="1"/>
  <c r="E551" i="22" a="1"/>
  <c r="E551" i="22" s="1"/>
  <c r="C551" i="22" a="1"/>
  <c r="C551" i="22" s="1"/>
  <c r="E522" i="22" a="1"/>
  <c r="E522" i="22" s="1"/>
  <c r="C522" i="22" a="1"/>
  <c r="C522" i="22" s="1"/>
  <c r="E505" i="22" a="1"/>
  <c r="E505" i="22" s="1"/>
  <c r="C505" i="22" a="1"/>
  <c r="C505" i="22" s="1"/>
  <c r="E379" i="22" a="1"/>
  <c r="E379" i="22" s="1"/>
  <c r="C379" i="22" a="1"/>
  <c r="C379" i="22" s="1"/>
  <c r="E368" i="22" a="1"/>
  <c r="E368" i="22" s="1"/>
  <c r="C368" i="22" a="1"/>
  <c r="C368" i="22" s="1"/>
  <c r="E360" i="22" a="1"/>
  <c r="E360" i="22" s="1"/>
  <c r="C360" i="22" a="1"/>
  <c r="C360" i="22" s="1"/>
  <c r="E350" i="22" a="1"/>
  <c r="E350" i="22" s="1"/>
  <c r="C350" i="22" a="1"/>
  <c r="C350" i="22" s="1"/>
  <c r="E342" i="22" a="1"/>
  <c r="E342" i="22" s="1"/>
  <c r="C342" i="22" a="1"/>
  <c r="C342" i="22" s="1"/>
  <c r="E310" i="22" a="1"/>
  <c r="E310" i="22" s="1"/>
  <c r="C310" i="22" a="1"/>
  <c r="C310" i="22" s="1"/>
  <c r="E300" i="22" a="1"/>
  <c r="E300" i="22" s="1"/>
  <c r="C300" i="22" a="1"/>
  <c r="C300" i="22" s="1"/>
  <c r="E259" i="22" a="1"/>
  <c r="E259" i="22" s="1"/>
  <c r="C259" i="22" a="1"/>
  <c r="C259" i="22" s="1"/>
  <c r="E229" i="22" a="1"/>
  <c r="E229" i="22" s="1"/>
  <c r="C229" i="22" a="1"/>
  <c r="C229" i="22" s="1"/>
  <c r="E152" i="22" a="1"/>
  <c r="E152" i="22" s="1"/>
  <c r="C152" i="22" a="1"/>
  <c r="C152" i="22" s="1"/>
  <c r="E143" i="22" a="1"/>
  <c r="E143" i="22" s="1"/>
  <c r="C143" i="22" a="1"/>
  <c r="C143" i="22" s="1"/>
  <c r="E133" i="22" a="1"/>
  <c r="E133" i="22" s="1"/>
  <c r="C133" i="22" a="1"/>
  <c r="C133" i="22" s="1"/>
  <c r="E92" i="22" a="1"/>
  <c r="E92" i="22" s="1"/>
  <c r="C92" i="22" a="1"/>
  <c r="C92" i="22" s="1"/>
  <c r="E80" i="22" a="1"/>
  <c r="E80" i="22" s="1"/>
  <c r="C80" i="22" a="1"/>
  <c r="C80" i="22" s="1"/>
  <c r="C788" i="22" a="1"/>
  <c r="C788" i="22" s="1"/>
  <c r="C644" i="22" a="1"/>
  <c r="C644" i="22" s="1"/>
  <c r="E943" i="22" a="1"/>
  <c r="E943" i="22" s="1"/>
  <c r="E884" i="22" a="1"/>
  <c r="E884" i="22" s="1"/>
  <c r="C884" i="22" a="1"/>
  <c r="C884" i="22" s="1"/>
  <c r="E799" i="22" a="1"/>
  <c r="E799" i="22" s="1"/>
  <c r="C799" i="22" a="1"/>
  <c r="C799" i="22" s="1"/>
  <c r="E789" i="22" a="1"/>
  <c r="E789" i="22" s="1"/>
  <c r="C789" i="22" a="1"/>
  <c r="C789" i="22" s="1"/>
  <c r="E769" i="22" a="1"/>
  <c r="E769" i="22" s="1"/>
  <c r="C769" i="22" a="1"/>
  <c r="C769" i="22" s="1"/>
  <c r="E751" i="22" a="1"/>
  <c r="E751" i="22" s="1"/>
  <c r="C751" i="22" a="1"/>
  <c r="C751" i="22" s="1"/>
  <c r="E731" i="22" a="1"/>
  <c r="E731" i="22" s="1"/>
  <c r="C731" i="22" a="1"/>
  <c r="C731" i="22" s="1"/>
  <c r="E722" i="22" a="1"/>
  <c r="E722" i="22" s="1"/>
  <c r="C722" i="22" a="1"/>
  <c r="C722" i="22" s="1"/>
  <c r="E635" i="22" a="1"/>
  <c r="E635" i="22" s="1"/>
  <c r="C635" i="22" a="1"/>
  <c r="C635" i="22" s="1"/>
  <c r="E626" i="22" a="1"/>
  <c r="E626" i="22" s="1"/>
  <c r="C626" i="22" a="1"/>
  <c r="C626" i="22" s="1"/>
  <c r="E606" i="22" a="1"/>
  <c r="E606" i="22" s="1"/>
  <c r="C606" i="22" a="1"/>
  <c r="C606" i="22" s="1"/>
  <c r="C597" i="22" a="1"/>
  <c r="C597" i="22" s="1"/>
  <c r="E597" i="22" a="1"/>
  <c r="E597" i="22" s="1"/>
  <c r="E589" i="22" a="1"/>
  <c r="E589" i="22" s="1"/>
  <c r="C589" i="22" a="1"/>
  <c r="C589" i="22" s="1"/>
  <c r="E580" i="22" a="1"/>
  <c r="E580" i="22" s="1"/>
  <c r="C580" i="22" a="1"/>
  <c r="C580" i="22" s="1"/>
  <c r="E569" i="22" a="1"/>
  <c r="E569" i="22" s="1"/>
  <c r="C569" i="22" a="1"/>
  <c r="C569" i="22" s="1"/>
  <c r="E398" i="22" a="1"/>
  <c r="E398" i="22" s="1"/>
  <c r="C398" i="22" a="1"/>
  <c r="C398" i="22" s="1"/>
  <c r="E378" i="22" a="1"/>
  <c r="E378" i="22" s="1"/>
  <c r="C378" i="22" a="1"/>
  <c r="C378" i="22" s="1"/>
  <c r="E309" i="22" a="1"/>
  <c r="E309" i="22" s="1"/>
  <c r="C309" i="22" a="1"/>
  <c r="C309" i="22" s="1"/>
  <c r="C161" i="22" a="1"/>
  <c r="C161" i="22" s="1"/>
  <c r="E161" i="22" a="1"/>
  <c r="E161" i="22" s="1"/>
  <c r="E123" i="22" a="1"/>
  <c r="E123" i="22" s="1"/>
  <c r="C123" i="22" a="1"/>
  <c r="C123" i="22" s="1"/>
  <c r="C714" i="22" a="1"/>
  <c r="C714" i="22" s="1"/>
  <c r="C643" i="22" a="1"/>
  <c r="C643" i="22" s="1"/>
  <c r="C533" i="22" a="1"/>
  <c r="C533" i="22" s="1"/>
  <c r="C367" i="22" a="1"/>
  <c r="C367" i="22" s="1"/>
  <c r="E918" i="22" a="1"/>
  <c r="E918" i="22" s="1"/>
  <c r="E893" i="22" a="1"/>
  <c r="E893" i="22" s="1"/>
  <c r="C893" i="22" a="1"/>
  <c r="C893" i="22" s="1"/>
  <c r="C816" i="22" a="1"/>
  <c r="C816" i="22" s="1"/>
  <c r="E816" i="22" a="1"/>
  <c r="E816" i="22" s="1"/>
  <c r="E808" i="22" a="1"/>
  <c r="E808" i="22" s="1"/>
  <c r="C808" i="22" a="1"/>
  <c r="C808" i="22" s="1"/>
  <c r="E798" i="22" a="1"/>
  <c r="E798" i="22" s="1"/>
  <c r="C798" i="22" a="1"/>
  <c r="C798" i="22" s="1"/>
  <c r="E491" i="22" a="1"/>
  <c r="E491" i="22" s="1"/>
  <c r="C491" i="22" a="1"/>
  <c r="C491" i="22" s="1"/>
  <c r="E436" i="22" a="1"/>
  <c r="E436" i="22" s="1"/>
  <c r="C436" i="22" a="1"/>
  <c r="C436" i="22" s="1"/>
  <c r="E428" i="22" a="1"/>
  <c r="E428" i="22" s="1"/>
  <c r="C428" i="22" a="1"/>
  <c r="C428" i="22" s="1"/>
  <c r="E419" i="22" a="1"/>
  <c r="E419" i="22" s="1"/>
  <c r="C419" i="22" a="1"/>
  <c r="C419" i="22" s="1"/>
  <c r="E397" i="22" a="1"/>
  <c r="E397" i="22" s="1"/>
  <c r="C397" i="22" a="1"/>
  <c r="C397" i="22" s="1"/>
  <c r="E387" i="22" a="1"/>
  <c r="E387" i="22" s="1"/>
  <c r="C387" i="22" a="1"/>
  <c r="C387" i="22" s="1"/>
  <c r="C869" i="22" a="1"/>
  <c r="C869" i="22" s="1"/>
  <c r="C167" i="22" a="1"/>
  <c r="C167" i="22" s="1"/>
  <c r="E124" i="22" a="1"/>
  <c r="E124" i="22" s="1"/>
  <c r="E815" i="22" a="1"/>
  <c r="E815" i="22" s="1"/>
  <c r="C815" i="22" a="1"/>
  <c r="C815" i="22" s="1"/>
  <c r="E691" i="22" a="1"/>
  <c r="E691" i="22" s="1"/>
  <c r="C691" i="22" a="1"/>
  <c r="C691" i="22" s="1"/>
  <c r="E672" i="22" a="1"/>
  <c r="E672" i="22" s="1"/>
  <c r="C672" i="22" a="1"/>
  <c r="C672" i="22" s="1"/>
  <c r="E463" i="22" a="1"/>
  <c r="E463" i="22" s="1"/>
  <c r="C463" i="22" a="1"/>
  <c r="C463" i="22" s="1"/>
  <c r="C454" i="22" a="1"/>
  <c r="C454" i="22" s="1"/>
  <c r="E454" i="22" a="1"/>
  <c r="E454" i="22" s="1"/>
  <c r="E445" i="22" a="1"/>
  <c r="E445" i="22" s="1"/>
  <c r="C445" i="22" a="1"/>
  <c r="C445" i="22" s="1"/>
  <c r="E435" i="22" a="1"/>
  <c r="E435" i="22" s="1"/>
  <c r="C435" i="22" a="1"/>
  <c r="C435" i="22" s="1"/>
  <c r="E427" i="22" a="1"/>
  <c r="E427" i="22" s="1"/>
  <c r="C427" i="22" a="1"/>
  <c r="C427" i="22" s="1"/>
  <c r="E328" i="22" a="1"/>
  <c r="E328" i="22" s="1"/>
  <c r="C328" i="22" a="1"/>
  <c r="C328" i="22" s="1"/>
  <c r="E318" i="22" a="1"/>
  <c r="E318" i="22" s="1"/>
  <c r="C318" i="22" a="1"/>
  <c r="C318" i="22" s="1"/>
  <c r="E236" i="22" a="1"/>
  <c r="E236" i="22" s="1"/>
  <c r="C236" i="22" a="1"/>
  <c r="C236" i="22" s="1"/>
  <c r="E226" i="22" a="1"/>
  <c r="E226" i="22" s="1"/>
  <c r="C226" i="22" a="1"/>
  <c r="C226" i="22" s="1"/>
  <c r="E110" i="22" a="1"/>
  <c r="E110" i="22" s="1"/>
  <c r="C110" i="22" a="1"/>
  <c r="C110" i="22" s="1"/>
  <c r="E89" i="22" a="1"/>
  <c r="E89" i="22" s="1"/>
  <c r="C89" i="22" a="1"/>
  <c r="C89" i="22" s="1"/>
  <c r="E60" i="22" a="1"/>
  <c r="E60" i="22" s="1"/>
  <c r="C60" i="22" a="1"/>
  <c r="C60" i="22" s="1"/>
  <c r="E32" i="22" a="1"/>
  <c r="E32" i="22" s="1"/>
  <c r="C32" i="22" a="1"/>
  <c r="C32" i="22" s="1"/>
  <c r="C953" i="22" a="1"/>
  <c r="C953" i="22" s="1"/>
  <c r="C341" i="22" a="1"/>
  <c r="C341" i="22" s="1"/>
  <c r="E1039" i="22" a="1"/>
  <c r="E1039" i="22" s="1"/>
  <c r="C1039" i="22" a="1"/>
  <c r="C1039" i="22" s="1"/>
  <c r="E1018" i="22" a="1"/>
  <c r="E1018" i="22" s="1"/>
  <c r="C1018" i="22" a="1"/>
  <c r="C1018" i="22" s="1"/>
  <c r="E996" i="22" a="1"/>
  <c r="E996" i="22" s="1"/>
  <c r="C996" i="22" a="1"/>
  <c r="C996" i="22" s="1"/>
  <c r="E985" i="22" a="1"/>
  <c r="E985" i="22" s="1"/>
  <c r="C985" i="22" a="1"/>
  <c r="C985" i="22" s="1"/>
  <c r="E942" i="22" a="1"/>
  <c r="E942" i="22" s="1"/>
  <c r="C942" i="22" a="1"/>
  <c r="C942" i="22" s="1"/>
  <c r="E931" i="22" a="1"/>
  <c r="E931" i="22" s="1"/>
  <c r="C931" i="22" a="1"/>
  <c r="C931" i="22" s="1"/>
  <c r="E910" i="22" a="1"/>
  <c r="E910" i="22" s="1"/>
  <c r="C910" i="22" a="1"/>
  <c r="C910" i="22" s="1"/>
  <c r="C861" i="22" a="1"/>
  <c r="C861" i="22" s="1"/>
  <c r="E861" i="22" a="1"/>
  <c r="E861" i="22" s="1"/>
  <c r="E823" i="22" a="1"/>
  <c r="E823" i="22" s="1"/>
  <c r="C823" i="22" a="1"/>
  <c r="C823" i="22" s="1"/>
  <c r="E814" i="22" a="1"/>
  <c r="E814" i="22" s="1"/>
  <c r="C814" i="22" a="1"/>
  <c r="C814" i="22" s="1"/>
  <c r="C797" i="22" a="1"/>
  <c r="C797" i="22" s="1"/>
  <c r="E797" i="22" a="1"/>
  <c r="E797" i="22" s="1"/>
  <c r="E760" i="22" a="1"/>
  <c r="E760" i="22" s="1"/>
  <c r="C760" i="22" a="1"/>
  <c r="C760" i="22" s="1"/>
  <c r="E730" i="22" a="1"/>
  <c r="E730" i="22" s="1"/>
  <c r="C730" i="22" a="1"/>
  <c r="C730" i="22" s="1"/>
  <c r="E703" i="22" a="1"/>
  <c r="E703" i="22" s="1"/>
  <c r="C703" i="22" a="1"/>
  <c r="C703" i="22" s="1"/>
  <c r="E692" i="22" a="1"/>
  <c r="E692" i="22" s="1"/>
  <c r="C692" i="22" a="1"/>
  <c r="C692" i="22" s="1"/>
  <c r="E674" i="22" a="1"/>
  <c r="E674" i="22" s="1"/>
  <c r="C674" i="22" a="1"/>
  <c r="C674" i="22" s="1"/>
  <c r="E665" i="22" a="1"/>
  <c r="E665" i="22" s="1"/>
  <c r="C665" i="22" a="1"/>
  <c r="C665" i="22" s="1"/>
  <c r="E646" i="22" a="1"/>
  <c r="E646" i="22" s="1"/>
  <c r="C646" i="22" a="1"/>
  <c r="C646" i="22" s="1"/>
  <c r="E618" i="22" a="1"/>
  <c r="E618" i="22" s="1"/>
  <c r="C618" i="22" a="1"/>
  <c r="C618" i="22" s="1"/>
  <c r="E608" i="22" a="1"/>
  <c r="E608" i="22" s="1"/>
  <c r="C608" i="22" a="1"/>
  <c r="C608" i="22" s="1"/>
  <c r="E599" i="22" a="1"/>
  <c r="E599" i="22" s="1"/>
  <c r="C599" i="22" a="1"/>
  <c r="C599" i="22" s="1"/>
  <c r="E582" i="22" a="1"/>
  <c r="E582" i="22" s="1"/>
  <c r="C582" i="22" a="1"/>
  <c r="C582" i="22" s="1"/>
  <c r="C553" i="22" a="1"/>
  <c r="C553" i="22" s="1"/>
  <c r="E553" i="22" a="1"/>
  <c r="E553" i="22" s="1"/>
  <c r="E535" i="22" a="1"/>
  <c r="E535" i="22" s="1"/>
  <c r="C535" i="22" a="1"/>
  <c r="C535" i="22" s="1"/>
  <c r="E444" i="22" a="1"/>
  <c r="E444" i="22" s="1"/>
  <c r="C444" i="22" a="1"/>
  <c r="C444" i="22" s="1"/>
  <c r="E418" i="22" a="1"/>
  <c r="E418" i="22" s="1"/>
  <c r="C418" i="22" a="1"/>
  <c r="C418" i="22" s="1"/>
  <c r="E396" i="22" a="1"/>
  <c r="E396" i="22" s="1"/>
  <c r="C396" i="22" a="1"/>
  <c r="C396" i="22" s="1"/>
  <c r="E377" i="22" a="1"/>
  <c r="E377" i="22" s="1"/>
  <c r="C377" i="22" a="1"/>
  <c r="C377" i="22" s="1"/>
  <c r="E359" i="22" a="1"/>
  <c r="E359" i="22" s="1"/>
  <c r="C359" i="22" a="1"/>
  <c r="C359" i="22" s="1"/>
  <c r="E349" i="22" a="1"/>
  <c r="E349" i="22" s="1"/>
  <c r="C349" i="22" a="1"/>
  <c r="C349" i="22" s="1"/>
  <c r="E331" i="22" a="1"/>
  <c r="E331" i="22" s="1"/>
  <c r="C331" i="22" a="1"/>
  <c r="C331" i="22" s="1"/>
  <c r="E320" i="22" a="1"/>
  <c r="E320" i="22" s="1"/>
  <c r="C320" i="22" a="1"/>
  <c r="C320" i="22" s="1"/>
  <c r="E312" i="22" a="1"/>
  <c r="E312" i="22" s="1"/>
  <c r="C312" i="22" a="1"/>
  <c r="C312" i="22" s="1"/>
  <c r="E293" i="22" a="1"/>
  <c r="E293" i="22" s="1"/>
  <c r="C293" i="22" a="1"/>
  <c r="C293" i="22" s="1"/>
  <c r="E282" i="22" a="1"/>
  <c r="E282" i="22" s="1"/>
  <c r="C282" i="22" a="1"/>
  <c r="C282" i="22" s="1"/>
  <c r="E272" i="22" a="1"/>
  <c r="E272" i="22" s="1"/>
  <c r="C272" i="22" a="1"/>
  <c r="C272" i="22" s="1"/>
  <c r="C252" i="22" a="1"/>
  <c r="C252" i="22" s="1"/>
  <c r="E252" i="22" a="1"/>
  <c r="E252" i="22" s="1"/>
  <c r="E224" i="22" a="1"/>
  <c r="E224" i="22" s="1"/>
  <c r="C224" i="22" a="1"/>
  <c r="C224" i="22" s="1"/>
  <c r="E196" i="22" a="1"/>
  <c r="E196" i="22" s="1"/>
  <c r="C196" i="22" a="1"/>
  <c r="C196" i="22" s="1"/>
  <c r="E169" i="22" a="1"/>
  <c r="E169" i="22" s="1"/>
  <c r="C169" i="22" a="1"/>
  <c r="C169" i="22" s="1"/>
  <c r="E151" i="22" a="1"/>
  <c r="E151" i="22" s="1"/>
  <c r="C151" i="22" a="1"/>
  <c r="C151" i="22" s="1"/>
  <c r="E142" i="22" a="1"/>
  <c r="E142" i="22" s="1"/>
  <c r="C142" i="22" a="1"/>
  <c r="C142" i="22" s="1"/>
  <c r="E132" i="22" a="1"/>
  <c r="E132" i="22" s="1"/>
  <c r="C132" i="22" a="1"/>
  <c r="C132" i="22" s="1"/>
  <c r="E122" i="22" a="1"/>
  <c r="E122" i="22" s="1"/>
  <c r="C122" i="22" a="1"/>
  <c r="C122" i="22" s="1"/>
  <c r="E79" i="22" a="1"/>
  <c r="E79" i="22" s="1"/>
  <c r="C79" i="22" a="1"/>
  <c r="C79" i="22" s="1"/>
  <c r="E61" i="22" a="1"/>
  <c r="E61" i="22" s="1"/>
  <c r="C61" i="22" a="1"/>
  <c r="C61" i="22" s="1"/>
  <c r="E52" i="22" a="1"/>
  <c r="E52" i="22" s="1"/>
  <c r="C52" i="22" a="1"/>
  <c r="C52" i="22" s="1"/>
  <c r="E43" i="22" a="1"/>
  <c r="E43" i="22" s="1"/>
  <c r="C43" i="22" a="1"/>
  <c r="C43" i="22" s="1"/>
  <c r="C964" i="22" a="1"/>
  <c r="C964" i="22" s="1"/>
  <c r="E1027" i="22" a="1"/>
  <c r="E1027" i="22" s="1"/>
  <c r="C1027" i="22" a="1"/>
  <c r="C1027" i="22" s="1"/>
  <c r="E1017" i="22" a="1"/>
  <c r="E1017" i="22" s="1"/>
  <c r="C1017" i="22" a="1"/>
  <c r="C1017" i="22" s="1"/>
  <c r="E1006" i="22" a="1"/>
  <c r="E1006" i="22" s="1"/>
  <c r="C1006" i="22" a="1"/>
  <c r="C1006" i="22" s="1"/>
  <c r="E995" i="22" a="1"/>
  <c r="E995" i="22" s="1"/>
  <c r="C995" i="22" a="1"/>
  <c r="C995" i="22" s="1"/>
  <c r="E963" i="22" a="1"/>
  <c r="E963" i="22" s="1"/>
  <c r="C963" i="22" a="1"/>
  <c r="C963" i="22" s="1"/>
  <c r="E952" i="22" a="1"/>
  <c r="E952" i="22" s="1"/>
  <c r="C952" i="22" a="1"/>
  <c r="C952" i="22" s="1"/>
  <c r="E941" i="22" a="1"/>
  <c r="E941" i="22" s="1"/>
  <c r="C941" i="22" a="1"/>
  <c r="C941" i="22" s="1"/>
  <c r="E919" i="22" a="1"/>
  <c r="E919" i="22" s="1"/>
  <c r="C919" i="22" a="1"/>
  <c r="C919" i="22" s="1"/>
  <c r="E898" i="22" a="1"/>
  <c r="E898" i="22" s="1"/>
  <c r="C898" i="22" a="1"/>
  <c r="C898" i="22" s="1"/>
  <c r="E860" i="22" a="1"/>
  <c r="E860" i="22" s="1"/>
  <c r="C860" i="22" a="1"/>
  <c r="C860" i="22" s="1"/>
  <c r="E851" i="22" a="1"/>
  <c r="E851" i="22" s="1"/>
  <c r="C851" i="22" a="1"/>
  <c r="C851" i="22" s="1"/>
  <c r="E842" i="22" a="1"/>
  <c r="E842" i="22" s="1"/>
  <c r="C842" i="22" a="1"/>
  <c r="C842" i="22" s="1"/>
  <c r="E786" i="22" a="1"/>
  <c r="E786" i="22" s="1"/>
  <c r="C786" i="22" a="1"/>
  <c r="C786" i="22" s="1"/>
  <c r="C759" i="22" a="1"/>
  <c r="C759" i="22" s="1"/>
  <c r="E759" i="22" a="1"/>
  <c r="E759" i="22" s="1"/>
  <c r="E721" i="22" a="1"/>
  <c r="E721" i="22" s="1"/>
  <c r="C721" i="22" a="1"/>
  <c r="C721" i="22" s="1"/>
  <c r="E702" i="22" a="1"/>
  <c r="E702" i="22" s="1"/>
  <c r="C702" i="22" a="1"/>
  <c r="C702" i="22" s="1"/>
  <c r="E645" i="22" a="1"/>
  <c r="E645" i="22" s="1"/>
  <c r="C645" i="22" a="1"/>
  <c r="C645" i="22" s="1"/>
  <c r="E636" i="22" a="1"/>
  <c r="E636" i="22" s="1"/>
  <c r="C636" i="22" a="1"/>
  <c r="C636" i="22" s="1"/>
  <c r="E598" i="22" a="1"/>
  <c r="E598" i="22" s="1"/>
  <c r="C598" i="22" a="1"/>
  <c r="C598" i="22" s="1"/>
  <c r="E581" i="22" a="1"/>
  <c r="E581" i="22" s="1"/>
  <c r="C581" i="22" a="1"/>
  <c r="C581" i="22" s="1"/>
  <c r="E571" i="22" a="1"/>
  <c r="E571" i="22" s="1"/>
  <c r="C571" i="22" a="1"/>
  <c r="C571" i="22" s="1"/>
  <c r="E544" i="22" a="1"/>
  <c r="E544" i="22" s="1"/>
  <c r="C544" i="22" a="1"/>
  <c r="C544" i="22" s="1"/>
  <c r="E514" i="22" a="1"/>
  <c r="E514" i="22" s="1"/>
  <c r="C514" i="22" a="1"/>
  <c r="C514" i="22" s="1"/>
  <c r="C506" i="22" a="1"/>
  <c r="C506" i="22" s="1"/>
  <c r="E506" i="22" a="1"/>
  <c r="E506" i="22" s="1"/>
  <c r="E486" i="22" a="1"/>
  <c r="E486" i="22" s="1"/>
  <c r="C486" i="22" a="1"/>
  <c r="C486" i="22" s="1"/>
  <c r="E478" i="22" a="1"/>
  <c r="E478" i="22" s="1"/>
  <c r="C478" i="22" a="1"/>
  <c r="C478" i="22" s="1"/>
  <c r="E434" i="22" a="1"/>
  <c r="E434" i="22" s="1"/>
  <c r="C434" i="22" a="1"/>
  <c r="C434" i="22" s="1"/>
  <c r="E417" i="22" a="1"/>
  <c r="E417" i="22" s="1"/>
  <c r="C417" i="22" a="1"/>
  <c r="C417" i="22" s="1"/>
  <c r="E386" i="22" a="1"/>
  <c r="E386" i="22" s="1"/>
  <c r="C386" i="22" a="1"/>
  <c r="C386" i="22" s="1"/>
  <c r="E376" i="22" a="1"/>
  <c r="E376" i="22" s="1"/>
  <c r="C376" i="22" a="1"/>
  <c r="C376" i="22" s="1"/>
  <c r="C366" i="22" a="1"/>
  <c r="C366" i="22" s="1"/>
  <c r="E366" i="22" a="1"/>
  <c r="E366" i="22" s="1"/>
  <c r="E311" i="22" a="1"/>
  <c r="E311" i="22" s="1"/>
  <c r="C311" i="22" a="1"/>
  <c r="C311" i="22" s="1"/>
  <c r="E302" i="22" a="1"/>
  <c r="E302" i="22" s="1"/>
  <c r="C302" i="22" a="1"/>
  <c r="C302" i="22" s="1"/>
  <c r="E262" i="22" a="1"/>
  <c r="E262" i="22" s="1"/>
  <c r="C262" i="22" a="1"/>
  <c r="C262" i="22" s="1"/>
  <c r="E251" i="22" a="1"/>
  <c r="E251" i="22" s="1"/>
  <c r="C251" i="22" a="1"/>
  <c r="C251" i="22" s="1"/>
  <c r="E242" i="22" a="1"/>
  <c r="E242" i="22" s="1"/>
  <c r="C242" i="22" a="1"/>
  <c r="C242" i="22" s="1"/>
  <c r="E233" i="22" a="1"/>
  <c r="E233" i="22" s="1"/>
  <c r="C233" i="22" a="1"/>
  <c r="C233" i="22" s="1"/>
  <c r="E223" i="22" a="1"/>
  <c r="E223" i="22" s="1"/>
  <c r="C223" i="22" a="1"/>
  <c r="C223" i="22" s="1"/>
  <c r="E195" i="22" a="1"/>
  <c r="E195" i="22" s="1"/>
  <c r="C195" i="22" a="1"/>
  <c r="C195" i="22" s="1"/>
  <c r="E177" i="22" a="1"/>
  <c r="E177" i="22" s="1"/>
  <c r="C177" i="22" a="1"/>
  <c r="C177" i="22" s="1"/>
  <c r="E160" i="22" a="1"/>
  <c r="E160" i="22" s="1"/>
  <c r="C160" i="22" a="1"/>
  <c r="C160" i="22" s="1"/>
  <c r="E90" i="22" a="1"/>
  <c r="E90" i="22" s="1"/>
  <c r="C90" i="22" a="1"/>
  <c r="C90" i="22" s="1"/>
  <c r="E13" i="22" a="1"/>
  <c r="E13" i="22" s="1"/>
  <c r="C13" i="22" a="1"/>
  <c r="C13" i="22" s="1"/>
  <c r="C999" i="22" a="1"/>
  <c r="C999" i="22" s="1"/>
  <c r="C830" i="22" a="1"/>
  <c r="C830" i="22" s="1"/>
  <c r="C791" i="22" a="1"/>
  <c r="C791" i="22" s="1"/>
  <c r="C718" i="22" a="1"/>
  <c r="C718" i="22" s="1"/>
  <c r="C683" i="22" a="1"/>
  <c r="C683" i="22" s="1"/>
  <c r="C612" i="22" a="1"/>
  <c r="C612" i="22" s="1"/>
  <c r="C575" i="22" a="1"/>
  <c r="C575" i="22" s="1"/>
  <c r="C538" i="22" a="1"/>
  <c r="C538" i="22" s="1"/>
  <c r="C279" i="22" a="1"/>
  <c r="C279" i="22" s="1"/>
  <c r="C175" i="22" a="1"/>
  <c r="C175" i="22" s="1"/>
  <c r="E894" i="22" a="1"/>
  <c r="E894" i="22" s="1"/>
  <c r="E1003" i="22" a="1"/>
  <c r="E1003" i="22" s="1"/>
  <c r="C1003" i="22" a="1"/>
  <c r="C1003" i="22" s="1"/>
  <c r="E982" i="22" a="1"/>
  <c r="E982" i="22" s="1"/>
  <c r="C982" i="22" a="1"/>
  <c r="C982" i="22" s="1"/>
  <c r="E960" i="22" a="1"/>
  <c r="E960" i="22" s="1"/>
  <c r="C960" i="22" a="1"/>
  <c r="C960" i="22" s="1"/>
  <c r="E928" i="22" a="1"/>
  <c r="E928" i="22" s="1"/>
  <c r="C928" i="22" a="1"/>
  <c r="C928" i="22" s="1"/>
  <c r="E906" i="22" a="1"/>
  <c r="E906" i="22" s="1"/>
  <c r="C906" i="22" a="1"/>
  <c r="C906" i="22" s="1"/>
  <c r="E895" i="22" a="1"/>
  <c r="E895" i="22" s="1"/>
  <c r="C895" i="22" a="1"/>
  <c r="C895" i="22" s="1"/>
  <c r="E886" i="22" a="1"/>
  <c r="E886" i="22" s="1"/>
  <c r="C886" i="22" a="1"/>
  <c r="C886" i="22" s="1"/>
  <c r="E878" i="22" a="1"/>
  <c r="E878" i="22" s="1"/>
  <c r="C878" i="22" a="1"/>
  <c r="C878" i="22" s="1"/>
  <c r="E848" i="22" a="1"/>
  <c r="E848" i="22" s="1"/>
  <c r="C848" i="22" a="1"/>
  <c r="C848" i="22" s="1"/>
  <c r="E840" i="22" a="1"/>
  <c r="E840" i="22" s="1"/>
  <c r="C840" i="22" a="1"/>
  <c r="C840" i="22" s="1"/>
  <c r="C831" i="22" a="1"/>
  <c r="C831" i="22" s="1"/>
  <c r="E831" i="22" a="1"/>
  <c r="E831" i="22" s="1"/>
  <c r="E803" i="22" a="1"/>
  <c r="E803" i="22" s="1"/>
  <c r="C803" i="22" a="1"/>
  <c r="C803" i="22" s="1"/>
  <c r="E737" i="22" a="1"/>
  <c r="E737" i="22" s="1"/>
  <c r="C737" i="22" a="1"/>
  <c r="C737" i="22" s="1"/>
  <c r="E689" i="22" a="1"/>
  <c r="E689" i="22" s="1"/>
  <c r="C689" i="22" a="1"/>
  <c r="C689" i="22" s="1"/>
  <c r="E680" i="22" a="1"/>
  <c r="E680" i="22" s="1"/>
  <c r="C680" i="22" a="1"/>
  <c r="C680" i="22" s="1"/>
  <c r="E633" i="22" a="1"/>
  <c r="E633" i="22" s="1"/>
  <c r="C633" i="22" a="1"/>
  <c r="C633" i="22" s="1"/>
  <c r="E616" i="22" a="1"/>
  <c r="E616" i="22" s="1"/>
  <c r="C616" i="22" a="1"/>
  <c r="C616" i="22" s="1"/>
  <c r="E596" i="22" a="1"/>
  <c r="E596" i="22" s="1"/>
  <c r="C596" i="22" a="1"/>
  <c r="C596" i="22" s="1"/>
  <c r="E559" i="22" a="1"/>
  <c r="E559" i="22" s="1"/>
  <c r="C559" i="22" a="1"/>
  <c r="C559" i="22" s="1"/>
  <c r="E550" i="22" a="1"/>
  <c r="E550" i="22" s="1"/>
  <c r="C550" i="22" a="1"/>
  <c r="C550" i="22" s="1"/>
  <c r="E541" i="22" a="1"/>
  <c r="E541" i="22" s="1"/>
  <c r="C541" i="22" a="1"/>
  <c r="C541" i="22" s="1"/>
  <c r="E532" i="22" a="1"/>
  <c r="E532" i="22" s="1"/>
  <c r="C532" i="22" a="1"/>
  <c r="C532" i="22" s="1"/>
  <c r="E511" i="22" a="1"/>
  <c r="E511" i="22" s="1"/>
  <c r="C511" i="22" a="1"/>
  <c r="C511" i="22" s="1"/>
  <c r="E504" i="22" a="1"/>
  <c r="E504" i="22" s="1"/>
  <c r="C504" i="22" a="1"/>
  <c r="C504" i="22" s="1"/>
  <c r="E493" i="22" a="1"/>
  <c r="E493" i="22" s="1"/>
  <c r="C493" i="22" a="1"/>
  <c r="C493" i="22" s="1"/>
  <c r="E432" i="22" a="1"/>
  <c r="E432" i="22" s="1"/>
  <c r="C432" i="22" a="1"/>
  <c r="C432" i="22" s="1"/>
  <c r="E393" i="22" a="1"/>
  <c r="E393" i="22" s="1"/>
  <c r="C393" i="22" a="1"/>
  <c r="C393" i="22" s="1"/>
  <c r="E383" i="22" a="1"/>
  <c r="E383" i="22" s="1"/>
  <c r="C383" i="22" a="1"/>
  <c r="C383" i="22" s="1"/>
  <c r="E374" i="22" a="1"/>
  <c r="E374" i="22" s="1"/>
  <c r="C374" i="22" a="1"/>
  <c r="C374" i="22" s="1"/>
  <c r="E337" i="22" a="1"/>
  <c r="E337" i="22" s="1"/>
  <c r="C337" i="22" a="1"/>
  <c r="C337" i="22" s="1"/>
  <c r="E308" i="22" a="1"/>
  <c r="E308" i="22" s="1"/>
  <c r="C308" i="22" a="1"/>
  <c r="C308" i="22" s="1"/>
  <c r="E269" i="22" a="1"/>
  <c r="E269" i="22" s="1"/>
  <c r="C269" i="22" a="1"/>
  <c r="C269" i="22" s="1"/>
  <c r="E240" i="22" a="1"/>
  <c r="E240" i="22" s="1"/>
  <c r="C240" i="22" a="1"/>
  <c r="C240" i="22" s="1"/>
  <c r="E192" i="22" a="1"/>
  <c r="E192" i="22" s="1"/>
  <c r="C192" i="22" a="1"/>
  <c r="C192" i="22" s="1"/>
  <c r="E166" i="22" a="1"/>
  <c r="E166" i="22" s="1"/>
  <c r="C166" i="22" a="1"/>
  <c r="C166" i="22" s="1"/>
  <c r="E97" i="22" a="1"/>
  <c r="E97" i="22" s="1"/>
  <c r="C97" i="22" a="1"/>
  <c r="C97" i="22" s="1"/>
  <c r="E77" i="22" a="1"/>
  <c r="E77" i="22" s="1"/>
  <c r="C77" i="22" a="1"/>
  <c r="C77" i="22" s="1"/>
  <c r="E21" i="22" a="1"/>
  <c r="E21" i="22" s="1"/>
  <c r="C21" i="22" a="1"/>
  <c r="C21" i="22" s="1"/>
  <c r="C1032" i="22" a="1"/>
  <c r="C1032" i="22" s="1"/>
  <c r="C991" i="22" a="1"/>
  <c r="C991" i="22" s="1"/>
  <c r="C909" i="22" a="1"/>
  <c r="C909" i="22" s="1"/>
  <c r="C866" i="22" a="1"/>
  <c r="C866" i="22" s="1"/>
  <c r="C784" i="22" a="1"/>
  <c r="C784" i="22" s="1"/>
  <c r="C747" i="22" a="1"/>
  <c r="C747" i="22" s="1"/>
  <c r="C567" i="22" a="1"/>
  <c r="C567" i="22" s="1"/>
  <c r="C531" i="22" a="1"/>
  <c r="C531" i="22" s="1"/>
  <c r="E1024" i="22" a="1"/>
  <c r="E1024" i="22" s="1"/>
  <c r="C1024" i="22" a="1"/>
  <c r="C1024" i="22" s="1"/>
  <c r="E1013" i="22" a="1"/>
  <c r="E1013" i="22" s="1"/>
  <c r="C1013" i="22" a="1"/>
  <c r="C1013" i="22" s="1"/>
  <c r="E981" i="22" a="1"/>
  <c r="E981" i="22" s="1"/>
  <c r="C981" i="22" a="1"/>
  <c r="C981" i="22" s="1"/>
  <c r="E959" i="22" a="1"/>
  <c r="E959" i="22" s="1"/>
  <c r="C959" i="22" a="1"/>
  <c r="C959" i="22" s="1"/>
  <c r="E927" i="22" a="1"/>
  <c r="E927" i="22" s="1"/>
  <c r="C927" i="22" a="1"/>
  <c r="C927" i="22" s="1"/>
  <c r="E916" i="22" a="1"/>
  <c r="E916" i="22" s="1"/>
  <c r="C916" i="22" a="1"/>
  <c r="C916" i="22" s="1"/>
  <c r="E905" i="22" a="1"/>
  <c r="E905" i="22" s="1"/>
  <c r="C905" i="22" a="1"/>
  <c r="C905" i="22" s="1"/>
  <c r="E885" i="22" a="1"/>
  <c r="E885" i="22" s="1"/>
  <c r="C885" i="22" a="1"/>
  <c r="C885" i="22" s="1"/>
  <c r="E877" i="22" a="1"/>
  <c r="E877" i="22" s="1"/>
  <c r="C877" i="22" a="1"/>
  <c r="C877" i="22" s="1"/>
  <c r="E868" i="22" a="1"/>
  <c r="E868" i="22" s="1"/>
  <c r="C868" i="22" a="1"/>
  <c r="C868" i="22" s="1"/>
  <c r="E839" i="22" a="1"/>
  <c r="E839" i="22" s="1"/>
  <c r="C839" i="22" a="1"/>
  <c r="C839" i="22" s="1"/>
  <c r="E811" i="22" a="1"/>
  <c r="E811" i="22" s="1"/>
  <c r="C811" i="22" a="1"/>
  <c r="C811" i="22" s="1"/>
  <c r="E794" i="22" a="1"/>
  <c r="E794" i="22" s="1"/>
  <c r="C794" i="22" a="1"/>
  <c r="C794" i="22" s="1"/>
  <c r="E774" i="22" a="1"/>
  <c r="E774" i="22" s="1"/>
  <c r="C774" i="22" a="1"/>
  <c r="C774" i="22" s="1"/>
  <c r="E764" i="22" a="1"/>
  <c r="E764" i="22" s="1"/>
  <c r="C764" i="22" a="1"/>
  <c r="C764" i="22" s="1"/>
  <c r="E746" i="22" a="1"/>
  <c r="E746" i="22" s="1"/>
  <c r="C746" i="22" a="1"/>
  <c r="C746" i="22" s="1"/>
  <c r="E726" i="22" a="1"/>
  <c r="E726" i="22" s="1"/>
  <c r="C726" i="22" a="1"/>
  <c r="C726" i="22" s="1"/>
  <c r="E709" i="22" a="1"/>
  <c r="E709" i="22" s="1"/>
  <c r="C709" i="22" a="1"/>
  <c r="C709" i="22" s="1"/>
  <c r="E699" i="22" a="1"/>
  <c r="E699" i="22" s="1"/>
  <c r="C699" i="22" a="1"/>
  <c r="C699" i="22" s="1"/>
  <c r="E670" i="22" a="1"/>
  <c r="E670" i="22" s="1"/>
  <c r="C670" i="22" a="1"/>
  <c r="C670" i="22" s="1"/>
  <c r="E662" i="22" a="1"/>
  <c r="E662" i="22" s="1"/>
  <c r="C662" i="22" a="1"/>
  <c r="C662" i="22" s="1"/>
  <c r="E632" i="22" a="1"/>
  <c r="E632" i="22" s="1"/>
  <c r="C632" i="22" a="1"/>
  <c r="C632" i="22" s="1"/>
  <c r="E615" i="22" a="1"/>
  <c r="E615" i="22" s="1"/>
  <c r="C615" i="22" a="1"/>
  <c r="C615" i="22" s="1"/>
  <c r="E605" i="22" a="1"/>
  <c r="E605" i="22" s="1"/>
  <c r="C605" i="22" a="1"/>
  <c r="C605" i="22" s="1"/>
  <c r="E587" i="22" a="1"/>
  <c r="E587" i="22" s="1"/>
  <c r="C587" i="22" a="1"/>
  <c r="C587" i="22" s="1"/>
  <c r="E568" i="22" a="1"/>
  <c r="E568" i="22" s="1"/>
  <c r="C568" i="22" a="1"/>
  <c r="C568" i="22" s="1"/>
  <c r="E521" i="22" a="1"/>
  <c r="E521" i="22" s="1"/>
  <c r="C521" i="22" a="1"/>
  <c r="C521" i="22" s="1"/>
  <c r="E492" i="22" a="1"/>
  <c r="E492" i="22" s="1"/>
  <c r="C492" i="22" a="1"/>
  <c r="C492" i="22" s="1"/>
  <c r="E457" i="22" a="1"/>
  <c r="E457" i="22" s="1"/>
  <c r="C457" i="22" a="1"/>
  <c r="C457" i="22" s="1"/>
  <c r="E440" i="22" a="1"/>
  <c r="E440" i="22" s="1"/>
  <c r="C440" i="22" a="1"/>
  <c r="C440" i="22" s="1"/>
  <c r="E403" i="22" a="1"/>
  <c r="E403" i="22" s="1"/>
  <c r="C403" i="22" a="1"/>
  <c r="C403" i="22" s="1"/>
  <c r="E392" i="22" a="1"/>
  <c r="E392" i="22" s="1"/>
  <c r="C392" i="22" a="1"/>
  <c r="C392" i="22" s="1"/>
  <c r="E382" i="22" a="1"/>
  <c r="E382" i="22" s="1"/>
  <c r="C382" i="22" a="1"/>
  <c r="C382" i="22" s="1"/>
  <c r="E373" i="22" a="1"/>
  <c r="E373" i="22" s="1"/>
  <c r="C373" i="22" a="1"/>
  <c r="C373" i="22" s="1"/>
  <c r="E336" i="22" a="1"/>
  <c r="E336" i="22" s="1"/>
  <c r="C336" i="22" a="1"/>
  <c r="C336" i="22" s="1"/>
  <c r="E307" i="22" a="1"/>
  <c r="E307" i="22" s="1"/>
  <c r="C307" i="22" a="1"/>
  <c r="C307" i="22" s="1"/>
  <c r="E298" i="22" a="1"/>
  <c r="E298" i="22" s="1"/>
  <c r="C298" i="22" a="1"/>
  <c r="C298" i="22" s="1"/>
  <c r="E289" i="22" a="1"/>
  <c r="E289" i="22" s="1"/>
  <c r="C289" i="22" a="1"/>
  <c r="C289" i="22" s="1"/>
  <c r="E278" i="22" a="1"/>
  <c r="E278" i="22" s="1"/>
  <c r="C278" i="22" a="1"/>
  <c r="C278" i="22" s="1"/>
  <c r="E220" i="22" a="1"/>
  <c r="E220" i="22" s="1"/>
  <c r="C220" i="22" a="1"/>
  <c r="C220" i="22" s="1"/>
  <c r="E202" i="22" a="1"/>
  <c r="E202" i="22" s="1"/>
  <c r="C202" i="22" a="1"/>
  <c r="C202" i="22" s="1"/>
  <c r="E174" i="22" a="1"/>
  <c r="E174" i="22" s="1"/>
  <c r="C174" i="22" a="1"/>
  <c r="C174" i="22" s="1"/>
  <c r="E148" i="22" a="1"/>
  <c r="E148" i="22" s="1"/>
  <c r="C148" i="22" a="1"/>
  <c r="C148" i="22" s="1"/>
  <c r="E138" i="22" a="1"/>
  <c r="E138" i="22" s="1"/>
  <c r="C138" i="22" a="1"/>
  <c r="C138" i="22" s="1"/>
  <c r="E107" i="22" a="1"/>
  <c r="E107" i="22" s="1"/>
  <c r="C107" i="22" a="1"/>
  <c r="C107" i="22" s="1"/>
  <c r="E76" i="22" a="1"/>
  <c r="E76" i="22" s="1"/>
  <c r="C76" i="22" a="1"/>
  <c r="C76" i="22" s="1"/>
  <c r="E67" i="22" a="1"/>
  <c r="E67" i="22" s="1"/>
  <c r="C67" i="22" a="1"/>
  <c r="C67" i="22" s="1"/>
  <c r="E48" i="22" a="1"/>
  <c r="E48" i="22" s="1"/>
  <c r="C48" i="22" a="1"/>
  <c r="C48" i="22" s="1"/>
  <c r="E39" i="22" a="1"/>
  <c r="E39" i="22" s="1"/>
  <c r="C39" i="22" a="1"/>
  <c r="C39" i="22" s="1"/>
  <c r="E30" i="22" a="1"/>
  <c r="E30" i="22" s="1"/>
  <c r="C30" i="22" a="1"/>
  <c r="C30" i="22" s="1"/>
  <c r="C1031" i="22" a="1"/>
  <c r="C1031" i="22" s="1"/>
  <c r="C949" i="22" a="1"/>
  <c r="C949" i="22" s="1"/>
  <c r="C640" i="22" a="1"/>
  <c r="C640" i="22" s="1"/>
  <c r="C449" i="22" a="1"/>
  <c r="C449" i="22" s="1"/>
  <c r="E2" i="22" a="1"/>
  <c r="E2" i="22" s="1"/>
  <c r="C2" i="22" a="1"/>
  <c r="C2" i="22" s="1"/>
  <c r="E1034" i="22" a="1"/>
  <c r="E1034" i="22" s="1"/>
  <c r="C1034" i="22" a="1"/>
  <c r="C1034" i="22" s="1"/>
  <c r="E1023" i="22" a="1"/>
  <c r="E1023" i="22" s="1"/>
  <c r="C1023" i="22" a="1"/>
  <c r="C1023" i="22" s="1"/>
  <c r="E969" i="22" a="1"/>
  <c r="E969" i="22" s="1"/>
  <c r="C969" i="22" a="1"/>
  <c r="C969" i="22" s="1"/>
  <c r="E936" i="22" a="1"/>
  <c r="E936" i="22" s="1"/>
  <c r="C936" i="22" a="1"/>
  <c r="C936" i="22" s="1"/>
  <c r="E926" i="22" a="1"/>
  <c r="E926" i="22" s="1"/>
  <c r="C926" i="22" a="1"/>
  <c r="C926" i="22" s="1"/>
  <c r="E915" i="22" a="1"/>
  <c r="E915" i="22" s="1"/>
  <c r="C915" i="22" a="1"/>
  <c r="C915" i="22" s="1"/>
  <c r="E876" i="22" a="1"/>
  <c r="E876" i="22" s="1"/>
  <c r="C876" i="22" a="1"/>
  <c r="C876" i="22" s="1"/>
  <c r="E867" i="22" a="1"/>
  <c r="E867" i="22" s="1"/>
  <c r="C867" i="22" a="1"/>
  <c r="C867" i="22" s="1"/>
  <c r="E857" i="22" a="1"/>
  <c r="E857" i="22" s="1"/>
  <c r="C857" i="22" a="1"/>
  <c r="C857" i="22" s="1"/>
  <c r="E838" i="22" a="1"/>
  <c r="E838" i="22" s="1"/>
  <c r="C838" i="22" a="1"/>
  <c r="C838" i="22" s="1"/>
  <c r="C829" i="22" a="1"/>
  <c r="C829" i="22" s="1"/>
  <c r="E829" i="22" a="1"/>
  <c r="E829" i="22" s="1"/>
  <c r="E820" i="22" a="1"/>
  <c r="E820" i="22" s="1"/>
  <c r="C820" i="22" a="1"/>
  <c r="C820" i="22" s="1"/>
  <c r="E793" i="22" a="1"/>
  <c r="E793" i="22" s="1"/>
  <c r="C793" i="22" a="1"/>
  <c r="C793" i="22" s="1"/>
  <c r="E745" i="22" a="1"/>
  <c r="E745" i="22" s="1"/>
  <c r="C745" i="22" a="1"/>
  <c r="C745" i="22" s="1"/>
  <c r="E708" i="22" a="1"/>
  <c r="E708" i="22" s="1"/>
  <c r="C708" i="22" a="1"/>
  <c r="C708" i="22" s="1"/>
  <c r="E698" i="22" a="1"/>
  <c r="E698" i="22" s="1"/>
  <c r="C698" i="22" a="1"/>
  <c r="C698" i="22" s="1"/>
  <c r="E669" i="22" a="1"/>
  <c r="E669" i="22" s="1"/>
  <c r="C669" i="22" a="1"/>
  <c r="C669" i="22" s="1"/>
  <c r="E652" i="22" a="1"/>
  <c r="E652" i="22" s="1"/>
  <c r="C652" i="22" a="1"/>
  <c r="C652" i="22" s="1"/>
  <c r="E642" i="22" a="1"/>
  <c r="E642" i="22" s="1"/>
  <c r="C642" i="22" a="1"/>
  <c r="C642" i="22" s="1"/>
  <c r="E631" i="22" a="1"/>
  <c r="E631" i="22" s="1"/>
  <c r="C631" i="22" a="1"/>
  <c r="C631" i="22" s="1"/>
  <c r="E614" i="22" a="1"/>
  <c r="E614" i="22" s="1"/>
  <c r="C614" i="22" a="1"/>
  <c r="C614" i="22" s="1"/>
  <c r="C595" i="22" a="1"/>
  <c r="C595" i="22" s="1"/>
  <c r="E595" i="22" a="1"/>
  <c r="E595" i="22" s="1"/>
  <c r="E578" i="22" a="1"/>
  <c r="E578" i="22" s="1"/>
  <c r="C578" i="22" a="1"/>
  <c r="C578" i="22" s="1"/>
  <c r="E548" i="22" a="1"/>
  <c r="E548" i="22" s="1"/>
  <c r="C548" i="22" a="1"/>
  <c r="C548" i="22" s="1"/>
  <c r="E530" i="22" a="1"/>
  <c r="E530" i="22" s="1"/>
  <c r="C530" i="22" a="1"/>
  <c r="C530" i="22" s="1"/>
  <c r="E520" i="22" a="1"/>
  <c r="E520" i="22" s="1"/>
  <c r="C520" i="22" a="1"/>
  <c r="C520" i="22" s="1"/>
  <c r="E510" i="22" a="1"/>
  <c r="E510" i="22" s="1"/>
  <c r="C510" i="22" a="1"/>
  <c r="C510" i="22" s="1"/>
  <c r="E502" i="22" a="1"/>
  <c r="E502" i="22" s="1"/>
  <c r="C502" i="22" a="1"/>
  <c r="C502" i="22" s="1"/>
  <c r="E483" i="22" a="1"/>
  <c r="E483" i="22" s="1"/>
  <c r="C483" i="22" a="1"/>
  <c r="C483" i="22" s="1"/>
  <c r="E402" i="22" a="1"/>
  <c r="E402" i="22" s="1"/>
  <c r="C402" i="22" a="1"/>
  <c r="C402" i="22" s="1"/>
  <c r="E391" i="22" a="1"/>
  <c r="E391" i="22" s="1"/>
  <c r="C391" i="22" a="1"/>
  <c r="C391" i="22" s="1"/>
  <c r="E381" i="22" a="1"/>
  <c r="E381" i="22" s="1"/>
  <c r="C381" i="22" a="1"/>
  <c r="C381" i="22" s="1"/>
  <c r="E363" i="22" a="1"/>
  <c r="E363" i="22" s="1"/>
  <c r="C363" i="22" a="1"/>
  <c r="C363" i="22" s="1"/>
  <c r="E354" i="22" a="1"/>
  <c r="E354" i="22" s="1"/>
  <c r="C354" i="22" a="1"/>
  <c r="C354" i="22" s="1"/>
  <c r="C326" i="22" a="1"/>
  <c r="C326" i="22" s="1"/>
  <c r="E326" i="22" a="1"/>
  <c r="E326" i="22" s="1"/>
  <c r="E267" i="22" a="1"/>
  <c r="E267" i="22" s="1"/>
  <c r="C267" i="22" a="1"/>
  <c r="C267" i="22" s="1"/>
  <c r="E258" i="22" a="1"/>
  <c r="E258" i="22" s="1"/>
  <c r="C258" i="22" a="1"/>
  <c r="C258" i="22" s="1"/>
  <c r="E247" i="22" a="1"/>
  <c r="E247" i="22" s="1"/>
  <c r="C247" i="22" a="1"/>
  <c r="C247" i="22" s="1"/>
  <c r="E219" i="22" a="1"/>
  <c r="E219" i="22" s="1"/>
  <c r="C219" i="22" a="1"/>
  <c r="C219" i="22" s="1"/>
  <c r="E210" i="22" a="1"/>
  <c r="E210" i="22" s="1"/>
  <c r="C210" i="22" a="1"/>
  <c r="C210" i="22" s="1"/>
  <c r="E201" i="22" a="1"/>
  <c r="E201" i="22" s="1"/>
  <c r="C201" i="22" a="1"/>
  <c r="C201" i="22" s="1"/>
  <c r="E164" i="22" a="1"/>
  <c r="E164" i="22" s="1"/>
  <c r="C164" i="22" a="1"/>
  <c r="C164" i="22" s="1"/>
  <c r="E116" i="22" a="1"/>
  <c r="E116" i="22" s="1"/>
  <c r="C116" i="22" a="1"/>
  <c r="C116" i="22" s="1"/>
  <c r="E106" i="22" a="1"/>
  <c r="E106" i="22" s="1"/>
  <c r="C106" i="22" a="1"/>
  <c r="C106" i="22" s="1"/>
  <c r="E47" i="22" a="1"/>
  <c r="E47" i="22" s="1"/>
  <c r="C47" i="22" a="1"/>
  <c r="C47" i="22" s="1"/>
  <c r="E38" i="22" a="1"/>
  <c r="E38" i="22" s="1"/>
  <c r="C38" i="22" a="1"/>
  <c r="C38" i="22" s="1"/>
  <c r="C858" i="22" a="1"/>
  <c r="C858" i="22" s="1"/>
  <c r="C441" i="22" a="1"/>
  <c r="C441" i="22" s="1"/>
  <c r="C211" i="22" a="1"/>
  <c r="C211" i="22" s="1"/>
  <c r="C157" i="22" a="1"/>
  <c r="C157" i="22" s="1"/>
  <c r="E1033" i="22" a="1"/>
  <c r="E1033" i="22" s="1"/>
  <c r="C1033" i="22" a="1"/>
  <c r="C1033" i="22" s="1"/>
  <c r="E1001" i="22" a="1"/>
  <c r="E1001" i="22" s="1"/>
  <c r="C1001" i="22" a="1"/>
  <c r="C1001" i="22" s="1"/>
  <c r="E989" i="22" a="1"/>
  <c r="E989" i="22" s="1"/>
  <c r="C989" i="22" a="1"/>
  <c r="C989" i="22" s="1"/>
  <c r="E979" i="22" a="1"/>
  <c r="E979" i="22" s="1"/>
  <c r="C979" i="22" a="1"/>
  <c r="C979" i="22" s="1"/>
  <c r="E947" i="22" a="1"/>
  <c r="E947" i="22" s="1"/>
  <c r="C947" i="22" a="1"/>
  <c r="C947" i="22" s="1"/>
  <c r="E935" i="22" a="1"/>
  <c r="E935" i="22" s="1"/>
  <c r="C935" i="22" a="1"/>
  <c r="C935" i="22" s="1"/>
  <c r="E925" i="22" a="1"/>
  <c r="E925" i="22" s="1"/>
  <c r="C925" i="22" a="1"/>
  <c r="C925" i="22" s="1"/>
  <c r="E875" i="22" a="1"/>
  <c r="E875" i="22" s="1"/>
  <c r="C875" i="22" a="1"/>
  <c r="C875" i="22" s="1"/>
  <c r="E856" i="22" a="1"/>
  <c r="E856" i="22" s="1"/>
  <c r="C856" i="22" a="1"/>
  <c r="C856" i="22" s="1"/>
  <c r="E837" i="22" a="1"/>
  <c r="E837" i="22" s="1"/>
  <c r="C837" i="22" a="1"/>
  <c r="C837" i="22" s="1"/>
  <c r="E828" i="22" a="1"/>
  <c r="E828" i="22" s="1"/>
  <c r="C828" i="22" a="1"/>
  <c r="C828" i="22" s="1"/>
  <c r="E792" i="22" a="1"/>
  <c r="E792" i="22" s="1"/>
  <c r="C792" i="22" a="1"/>
  <c r="C792" i="22" s="1"/>
  <c r="E782" i="22" a="1"/>
  <c r="E782" i="22" s="1"/>
  <c r="C782" i="22" a="1"/>
  <c r="C782" i="22" s="1"/>
  <c r="E773" i="22" a="1"/>
  <c r="E773" i="22" s="1"/>
  <c r="C773" i="22" a="1"/>
  <c r="C773" i="22" s="1"/>
  <c r="C754" i="22" a="1"/>
  <c r="C754" i="22" s="1"/>
  <c r="E754" i="22" a="1"/>
  <c r="E754" i="22" s="1"/>
  <c r="E744" i="22" a="1"/>
  <c r="E744" i="22" s="1"/>
  <c r="C744" i="22" a="1"/>
  <c r="C744" i="22" s="1"/>
  <c r="E735" i="22" a="1"/>
  <c r="E735" i="22" s="1"/>
  <c r="C735" i="22" a="1"/>
  <c r="C735" i="22" s="1"/>
  <c r="E716" i="22" a="1"/>
  <c r="E716" i="22" s="1"/>
  <c r="C716" i="22" a="1"/>
  <c r="C716" i="22" s="1"/>
  <c r="E707" i="22" a="1"/>
  <c r="E707" i="22" s="1"/>
  <c r="C707" i="22" a="1"/>
  <c r="C707" i="22" s="1"/>
  <c r="C677" i="22" a="1"/>
  <c r="C677" i="22" s="1"/>
  <c r="E677" i="22" a="1"/>
  <c r="E677" i="22" s="1"/>
  <c r="E668" i="22" a="1"/>
  <c r="E668" i="22" s="1"/>
  <c r="C668" i="22" a="1"/>
  <c r="C668" i="22" s="1"/>
  <c r="E660" i="22" a="1"/>
  <c r="E660" i="22" s="1"/>
  <c r="C660" i="22" a="1"/>
  <c r="C660" i="22" s="1"/>
  <c r="E651" i="22" a="1"/>
  <c r="E651" i="22" s="1"/>
  <c r="C651" i="22" a="1"/>
  <c r="C651" i="22" s="1"/>
  <c r="E641" i="22" a="1"/>
  <c r="E641" i="22" s="1"/>
  <c r="C641" i="22" a="1"/>
  <c r="C641" i="22" s="1"/>
  <c r="E622" i="22" a="1"/>
  <c r="E622" i="22" s="1"/>
  <c r="C622" i="22" a="1"/>
  <c r="C622" i="22" s="1"/>
  <c r="E613" i="22" a="1"/>
  <c r="E613" i="22" s="1"/>
  <c r="C613" i="22" a="1"/>
  <c r="C613" i="22" s="1"/>
  <c r="E604" i="22" a="1"/>
  <c r="E604" i="22" s="1"/>
  <c r="C604" i="22" a="1"/>
  <c r="C604" i="22" s="1"/>
  <c r="E577" i="22" a="1"/>
  <c r="E577" i="22" s="1"/>
  <c r="C577" i="22" a="1"/>
  <c r="C577" i="22" s="1"/>
  <c r="E539" i="22" a="1"/>
  <c r="E539" i="22" s="1"/>
  <c r="C539" i="22" a="1"/>
  <c r="C539" i="22" s="1"/>
  <c r="E529" i="22" a="1"/>
  <c r="E529" i="22" s="1"/>
  <c r="C529" i="22" a="1"/>
  <c r="C529" i="22" s="1"/>
  <c r="C501" i="22" a="1"/>
  <c r="C501" i="22" s="1"/>
  <c r="E501" i="22" a="1"/>
  <c r="E501" i="22" s="1"/>
  <c r="E482" i="22" a="1"/>
  <c r="E482" i="22" s="1"/>
  <c r="C482" i="22" a="1"/>
  <c r="C482" i="22" s="1"/>
  <c r="E465" i="22" a="1"/>
  <c r="E465" i="22" s="1"/>
  <c r="C465" i="22" a="1"/>
  <c r="C465" i="22" s="1"/>
  <c r="E456" i="22" a="1"/>
  <c r="E456" i="22" s="1"/>
  <c r="C456" i="22" a="1"/>
  <c r="C456" i="22" s="1"/>
  <c r="E439" i="22" a="1"/>
  <c r="E439" i="22" s="1"/>
  <c r="C439" i="22" a="1"/>
  <c r="C439" i="22" s="1"/>
  <c r="E422" i="22" a="1"/>
  <c r="E422" i="22" s="1"/>
  <c r="C422" i="22" a="1"/>
  <c r="C422" i="22" s="1"/>
  <c r="E412" i="22" a="1"/>
  <c r="E412" i="22" s="1"/>
  <c r="C412" i="22" a="1"/>
  <c r="C412" i="22" s="1"/>
  <c r="E390" i="22" a="1"/>
  <c r="E390" i="22" s="1"/>
  <c r="C390" i="22" a="1"/>
  <c r="C390" i="22" s="1"/>
  <c r="E371" i="22" a="1"/>
  <c r="E371" i="22" s="1"/>
  <c r="C371" i="22" a="1"/>
  <c r="C371" i="22" s="1"/>
  <c r="E353" i="22" a="1"/>
  <c r="E353" i="22" s="1"/>
  <c r="C353" i="22" a="1"/>
  <c r="C353" i="22" s="1"/>
  <c r="E344" i="22" a="1"/>
  <c r="E344" i="22" s="1"/>
  <c r="C344" i="22" a="1"/>
  <c r="C344" i="22" s="1"/>
  <c r="E325" i="22" a="1"/>
  <c r="E325" i="22" s="1"/>
  <c r="C325" i="22" a="1"/>
  <c r="C325" i="22" s="1"/>
  <c r="E316" i="22" a="1"/>
  <c r="E316" i="22" s="1"/>
  <c r="C316" i="22" a="1"/>
  <c r="C316" i="22" s="1"/>
  <c r="E296" i="22" a="1"/>
  <c r="E296" i="22" s="1"/>
  <c r="C296" i="22" a="1"/>
  <c r="C296" i="22" s="1"/>
  <c r="E276" i="22" a="1"/>
  <c r="E276" i="22" s="1"/>
  <c r="C276" i="22" a="1"/>
  <c r="C276" i="22" s="1"/>
  <c r="E266" i="22" a="1"/>
  <c r="E266" i="22" s="1"/>
  <c r="C266" i="22" a="1"/>
  <c r="C266" i="22" s="1"/>
  <c r="E257" i="22" a="1"/>
  <c r="E257" i="22" s="1"/>
  <c r="C257" i="22" a="1"/>
  <c r="C257" i="22" s="1"/>
  <c r="E237" i="22" a="1"/>
  <c r="E237" i="22" s="1"/>
  <c r="C237" i="22" a="1"/>
  <c r="C237" i="22" s="1"/>
  <c r="E200" i="22" a="1"/>
  <c r="E200" i="22" s="1"/>
  <c r="C200" i="22" a="1"/>
  <c r="C200" i="22" s="1"/>
  <c r="E190" i="22" a="1"/>
  <c r="E190" i="22" s="1"/>
  <c r="C190" i="22" a="1"/>
  <c r="C190" i="22" s="1"/>
  <c r="E181" i="22" a="1"/>
  <c r="E181" i="22" s="1"/>
  <c r="C181" i="22" a="1"/>
  <c r="C181" i="22" s="1"/>
  <c r="E173" i="22" a="1"/>
  <c r="E173" i="22" s="1"/>
  <c r="C173" i="22" a="1"/>
  <c r="C173" i="22" s="1"/>
  <c r="E105" i="22" a="1"/>
  <c r="E105" i="22" s="1"/>
  <c r="C105" i="22" a="1"/>
  <c r="C105" i="22" s="1"/>
  <c r="E66" i="22" a="1"/>
  <c r="E66" i="22" s="1"/>
  <c r="C66" i="22" a="1"/>
  <c r="C66" i="22" s="1"/>
  <c r="E29" i="22" a="1"/>
  <c r="E29" i="22" s="1"/>
  <c r="C29" i="22" a="1"/>
  <c r="C29" i="22" s="1"/>
  <c r="E18" i="22" a="1"/>
  <c r="E18" i="22" s="1"/>
  <c r="C18" i="22" a="1"/>
  <c r="C18" i="22" s="1"/>
  <c r="C978" i="22" a="1"/>
  <c r="C978" i="22" s="1"/>
  <c r="C937" i="22" a="1"/>
  <c r="C937" i="22" s="1"/>
  <c r="C852" i="22" a="1"/>
  <c r="C852" i="22" s="1"/>
  <c r="C736" i="22" a="1"/>
  <c r="C736" i="22" s="1"/>
  <c r="C630" i="22" a="1"/>
  <c r="C630" i="22" s="1"/>
  <c r="C519" i="22" a="1"/>
  <c r="C519" i="22" s="1"/>
  <c r="C399" i="22" a="1"/>
  <c r="C399" i="22" s="1"/>
  <c r="C355" i="22" a="1"/>
  <c r="C355" i="22" s="1"/>
  <c r="C255" i="22" a="1"/>
  <c r="C255" i="22" s="1"/>
  <c r="E1021" i="22" a="1"/>
  <c r="E1021" i="22" s="1"/>
  <c r="C1021" i="22" a="1"/>
  <c r="C1021" i="22" s="1"/>
  <c r="E1000" i="22" a="1"/>
  <c r="E1000" i="22" s="1"/>
  <c r="C1000" i="22" a="1"/>
  <c r="C1000" i="22" s="1"/>
  <c r="E967" i="22" a="1"/>
  <c r="E967" i="22" s="1"/>
  <c r="C967" i="22" a="1"/>
  <c r="C967" i="22" s="1"/>
  <c r="E946" i="22" a="1"/>
  <c r="E946" i="22" s="1"/>
  <c r="C946" i="22" a="1"/>
  <c r="C946" i="22" s="1"/>
  <c r="E924" i="22" a="1"/>
  <c r="E924" i="22" s="1"/>
  <c r="C924" i="22" a="1"/>
  <c r="C924" i="22" s="1"/>
  <c r="E913" i="22" a="1"/>
  <c r="E913" i="22" s="1"/>
  <c r="C913" i="22" a="1"/>
  <c r="C913" i="22" s="1"/>
  <c r="E883" i="22" a="1"/>
  <c r="E883" i="22" s="1"/>
  <c r="C883" i="22" a="1"/>
  <c r="C883" i="22" s="1"/>
  <c r="E874" i="22" a="1"/>
  <c r="E874" i="22" s="1"/>
  <c r="C874" i="22" a="1"/>
  <c r="C874" i="22" s="1"/>
  <c r="E855" i="22" a="1"/>
  <c r="E855" i="22" s="1"/>
  <c r="C855" i="22" a="1"/>
  <c r="C855" i="22" s="1"/>
  <c r="E845" i="22" a="1"/>
  <c r="E845" i="22" s="1"/>
  <c r="C845" i="22" a="1"/>
  <c r="C845" i="22" s="1"/>
  <c r="E827" i="22" a="1"/>
  <c r="E827" i="22" s="1"/>
  <c r="C827" i="22" a="1"/>
  <c r="C827" i="22" s="1"/>
  <c r="E800" i="22" a="1"/>
  <c r="E800" i="22" s="1"/>
  <c r="C800" i="22" a="1"/>
  <c r="C800" i="22" s="1"/>
  <c r="E781" i="22" a="1"/>
  <c r="E781" i="22" s="1"/>
  <c r="C781" i="22" a="1"/>
  <c r="C781" i="22" s="1"/>
  <c r="E772" i="22" a="1"/>
  <c r="E772" i="22" s="1"/>
  <c r="C772" i="22" a="1"/>
  <c r="C772" i="22" s="1"/>
  <c r="E753" i="22" a="1"/>
  <c r="E753" i="22" s="1"/>
  <c r="C753" i="22" a="1"/>
  <c r="C753" i="22" s="1"/>
  <c r="C743" i="22" a="1"/>
  <c r="C743" i="22" s="1"/>
  <c r="E743" i="22" a="1"/>
  <c r="E743" i="22" s="1"/>
  <c r="C715" i="22" a="1"/>
  <c r="C715" i="22" s="1"/>
  <c r="E715" i="22" a="1"/>
  <c r="E715" i="22" s="1"/>
  <c r="E706" i="22" a="1"/>
  <c r="E706" i="22" s="1"/>
  <c r="C706" i="22" a="1"/>
  <c r="C706" i="22" s="1"/>
  <c r="E696" i="22" a="1"/>
  <c r="E696" i="22" s="1"/>
  <c r="C696" i="22" a="1"/>
  <c r="C696" i="22" s="1"/>
  <c r="E650" i="22" a="1"/>
  <c r="E650" i="22" s="1"/>
  <c r="C650" i="22" a="1"/>
  <c r="C650" i="22" s="1"/>
  <c r="E621" i="22" a="1"/>
  <c r="E621" i="22" s="1"/>
  <c r="C621" i="22" a="1"/>
  <c r="C621" i="22" s="1"/>
  <c r="E576" i="22" a="1"/>
  <c r="E576" i="22" s="1"/>
  <c r="C576" i="22" a="1"/>
  <c r="C576" i="22" s="1"/>
  <c r="E566" i="22" a="1"/>
  <c r="E566" i="22" s="1"/>
  <c r="C566" i="22" a="1"/>
  <c r="C566" i="22" s="1"/>
  <c r="E557" i="22" a="1"/>
  <c r="E557" i="22" s="1"/>
  <c r="C557" i="22" a="1"/>
  <c r="C557" i="22" s="1"/>
  <c r="E528" i="22" a="1"/>
  <c r="E528" i="22" s="1"/>
  <c r="C528" i="22" a="1"/>
  <c r="C528" i="22" s="1"/>
  <c r="E481" i="22" a="1"/>
  <c r="E481" i="22" s="1"/>
  <c r="C481" i="22" a="1"/>
  <c r="C481" i="22" s="1"/>
  <c r="E472" i="22" a="1"/>
  <c r="E472" i="22" s="1"/>
  <c r="C472" i="22" a="1"/>
  <c r="C472" i="22" s="1"/>
  <c r="E455" i="22" a="1"/>
  <c r="E455" i="22" s="1"/>
  <c r="C455" i="22" a="1"/>
  <c r="C455" i="22" s="1"/>
  <c r="E447" i="22" a="1"/>
  <c r="E447" i="22" s="1"/>
  <c r="C447" i="22" a="1"/>
  <c r="C447" i="22" s="1"/>
  <c r="E438" i="22" a="1"/>
  <c r="E438" i="22" s="1"/>
  <c r="C438" i="22" a="1"/>
  <c r="C438" i="22" s="1"/>
  <c r="E421" i="22" a="1"/>
  <c r="E421" i="22" s="1"/>
  <c r="C421" i="22" a="1"/>
  <c r="C421" i="22" s="1"/>
  <c r="E411" i="22" a="1"/>
  <c r="E411" i="22" s="1"/>
  <c r="C411" i="22" a="1"/>
  <c r="C411" i="22" s="1"/>
  <c r="E400" i="22" a="1"/>
  <c r="E400" i="22" s="1"/>
  <c r="C400" i="22" a="1"/>
  <c r="C400" i="22" s="1"/>
  <c r="E352" i="22" a="1"/>
  <c r="E352" i="22" s="1"/>
  <c r="C352" i="22" a="1"/>
  <c r="C352" i="22" s="1"/>
  <c r="E324" i="22" a="1"/>
  <c r="E324" i="22" s="1"/>
  <c r="C324" i="22" a="1"/>
  <c r="C324" i="22" s="1"/>
  <c r="E315" i="22" a="1"/>
  <c r="E315" i="22" s="1"/>
  <c r="C315" i="22" a="1"/>
  <c r="C315" i="22" s="1"/>
  <c r="E305" i="22" a="1"/>
  <c r="E305" i="22" s="1"/>
  <c r="C305" i="22" a="1"/>
  <c r="C305" i="22" s="1"/>
  <c r="E286" i="22" a="1"/>
  <c r="E286" i="22" s="1"/>
  <c r="C286" i="22" a="1"/>
  <c r="C286" i="22" s="1"/>
  <c r="C275" i="22" a="1"/>
  <c r="C275" i="22" s="1"/>
  <c r="E275" i="22" a="1"/>
  <c r="E275" i="22" s="1"/>
  <c r="E256" i="22" a="1"/>
  <c r="E256" i="22" s="1"/>
  <c r="C256" i="22" a="1"/>
  <c r="C256" i="22" s="1"/>
  <c r="E246" i="22" a="1"/>
  <c r="E246" i="22" s="1"/>
  <c r="C246" i="22" a="1"/>
  <c r="C246" i="22" s="1"/>
  <c r="E228" i="22" a="1"/>
  <c r="E228" i="22" s="1"/>
  <c r="C228" i="22" a="1"/>
  <c r="C228" i="22" s="1"/>
  <c r="E208" i="22" a="1"/>
  <c r="E208" i="22" s="1"/>
  <c r="C208" i="22" a="1"/>
  <c r="C208" i="22" s="1"/>
  <c r="E126" i="22" a="1"/>
  <c r="E126" i="22" s="1"/>
  <c r="C126" i="22" a="1"/>
  <c r="C126" i="22" s="1"/>
  <c r="E104" i="22" a="1"/>
  <c r="E104" i="22" s="1"/>
  <c r="C104" i="22" a="1"/>
  <c r="C104" i="22" s="1"/>
  <c r="E83" i="22" a="1"/>
  <c r="E83" i="22" s="1"/>
  <c r="C83" i="22" a="1"/>
  <c r="C83" i="22" s="1"/>
  <c r="E65" i="22" a="1"/>
  <c r="E65" i="22" s="1"/>
  <c r="C65" i="22" a="1"/>
  <c r="C65" i="22" s="1"/>
  <c r="E55" i="22" a="1"/>
  <c r="E55" i="22" s="1"/>
  <c r="C55" i="22" a="1"/>
  <c r="C55" i="22" s="1"/>
  <c r="E37" i="22" a="1"/>
  <c r="E37" i="22" s="1"/>
  <c r="C37" i="22" a="1"/>
  <c r="C37" i="22" s="1"/>
  <c r="E17" i="22" a="1"/>
  <c r="E17" i="22" s="1"/>
  <c r="C17" i="22" a="1"/>
  <c r="C17" i="22" s="1"/>
  <c r="E7" i="22" a="1"/>
  <c r="E7" i="22" s="1"/>
  <c r="C7" i="22" a="1"/>
  <c r="C7" i="22" s="1"/>
  <c r="C892" i="22" a="1"/>
  <c r="C892" i="22" s="1"/>
  <c r="C847" i="22" a="1"/>
  <c r="C847" i="22" s="1"/>
  <c r="C806" i="22" a="1"/>
  <c r="C806" i="22" s="1"/>
  <c r="C697" i="22" a="1"/>
  <c r="C697" i="22" s="1"/>
  <c r="C474" i="22" a="1"/>
  <c r="C474" i="22" s="1"/>
  <c r="C297" i="22" a="1"/>
  <c r="C297" i="22" s="1"/>
  <c r="C248" i="22" a="1"/>
  <c r="C248" i="22" s="1"/>
  <c r="E980" i="22" a="1"/>
  <c r="E980" i="22" s="1"/>
  <c r="E1009" i="22" a="1"/>
  <c r="E1009" i="22" s="1"/>
  <c r="C1009" i="22" a="1"/>
  <c r="C1009" i="22" s="1"/>
  <c r="E988" i="22" a="1"/>
  <c r="E988" i="22" s="1"/>
  <c r="C988" i="22" a="1"/>
  <c r="C988" i="22" s="1"/>
  <c r="E977" i="22" a="1"/>
  <c r="E977" i="22" s="1"/>
  <c r="C977" i="22" a="1"/>
  <c r="C977" i="22" s="1"/>
  <c r="E955" i="22" a="1"/>
  <c r="E955" i="22" s="1"/>
  <c r="C955" i="22" a="1"/>
  <c r="C955" i="22" s="1"/>
  <c r="E945" i="22" a="1"/>
  <c r="E945" i="22" s="1"/>
  <c r="C945" i="22" a="1"/>
  <c r="C945" i="22" s="1"/>
  <c r="E934" i="22" a="1"/>
  <c r="E934" i="22" s="1"/>
  <c r="C934" i="22" a="1"/>
  <c r="C934" i="22" s="1"/>
  <c r="E923" i="22" a="1"/>
  <c r="E923" i="22" s="1"/>
  <c r="C923" i="22" a="1"/>
  <c r="C923" i="22" s="1"/>
  <c r="E901" i="22" a="1"/>
  <c r="E901" i="22" s="1"/>
  <c r="C901" i="22" a="1"/>
  <c r="C901" i="22" s="1"/>
  <c r="E882" i="22" a="1"/>
  <c r="E882" i="22" s="1"/>
  <c r="C882" i="22" a="1"/>
  <c r="C882" i="22" s="1"/>
  <c r="E854" i="22" a="1"/>
  <c r="E854" i="22" s="1"/>
  <c r="C854" i="22" a="1"/>
  <c r="C854" i="22" s="1"/>
  <c r="E835" i="22" a="1"/>
  <c r="E835" i="22" s="1"/>
  <c r="C835" i="22" a="1"/>
  <c r="C835" i="22" s="1"/>
  <c r="E809" i="22" a="1"/>
  <c r="E809" i="22" s="1"/>
  <c r="C809" i="22" a="1"/>
  <c r="C809" i="22" s="1"/>
  <c r="E790" i="22" a="1"/>
  <c r="E790" i="22" s="1"/>
  <c r="C790" i="22" a="1"/>
  <c r="C790" i="22" s="1"/>
  <c r="E762" i="22" a="1"/>
  <c r="E762" i="22" s="1"/>
  <c r="C762" i="22" a="1"/>
  <c r="C762" i="22" s="1"/>
  <c r="E752" i="22" a="1"/>
  <c r="E752" i="22" s="1"/>
  <c r="C752" i="22" a="1"/>
  <c r="C752" i="22" s="1"/>
  <c r="E742" i="22" a="1"/>
  <c r="E742" i="22" s="1"/>
  <c r="C742" i="22" a="1"/>
  <c r="C742" i="22" s="1"/>
  <c r="E724" i="22" a="1"/>
  <c r="E724" i="22" s="1"/>
  <c r="C724" i="22" a="1"/>
  <c r="C724" i="22" s="1"/>
  <c r="E676" i="22" a="1"/>
  <c r="E676" i="22" s="1"/>
  <c r="C676" i="22" a="1"/>
  <c r="C676" i="22" s="1"/>
  <c r="E667" i="22" a="1"/>
  <c r="E667" i="22" s="1"/>
  <c r="C667" i="22" a="1"/>
  <c r="C667" i="22" s="1"/>
  <c r="E639" i="22" a="1"/>
  <c r="E639" i="22" s="1"/>
  <c r="C639" i="22" a="1"/>
  <c r="C639" i="22" s="1"/>
  <c r="E629" i="22" a="1"/>
  <c r="E629" i="22" s="1"/>
  <c r="C629" i="22" a="1"/>
  <c r="C629" i="22" s="1"/>
  <c r="E620" i="22" a="1"/>
  <c r="E620" i="22" s="1"/>
  <c r="C620" i="22" a="1"/>
  <c r="C620" i="22" s="1"/>
  <c r="E611" i="22" a="1"/>
  <c r="E611" i="22" s="1"/>
  <c r="C611" i="22" a="1"/>
  <c r="C611" i="22" s="1"/>
  <c r="E584" i="22" a="1"/>
  <c r="E584" i="22" s="1"/>
  <c r="C584" i="22" a="1"/>
  <c r="C584" i="22" s="1"/>
  <c r="E565" i="22" a="1"/>
  <c r="E565" i="22" s="1"/>
  <c r="C565" i="22" a="1"/>
  <c r="C565" i="22" s="1"/>
  <c r="E556" i="22" a="1"/>
  <c r="E556" i="22" s="1"/>
  <c r="C556" i="22" a="1"/>
  <c r="C556" i="22" s="1"/>
  <c r="E537" i="22" a="1"/>
  <c r="E537" i="22" s="1"/>
  <c r="C537" i="22" a="1"/>
  <c r="C537" i="22" s="1"/>
  <c r="E527" i="22" a="1"/>
  <c r="E527" i="22" s="1"/>
  <c r="C527" i="22" a="1"/>
  <c r="C527" i="22" s="1"/>
  <c r="E499" i="22" a="1"/>
  <c r="E499" i="22" s="1"/>
  <c r="C499" i="22" a="1"/>
  <c r="C499" i="22" s="1"/>
  <c r="C471" i="22" a="1"/>
  <c r="C471" i="22" s="1"/>
  <c r="E471" i="22" a="1"/>
  <c r="E471" i="22" s="1"/>
  <c r="E437" i="22" a="1"/>
  <c r="E437" i="22" s="1"/>
  <c r="C437" i="22" a="1"/>
  <c r="C437" i="22" s="1"/>
  <c r="E429" i="22" a="1"/>
  <c r="E429" i="22" s="1"/>
  <c r="C429" i="22" a="1"/>
  <c r="C429" i="22" s="1"/>
  <c r="E420" i="22" a="1"/>
  <c r="E420" i="22" s="1"/>
  <c r="C420" i="22" a="1"/>
  <c r="C420" i="22" s="1"/>
  <c r="E410" i="22" a="1"/>
  <c r="E410" i="22" s="1"/>
  <c r="C410" i="22" a="1"/>
  <c r="C410" i="22" s="1"/>
  <c r="E389" i="22" a="1"/>
  <c r="E389" i="22" s="1"/>
  <c r="C389" i="22" a="1"/>
  <c r="C389" i="22" s="1"/>
  <c r="E361" i="22" a="1"/>
  <c r="E361" i="22" s="1"/>
  <c r="C361" i="22" a="1"/>
  <c r="C361" i="22" s="1"/>
  <c r="E351" i="22" a="1"/>
  <c r="E351" i="22" s="1"/>
  <c r="C351" i="22" a="1"/>
  <c r="C351" i="22" s="1"/>
  <c r="E343" i="22" a="1"/>
  <c r="E343" i="22" s="1"/>
  <c r="C343" i="22" a="1"/>
  <c r="C343" i="22" s="1"/>
  <c r="E314" i="22" a="1"/>
  <c r="E314" i="22" s="1"/>
  <c r="C314" i="22" a="1"/>
  <c r="C314" i="22" s="1"/>
  <c r="C285" i="22" a="1"/>
  <c r="C285" i="22" s="1"/>
  <c r="E285" i="22" a="1"/>
  <c r="E285" i="22" s="1"/>
  <c r="E274" i="22" a="1"/>
  <c r="E274" i="22" s="1"/>
  <c r="C274" i="22" a="1"/>
  <c r="C274" i="22" s="1"/>
  <c r="E217" i="22" a="1"/>
  <c r="E217" i="22" s="1"/>
  <c r="C217" i="22" a="1"/>
  <c r="C217" i="22" s="1"/>
  <c r="E125" i="22" a="1"/>
  <c r="E125" i="22" s="1"/>
  <c r="C125" i="22" a="1"/>
  <c r="C125" i="22" s="1"/>
  <c r="E114" i="22" a="1"/>
  <c r="E114" i="22" s="1"/>
  <c r="C114" i="22" a="1"/>
  <c r="C114" i="22" s="1"/>
  <c r="E73" i="22" a="1"/>
  <c r="E73" i="22" s="1"/>
  <c r="C73" i="22" a="1"/>
  <c r="C73" i="22" s="1"/>
  <c r="E54" i="22" a="1"/>
  <c r="E54" i="22" s="1"/>
  <c r="C54" i="22" a="1"/>
  <c r="C54" i="22" s="1"/>
  <c r="E36" i="22" a="1"/>
  <c r="E36" i="22" s="1"/>
  <c r="C36" i="22" a="1"/>
  <c r="C36" i="22" s="1"/>
  <c r="C1014" i="22" a="1"/>
  <c r="C1014" i="22" s="1"/>
  <c r="C973" i="22" a="1"/>
  <c r="C973" i="22" s="1"/>
  <c r="C768" i="22" a="1"/>
  <c r="C768" i="22" s="1"/>
  <c r="C661" i="22" a="1"/>
  <c r="C661" i="22" s="1"/>
  <c r="C552" i="22" a="1"/>
  <c r="C552" i="22" s="1"/>
  <c r="C515" i="22" a="1"/>
  <c r="C515" i="22" s="1"/>
  <c r="C345" i="22" a="1"/>
  <c r="C345" i="22" s="1"/>
  <c r="C191" i="22" a="1"/>
  <c r="C191" i="22" s="1"/>
  <c r="E739" i="22" a="1"/>
  <c r="E739" i="22" s="1"/>
  <c r="E807" i="22" a="1"/>
  <c r="E807" i="22" s="1"/>
  <c r="C807" i="22" a="1"/>
  <c r="C807" i="22" s="1"/>
  <c r="E591" i="22" a="1"/>
  <c r="E591" i="22" s="1"/>
  <c r="C591" i="22" a="1"/>
  <c r="C591" i="22" s="1"/>
  <c r="E489" i="22" a="1"/>
  <c r="E489" i="22" s="1"/>
  <c r="C489" i="22" a="1"/>
  <c r="C489" i="22" s="1"/>
  <c r="E466" i="22" a="1"/>
  <c r="E466" i="22" s="1"/>
  <c r="C466" i="22" a="1"/>
  <c r="C466" i="22" s="1"/>
  <c r="E442" i="22" a="1"/>
  <c r="E442" i="22" s="1"/>
  <c r="C442" i="22" a="1"/>
  <c r="C442" i="22" s="1"/>
  <c r="E358" i="22" a="1"/>
  <c r="E358" i="22" s="1"/>
  <c r="C358" i="22" a="1"/>
  <c r="C358" i="22" s="1"/>
  <c r="E334" i="22" a="1"/>
  <c r="E334" i="22" s="1"/>
  <c r="C334" i="22" a="1"/>
  <c r="C334" i="22" s="1"/>
  <c r="E281" i="22" a="1"/>
  <c r="E281" i="22" s="1"/>
  <c r="C281" i="22" a="1"/>
  <c r="C281" i="22" s="1"/>
  <c r="E193" i="22" a="1"/>
  <c r="E193" i="22" s="1"/>
  <c r="C193" i="22" a="1"/>
  <c r="C193" i="22" s="1"/>
  <c r="E185" i="22" a="1"/>
  <c r="E185" i="22" s="1"/>
  <c r="C185" i="22" a="1"/>
  <c r="C185" i="22" s="1"/>
  <c r="E141" i="22" a="1"/>
  <c r="E141" i="22" s="1"/>
  <c r="C141" i="22" a="1"/>
  <c r="C141" i="22" s="1"/>
  <c r="E46" i="22" a="1"/>
  <c r="E46" i="22" s="1"/>
  <c r="C46" i="22" a="1"/>
  <c r="C46" i="22" s="1"/>
  <c r="E19" i="22" a="1"/>
  <c r="E19" i="22" s="1"/>
  <c r="C19" i="22" a="1"/>
  <c r="C19" i="22" s="1"/>
  <c r="C993" i="22" a="1"/>
  <c r="C993" i="22" s="1"/>
  <c r="C625" i="22" a="1"/>
  <c r="C625" i="22" s="1"/>
  <c r="C408" i="22" a="1"/>
  <c r="C408" i="22" s="1"/>
  <c r="C340" i="22" a="1"/>
  <c r="C340" i="22" s="1"/>
  <c r="C214" i="22" a="1"/>
  <c r="C214" i="22" s="1"/>
  <c r="E986" i="22" a="1"/>
  <c r="E986" i="22" s="1"/>
  <c r="E139" i="22" a="1"/>
  <c r="E139" i="22" s="1"/>
  <c r="E914" i="22" a="1"/>
  <c r="E914" i="22" s="1"/>
  <c r="C914" i="22" a="1"/>
  <c r="C914" i="22" s="1"/>
  <c r="E889" i="22" a="1"/>
  <c r="E889" i="22" s="1"/>
  <c r="C889" i="22" a="1"/>
  <c r="C889" i="22" s="1"/>
  <c r="E873" i="22" a="1"/>
  <c r="E873" i="22" s="1"/>
  <c r="C873" i="22" a="1"/>
  <c r="C873" i="22" s="1"/>
  <c r="E850" i="22" a="1"/>
  <c r="E850" i="22" s="1"/>
  <c r="C850" i="22" a="1"/>
  <c r="C850" i="22" s="1"/>
  <c r="E758" i="22" a="1"/>
  <c r="E758" i="22" s="1"/>
  <c r="C758" i="22" a="1"/>
  <c r="C758" i="22" s="1"/>
  <c r="E719" i="22" a="1"/>
  <c r="E719" i="22" s="1"/>
  <c r="C719" i="22" a="1"/>
  <c r="C719" i="22" s="1"/>
  <c r="E673" i="22" a="1"/>
  <c r="E673" i="22" s="1"/>
  <c r="C673" i="22" a="1"/>
  <c r="C673" i="22" s="1"/>
  <c r="E627" i="22" a="1"/>
  <c r="E627" i="22" s="1"/>
  <c r="C627" i="22" a="1"/>
  <c r="C627" i="22" s="1"/>
  <c r="E503" i="22" a="1"/>
  <c r="E503" i="22" s="1"/>
  <c r="C503" i="22" a="1"/>
  <c r="C503" i="22" s="1"/>
  <c r="E487" i="22" a="1"/>
  <c r="E487" i="22" s="1"/>
  <c r="C487" i="22" a="1"/>
  <c r="C487" i="22" s="1"/>
  <c r="E448" i="22" a="1"/>
  <c r="E448" i="22" s="1"/>
  <c r="C448" i="22" a="1"/>
  <c r="C448" i="22" s="1"/>
  <c r="E401" i="22" a="1"/>
  <c r="E401" i="22" s="1"/>
  <c r="C401" i="22" a="1"/>
  <c r="C401" i="22" s="1"/>
  <c r="E364" i="22" a="1"/>
  <c r="E364" i="22" s="1"/>
  <c r="C364" i="22" a="1"/>
  <c r="C364" i="22" s="1"/>
  <c r="C356" i="22" a="1"/>
  <c r="C356" i="22" s="1"/>
  <c r="E356" i="22" a="1"/>
  <c r="E356" i="22" s="1"/>
  <c r="E348" i="22" a="1"/>
  <c r="E348" i="22" s="1"/>
  <c r="C348" i="22" a="1"/>
  <c r="C348" i="22" s="1"/>
  <c r="C317" i="22" a="1"/>
  <c r="C317" i="22" s="1"/>
  <c r="E317" i="22" a="1"/>
  <c r="E317" i="22" s="1"/>
  <c r="E287" i="22" a="1"/>
  <c r="E287" i="22" s="1"/>
  <c r="C287" i="22" a="1"/>
  <c r="C287" i="22" s="1"/>
  <c r="E271" i="22" a="1"/>
  <c r="E271" i="22" s="1"/>
  <c r="C271" i="22" a="1"/>
  <c r="C271" i="22" s="1"/>
  <c r="E209" i="22" a="1"/>
  <c r="E209" i="22" s="1"/>
  <c r="C209" i="22" a="1"/>
  <c r="C209" i="22" s="1"/>
  <c r="E165" i="22" a="1"/>
  <c r="E165" i="22" s="1"/>
  <c r="C165" i="22" a="1"/>
  <c r="C165" i="22" s="1"/>
  <c r="E149" i="22" a="1"/>
  <c r="E149" i="22" s="1"/>
  <c r="C149" i="22" a="1"/>
  <c r="C149" i="22" s="1"/>
  <c r="E75" i="22" a="1"/>
  <c r="E75" i="22" s="1"/>
  <c r="C75" i="22" a="1"/>
  <c r="C75" i="22" s="1"/>
  <c r="E16" i="22" a="1"/>
  <c r="E16" i="22" s="1"/>
  <c r="C16" i="22" a="1"/>
  <c r="C16" i="22" s="1"/>
  <c r="C1030" i="22" a="1"/>
  <c r="C1030" i="22" s="1"/>
  <c r="C968" i="22" a="1"/>
  <c r="C968" i="22" s="1"/>
  <c r="C863" i="22" a="1"/>
  <c r="C863" i="22" s="1"/>
  <c r="C841" i="22" a="1"/>
  <c r="C841" i="22" s="1"/>
  <c r="C818" i="22" a="1"/>
  <c r="C818" i="22" s="1"/>
  <c r="C801" i="22" a="1"/>
  <c r="C801" i="22" s="1"/>
  <c r="C763" i="22" a="1"/>
  <c r="C763" i="22" s="1"/>
  <c r="C657" i="22" a="1"/>
  <c r="C657" i="22" s="1"/>
  <c r="C547" i="22" a="1"/>
  <c r="C547" i="22" s="1"/>
  <c r="C509" i="22" a="1"/>
  <c r="C509" i="22" s="1"/>
  <c r="C182" i="22" a="1"/>
  <c r="C182" i="22" s="1"/>
  <c r="E976" i="22" a="1"/>
  <c r="E976" i="22" s="1"/>
  <c r="C976" i="22" a="1"/>
  <c r="C976" i="22" s="1"/>
  <c r="E904" i="22" a="1"/>
  <c r="E904" i="22" s="1"/>
  <c r="C904" i="22" a="1"/>
  <c r="C904" i="22" s="1"/>
  <c r="E826" i="22" a="1"/>
  <c r="E826" i="22" s="1"/>
  <c r="C826" i="22" a="1"/>
  <c r="C826" i="22" s="1"/>
  <c r="E819" i="22" a="1"/>
  <c r="E819" i="22" s="1"/>
  <c r="C819" i="22" a="1"/>
  <c r="C819" i="22" s="1"/>
  <c r="E780" i="22" a="1"/>
  <c r="E780" i="22" s="1"/>
  <c r="C780" i="22" a="1"/>
  <c r="C780" i="22" s="1"/>
  <c r="E734" i="22" a="1"/>
  <c r="E734" i="22" s="1"/>
  <c r="C734" i="22" a="1"/>
  <c r="C734" i="22" s="1"/>
  <c r="E695" i="22" a="1"/>
  <c r="E695" i="22" s="1"/>
  <c r="C695" i="22" a="1"/>
  <c r="C695" i="22" s="1"/>
  <c r="E610" i="22" a="1"/>
  <c r="E610" i="22" s="1"/>
  <c r="C610" i="22" a="1"/>
  <c r="C610" i="22" s="1"/>
  <c r="E603" i="22" a="1"/>
  <c r="E603" i="22" s="1"/>
  <c r="C603" i="22" a="1"/>
  <c r="C603" i="22" s="1"/>
  <c r="E564" i="22" a="1"/>
  <c r="E564" i="22" s="1"/>
  <c r="C564" i="22" a="1"/>
  <c r="C564" i="22" s="1"/>
  <c r="E525" i="22" a="1"/>
  <c r="E525" i="22" s="1"/>
  <c r="C525" i="22" a="1"/>
  <c r="C525" i="22" s="1"/>
  <c r="E462" i="22" a="1"/>
  <c r="E462" i="22" s="1"/>
  <c r="C462" i="22" a="1"/>
  <c r="C462" i="22" s="1"/>
  <c r="E301" i="22" a="1"/>
  <c r="E301" i="22" s="1"/>
  <c r="C301" i="22" a="1"/>
  <c r="C301" i="22" s="1"/>
  <c r="E216" i="22" a="1"/>
  <c r="E216" i="22" s="1"/>
  <c r="C216" i="22" a="1"/>
  <c r="C216" i="22" s="1"/>
  <c r="E207" i="22" a="1"/>
  <c r="E207" i="22" s="1"/>
  <c r="C207" i="22" a="1"/>
  <c r="C207" i="22" s="1"/>
  <c r="E199" i="22" a="1"/>
  <c r="E199" i="22" s="1"/>
  <c r="C199" i="22" a="1"/>
  <c r="C199" i="22" s="1"/>
  <c r="E189" i="22" a="1"/>
  <c r="E189" i="22" s="1"/>
  <c r="C189" i="22" a="1"/>
  <c r="C189" i="22" s="1"/>
  <c r="E128" i="22" a="1"/>
  <c r="E128" i="22" s="1"/>
  <c r="C128" i="22" a="1"/>
  <c r="C128" i="22" s="1"/>
  <c r="E118" i="22" a="1"/>
  <c r="E118" i="22" s="1"/>
  <c r="C118" i="22" a="1"/>
  <c r="C118" i="22" s="1"/>
  <c r="E109" i="22" a="1"/>
  <c r="E109" i="22" s="1"/>
  <c r="C109" i="22" a="1"/>
  <c r="C109" i="22" s="1"/>
  <c r="E51" i="22" a="1"/>
  <c r="E51" i="22" s="1"/>
  <c r="C51" i="22" a="1"/>
  <c r="C51" i="22" s="1"/>
  <c r="E6" i="22" a="1"/>
  <c r="E6" i="22" s="1"/>
  <c r="C6" i="22" a="1"/>
  <c r="C6" i="22" s="1"/>
  <c r="C1004" i="22" a="1"/>
  <c r="C1004" i="22" s="1"/>
  <c r="C922" i="22" a="1"/>
  <c r="C922" i="22" s="1"/>
  <c r="C740" i="22" a="1"/>
  <c r="C740" i="22" s="1"/>
  <c r="C705" i="22" a="1"/>
  <c r="C705" i="22" s="1"/>
  <c r="C634" i="22" a="1"/>
  <c r="C634" i="22" s="1"/>
  <c r="C579" i="22" a="1"/>
  <c r="C579" i="22" s="1"/>
  <c r="C561" i="22" a="1"/>
  <c r="C561" i="22" s="1"/>
  <c r="C329" i="22" a="1"/>
  <c r="C329" i="22" s="1"/>
  <c r="C91" i="22" a="1"/>
  <c r="C91" i="22" s="1"/>
  <c r="C4" i="22" a="1"/>
  <c r="C4" i="22" s="1"/>
  <c r="E1029" i="22" a="1"/>
  <c r="E1029" i="22" s="1"/>
  <c r="E518" i="22" a="1"/>
  <c r="E518" i="22" s="1"/>
  <c r="E1038" i="22" a="1"/>
  <c r="E1038" i="22" s="1"/>
  <c r="C1038" i="22" a="1"/>
  <c r="C1038" i="22" s="1"/>
  <c r="E1020" i="22" a="1"/>
  <c r="E1020" i="22" s="1"/>
  <c r="C1020" i="22" a="1"/>
  <c r="C1020" i="22" s="1"/>
  <c r="E1002" i="22" a="1"/>
  <c r="E1002" i="22" s="1"/>
  <c r="C1002" i="22" a="1"/>
  <c r="C1002" i="22" s="1"/>
  <c r="E975" i="22" a="1"/>
  <c r="E975" i="22" s="1"/>
  <c r="C975" i="22" a="1"/>
  <c r="C975" i="22" s="1"/>
  <c r="E966" i="22" a="1"/>
  <c r="E966" i="22" s="1"/>
  <c r="C966" i="22" a="1"/>
  <c r="C966" i="22" s="1"/>
  <c r="E957" i="22" a="1"/>
  <c r="E957" i="22" s="1"/>
  <c r="C957" i="22" a="1"/>
  <c r="C957" i="22" s="1"/>
  <c r="E948" i="22" a="1"/>
  <c r="E948" i="22" s="1"/>
  <c r="C948" i="22" a="1"/>
  <c r="C948" i="22" s="1"/>
  <c r="E930" i="22" a="1"/>
  <c r="E930" i="22" s="1"/>
  <c r="C930" i="22" a="1"/>
  <c r="C930" i="22" s="1"/>
  <c r="E903" i="22" a="1"/>
  <c r="E903" i="22" s="1"/>
  <c r="C903" i="22" a="1"/>
  <c r="C903" i="22" s="1"/>
  <c r="E871" i="22" a="1"/>
  <c r="E871" i="22" s="1"/>
  <c r="C871" i="22" a="1"/>
  <c r="C871" i="22" s="1"/>
  <c r="E864" i="22" a="1"/>
  <c r="E864" i="22" s="1"/>
  <c r="C864" i="22" a="1"/>
  <c r="C864" i="22" s="1"/>
  <c r="E833" i="22" a="1"/>
  <c r="E833" i="22" s="1"/>
  <c r="C833" i="22" a="1"/>
  <c r="C833" i="22" s="1"/>
  <c r="E810" i="22" a="1"/>
  <c r="E810" i="22" s="1"/>
  <c r="C810" i="22" a="1"/>
  <c r="C810" i="22" s="1"/>
  <c r="E779" i="22" a="1"/>
  <c r="E779" i="22" s="1"/>
  <c r="C779" i="22" a="1"/>
  <c r="C779" i="22" s="1"/>
  <c r="E756" i="22" a="1"/>
  <c r="E756" i="22" s="1"/>
  <c r="C756" i="22" a="1"/>
  <c r="C756" i="22" s="1"/>
  <c r="E733" i="22" a="1"/>
  <c r="E733" i="22" s="1"/>
  <c r="C733" i="22" a="1"/>
  <c r="C733" i="22" s="1"/>
  <c r="E725" i="22" a="1"/>
  <c r="E725" i="22" s="1"/>
  <c r="C725" i="22" a="1"/>
  <c r="C725" i="22" s="1"/>
  <c r="E717" i="22" a="1"/>
  <c r="E717" i="22" s="1"/>
  <c r="C717" i="22" a="1"/>
  <c r="C717" i="22" s="1"/>
  <c r="E710" i="22" a="1"/>
  <c r="E710" i="22" s="1"/>
  <c r="C710" i="22" a="1"/>
  <c r="C710" i="22" s="1"/>
  <c r="E694" i="22" a="1"/>
  <c r="E694" i="22" s="1"/>
  <c r="C694" i="22" a="1"/>
  <c r="C694" i="22" s="1"/>
  <c r="E671" i="22" a="1"/>
  <c r="E671" i="22" s="1"/>
  <c r="C671" i="22" a="1"/>
  <c r="C671" i="22" s="1"/>
  <c r="E664" i="22" a="1"/>
  <c r="E664" i="22" s="1"/>
  <c r="C664" i="22" a="1"/>
  <c r="C664" i="22" s="1"/>
  <c r="E655" i="22" a="1"/>
  <c r="E655" i="22" s="1"/>
  <c r="C655" i="22" a="1"/>
  <c r="C655" i="22" s="1"/>
  <c r="E609" i="22" a="1"/>
  <c r="E609" i="22" s="1"/>
  <c r="C609" i="22" a="1"/>
  <c r="C609" i="22" s="1"/>
  <c r="E563" i="22" a="1"/>
  <c r="E563" i="22" s="1"/>
  <c r="C563" i="22" a="1"/>
  <c r="C563" i="22" s="1"/>
  <c r="E485" i="22" a="1"/>
  <c r="E485" i="22" s="1"/>
  <c r="C485" i="22" a="1"/>
  <c r="C485" i="22" s="1"/>
  <c r="E446" i="22" a="1"/>
  <c r="E446" i="22" s="1"/>
  <c r="C446" i="22" a="1"/>
  <c r="C446" i="22" s="1"/>
  <c r="E431" i="22" a="1"/>
  <c r="E431" i="22" s="1"/>
  <c r="C431" i="22" a="1"/>
  <c r="C431" i="22" s="1"/>
  <c r="E407" i="22" a="1"/>
  <c r="E407" i="22" s="1"/>
  <c r="C407" i="22" a="1"/>
  <c r="C407" i="22" s="1"/>
  <c r="E369" i="22" a="1"/>
  <c r="E369" i="22" s="1"/>
  <c r="C369" i="22" a="1"/>
  <c r="C369" i="22" s="1"/>
  <c r="E346" i="22" a="1"/>
  <c r="E346" i="22" s="1"/>
  <c r="C346" i="22" a="1"/>
  <c r="C346" i="22" s="1"/>
  <c r="E322" i="22" a="1"/>
  <c r="E322" i="22" s="1"/>
  <c r="C322" i="22" a="1"/>
  <c r="C322" i="22" s="1"/>
  <c r="E232" i="22" a="1"/>
  <c r="E232" i="22" s="1"/>
  <c r="C232" i="22" a="1"/>
  <c r="C232" i="22" s="1"/>
  <c r="E206" i="22" a="1"/>
  <c r="E206" i="22" s="1"/>
  <c r="C206" i="22" a="1"/>
  <c r="C206" i="22" s="1"/>
  <c r="E198" i="22" a="1"/>
  <c r="E198" i="22" s="1"/>
  <c r="C198" i="22" a="1"/>
  <c r="C198" i="22" s="1"/>
  <c r="E188" i="22" a="1"/>
  <c r="E188" i="22" s="1"/>
  <c r="C188" i="22" a="1"/>
  <c r="C188" i="22" s="1"/>
  <c r="E180" i="22" a="1"/>
  <c r="E180" i="22" s="1"/>
  <c r="C180" i="22" a="1"/>
  <c r="C180" i="22" s="1"/>
  <c r="E172" i="22" a="1"/>
  <c r="E172" i="22" s="1"/>
  <c r="C172" i="22" a="1"/>
  <c r="C172" i="22" s="1"/>
  <c r="E155" i="22" a="1"/>
  <c r="E155" i="22" s="1"/>
  <c r="C155" i="22" a="1"/>
  <c r="C155" i="22" s="1"/>
  <c r="E117" i="22" a="1"/>
  <c r="E117" i="22" s="1"/>
  <c r="C117" i="22" a="1"/>
  <c r="C117" i="22" s="1"/>
  <c r="E108" i="22" a="1"/>
  <c r="E108" i="22" s="1"/>
  <c r="C108" i="22" a="1"/>
  <c r="C108" i="22" s="1"/>
  <c r="E98" i="22" a="1"/>
  <c r="E98" i="22" s="1"/>
  <c r="C98" i="22" a="1"/>
  <c r="C98" i="22" s="1"/>
  <c r="E81" i="22" a="1"/>
  <c r="E81" i="22" s="1"/>
  <c r="C81" i="22" a="1"/>
  <c r="C81" i="22" s="1"/>
  <c r="E50" i="22" a="1"/>
  <c r="E50" i="22" s="1"/>
  <c r="C50" i="22" a="1"/>
  <c r="C50" i="22" s="1"/>
  <c r="E24" i="22" a="1"/>
  <c r="E24" i="22" s="1"/>
  <c r="C24" i="22" a="1"/>
  <c r="C24" i="22" s="1"/>
  <c r="C921" i="22" a="1"/>
  <c r="C921" i="22" s="1"/>
  <c r="C879" i="22" a="1"/>
  <c r="C879" i="22" s="1"/>
  <c r="C795" i="22" a="1"/>
  <c r="C795" i="22" s="1"/>
  <c r="C687" i="22" a="1"/>
  <c r="C687" i="22" s="1"/>
  <c r="C542" i="22" a="1"/>
  <c r="C542" i="22" s="1"/>
  <c r="C461" i="22" a="1"/>
  <c r="C461" i="22" s="1"/>
  <c r="E1028" i="22" a="1"/>
  <c r="E1028" i="22" s="1"/>
  <c r="E517" i="22" a="1"/>
  <c r="E517" i="22" s="1"/>
  <c r="E284" i="22" a="1"/>
  <c r="E284" i="22" s="1"/>
  <c r="E1010" i="22" a="1"/>
  <c r="E1010" i="22" s="1"/>
  <c r="C1010" i="22" a="1"/>
  <c r="C1010" i="22" s="1"/>
  <c r="E992" i="22" a="1"/>
  <c r="E992" i="22" s="1"/>
  <c r="C992" i="22" a="1"/>
  <c r="C992" i="22" s="1"/>
  <c r="E956" i="22" a="1"/>
  <c r="E956" i="22" s="1"/>
  <c r="C956" i="22" a="1"/>
  <c r="C956" i="22" s="1"/>
  <c r="E938" i="22" a="1"/>
  <c r="E938" i="22" s="1"/>
  <c r="C938" i="22" a="1"/>
  <c r="C938" i="22" s="1"/>
  <c r="E920" i="22" a="1"/>
  <c r="E920" i="22" s="1"/>
  <c r="C920" i="22" a="1"/>
  <c r="C920" i="22" s="1"/>
  <c r="E817" i="22" a="1"/>
  <c r="E817" i="22" s="1"/>
  <c r="C817" i="22" a="1"/>
  <c r="C817" i="22" s="1"/>
  <c r="E771" i="22" a="1"/>
  <c r="E771" i="22" s="1"/>
  <c r="C771" i="22" a="1"/>
  <c r="C771" i="22" s="1"/>
  <c r="E686" i="22" a="1"/>
  <c r="E686" i="22" s="1"/>
  <c r="C686" i="22" a="1"/>
  <c r="C686" i="22" s="1"/>
  <c r="E647" i="22" a="1"/>
  <c r="E647" i="22" s="1"/>
  <c r="C647" i="22" a="1"/>
  <c r="C647" i="22" s="1"/>
  <c r="E601" i="22" a="1"/>
  <c r="E601" i="22" s="1"/>
  <c r="C601" i="22" a="1"/>
  <c r="C601" i="22" s="1"/>
  <c r="E585" i="22" a="1"/>
  <c r="E585" i="22" s="1"/>
  <c r="C585" i="22" a="1"/>
  <c r="C585" i="22" s="1"/>
  <c r="E562" i="22" a="1"/>
  <c r="E562" i="22" s="1"/>
  <c r="C562" i="22" a="1"/>
  <c r="C562" i="22" s="1"/>
  <c r="E555" i="22" a="1"/>
  <c r="E555" i="22" s="1"/>
  <c r="C555" i="22" a="1"/>
  <c r="C555" i="22" s="1"/>
  <c r="E460" i="22" a="1"/>
  <c r="E460" i="22" s="1"/>
  <c r="C460" i="22" a="1"/>
  <c r="C460" i="22" s="1"/>
  <c r="C415" i="22" a="1"/>
  <c r="C415" i="22" s="1"/>
  <c r="E415" i="22" a="1"/>
  <c r="E415" i="22" s="1"/>
  <c r="E292" i="22" a="1"/>
  <c r="E292" i="22" s="1"/>
  <c r="C292" i="22" a="1"/>
  <c r="C292" i="22" s="1"/>
  <c r="E253" i="22" a="1"/>
  <c r="E253" i="22" s="1"/>
  <c r="C253" i="22" a="1"/>
  <c r="C253" i="22" s="1"/>
  <c r="E231" i="22" a="1"/>
  <c r="E231" i="22" s="1"/>
  <c r="C231" i="22" a="1"/>
  <c r="C231" i="22" s="1"/>
  <c r="E205" i="22" a="1"/>
  <c r="E205" i="22" s="1"/>
  <c r="C205" i="22" a="1"/>
  <c r="C205" i="22" s="1"/>
  <c r="E162" i="22" a="1"/>
  <c r="E162" i="22" s="1"/>
  <c r="C162" i="22" a="1"/>
  <c r="C162" i="22" s="1"/>
  <c r="E145" i="22" a="1"/>
  <c r="E145" i="22" s="1"/>
  <c r="C145" i="22" a="1"/>
  <c r="C145" i="22" s="1"/>
  <c r="E58" i="22" a="1"/>
  <c r="E58" i="22" s="1"/>
  <c r="C58" i="22" a="1"/>
  <c r="C58" i="22" s="1"/>
  <c r="E41" i="22" a="1"/>
  <c r="E41" i="22" s="1"/>
  <c r="C41" i="22" a="1"/>
  <c r="C41" i="22" s="1"/>
  <c r="E23" i="22" a="1"/>
  <c r="E23" i="22" s="1"/>
  <c r="C23" i="22" a="1"/>
  <c r="C23" i="22" s="1"/>
  <c r="C1022" i="22" a="1"/>
  <c r="C1022" i="22" s="1"/>
  <c r="C940" i="22" a="1"/>
  <c r="C940" i="22" s="1"/>
  <c r="C500" i="22" a="1"/>
  <c r="C500" i="22" s="1"/>
  <c r="C277" i="22" a="1"/>
  <c r="C277" i="22" s="1"/>
  <c r="C227" i="22" a="1"/>
  <c r="C227" i="22" s="1"/>
  <c r="E777" i="22" a="1"/>
  <c r="E777" i="22" s="1"/>
  <c r="C777" i="22" a="1"/>
  <c r="C777" i="22" s="1"/>
  <c r="E663" i="22" a="1"/>
  <c r="E663" i="22" s="1"/>
  <c r="C663" i="22" a="1"/>
  <c r="C663" i="22" s="1"/>
  <c r="E508" i="22" a="1"/>
  <c r="E508" i="22" s="1"/>
  <c r="C508" i="22" a="1"/>
  <c r="C508" i="22" s="1"/>
  <c r="E484" i="22" a="1"/>
  <c r="E484" i="22" s="1"/>
  <c r="C484" i="22" a="1"/>
  <c r="C484" i="22" s="1"/>
  <c r="E430" i="22" a="1"/>
  <c r="E430" i="22" s="1"/>
  <c r="C430" i="22" a="1"/>
  <c r="C430" i="22" s="1"/>
  <c r="E414" i="22" a="1"/>
  <c r="E414" i="22" s="1"/>
  <c r="C414" i="22" a="1"/>
  <c r="C414" i="22" s="1"/>
  <c r="E245" i="22" a="1"/>
  <c r="E245" i="22" s="1"/>
  <c r="C245" i="22" a="1"/>
  <c r="C245" i="22" s="1"/>
  <c r="E197" i="22" a="1"/>
  <c r="E197" i="22" s="1"/>
  <c r="C197" i="22" a="1"/>
  <c r="C197" i="22" s="1"/>
  <c r="E179" i="22" a="1"/>
  <c r="E179" i="22" s="1"/>
  <c r="C179" i="22" a="1"/>
  <c r="C179" i="22" s="1"/>
  <c r="E170" i="22" a="1"/>
  <c r="E170" i="22" s="1"/>
  <c r="C170" i="22" a="1"/>
  <c r="C170" i="22" s="1"/>
  <c r="E153" i="22" a="1"/>
  <c r="E153" i="22" s="1"/>
  <c r="C153" i="22" a="1"/>
  <c r="C153" i="22" s="1"/>
  <c r="E144" i="22" a="1"/>
  <c r="E144" i="22" s="1"/>
  <c r="C144" i="22" a="1"/>
  <c r="C144" i="22" s="1"/>
  <c r="E134" i="22" a="1"/>
  <c r="E134" i="22" s="1"/>
  <c r="C134" i="22" a="1"/>
  <c r="C134" i="22" s="1"/>
  <c r="E57" i="22" a="1"/>
  <c r="E57" i="22" s="1"/>
  <c r="C57" i="22" a="1"/>
  <c r="C57" i="22" s="1"/>
  <c r="E3" i="22" a="1"/>
  <c r="E3" i="22" s="1"/>
  <c r="C3" i="22" a="1"/>
  <c r="C3" i="22" s="1"/>
  <c r="C939" i="22" a="1"/>
  <c r="C939" i="22" s="1"/>
  <c r="C649" i="22" a="1"/>
  <c r="C649" i="22" s="1"/>
  <c r="C594" i="22" a="1"/>
  <c r="C594" i="22" s="1"/>
  <c r="C540" i="22" a="1"/>
  <c r="C540" i="22" s="1"/>
  <c r="C459" i="22" a="1"/>
  <c r="C459" i="22" s="1"/>
  <c r="C372" i="22" a="1"/>
  <c r="C372" i="22" s="1"/>
  <c r="C299" i="22" a="1"/>
  <c r="C299" i="22" s="1"/>
  <c r="C25" i="22" a="1"/>
  <c r="C25" i="22" s="1"/>
  <c r="E496" i="22" a="1"/>
  <c r="E496" i="22" s="1"/>
  <c r="E5" i="22" a="1"/>
  <c r="E5" i="22" s="1"/>
  <c r="C5" i="22" a="1"/>
  <c r="C5" i="22" s="1"/>
  <c r="C146" i="22" a="1"/>
  <c r="C146" i="22" s="1"/>
  <c r="C129" i="22" a="1"/>
  <c r="C129" i="22" s="1"/>
  <c r="C113" i="22" a="1"/>
  <c r="C113" i="22" s="1"/>
  <c r="C71" i="22" a="1"/>
  <c r="C71" i="22" s="1"/>
  <c r="E171" i="22" a="1"/>
  <c r="E171" i="22" s="1"/>
  <c r="C171" i="22" a="1"/>
  <c r="C171" i="22" s="1"/>
  <c r="E163" i="22" a="1"/>
  <c r="E163" i="22" s="1"/>
  <c r="C163" i="22" a="1"/>
  <c r="C163" i="22" s="1"/>
  <c r="E87" i="22" a="1"/>
  <c r="E87" i="22" s="1"/>
  <c r="C87" i="22" a="1"/>
  <c r="C87" i="22" s="1"/>
  <c r="E78" i="22" a="1"/>
  <c r="E78" i="22" s="1"/>
  <c r="C78" i="22" a="1"/>
  <c r="C78" i="22" s="1"/>
  <c r="E56" i="22" a="1"/>
  <c r="E56" i="22" s="1"/>
  <c r="C56" i="22" a="1"/>
  <c r="C56" i="22" s="1"/>
  <c r="C69" i="22" a="1"/>
  <c r="C69" i="22" s="1"/>
  <c r="E86" i="22" a="1"/>
  <c r="E86" i="22" s="1"/>
  <c r="C86" i="22" a="1"/>
  <c r="C86" i="22" s="1"/>
  <c r="E27" i="22" a="1"/>
  <c r="E27" i="22" s="1"/>
  <c r="C27" i="22" a="1"/>
  <c r="C27" i="22" s="1"/>
  <c r="E10" i="22" a="1"/>
  <c r="E10" i="22" s="1"/>
  <c r="C10" i="22" a="1"/>
  <c r="C10" i="22" s="1"/>
  <c r="C95" i="22" a="1"/>
  <c r="C95" i="22" s="1"/>
  <c r="C64" i="22" a="1"/>
  <c r="C64" i="22" s="1"/>
  <c r="C35" i="22" a="1"/>
  <c r="C35" i="22" s="1"/>
  <c r="E34" i="22" a="1"/>
  <c r="E34" i="22" s="1"/>
  <c r="E178" i="22" a="1"/>
  <c r="E178" i="22" s="1"/>
  <c r="C178" i="22" a="1"/>
  <c r="C178" i="22" s="1"/>
  <c r="E154" i="22" a="1"/>
  <c r="E154" i="22" s="1"/>
  <c r="C154" i="22" a="1"/>
  <c r="C154" i="22" s="1"/>
  <c r="E111" i="22" a="1"/>
  <c r="E111" i="22" s="1"/>
  <c r="C111" i="22" a="1"/>
  <c r="C111" i="22" s="1"/>
  <c r="C85" i="22" a="1"/>
  <c r="C85" i="22" s="1"/>
  <c r="E85" i="22" a="1"/>
  <c r="E85" i="22" s="1"/>
  <c r="E26" i="22" a="1"/>
  <c r="E26" i="22" s="1"/>
  <c r="C26" i="22" a="1"/>
  <c r="C26" i="22" s="1"/>
  <c r="C9" i="22" a="1"/>
  <c r="C9" i="22" s="1"/>
  <c r="E9" i="22" a="1"/>
  <c r="E9" i="22" s="1"/>
  <c r="C94" i="22" a="1"/>
  <c r="C94" i="22" s="1"/>
  <c r="C63" i="22" a="1"/>
  <c r="C63" i="22" s="1"/>
  <c r="E136" i="22" a="1"/>
  <c r="E136" i="22" s="1"/>
  <c r="C136" i="22" a="1"/>
  <c r="C136" i="22" s="1"/>
  <c r="E102" i="22" a="1"/>
  <c r="E102" i="22" s="1"/>
  <c r="C102" i="22" a="1"/>
  <c r="C102" i="22" s="1"/>
  <c r="E93" i="22" a="1"/>
  <c r="E93" i="22" s="1"/>
  <c r="C93" i="22" a="1"/>
  <c r="C93" i="22" s="1"/>
  <c r="C84" i="22" a="1"/>
  <c r="C84" i="22" s="1"/>
  <c r="E84" i="22" a="1"/>
  <c r="E84" i="22" s="1"/>
  <c r="E8" i="22" a="1"/>
  <c r="E8" i="22" s="1"/>
  <c r="C8" i="22" a="1"/>
  <c r="C8" i="22" s="1"/>
  <c r="C137" i="22" a="1"/>
  <c r="C137" i="22" s="1"/>
  <c r="C49" i="22" a="1"/>
  <c r="C49" i="22" s="1"/>
  <c r="C33" i="22" a="1"/>
  <c r="C33" i="22" s="1"/>
  <c r="C20" i="22" a="1"/>
  <c r="C20" i="22" s="1"/>
  <c r="F5" i="21"/>
  <c r="G6" i="21"/>
  <c r="H6" i="21" s="1"/>
  <c r="I6" i="21" s="1"/>
  <c r="G4" i="21"/>
  <c r="H4" i="21" s="1"/>
  <c r="I4" i="21" s="1"/>
  <c r="G3" i="21"/>
  <c r="H3" i="21" s="1"/>
  <c r="I3" i="21" s="1"/>
  <c r="G2" i="21"/>
  <c r="H2" i="21" s="1"/>
  <c r="I2" i="21" s="1"/>
  <c r="C2" i="26" s="1"/>
  <c r="L515" i="18"/>
  <c r="N515" i="18" s="1"/>
  <c r="L35" i="18"/>
  <c r="N35" i="18" s="1"/>
  <c r="L974" i="18"/>
  <c r="N974" i="18" s="1"/>
  <c r="M798" i="18"/>
  <c r="L219" i="18"/>
  <c r="N219" i="18" s="1"/>
  <c r="L608" i="18"/>
  <c r="N608" i="18" s="1"/>
  <c r="L572" i="18"/>
  <c r="N572" i="18" s="1"/>
  <c r="M416" i="18"/>
  <c r="M404" i="18"/>
  <c r="L32" i="18"/>
  <c r="N32" i="18" s="1"/>
  <c r="L765" i="18"/>
  <c r="N765" i="18" s="1"/>
  <c r="G1015" i="18"/>
  <c r="G655" i="18"/>
  <c r="K655" i="18" s="1"/>
  <c r="G559" i="18"/>
  <c r="K559" i="18" s="1"/>
  <c r="G247" i="18"/>
  <c r="K247" i="18" s="1"/>
  <c r="L247" i="18" s="1"/>
  <c r="N247" i="18" s="1"/>
  <c r="L303" i="18"/>
  <c r="N303" i="18" s="1"/>
  <c r="L935" i="18"/>
  <c r="N935" i="18" s="1"/>
  <c r="L755" i="18"/>
  <c r="N755" i="18" s="1"/>
  <c r="L191" i="18"/>
  <c r="N191" i="18" s="1"/>
  <c r="M35" i="18"/>
  <c r="L418" i="18"/>
  <c r="N418" i="18" s="1"/>
  <c r="L794" i="18"/>
  <c r="N794" i="18" s="1"/>
  <c r="L573" i="18"/>
  <c r="N573" i="18" s="1"/>
  <c r="L477" i="18"/>
  <c r="N477" i="18" s="1"/>
  <c r="L429" i="18"/>
  <c r="N429" i="18" s="1"/>
  <c r="K752" i="18"/>
  <c r="K620" i="18"/>
  <c r="K560" i="18"/>
  <c r="K464" i="18"/>
  <c r="L1034" i="18"/>
  <c r="N1034" i="18" s="1"/>
  <c r="L1009" i="18"/>
  <c r="N1009" i="18" s="1"/>
  <c r="M973" i="18"/>
  <c r="L829" i="18"/>
  <c r="N829" i="18" s="1"/>
  <c r="G481" i="18"/>
  <c r="K481" i="18" s="1"/>
  <c r="L349" i="18"/>
  <c r="N349" i="18" s="1"/>
  <c r="L337" i="18"/>
  <c r="N337" i="18" s="1"/>
  <c r="L743" i="18"/>
  <c r="N743" i="18" s="1"/>
  <c r="L695" i="18"/>
  <c r="N695" i="18" s="1"/>
  <c r="L323" i="18"/>
  <c r="N323" i="18" s="1"/>
  <c r="M1024" i="18"/>
  <c r="L33" i="18"/>
  <c r="N33" i="18" s="1"/>
  <c r="K428" i="18"/>
  <c r="K272" i="18"/>
  <c r="K128" i="18"/>
  <c r="L924" i="18"/>
  <c r="N924" i="18" s="1"/>
  <c r="L576" i="18"/>
  <c r="N576" i="18" s="1"/>
  <c r="L540" i="18"/>
  <c r="N540" i="18" s="1"/>
  <c r="G480" i="18"/>
  <c r="K480" i="18" s="1"/>
  <c r="L480" i="18" s="1"/>
  <c r="N480" i="18" s="1"/>
  <c r="L144" i="18"/>
  <c r="N144" i="18" s="1"/>
  <c r="G48" i="18"/>
  <c r="K48" i="18" s="1"/>
  <c r="L48" i="18" s="1"/>
  <c r="N48" i="18" s="1"/>
  <c r="K367" i="18"/>
  <c r="K271" i="18"/>
  <c r="M378" i="18"/>
  <c r="L851" i="18"/>
  <c r="N851" i="18" s="1"/>
  <c r="K908" i="18"/>
  <c r="K643" i="18"/>
  <c r="L643" i="18" s="1"/>
  <c r="N643" i="18" s="1"/>
  <c r="K259" i="18"/>
  <c r="K79" i="18"/>
  <c r="K1006" i="18"/>
  <c r="K994" i="18"/>
  <c r="L994" i="18" s="1"/>
  <c r="N994" i="18" s="1"/>
  <c r="K970" i="18"/>
  <c r="K862" i="18"/>
  <c r="K850" i="18"/>
  <c r="K814" i="18"/>
  <c r="K766" i="18"/>
  <c r="K754" i="18"/>
  <c r="K718" i="18"/>
  <c r="K670" i="18"/>
  <c r="L670" i="18" s="1"/>
  <c r="N670" i="18" s="1"/>
  <c r="K658" i="18"/>
  <c r="K622" i="18"/>
  <c r="L622" i="18" s="1"/>
  <c r="N622" i="18" s="1"/>
  <c r="K610" i="18"/>
  <c r="K526" i="18"/>
  <c r="K514" i="18"/>
  <c r="K478" i="18"/>
  <c r="L478" i="18" s="1"/>
  <c r="N478" i="18" s="1"/>
  <c r="K430" i="18"/>
  <c r="K394" i="18"/>
  <c r="K382" i="18"/>
  <c r="K346" i="18"/>
  <c r="L346" i="18" s="1"/>
  <c r="N346" i="18" s="1"/>
  <c r="K322" i="18"/>
  <c r="K274" i="18"/>
  <c r="L274" i="18" s="1"/>
  <c r="N274" i="18" s="1"/>
  <c r="K250" i="18"/>
  <c r="L250" i="18" s="1"/>
  <c r="N250" i="18" s="1"/>
  <c r="K238" i="18"/>
  <c r="K178" i="18"/>
  <c r="K130" i="18"/>
  <c r="L130" i="18" s="1"/>
  <c r="N130" i="18" s="1"/>
  <c r="K106" i="18"/>
  <c r="L106" i="18" s="1"/>
  <c r="N106" i="18" s="1"/>
  <c r="K94" i="18"/>
  <c r="K58" i="18"/>
  <c r="K34" i="18"/>
  <c r="K1023" i="18"/>
  <c r="K939" i="18"/>
  <c r="K459" i="18"/>
  <c r="K399" i="18"/>
  <c r="L399" i="18" s="1"/>
  <c r="N399" i="18" s="1"/>
  <c r="L363" i="18"/>
  <c r="N363" i="18" s="1"/>
  <c r="K848" i="18"/>
  <c r="K716" i="18"/>
  <c r="K739" i="18"/>
  <c r="K355" i="18"/>
  <c r="K993" i="18"/>
  <c r="L993" i="18" s="1"/>
  <c r="N993" i="18" s="1"/>
  <c r="K957" i="18"/>
  <c r="K909" i="18"/>
  <c r="L909" i="18" s="1"/>
  <c r="N909" i="18" s="1"/>
  <c r="K897" i="18"/>
  <c r="K669" i="18"/>
  <c r="L669" i="18" s="1"/>
  <c r="N669" i="18" s="1"/>
  <c r="K417" i="18"/>
  <c r="L417" i="18" s="1"/>
  <c r="N417" i="18" s="1"/>
  <c r="K381" i="18"/>
  <c r="L381" i="18" s="1"/>
  <c r="N381" i="18" s="1"/>
  <c r="K321" i="18"/>
  <c r="K273" i="18"/>
  <c r="K237" i="18"/>
  <c r="K129" i="18"/>
  <c r="K506" i="18"/>
  <c r="M221" i="18"/>
  <c r="K891" i="18"/>
  <c r="K747" i="18"/>
  <c r="L747" i="18" s="1"/>
  <c r="N747" i="18" s="1"/>
  <c r="K603" i="18"/>
  <c r="K555" i="18"/>
  <c r="L555" i="18" s="1"/>
  <c r="N555" i="18" s="1"/>
  <c r="K411" i="18"/>
  <c r="K111" i="18"/>
  <c r="L111" i="18" s="1"/>
  <c r="N111" i="18" s="1"/>
  <c r="K878" i="18"/>
  <c r="L878" i="18" s="1"/>
  <c r="N878" i="18" s="1"/>
  <c r="K590" i="18"/>
  <c r="K1033" i="18"/>
  <c r="K877" i="18"/>
  <c r="L877" i="18" s="1"/>
  <c r="N877" i="18" s="1"/>
  <c r="K589" i="18"/>
  <c r="L589" i="18" s="1"/>
  <c r="N589" i="18" s="1"/>
  <c r="L193" i="18"/>
  <c r="N193" i="18" s="1"/>
  <c r="L157" i="18"/>
  <c r="N157" i="18" s="1"/>
  <c r="K1032" i="18"/>
  <c r="K444" i="18"/>
  <c r="L444" i="18" s="1"/>
  <c r="N444" i="18" s="1"/>
  <c r="K204" i="18"/>
  <c r="K192" i="18"/>
  <c r="L192" i="18" s="1"/>
  <c r="N192" i="18" s="1"/>
  <c r="K214" i="18"/>
  <c r="K921" i="18"/>
  <c r="L921" i="18" s="1"/>
  <c r="N921" i="18" s="1"/>
  <c r="K213" i="18"/>
  <c r="K884" i="18"/>
  <c r="L884" i="18" s="1"/>
  <c r="N884" i="18" s="1"/>
  <c r="K788" i="18"/>
  <c r="L788" i="18" s="1"/>
  <c r="N788" i="18" s="1"/>
  <c r="K644" i="18"/>
  <c r="K500" i="18"/>
  <c r="K308" i="18"/>
  <c r="K104" i="18"/>
  <c r="K68" i="18"/>
  <c r="K1015" i="18"/>
  <c r="L1015" i="18" s="1"/>
  <c r="N1015" i="18" s="1"/>
  <c r="K883" i="18"/>
  <c r="L883" i="18" s="1"/>
  <c r="N883" i="18" s="1"/>
  <c r="K847" i="18"/>
  <c r="K787" i="18"/>
  <c r="K679" i="18"/>
  <c r="K631" i="18"/>
  <c r="L631" i="18" s="1"/>
  <c r="N631" i="18" s="1"/>
  <c r="K571" i="18"/>
  <c r="K523" i="18"/>
  <c r="K427" i="18"/>
  <c r="K307" i="18"/>
  <c r="K187" i="18"/>
  <c r="K127" i="18"/>
  <c r="K55" i="18"/>
  <c r="K7" i="18"/>
  <c r="K1038" i="18"/>
  <c r="K1013" i="18"/>
  <c r="K965" i="18"/>
  <c r="K969" i="18"/>
  <c r="L969" i="18" s="1"/>
  <c r="N969" i="18" s="1"/>
  <c r="K837" i="18"/>
  <c r="K597" i="18"/>
  <c r="K501" i="18"/>
  <c r="K393" i="18"/>
  <c r="K345" i="18"/>
  <c r="L345" i="18" s="1"/>
  <c r="N345" i="18" s="1"/>
  <c r="K249" i="18"/>
  <c r="K57" i="18"/>
  <c r="L57" i="18" s="1"/>
  <c r="N57" i="18" s="1"/>
  <c r="K740" i="18"/>
  <c r="K596" i="18"/>
  <c r="L596" i="18" s="1"/>
  <c r="N596" i="18" s="1"/>
  <c r="K452" i="18"/>
  <c r="L452" i="18" s="1"/>
  <c r="N452" i="18" s="1"/>
  <c r="K392" i="18"/>
  <c r="K344" i="18"/>
  <c r="K248" i="18"/>
  <c r="K200" i="18"/>
  <c r="K1003" i="18"/>
  <c r="K955" i="18"/>
  <c r="L955" i="18" s="1"/>
  <c r="N955" i="18" s="1"/>
  <c r="K907" i="18"/>
  <c r="L907" i="18" s="1"/>
  <c r="N907" i="18" s="1"/>
  <c r="K823" i="18"/>
  <c r="K775" i="18"/>
  <c r="K715" i="18"/>
  <c r="K667" i="18"/>
  <c r="K619" i="18"/>
  <c r="K535" i="18"/>
  <c r="K487" i="18"/>
  <c r="K439" i="18"/>
  <c r="K391" i="18"/>
  <c r="K343" i="18"/>
  <c r="K283" i="18"/>
  <c r="L283" i="18" s="1"/>
  <c r="N283" i="18" s="1"/>
  <c r="K235" i="18"/>
  <c r="K151" i="18"/>
  <c r="K43" i="18"/>
  <c r="K1026" i="18"/>
  <c r="K1025" i="18"/>
  <c r="L1025" i="18" s="1"/>
  <c r="N1025" i="18" s="1"/>
  <c r="K977" i="18"/>
  <c r="L977" i="18" s="1"/>
  <c r="N977" i="18" s="1"/>
  <c r="K358" i="18"/>
  <c r="K310" i="18"/>
  <c r="L310" i="18" s="1"/>
  <c r="N310" i="18" s="1"/>
  <c r="K22" i="18"/>
  <c r="L22" i="18" s="1"/>
  <c r="N22" i="18" s="1"/>
  <c r="K741" i="18"/>
  <c r="L741" i="18" s="1"/>
  <c r="N741" i="18" s="1"/>
  <c r="K549" i="18"/>
  <c r="K357" i="18"/>
  <c r="K309" i="18"/>
  <c r="K105" i="18"/>
  <c r="K69" i="18"/>
  <c r="K20" i="18"/>
  <c r="K1039" i="18"/>
  <c r="K967" i="18"/>
  <c r="K919" i="18"/>
  <c r="K859" i="18"/>
  <c r="K811" i="18"/>
  <c r="K763" i="18"/>
  <c r="K583" i="18"/>
  <c r="K499" i="18"/>
  <c r="K403" i="18"/>
  <c r="K331" i="18"/>
  <c r="K295" i="18"/>
  <c r="K163" i="18"/>
  <c r="K91" i="18"/>
  <c r="K31" i="18"/>
  <c r="L177" i="18"/>
  <c r="N177" i="18" s="1"/>
  <c r="K1037" i="18"/>
  <c r="K941" i="18"/>
  <c r="K893" i="18"/>
  <c r="L92" i="18"/>
  <c r="N92" i="18" s="1"/>
  <c r="K1035" i="18"/>
  <c r="K1011" i="18"/>
  <c r="K999" i="18"/>
  <c r="K963" i="18"/>
  <c r="K951" i="18"/>
  <c r="L951" i="18" s="1"/>
  <c r="N951" i="18" s="1"/>
  <c r="K927" i="18"/>
  <c r="K867" i="18"/>
  <c r="K819" i="18"/>
  <c r="K771" i="18"/>
  <c r="L771" i="18" s="1"/>
  <c r="N771" i="18" s="1"/>
  <c r="K723" i="18"/>
  <c r="K675" i="18"/>
  <c r="L675" i="18" s="1"/>
  <c r="N675" i="18" s="1"/>
  <c r="K627" i="18"/>
  <c r="K579" i="18"/>
  <c r="K531" i="18"/>
  <c r="K483" i="18"/>
  <c r="K435" i="18"/>
  <c r="K375" i="18"/>
  <c r="K339" i="18"/>
  <c r="K327" i="18"/>
  <c r="K291" i="18"/>
  <c r="K231" i="18"/>
  <c r="K195" i="18"/>
  <c r="K183" i="18"/>
  <c r="L183" i="18" s="1"/>
  <c r="N183" i="18" s="1"/>
  <c r="K159" i="18"/>
  <c r="K147" i="18"/>
  <c r="K123" i="18"/>
  <c r="K87" i="18"/>
  <c r="K51" i="18"/>
  <c r="K39" i="18"/>
  <c r="L39" i="18" s="1"/>
  <c r="N39" i="18" s="1"/>
  <c r="K15" i="18"/>
  <c r="K70" i="18"/>
  <c r="K789" i="18"/>
  <c r="L789" i="18" s="1"/>
  <c r="N789" i="18" s="1"/>
  <c r="K645" i="18"/>
  <c r="L645" i="18" s="1"/>
  <c r="N645" i="18" s="1"/>
  <c r="K453" i="18"/>
  <c r="L453" i="18" s="1"/>
  <c r="N453" i="18" s="1"/>
  <c r="K165" i="18"/>
  <c r="L165" i="18" s="1"/>
  <c r="N165" i="18" s="1"/>
  <c r="K836" i="18"/>
  <c r="K692" i="18"/>
  <c r="K164" i="18"/>
  <c r="K56" i="18"/>
  <c r="K1027" i="18"/>
  <c r="L1027" i="18" s="1"/>
  <c r="N1027" i="18" s="1"/>
  <c r="K931" i="18"/>
  <c r="K895" i="18"/>
  <c r="K835" i="18"/>
  <c r="K751" i="18"/>
  <c r="K703" i="18"/>
  <c r="L703" i="18" s="1"/>
  <c r="N703" i="18" s="1"/>
  <c r="K607" i="18"/>
  <c r="L607" i="18" s="1"/>
  <c r="N607" i="18" s="1"/>
  <c r="K511" i="18"/>
  <c r="K463" i="18"/>
  <c r="K415" i="18"/>
  <c r="K319" i="18"/>
  <c r="K223" i="18"/>
  <c r="L223" i="18" s="1"/>
  <c r="N223" i="18" s="1"/>
  <c r="K175" i="18"/>
  <c r="L175" i="18" s="1"/>
  <c r="N175" i="18" s="1"/>
  <c r="K67" i="18"/>
  <c r="K19" i="18"/>
  <c r="K905" i="18"/>
  <c r="G341" i="18"/>
  <c r="K470" i="18"/>
  <c r="K446" i="18"/>
  <c r="L446" i="18" s="1"/>
  <c r="N446" i="18" s="1"/>
  <c r="K115" i="18"/>
  <c r="L115" i="18" s="1"/>
  <c r="N115" i="18" s="1"/>
  <c r="G762" i="18"/>
  <c r="K981" i="18"/>
  <c r="K980" i="18"/>
  <c r="K103" i="18"/>
  <c r="K971" i="18"/>
  <c r="L971" i="18" s="1"/>
  <c r="K959" i="18"/>
  <c r="K875" i="18"/>
  <c r="K863" i="18"/>
  <c r="K827" i="18"/>
  <c r="L827" i="18" s="1"/>
  <c r="N827" i="18" s="1"/>
  <c r="K767" i="18"/>
  <c r="K719" i="18"/>
  <c r="K575" i="18"/>
  <c r="L575" i="18" s="1"/>
  <c r="N575" i="18" s="1"/>
  <c r="K539" i="18"/>
  <c r="K431" i="18"/>
  <c r="K395" i="18"/>
  <c r="K383" i="18"/>
  <c r="K347" i="18"/>
  <c r="K299" i="18"/>
  <c r="K239" i="18"/>
  <c r="K203" i="18"/>
  <c r="K143" i="18"/>
  <c r="L143" i="18" s="1"/>
  <c r="N143" i="18" s="1"/>
  <c r="K107" i="18"/>
  <c r="L107" i="18" s="1"/>
  <c r="N107" i="18" s="1"/>
  <c r="K95" i="18"/>
  <c r="K59" i="18"/>
  <c r="K47" i="18"/>
  <c r="L47" i="18" s="1"/>
  <c r="L659" i="18"/>
  <c r="N659" i="18" s="1"/>
  <c r="K996" i="18"/>
  <c r="K936" i="18"/>
  <c r="K900" i="18"/>
  <c r="K852" i="18"/>
  <c r="K840" i="18"/>
  <c r="L840" i="18" s="1"/>
  <c r="N840" i="18" s="1"/>
  <c r="K804" i="18"/>
  <c r="L804" i="18" s="1"/>
  <c r="N804" i="18" s="1"/>
  <c r="K792" i="18"/>
  <c r="K756" i="18"/>
  <c r="K744" i="18"/>
  <c r="K708" i="18"/>
  <c r="L708" i="18" s="1"/>
  <c r="N708" i="18" s="1"/>
  <c r="K696" i="18"/>
  <c r="K660" i="18"/>
  <c r="L660" i="18" s="1"/>
  <c r="N660" i="18" s="1"/>
  <c r="K648" i="18"/>
  <c r="K600" i="18"/>
  <c r="K564" i="18"/>
  <c r="L564" i="18" s="1"/>
  <c r="N564" i="18" s="1"/>
  <c r="K552" i="18"/>
  <c r="K516" i="18"/>
  <c r="L516" i="18" s="1"/>
  <c r="N516" i="18" s="1"/>
  <c r="K504" i="18"/>
  <c r="L504" i="18" s="1"/>
  <c r="N504" i="18" s="1"/>
  <c r="K468" i="18"/>
  <c r="L468" i="18" s="1"/>
  <c r="N468" i="18" s="1"/>
  <c r="K456" i="18"/>
  <c r="K420" i="18"/>
  <c r="K372" i="18"/>
  <c r="K324" i="18"/>
  <c r="L324" i="18" s="1"/>
  <c r="N324" i="18" s="1"/>
  <c r="K312" i="18"/>
  <c r="K276" i="18"/>
  <c r="K264" i="18"/>
  <c r="K228" i="18"/>
  <c r="K180" i="18"/>
  <c r="K168" i="18"/>
  <c r="K132" i="18"/>
  <c r="K120" i="18"/>
  <c r="K84" i="18"/>
  <c r="K36" i="18"/>
  <c r="L36" i="18" s="1"/>
  <c r="N36" i="18" s="1"/>
  <c r="K24" i="18"/>
  <c r="L24" i="18" s="1"/>
  <c r="N24" i="18" s="1"/>
  <c r="G698" i="18"/>
  <c r="K698" i="18" s="1"/>
  <c r="L698" i="18" s="1"/>
  <c r="N698" i="18" s="1"/>
  <c r="G613" i="18"/>
  <c r="K613" i="18" s="1"/>
  <c r="L613" i="18" s="1"/>
  <c r="N613" i="18" s="1"/>
  <c r="G13" i="18"/>
  <c r="K13" i="18" s="1"/>
  <c r="G816" i="18"/>
  <c r="K816" i="18" s="1"/>
  <c r="G732" i="18"/>
  <c r="K732" i="18" s="1"/>
  <c r="G624" i="18"/>
  <c r="K624" i="18" s="1"/>
  <c r="G588" i="18"/>
  <c r="K588" i="18" s="1"/>
  <c r="L588" i="18" s="1"/>
  <c r="N588" i="18" s="1"/>
  <c r="G252" i="18"/>
  <c r="K252" i="18" s="1"/>
  <c r="G1007" i="18"/>
  <c r="K1007" i="18" s="1"/>
  <c r="G983" i="18"/>
  <c r="K983" i="18" s="1"/>
  <c r="G923" i="18"/>
  <c r="K923" i="18" s="1"/>
  <c r="G911" i="18"/>
  <c r="K911" i="18" s="1"/>
  <c r="G815" i="18"/>
  <c r="K815" i="18" s="1"/>
  <c r="L815" i="18" s="1"/>
  <c r="N815" i="18" s="1"/>
  <c r="G779" i="18"/>
  <c r="K779" i="18" s="1"/>
  <c r="G731" i="18"/>
  <c r="K731" i="18" s="1"/>
  <c r="G683" i="18"/>
  <c r="K683" i="18" s="1"/>
  <c r="G671" i="18"/>
  <c r="K671" i="18" s="1"/>
  <c r="G635" i="18"/>
  <c r="K635" i="18" s="1"/>
  <c r="G623" i="18"/>
  <c r="K623" i="18" s="1"/>
  <c r="L623" i="18" s="1"/>
  <c r="N623" i="18" s="1"/>
  <c r="G611" i="18"/>
  <c r="K611" i="18" s="1"/>
  <c r="G587" i="18"/>
  <c r="K587" i="18" s="1"/>
  <c r="G563" i="18"/>
  <c r="K563" i="18" s="1"/>
  <c r="G527" i="18"/>
  <c r="K527" i="18" s="1"/>
  <c r="G491" i="18"/>
  <c r="K491" i="18" s="1"/>
  <c r="G479" i="18"/>
  <c r="K479" i="18" s="1"/>
  <c r="L479" i="18" s="1"/>
  <c r="N479" i="18" s="1"/>
  <c r="G443" i="18"/>
  <c r="K443" i="18" s="1"/>
  <c r="G407" i="18"/>
  <c r="K407" i="18" s="1"/>
  <c r="G371" i="18"/>
  <c r="K371" i="18" s="1"/>
  <c r="G359" i="18"/>
  <c r="K359" i="18" s="1"/>
  <c r="G335" i="18"/>
  <c r="K335" i="18" s="1"/>
  <c r="G287" i="18"/>
  <c r="K287" i="18" s="1"/>
  <c r="L287" i="18" s="1"/>
  <c r="N287" i="18" s="1"/>
  <c r="G251" i="18"/>
  <c r="K251" i="18" s="1"/>
  <c r="G215" i="18"/>
  <c r="K215" i="18" s="1"/>
  <c r="G155" i="18"/>
  <c r="K155" i="18" s="1"/>
  <c r="G11" i="18"/>
  <c r="K11" i="18" s="1"/>
  <c r="G1021" i="18"/>
  <c r="K1021" i="18" s="1"/>
  <c r="L1021" i="18" s="1"/>
  <c r="G625" i="18"/>
  <c r="K625" i="18" s="1"/>
  <c r="L625" i="18" s="1"/>
  <c r="N625" i="18" s="1"/>
  <c r="G409" i="18"/>
  <c r="K409" i="18" s="1"/>
  <c r="G1008" i="18"/>
  <c r="K1008" i="18" s="1"/>
  <c r="L1008" i="18" s="1"/>
  <c r="N1008" i="18" s="1"/>
  <c r="G912" i="18"/>
  <c r="K912" i="18" s="1"/>
  <c r="L912" i="18" s="1"/>
  <c r="N912" i="18" s="1"/>
  <c r="G888" i="18"/>
  <c r="K888" i="18" s="1"/>
  <c r="G612" i="18"/>
  <c r="K612" i="18" s="1"/>
  <c r="L612" i="18" s="1"/>
  <c r="N612" i="18" s="1"/>
  <c r="G922" i="18"/>
  <c r="K922" i="18" s="1"/>
  <c r="L922" i="18" s="1"/>
  <c r="N922" i="18" s="1"/>
  <c r="G562" i="18"/>
  <c r="K562" i="18" s="1"/>
  <c r="G466" i="18"/>
  <c r="K466" i="18" s="1"/>
  <c r="L466" i="18" s="1"/>
  <c r="N466" i="18" s="1"/>
  <c r="G442" i="18"/>
  <c r="K442" i="18" s="1"/>
  <c r="G286" i="18"/>
  <c r="K286" i="18" s="1"/>
  <c r="G202" i="18"/>
  <c r="K202" i="18" s="1"/>
  <c r="G166" i="18"/>
  <c r="K166" i="18" s="1"/>
  <c r="L166" i="18" s="1"/>
  <c r="N166" i="18" s="1"/>
  <c r="G142" i="18"/>
  <c r="K142" i="18" s="1"/>
  <c r="G984" i="18"/>
  <c r="K984" i="18" s="1"/>
  <c r="L984" i="18" s="1"/>
  <c r="G913" i="18"/>
  <c r="K913" i="18" s="1"/>
  <c r="G733" i="18"/>
  <c r="K733" i="18" s="1"/>
  <c r="G289" i="18"/>
  <c r="K289" i="18" s="1"/>
  <c r="L289" i="18" s="1"/>
  <c r="N289" i="18" s="1"/>
  <c r="K440" i="18"/>
  <c r="L440" i="18" s="1"/>
  <c r="N440" i="18" s="1"/>
  <c r="G948" i="18"/>
  <c r="K948" i="18" s="1"/>
  <c r="G408" i="18"/>
  <c r="K408" i="18" s="1"/>
  <c r="L408" i="18" s="1"/>
  <c r="N408" i="18" s="1"/>
  <c r="G360" i="18"/>
  <c r="G288" i="18"/>
  <c r="K288" i="18" s="1"/>
  <c r="G12" i="18"/>
  <c r="K12" i="18" s="1"/>
  <c r="G934" i="18"/>
  <c r="K934" i="18" s="1"/>
  <c r="L934" i="18" s="1"/>
  <c r="N934" i="18" s="1"/>
  <c r="G216" i="18"/>
  <c r="K216" i="18" s="1"/>
  <c r="L216" i="18" s="1"/>
  <c r="G445" i="18"/>
  <c r="K445" i="18" s="1"/>
  <c r="L445" i="18" s="1"/>
  <c r="N445" i="18" s="1"/>
  <c r="G361" i="18"/>
  <c r="K361" i="18" s="1"/>
  <c r="L361" i="18" s="1"/>
  <c r="N361" i="18" s="1"/>
  <c r="G217" i="18"/>
  <c r="K217" i="18" s="1"/>
  <c r="G49" i="18"/>
  <c r="K49" i="18" s="1"/>
  <c r="L49" i="18" s="1"/>
  <c r="N49" i="18" s="1"/>
  <c r="G780" i="18"/>
  <c r="K780" i="18" s="1"/>
  <c r="L780" i="18" s="1"/>
  <c r="N780" i="18" s="1"/>
  <c r="G684" i="18"/>
  <c r="K684" i="18" s="1"/>
  <c r="G528" i="18"/>
  <c r="K528" i="18" s="1"/>
  <c r="L528" i="18" s="1"/>
  <c r="N528" i="18" s="1"/>
  <c r="G492" i="18"/>
  <c r="K492" i="18" s="1"/>
  <c r="K360" i="18"/>
  <c r="L360" i="18" s="1"/>
  <c r="N360" i="18" s="1"/>
  <c r="K750" i="18"/>
  <c r="L750" i="18" s="1"/>
  <c r="N750" i="18" s="1"/>
  <c r="K762" i="18"/>
  <c r="L762" i="18" s="1"/>
  <c r="G548" i="18"/>
  <c r="K548" i="18" s="1"/>
  <c r="G356" i="18"/>
  <c r="K356" i="18" s="1"/>
  <c r="L356" i="18" s="1"/>
  <c r="N356" i="18" s="1"/>
  <c r="G212" i="18"/>
  <c r="K212" i="18" s="1"/>
  <c r="L212" i="18" s="1"/>
  <c r="N212" i="18" s="1"/>
  <c r="G140" i="18"/>
  <c r="K140" i="18" s="1"/>
  <c r="L140" i="18" s="1"/>
  <c r="N140" i="18" s="1"/>
  <c r="G379" i="18"/>
  <c r="K379" i="18" s="1"/>
  <c r="L379" i="18" s="1"/>
  <c r="K988" i="18"/>
  <c r="L988" i="18" s="1"/>
  <c r="N988" i="18" s="1"/>
  <c r="K952" i="18"/>
  <c r="L952" i="18" s="1"/>
  <c r="G979" i="18"/>
  <c r="K979" i="18" s="1"/>
  <c r="L979" i="18" s="1"/>
  <c r="N979" i="18" s="1"/>
  <c r="G799" i="18"/>
  <c r="K799" i="18" s="1"/>
  <c r="G691" i="18"/>
  <c r="K691" i="18" s="1"/>
  <c r="G595" i="18"/>
  <c r="K595" i="18" s="1"/>
  <c r="G547" i="18"/>
  <c r="K547" i="18" s="1"/>
  <c r="G451" i="18"/>
  <c r="K451" i="18" s="1"/>
  <c r="G211" i="18"/>
  <c r="K211" i="18" s="1"/>
  <c r="L211" i="18" s="1"/>
  <c r="N211" i="18" s="1"/>
  <c r="G199" i="18"/>
  <c r="K199" i="18" s="1"/>
  <c r="L199" i="18" s="1"/>
  <c r="N199" i="18" s="1"/>
  <c r="G139" i="18"/>
  <c r="K139" i="18" s="1"/>
  <c r="K855" i="18"/>
  <c r="L855" i="18" s="1"/>
  <c r="N855" i="18" s="1"/>
  <c r="K615" i="18"/>
  <c r="L615" i="18" s="1"/>
  <c r="N615" i="18" s="1"/>
  <c r="K567" i="18"/>
  <c r="L567" i="18" s="1"/>
  <c r="N567" i="18" s="1"/>
  <c r="K1022" i="18"/>
  <c r="K1010" i="18"/>
  <c r="K998" i="18"/>
  <c r="L998" i="18" s="1"/>
  <c r="N998" i="18" s="1"/>
  <c r="K962" i="18"/>
  <c r="L962" i="18" s="1"/>
  <c r="N962" i="18" s="1"/>
  <c r="K950" i="18"/>
  <c r="L950" i="18" s="1"/>
  <c r="N950" i="18" s="1"/>
  <c r="K926" i="18"/>
  <c r="K914" i="18"/>
  <c r="K902" i="18"/>
  <c r="K866" i="18"/>
  <c r="L866" i="18" s="1"/>
  <c r="N866" i="18" s="1"/>
  <c r="K854" i="18"/>
  <c r="K830" i="18"/>
  <c r="K818" i="18"/>
  <c r="K806" i="18"/>
  <c r="K770" i="18"/>
  <c r="K758" i="18"/>
  <c r="K734" i="18"/>
  <c r="L734" i="18" s="1"/>
  <c r="N734" i="18" s="1"/>
  <c r="K722" i="18"/>
  <c r="K710" i="18"/>
  <c r="K674" i="18"/>
  <c r="L674" i="18" s="1"/>
  <c r="N674" i="18" s="1"/>
  <c r="K662" i="18"/>
  <c r="K638" i="18"/>
  <c r="L638" i="18" s="1"/>
  <c r="N638" i="18" s="1"/>
  <c r="K626" i="18"/>
  <c r="K614" i="18"/>
  <c r="K578" i="18"/>
  <c r="K566" i="18"/>
  <c r="K542" i="18"/>
  <c r="K530" i="18"/>
  <c r="L530" i="18" s="1"/>
  <c r="N530" i="18" s="1"/>
  <c r="K518" i="18"/>
  <c r="K482" i="18"/>
  <c r="L482" i="18" s="1"/>
  <c r="K86" i="18"/>
  <c r="K737" i="18"/>
  <c r="L737" i="18" s="1"/>
  <c r="N737" i="18" s="1"/>
  <c r="K725" i="18"/>
  <c r="L725" i="18" s="1"/>
  <c r="N725" i="18" s="1"/>
  <c r="K341" i="18"/>
  <c r="L341" i="18" s="1"/>
  <c r="K305" i="18"/>
  <c r="L305" i="18" s="1"/>
  <c r="N305" i="18" s="1"/>
  <c r="K640" i="18"/>
  <c r="L640" i="18" s="1"/>
  <c r="N640" i="18" s="1"/>
  <c r="K592" i="18"/>
  <c r="L592" i="18" s="1"/>
  <c r="N592" i="18" s="1"/>
  <c r="K580" i="18"/>
  <c r="L580" i="18" s="1"/>
  <c r="N580" i="18" s="1"/>
  <c r="K352" i="18"/>
  <c r="L352" i="18" s="1"/>
  <c r="N352" i="18" s="1"/>
  <c r="K328" i="18"/>
  <c r="L328" i="18" s="1"/>
  <c r="K64" i="18"/>
  <c r="L64" i="18" s="1"/>
  <c r="N64" i="18" s="1"/>
  <c r="K4" i="18"/>
  <c r="L4" i="18" s="1"/>
  <c r="N4" i="18" s="1"/>
  <c r="G885" i="18"/>
  <c r="K885" i="18" s="1"/>
  <c r="L885" i="18" s="1"/>
  <c r="N885" i="18" s="1"/>
  <c r="G813" i="18"/>
  <c r="K813" i="18" s="1"/>
  <c r="G693" i="18"/>
  <c r="K693" i="18" s="1"/>
  <c r="L693" i="18" s="1"/>
  <c r="N693" i="18" s="1"/>
  <c r="G525" i="18"/>
  <c r="K525" i="18" s="1"/>
  <c r="L525" i="18" s="1"/>
  <c r="N525" i="18" s="1"/>
  <c r="G201" i="18"/>
  <c r="K201" i="18" s="1"/>
  <c r="L201" i="18" s="1"/>
  <c r="N201" i="18" s="1"/>
  <c r="G141" i="18"/>
  <c r="K141" i="18" s="1"/>
  <c r="L141" i="18" s="1"/>
  <c r="N141" i="18" s="1"/>
  <c r="G93" i="18"/>
  <c r="K93" i="18" s="1"/>
  <c r="L93" i="18" s="1"/>
  <c r="N93" i="18" s="1"/>
  <c r="G21" i="18"/>
  <c r="K21" i="18" s="1"/>
  <c r="G729" i="18"/>
  <c r="K729" i="18" s="1"/>
  <c r="L729" i="18" s="1"/>
  <c r="K997" i="18"/>
  <c r="K985" i="18"/>
  <c r="K949" i="18"/>
  <c r="K937" i="18"/>
  <c r="K901" i="18"/>
  <c r="K889" i="18"/>
  <c r="K853" i="18"/>
  <c r="K841" i="18"/>
  <c r="K793" i="18"/>
  <c r="L793" i="18" s="1"/>
  <c r="N793" i="18" s="1"/>
  <c r="K757" i="18"/>
  <c r="L757" i="18" s="1"/>
  <c r="N757" i="18" s="1"/>
  <c r="K745" i="18"/>
  <c r="L745" i="18" s="1"/>
  <c r="N745" i="18" s="1"/>
  <c r="K709" i="18"/>
  <c r="K697" i="18"/>
  <c r="K661" i="18"/>
  <c r="K649" i="18"/>
  <c r="K601" i="18"/>
  <c r="K565" i="18"/>
  <c r="L565" i="18" s="1"/>
  <c r="N565" i="18" s="1"/>
  <c r="K553" i="18"/>
  <c r="L553" i="18" s="1"/>
  <c r="N553" i="18" s="1"/>
  <c r="K517" i="18"/>
  <c r="K505" i="18"/>
  <c r="K469" i="18"/>
  <c r="L469" i="18" s="1"/>
  <c r="N469" i="18" s="1"/>
  <c r="K457" i="18"/>
  <c r="L457" i="18" s="1"/>
  <c r="N457" i="18" s="1"/>
  <c r="K421" i="18"/>
  <c r="L421" i="18" s="1"/>
  <c r="N421" i="18" s="1"/>
  <c r="K373" i="18"/>
  <c r="K325" i="18"/>
  <c r="L325" i="18" s="1"/>
  <c r="N325" i="18" s="1"/>
  <c r="K313" i="18"/>
  <c r="K277" i="18"/>
  <c r="K265" i="18"/>
  <c r="K229" i="18"/>
  <c r="K181" i="18"/>
  <c r="L181" i="18" s="1"/>
  <c r="N181" i="18" s="1"/>
  <c r="K169" i="18"/>
  <c r="K133" i="18"/>
  <c r="K121" i="18"/>
  <c r="K85" i="18"/>
  <c r="L85" i="18" s="1"/>
  <c r="N85" i="18" s="1"/>
  <c r="K73" i="18"/>
  <c r="K37" i="18"/>
  <c r="K25" i="18"/>
  <c r="G328" i="18"/>
  <c r="L685" i="18"/>
  <c r="N685" i="18" s="1"/>
  <c r="L621" i="18"/>
  <c r="N621" i="18" s="1"/>
  <c r="G580" i="18"/>
  <c r="G458" i="18"/>
  <c r="K458" i="18" s="1"/>
  <c r="L458" i="18" s="1"/>
  <c r="G304" i="18"/>
  <c r="K304" i="18" s="1"/>
  <c r="L304" i="18" s="1"/>
  <c r="G72" i="18"/>
  <c r="K72" i="18" s="1"/>
  <c r="L72" i="18" s="1"/>
  <c r="G441" i="18"/>
  <c r="K441" i="18" s="1"/>
  <c r="L441" i="18" s="1"/>
  <c r="L467" i="18"/>
  <c r="N467" i="18" s="1"/>
  <c r="G146" i="18"/>
  <c r="K146" i="18" s="1"/>
  <c r="L146" i="18" s="1"/>
  <c r="N146" i="18" s="1"/>
  <c r="G145" i="18"/>
  <c r="K145" i="18" s="1"/>
  <c r="L145" i="18" s="1"/>
  <c r="N145" i="18" s="1"/>
  <c r="L554" i="18"/>
  <c r="N554" i="18" s="1"/>
  <c r="L397" i="18"/>
  <c r="N397" i="18" s="1"/>
  <c r="G665" i="18"/>
  <c r="K665" i="18" s="1"/>
  <c r="L665" i="18" s="1"/>
  <c r="G973" i="18"/>
  <c r="K973" i="18" s="1"/>
  <c r="L973" i="18" s="1"/>
  <c r="N973" i="18" s="1"/>
  <c r="G301" i="18"/>
  <c r="K301" i="18" s="1"/>
  <c r="L301" i="18" s="1"/>
  <c r="L108" i="18"/>
  <c r="N108" i="18" s="1"/>
  <c r="L938" i="18"/>
  <c r="N938" i="18" s="1"/>
  <c r="G374" i="18"/>
  <c r="K374" i="18" s="1"/>
  <c r="L374" i="18" s="1"/>
  <c r="G805" i="18"/>
  <c r="K805" i="18" s="1"/>
  <c r="L805" i="18" s="1"/>
  <c r="G300" i="18"/>
  <c r="K300" i="18" s="1"/>
  <c r="L300" i="18" s="1"/>
  <c r="G991" i="18"/>
  <c r="K991" i="18" s="1"/>
  <c r="L991" i="18" s="1"/>
  <c r="L746" i="18"/>
  <c r="N746" i="18" s="1"/>
  <c r="L263" i="18"/>
  <c r="N263" i="18" s="1"/>
  <c r="G801" i="18"/>
  <c r="K801" i="18" s="1"/>
  <c r="L801" i="18" s="1"/>
  <c r="G218" i="18"/>
  <c r="K218" i="18" s="1"/>
  <c r="L218" i="18" s="1"/>
  <c r="L1020" i="18"/>
  <c r="N1020" i="18" s="1"/>
  <c r="L529" i="18"/>
  <c r="N529" i="18" s="1"/>
  <c r="G844" i="18"/>
  <c r="K844" i="18" s="1"/>
  <c r="G832" i="18"/>
  <c r="K832" i="18" s="1"/>
  <c r="G820" i="18"/>
  <c r="K820" i="18" s="1"/>
  <c r="L820" i="18" s="1"/>
  <c r="N820" i="18" s="1"/>
  <c r="G760" i="18"/>
  <c r="K760" i="18" s="1"/>
  <c r="G748" i="18"/>
  <c r="K748" i="18" s="1"/>
  <c r="G736" i="18"/>
  <c r="K736" i="18" s="1"/>
  <c r="L736" i="18" s="1"/>
  <c r="N736" i="18" s="1"/>
  <c r="G724" i="18"/>
  <c r="K724" i="18" s="1"/>
  <c r="G712" i="18"/>
  <c r="K712" i="18" s="1"/>
  <c r="L712" i="18" s="1"/>
  <c r="N712" i="18" s="1"/>
  <c r="G700" i="18"/>
  <c r="K700" i="18" s="1"/>
  <c r="L700" i="18" s="1"/>
  <c r="N700" i="18" s="1"/>
  <c r="G676" i="18"/>
  <c r="K676" i="18" s="1"/>
  <c r="G664" i="18"/>
  <c r="K664" i="18" s="1"/>
  <c r="G652" i="18"/>
  <c r="K652" i="18" s="1"/>
  <c r="L652" i="18" s="1"/>
  <c r="N652" i="18" s="1"/>
  <c r="G640" i="18"/>
  <c r="G628" i="18"/>
  <c r="K628" i="18" s="1"/>
  <c r="G616" i="18"/>
  <c r="K616" i="18" s="1"/>
  <c r="L616" i="18" s="1"/>
  <c r="N616" i="18" s="1"/>
  <c r="G604" i="18"/>
  <c r="K604" i="18" s="1"/>
  <c r="G592" i="18"/>
  <c r="G568" i="18"/>
  <c r="K568" i="18" s="1"/>
  <c r="L568" i="18" s="1"/>
  <c r="N568" i="18" s="1"/>
  <c r="G556" i="18"/>
  <c r="K556" i="18" s="1"/>
  <c r="G544" i="18"/>
  <c r="K544" i="18" s="1"/>
  <c r="L544" i="18" s="1"/>
  <c r="N544" i="18" s="1"/>
  <c r="G532" i="18"/>
  <c r="K532" i="18" s="1"/>
  <c r="L532" i="18" s="1"/>
  <c r="N532" i="18" s="1"/>
  <c r="G520" i="18"/>
  <c r="K520" i="18" s="1"/>
  <c r="G508" i="18"/>
  <c r="K508" i="18" s="1"/>
  <c r="G496" i="18"/>
  <c r="K496" i="18" s="1"/>
  <c r="L496" i="18" s="1"/>
  <c r="N496" i="18" s="1"/>
  <c r="G484" i="18"/>
  <c r="K484" i="18" s="1"/>
  <c r="G472" i="18"/>
  <c r="K472" i="18" s="1"/>
  <c r="L472" i="18" s="1"/>
  <c r="N472" i="18" s="1"/>
  <c r="G460" i="18"/>
  <c r="K460" i="18" s="1"/>
  <c r="L460" i="18" s="1"/>
  <c r="N460" i="18" s="1"/>
  <c r="G448" i="18"/>
  <c r="K448" i="18" s="1"/>
  <c r="G436" i="18"/>
  <c r="K436" i="18" s="1"/>
  <c r="L436" i="18" s="1"/>
  <c r="N436" i="18" s="1"/>
  <c r="G424" i="18"/>
  <c r="K424" i="18" s="1"/>
  <c r="L424" i="18" s="1"/>
  <c r="N424" i="18" s="1"/>
  <c r="G412" i="18"/>
  <c r="K412" i="18" s="1"/>
  <c r="G400" i="18"/>
  <c r="K400" i="18" s="1"/>
  <c r="G388" i="18"/>
  <c r="K388" i="18" s="1"/>
  <c r="L388" i="18" s="1"/>
  <c r="N388" i="18" s="1"/>
  <c r="G376" i="18"/>
  <c r="K376" i="18" s="1"/>
  <c r="G364" i="18"/>
  <c r="K364" i="18" s="1"/>
  <c r="G352" i="18"/>
  <c r="G340" i="18"/>
  <c r="K340" i="18" s="1"/>
  <c r="L340" i="18" s="1"/>
  <c r="N340" i="18" s="1"/>
  <c r="G292" i="18"/>
  <c r="K292" i="18" s="1"/>
  <c r="G280" i="18"/>
  <c r="K280" i="18" s="1"/>
  <c r="L280" i="18" s="1"/>
  <c r="N280" i="18" s="1"/>
  <c r="G268" i="18"/>
  <c r="K268" i="18" s="1"/>
  <c r="G256" i="18"/>
  <c r="K256" i="18" s="1"/>
  <c r="G244" i="18"/>
  <c r="K244" i="18" s="1"/>
  <c r="L244" i="18" s="1"/>
  <c r="N244" i="18" s="1"/>
  <c r="G232" i="18"/>
  <c r="K232" i="18" s="1"/>
  <c r="G220" i="18"/>
  <c r="K220" i="18" s="1"/>
  <c r="G208" i="18"/>
  <c r="K208" i="18" s="1"/>
  <c r="L208" i="18" s="1"/>
  <c r="N208" i="18" s="1"/>
  <c r="G196" i="18"/>
  <c r="K196" i="18" s="1"/>
  <c r="G184" i="18"/>
  <c r="K184" i="18" s="1"/>
  <c r="G172" i="18"/>
  <c r="K172" i="18" s="1"/>
  <c r="L172" i="18" s="1"/>
  <c r="N172" i="18" s="1"/>
  <c r="G160" i="18"/>
  <c r="K160" i="18" s="1"/>
  <c r="G148" i="18"/>
  <c r="K148" i="18" s="1"/>
  <c r="G112" i="18"/>
  <c r="K112" i="18" s="1"/>
  <c r="L112" i="18" s="1"/>
  <c r="N112" i="18" s="1"/>
  <c r="G100" i="18"/>
  <c r="K100" i="18" s="1"/>
  <c r="G88" i="18"/>
  <c r="K88" i="18" s="1"/>
  <c r="G76" i="18"/>
  <c r="K76" i="18" s="1"/>
  <c r="L76" i="18" s="1"/>
  <c r="N76" i="18" s="1"/>
  <c r="G64" i="18"/>
  <c r="G52" i="18"/>
  <c r="K52" i="18" s="1"/>
  <c r="G40" i="18"/>
  <c r="K40" i="18" s="1"/>
  <c r="L40" i="18" s="1"/>
  <c r="N40" i="18" s="1"/>
  <c r="G28" i="18"/>
  <c r="K28" i="18" s="1"/>
  <c r="G16" i="18"/>
  <c r="K16" i="18" s="1"/>
  <c r="G4" i="18"/>
  <c r="G316" i="18"/>
  <c r="K316" i="18" s="1"/>
  <c r="L316" i="18" s="1"/>
  <c r="G378" i="18"/>
  <c r="K378" i="18" s="1"/>
  <c r="L378" i="18" s="1"/>
  <c r="N378" i="18" s="1"/>
  <c r="G918" i="18"/>
  <c r="K918" i="18" s="1"/>
  <c r="L918" i="18" s="1"/>
  <c r="N918" i="18" s="1"/>
  <c r="G916" i="18"/>
  <c r="K916" i="18" s="1"/>
  <c r="L916" i="18" s="1"/>
  <c r="G1004" i="18"/>
  <c r="K1004" i="18" s="1"/>
  <c r="G990" i="18"/>
  <c r="K990" i="18" s="1"/>
  <c r="G894" i="18"/>
  <c r="K894" i="18" s="1"/>
  <c r="L894" i="18" s="1"/>
  <c r="N894" i="18" s="1"/>
  <c r="G833" i="18"/>
  <c r="K833" i="18" s="1"/>
  <c r="L833" i="18" s="1"/>
  <c r="N833" i="18" s="1"/>
  <c r="G581" i="18"/>
  <c r="K581" i="18" s="1"/>
  <c r="L581" i="18" s="1"/>
  <c r="N581" i="18" s="1"/>
  <c r="G1036" i="18"/>
  <c r="K1036" i="18" s="1"/>
  <c r="L1036" i="18" s="1"/>
  <c r="N1036" i="18" s="1"/>
  <c r="G988" i="18"/>
  <c r="G940" i="18"/>
  <c r="K940" i="18" s="1"/>
  <c r="G892" i="18"/>
  <c r="K892" i="18" s="1"/>
  <c r="L892" i="18" s="1"/>
  <c r="N892" i="18" s="1"/>
  <c r="G987" i="18"/>
  <c r="K987" i="18" s="1"/>
  <c r="G879" i="18"/>
  <c r="K879" i="18" s="1"/>
  <c r="L75" i="18"/>
  <c r="N75" i="18" s="1"/>
  <c r="G952" i="18"/>
  <c r="G124" i="18"/>
  <c r="K124" i="18" s="1"/>
  <c r="L124" i="18" s="1"/>
  <c r="N124" i="18" s="1"/>
  <c r="G810" i="18"/>
  <c r="K810" i="18" s="1"/>
  <c r="L810" i="18" s="1"/>
  <c r="G486" i="18"/>
  <c r="K486" i="18" s="1"/>
  <c r="L486" i="18" s="1"/>
  <c r="G772" i="18"/>
  <c r="K772" i="18" s="1"/>
  <c r="L772" i="18" s="1"/>
  <c r="N772" i="18" s="1"/>
  <c r="L668" i="18"/>
  <c r="N668" i="18" s="1"/>
  <c r="G989" i="18"/>
  <c r="K989" i="18" s="1"/>
  <c r="L989" i="18" s="1"/>
  <c r="N989" i="18" s="1"/>
  <c r="G809" i="18"/>
  <c r="K809" i="18" s="1"/>
  <c r="G773" i="18"/>
  <c r="K773" i="18" s="1"/>
  <c r="L773" i="18" s="1"/>
  <c r="N773" i="18" s="1"/>
  <c r="G737" i="18"/>
  <c r="G629" i="18"/>
  <c r="K629" i="18" s="1"/>
  <c r="L629" i="18" s="1"/>
  <c r="N629" i="18" s="1"/>
  <c r="G593" i="18"/>
  <c r="K593" i="18" s="1"/>
  <c r="L593" i="18" s="1"/>
  <c r="N593" i="18" s="1"/>
  <c r="G545" i="18"/>
  <c r="K545" i="18" s="1"/>
  <c r="G509" i="18"/>
  <c r="K509" i="18" s="1"/>
  <c r="G473" i="18"/>
  <c r="K473" i="18" s="1"/>
  <c r="L473" i="18" s="1"/>
  <c r="N473" i="18" s="1"/>
  <c r="G413" i="18"/>
  <c r="K413" i="18" s="1"/>
  <c r="L413" i="18" s="1"/>
  <c r="N413" i="18" s="1"/>
  <c r="G377" i="18"/>
  <c r="K377" i="18" s="1"/>
  <c r="L377" i="18" s="1"/>
  <c r="N377" i="18" s="1"/>
  <c r="G281" i="18"/>
  <c r="K281" i="18" s="1"/>
  <c r="L281" i="18" s="1"/>
  <c r="N281" i="18" s="1"/>
  <c r="G245" i="18"/>
  <c r="K245" i="18" s="1"/>
  <c r="L245" i="18" s="1"/>
  <c r="N245" i="18" s="1"/>
  <c r="G209" i="18"/>
  <c r="K209" i="18" s="1"/>
  <c r="G173" i="18"/>
  <c r="K173" i="18" s="1"/>
  <c r="L173" i="18" s="1"/>
  <c r="N173" i="18" s="1"/>
  <c r="G113" i="18"/>
  <c r="K113" i="18" s="1"/>
  <c r="G53" i="18"/>
  <c r="K53" i="18" s="1"/>
  <c r="L53" i="18" s="1"/>
  <c r="N53" i="18" s="1"/>
  <c r="G17" i="18"/>
  <c r="K17" i="18" s="1"/>
  <c r="L17" i="18" s="1"/>
  <c r="N17" i="18" s="1"/>
  <c r="G1040" i="18"/>
  <c r="K1040" i="18" s="1"/>
  <c r="L1040" i="18" s="1"/>
  <c r="G920" i="18"/>
  <c r="K920" i="18" s="1"/>
  <c r="L920" i="18" s="1"/>
  <c r="N920" i="18" s="1"/>
  <c r="G976" i="18"/>
  <c r="K976" i="18" s="1"/>
  <c r="G868" i="18"/>
  <c r="K868" i="18" s="1"/>
  <c r="L868" i="18" s="1"/>
  <c r="N868" i="18" s="1"/>
  <c r="G784" i="18"/>
  <c r="K784" i="18" s="1"/>
  <c r="G915" i="18"/>
  <c r="K915" i="18" s="1"/>
  <c r="G735" i="18"/>
  <c r="K735" i="18" s="1"/>
  <c r="L735" i="18" s="1"/>
  <c r="N735" i="18" s="1"/>
  <c r="G423" i="18"/>
  <c r="K423" i="18" s="1"/>
  <c r="G387" i="18"/>
  <c r="K387" i="18" s="1"/>
  <c r="G351" i="18"/>
  <c r="K351" i="18" s="1"/>
  <c r="L351" i="18" s="1"/>
  <c r="N351" i="18" s="1"/>
  <c r="G315" i="18"/>
  <c r="K315" i="18" s="1"/>
  <c r="G279" i="18"/>
  <c r="K279" i="18" s="1"/>
  <c r="G243" i="18"/>
  <c r="K243" i="18" s="1"/>
  <c r="L243" i="18" s="1"/>
  <c r="N243" i="18" s="1"/>
  <c r="G207" i="18"/>
  <c r="K207" i="18" s="1"/>
  <c r="G171" i="18"/>
  <c r="K171" i="18" s="1"/>
  <c r="G27" i="18"/>
  <c r="K27" i="18" s="1"/>
  <c r="L27" i="18" s="1"/>
  <c r="N27" i="18" s="1"/>
  <c r="G796" i="18"/>
  <c r="K796" i="18" s="1"/>
  <c r="L796" i="18" s="1"/>
  <c r="N796" i="18" s="1"/>
  <c r="G1024" i="18"/>
  <c r="K1024" i="18" s="1"/>
  <c r="L1024" i="18" s="1"/>
  <c r="N1024" i="18" s="1"/>
  <c r="G798" i="18"/>
  <c r="K798" i="18" s="1"/>
  <c r="L798" i="18" s="1"/>
  <c r="N798" i="18" s="1"/>
  <c r="G416" i="18"/>
  <c r="K416" i="18" s="1"/>
  <c r="L416" i="18" s="1"/>
  <c r="N416" i="18" s="1"/>
  <c r="G1016" i="18"/>
  <c r="K1016" i="18" s="1"/>
  <c r="L1016" i="18" s="1"/>
  <c r="N1016" i="18" s="1"/>
  <c r="G932" i="18"/>
  <c r="K932" i="18" s="1"/>
  <c r="L932" i="18" s="1"/>
  <c r="N932" i="18" s="1"/>
  <c r="G872" i="18"/>
  <c r="K872" i="18" s="1"/>
  <c r="L872" i="18" s="1"/>
  <c r="N872" i="18" s="1"/>
  <c r="G824" i="18"/>
  <c r="K824" i="18" s="1"/>
  <c r="L824" i="18" s="1"/>
  <c r="N824" i="18" s="1"/>
  <c r="G1014" i="18"/>
  <c r="K1014" i="18" s="1"/>
  <c r="G978" i="18"/>
  <c r="K978" i="18" s="1"/>
  <c r="G954" i="18"/>
  <c r="K954" i="18" s="1"/>
  <c r="G930" i="18"/>
  <c r="K930" i="18" s="1"/>
  <c r="G906" i="18"/>
  <c r="K906" i="18" s="1"/>
  <c r="G870" i="18"/>
  <c r="K870" i="18" s="1"/>
  <c r="L870" i="18" s="1"/>
  <c r="N870" i="18" s="1"/>
  <c r="G846" i="18"/>
  <c r="K846" i="18" s="1"/>
  <c r="G822" i="18"/>
  <c r="K822" i="18" s="1"/>
  <c r="G774" i="18"/>
  <c r="K774" i="18" s="1"/>
  <c r="L774" i="18" s="1"/>
  <c r="N774" i="18" s="1"/>
  <c r="G750" i="18"/>
  <c r="G726" i="18"/>
  <c r="K726" i="18" s="1"/>
  <c r="L726" i="18" s="1"/>
  <c r="N726" i="18" s="1"/>
  <c r="G702" i="18"/>
  <c r="K702" i="18" s="1"/>
  <c r="L702" i="18" s="1"/>
  <c r="N702" i="18" s="1"/>
  <c r="G678" i="18"/>
  <c r="K678" i="18" s="1"/>
  <c r="G630" i="18"/>
  <c r="K630" i="18" s="1"/>
  <c r="L630" i="18" s="1"/>
  <c r="N630" i="18" s="1"/>
  <c r="G606" i="18"/>
  <c r="K606" i="18" s="1"/>
  <c r="L606" i="18" s="1"/>
  <c r="N606" i="18" s="1"/>
  <c r="G582" i="18"/>
  <c r="K582" i="18" s="1"/>
  <c r="G558" i="18"/>
  <c r="K558" i="18" s="1"/>
  <c r="G534" i="18"/>
  <c r="K534" i="18" s="1"/>
  <c r="L534" i="18" s="1"/>
  <c r="N534" i="18" s="1"/>
  <c r="G510" i="18"/>
  <c r="K510" i="18" s="1"/>
  <c r="G498" i="18"/>
  <c r="K498" i="18" s="1"/>
  <c r="G474" i="18"/>
  <c r="K474" i="18" s="1"/>
  <c r="L474" i="18" s="1"/>
  <c r="N474" i="18" s="1"/>
  <c r="G450" i="18"/>
  <c r="G426" i="18"/>
  <c r="K426" i="18" s="1"/>
  <c r="G402" i="18"/>
  <c r="K402" i="18" s="1"/>
  <c r="L402" i="18" s="1"/>
  <c r="N402" i="18" s="1"/>
  <c r="G330" i="18"/>
  <c r="K330" i="18" s="1"/>
  <c r="G306" i="18"/>
  <c r="K306" i="18" s="1"/>
  <c r="G282" i="18"/>
  <c r="K282" i="18" s="1"/>
  <c r="L282" i="18" s="1"/>
  <c r="N282" i="18" s="1"/>
  <c r="G258" i="18"/>
  <c r="K258" i="18" s="1"/>
  <c r="G234" i="18"/>
  <c r="K234" i="18" s="1"/>
  <c r="G210" i="18"/>
  <c r="K210" i="18" s="1"/>
  <c r="L210" i="18" s="1"/>
  <c r="N210" i="18" s="1"/>
  <c r="G186" i="18"/>
  <c r="K186" i="18" s="1"/>
  <c r="G162" i="18"/>
  <c r="K162" i="18" s="1"/>
  <c r="G138" i="18"/>
  <c r="K138" i="18" s="1"/>
  <c r="L138" i="18" s="1"/>
  <c r="N138" i="18" s="1"/>
  <c r="G114" i="18"/>
  <c r="K114" i="18" s="1"/>
  <c r="G90" i="18"/>
  <c r="K90" i="18" s="1"/>
  <c r="G66" i="18"/>
  <c r="K66" i="18" s="1"/>
  <c r="L66" i="18" s="1"/>
  <c r="N66" i="18" s="1"/>
  <c r="G42" i="18"/>
  <c r="K42" i="18" s="1"/>
  <c r="G18" i="18"/>
  <c r="K18" i="18" s="1"/>
  <c r="G917" i="18"/>
  <c r="K917" i="18" s="1"/>
  <c r="L917" i="18" s="1"/>
  <c r="N917" i="18" s="1"/>
  <c r="G869" i="18"/>
  <c r="K869" i="18" s="1"/>
  <c r="G821" i="18"/>
  <c r="K821" i="18" s="1"/>
  <c r="G797" i="18"/>
  <c r="K797" i="18" s="1"/>
  <c r="L797" i="18" s="1"/>
  <c r="N797" i="18" s="1"/>
  <c r="G761" i="18"/>
  <c r="K761" i="18" s="1"/>
  <c r="G713" i="18"/>
  <c r="K713" i="18" s="1"/>
  <c r="G677" i="18"/>
  <c r="K677" i="18" s="1"/>
  <c r="L677" i="18" s="1"/>
  <c r="N677" i="18" s="1"/>
  <c r="G641" i="18"/>
  <c r="K641" i="18" s="1"/>
  <c r="G617" i="18"/>
  <c r="K617" i="18" s="1"/>
  <c r="G569" i="18"/>
  <c r="K569" i="18" s="1"/>
  <c r="L569" i="18" s="1"/>
  <c r="N569" i="18" s="1"/>
  <c r="G533" i="18"/>
  <c r="K533" i="18" s="1"/>
  <c r="G497" i="18"/>
  <c r="K497" i="18" s="1"/>
  <c r="G461" i="18"/>
  <c r="K461" i="18" s="1"/>
  <c r="G437" i="18"/>
  <c r="K437" i="18" s="1"/>
  <c r="G401" i="18"/>
  <c r="K401" i="18" s="1"/>
  <c r="G365" i="18"/>
  <c r="K365" i="18" s="1"/>
  <c r="L365" i="18" s="1"/>
  <c r="N365" i="18" s="1"/>
  <c r="G329" i="18"/>
  <c r="K329" i="18" s="1"/>
  <c r="G305" i="18"/>
  <c r="G269" i="18"/>
  <c r="K269" i="18" s="1"/>
  <c r="L269" i="18" s="1"/>
  <c r="N269" i="18" s="1"/>
  <c r="G185" i="18"/>
  <c r="K185" i="18" s="1"/>
  <c r="G161" i="18"/>
  <c r="K161" i="18" s="1"/>
  <c r="G137" i="18"/>
  <c r="K137" i="18" s="1"/>
  <c r="L137" i="18" s="1"/>
  <c r="N137" i="18" s="1"/>
  <c r="G89" i="18"/>
  <c r="K89" i="18" s="1"/>
  <c r="G65" i="18"/>
  <c r="K65" i="18" s="1"/>
  <c r="L65" i="18" s="1"/>
  <c r="N65" i="18" s="1"/>
  <c r="G29" i="18"/>
  <c r="K29" i="18" s="1"/>
  <c r="L29" i="18" s="1"/>
  <c r="N29" i="18" s="1"/>
  <c r="G1000" i="18"/>
  <c r="K1000" i="18" s="1"/>
  <c r="L1000" i="18" s="1"/>
  <c r="N1000" i="18" s="1"/>
  <c r="G904" i="18"/>
  <c r="K904" i="18" s="1"/>
  <c r="L904" i="18" s="1"/>
  <c r="N904" i="18" s="1"/>
  <c r="G856" i="18"/>
  <c r="K856" i="18" s="1"/>
  <c r="L856" i="18" s="1"/>
  <c r="N856" i="18" s="1"/>
  <c r="G808" i="18"/>
  <c r="K808" i="18" s="1"/>
  <c r="G903" i="18"/>
  <c r="K903" i="18" s="1"/>
  <c r="L903" i="18" s="1"/>
  <c r="N903" i="18" s="1"/>
  <c r="G855" i="18"/>
  <c r="G831" i="18"/>
  <c r="K831" i="18" s="1"/>
  <c r="L831" i="18" s="1"/>
  <c r="N831" i="18" s="1"/>
  <c r="G759" i="18"/>
  <c r="K759" i="18" s="1"/>
  <c r="L759" i="18" s="1"/>
  <c r="N759" i="18" s="1"/>
  <c r="G687" i="18"/>
  <c r="K687" i="18" s="1"/>
  <c r="L687" i="18" s="1"/>
  <c r="N687" i="18" s="1"/>
  <c r="G663" i="18"/>
  <c r="K663" i="18" s="1"/>
  <c r="G591" i="18"/>
  <c r="K591" i="18" s="1"/>
  <c r="L591" i="18" s="1"/>
  <c r="N591" i="18" s="1"/>
  <c r="G567" i="18"/>
  <c r="G495" i="18"/>
  <c r="K495" i="18" s="1"/>
  <c r="L495" i="18" s="1"/>
  <c r="N495" i="18" s="1"/>
  <c r="G471" i="18"/>
  <c r="K471" i="18" s="1"/>
  <c r="L471" i="18" s="1"/>
  <c r="N471" i="18" s="1"/>
  <c r="G447" i="18"/>
  <c r="K447" i="18" s="1"/>
  <c r="L447" i="18" s="1"/>
  <c r="N447" i="18" s="1"/>
  <c r="G99" i="18"/>
  <c r="K99" i="18" s="1"/>
  <c r="G221" i="18"/>
  <c r="K221" i="18" s="1"/>
  <c r="L221" i="18" s="1"/>
  <c r="N221" i="18" s="1"/>
  <c r="G654" i="18"/>
  <c r="K654" i="18" s="1"/>
  <c r="L654" i="18" s="1"/>
  <c r="G961" i="18"/>
  <c r="K961" i="18" s="1"/>
  <c r="L961" i="18" s="1"/>
  <c r="N961" i="18" s="1"/>
  <c r="G136" i="18"/>
  <c r="K136" i="18" s="1"/>
  <c r="L136" i="18" s="1"/>
  <c r="G1030" i="18"/>
  <c r="K1030" i="18" s="1"/>
  <c r="L1030" i="18" s="1"/>
  <c r="N1030" i="18" s="1"/>
  <c r="G1018" i="18"/>
  <c r="K1018" i="18" s="1"/>
  <c r="L1018" i="18" s="1"/>
  <c r="N1018" i="18" s="1"/>
  <c r="G982" i="18"/>
  <c r="K982" i="18" s="1"/>
  <c r="L982" i="18" s="1"/>
  <c r="N982" i="18" s="1"/>
  <c r="G958" i="18"/>
  <c r="K958" i="18" s="1"/>
  <c r="G946" i="18"/>
  <c r="K946" i="18" s="1"/>
  <c r="L946" i="18" s="1"/>
  <c r="N946" i="18" s="1"/>
  <c r="G910" i="18"/>
  <c r="K910" i="18" s="1"/>
  <c r="L910" i="18" s="1"/>
  <c r="N910" i="18" s="1"/>
  <c r="G886" i="18"/>
  <c r="K886" i="18" s="1"/>
  <c r="L886" i="18" s="1"/>
  <c r="N886" i="18" s="1"/>
  <c r="G874" i="18"/>
  <c r="K874" i="18" s="1"/>
  <c r="G838" i="18"/>
  <c r="K838" i="18" s="1"/>
  <c r="L838" i="18" s="1"/>
  <c r="N838" i="18" s="1"/>
  <c r="G826" i="18"/>
  <c r="K826" i="18" s="1"/>
  <c r="G790" i="18"/>
  <c r="K790" i="18" s="1"/>
  <c r="L790" i="18" s="1"/>
  <c r="N790" i="18" s="1"/>
  <c r="M790" i="18"/>
  <c r="G778" i="18"/>
  <c r="K778" i="18" s="1"/>
  <c r="L778" i="18" s="1"/>
  <c r="N778" i="18" s="1"/>
  <c r="G742" i="18"/>
  <c r="K742" i="18" s="1"/>
  <c r="L742" i="18" s="1"/>
  <c r="N742" i="18" s="1"/>
  <c r="G730" i="18"/>
  <c r="K730" i="18" s="1"/>
  <c r="L730" i="18" s="1"/>
  <c r="N730" i="18" s="1"/>
  <c r="G694" i="18"/>
  <c r="K694" i="18" s="1"/>
  <c r="L694" i="18" s="1"/>
  <c r="N694" i="18" s="1"/>
  <c r="G682" i="18"/>
  <c r="K682" i="18" s="1"/>
  <c r="G646" i="18"/>
  <c r="K646" i="18" s="1"/>
  <c r="G634" i="18"/>
  <c r="K634" i="18" s="1"/>
  <c r="L634" i="18" s="1"/>
  <c r="N634" i="18" s="1"/>
  <c r="G598" i="18"/>
  <c r="K598" i="18" s="1"/>
  <c r="L598" i="18" s="1"/>
  <c r="N598" i="18" s="1"/>
  <c r="G586" i="18"/>
  <c r="K586" i="18" s="1"/>
  <c r="G550" i="18"/>
  <c r="K550" i="18" s="1"/>
  <c r="L550" i="18" s="1"/>
  <c r="N550" i="18" s="1"/>
  <c r="G538" i="18"/>
  <c r="K538" i="18" s="1"/>
  <c r="G502" i="18"/>
  <c r="K502" i="18" s="1"/>
  <c r="G490" i="18"/>
  <c r="K490" i="18" s="1"/>
  <c r="L490" i="18" s="1"/>
  <c r="N490" i="18" s="1"/>
  <c r="G454" i="18"/>
  <c r="K454" i="18" s="1"/>
  <c r="L454" i="18" s="1"/>
  <c r="N454" i="18" s="1"/>
  <c r="G406" i="18"/>
  <c r="K406" i="18" s="1"/>
  <c r="L406" i="18" s="1"/>
  <c r="N406" i="18" s="1"/>
  <c r="G370" i="18"/>
  <c r="K370" i="18" s="1"/>
  <c r="L370" i="18" s="1"/>
  <c r="N370" i="18" s="1"/>
  <c r="G334" i="18"/>
  <c r="K334" i="18" s="1"/>
  <c r="G298" i="18"/>
  <c r="K298" i="18" s="1"/>
  <c r="G262" i="18"/>
  <c r="K262" i="18" s="1"/>
  <c r="L262" i="18" s="1"/>
  <c r="N262" i="18" s="1"/>
  <c r="G226" i="18"/>
  <c r="K226" i="18" s="1"/>
  <c r="L226" i="18" s="1"/>
  <c r="N226" i="18" s="1"/>
  <c r="G190" i="18"/>
  <c r="K190" i="18" s="1"/>
  <c r="L190" i="18" s="1"/>
  <c r="N190" i="18" s="1"/>
  <c r="G154" i="18"/>
  <c r="K154" i="18" s="1"/>
  <c r="L154" i="18" s="1"/>
  <c r="N154" i="18" s="1"/>
  <c r="G118" i="18"/>
  <c r="K118" i="18" s="1"/>
  <c r="G82" i="18"/>
  <c r="K82" i="18" s="1"/>
  <c r="G46" i="18"/>
  <c r="K46" i="18" s="1"/>
  <c r="L46" i="18" s="1"/>
  <c r="N46" i="18" s="1"/>
  <c r="G10" i="18"/>
  <c r="K10" i="18" s="1"/>
  <c r="L10" i="18" s="1"/>
  <c r="N10" i="18" s="1"/>
  <c r="G701" i="18"/>
  <c r="K701" i="18" s="1"/>
  <c r="L701" i="18" s="1"/>
  <c r="N701" i="18" s="1"/>
  <c r="G857" i="18"/>
  <c r="K857" i="18" s="1"/>
  <c r="L857" i="18" s="1"/>
  <c r="N857" i="18" s="1"/>
  <c r="G342" i="18"/>
  <c r="K342" i="18" s="1"/>
  <c r="L342" i="18" s="1"/>
  <c r="L843" i="18"/>
  <c r="N843" i="18" s="1"/>
  <c r="G1028" i="18"/>
  <c r="K1028" i="18" s="1"/>
  <c r="L1028" i="18" s="1"/>
  <c r="N1028" i="18" s="1"/>
  <c r="G968" i="18"/>
  <c r="K968" i="18" s="1"/>
  <c r="L968" i="18" s="1"/>
  <c r="N968" i="18" s="1"/>
  <c r="G896" i="18"/>
  <c r="K896" i="18" s="1"/>
  <c r="G776" i="18"/>
  <c r="K776" i="18" s="1"/>
  <c r="G680" i="18"/>
  <c r="K680" i="18" s="1"/>
  <c r="L680" i="18" s="1"/>
  <c r="N680" i="18" s="1"/>
  <c r="G1002" i="18"/>
  <c r="K1002" i="18" s="1"/>
  <c r="L1002" i="18" s="1"/>
  <c r="N1002" i="18" s="1"/>
  <c r="G966" i="18"/>
  <c r="K966" i="18" s="1"/>
  <c r="L966" i="18" s="1"/>
  <c r="N966" i="18" s="1"/>
  <c r="G942" i="18"/>
  <c r="K942" i="18" s="1"/>
  <c r="L942" i="18" s="1"/>
  <c r="N942" i="18" s="1"/>
  <c r="G882" i="18"/>
  <c r="K882" i="18" s="1"/>
  <c r="G858" i="18"/>
  <c r="K858" i="18" s="1"/>
  <c r="G834" i="18"/>
  <c r="K834" i="18" s="1"/>
  <c r="L834" i="18" s="1"/>
  <c r="N834" i="18" s="1"/>
  <c r="G738" i="18"/>
  <c r="K738" i="18" s="1"/>
  <c r="L738" i="18" s="1"/>
  <c r="N738" i="18" s="1"/>
  <c r="G714" i="18"/>
  <c r="K714" i="18" s="1"/>
  <c r="G690" i="18"/>
  <c r="K690" i="18" s="1"/>
  <c r="L690" i="18" s="1"/>
  <c r="N690" i="18" s="1"/>
  <c r="G666" i="18"/>
  <c r="K666" i="18" s="1"/>
  <c r="G642" i="18"/>
  <c r="K642" i="18" s="1"/>
  <c r="G618" i="18"/>
  <c r="K618" i="18" s="1"/>
  <c r="L618" i="18" s="1"/>
  <c r="N618" i="18" s="1"/>
  <c r="G594" i="18"/>
  <c r="K594" i="18" s="1"/>
  <c r="L594" i="18" s="1"/>
  <c r="N594" i="18" s="1"/>
  <c r="G570" i="18"/>
  <c r="K570" i="18" s="1"/>
  <c r="G546" i="18"/>
  <c r="K546" i="18" s="1"/>
  <c r="L546" i="18" s="1"/>
  <c r="N546" i="18" s="1"/>
  <c r="G522" i="18"/>
  <c r="K522" i="18" s="1"/>
  <c r="G462" i="18"/>
  <c r="K462" i="18" s="1"/>
  <c r="G438" i="18"/>
  <c r="K438" i="18" s="1"/>
  <c r="L438" i="18" s="1"/>
  <c r="N438" i="18" s="1"/>
  <c r="G414" i="18"/>
  <c r="K414" i="18" s="1"/>
  <c r="L414" i="18" s="1"/>
  <c r="N414" i="18" s="1"/>
  <c r="G390" i="18"/>
  <c r="K390" i="18" s="1"/>
  <c r="L390" i="18" s="1"/>
  <c r="N390" i="18" s="1"/>
  <c r="G318" i="18"/>
  <c r="K318" i="18" s="1"/>
  <c r="L318" i="18" s="1"/>
  <c r="N318" i="18" s="1"/>
  <c r="G294" i="18"/>
  <c r="K294" i="18" s="1"/>
  <c r="G270" i="18"/>
  <c r="K270" i="18" s="1"/>
  <c r="G246" i="18"/>
  <c r="K246" i="18" s="1"/>
  <c r="L246" i="18" s="1"/>
  <c r="N246" i="18" s="1"/>
  <c r="G222" i="18"/>
  <c r="K222" i="18" s="1"/>
  <c r="L222" i="18" s="1"/>
  <c r="N222" i="18" s="1"/>
  <c r="G198" i="18"/>
  <c r="K198" i="18" s="1"/>
  <c r="G174" i="18"/>
  <c r="K174" i="18" s="1"/>
  <c r="L174" i="18" s="1"/>
  <c r="N174" i="18" s="1"/>
  <c r="G150" i="18"/>
  <c r="K150" i="18" s="1"/>
  <c r="G126" i="18"/>
  <c r="K126" i="18" s="1"/>
  <c r="G102" i="18"/>
  <c r="K102" i="18" s="1"/>
  <c r="L102" i="18" s="1"/>
  <c r="N102" i="18" s="1"/>
  <c r="G78" i="18"/>
  <c r="K78" i="18" s="1"/>
  <c r="L78" i="18" s="1"/>
  <c r="N78" i="18" s="1"/>
  <c r="G54" i="18"/>
  <c r="K54" i="18" s="1"/>
  <c r="G30" i="18"/>
  <c r="K30" i="18" s="1"/>
  <c r="G6" i="18"/>
  <c r="K6" i="18" s="1"/>
  <c r="L704" i="18"/>
  <c r="N704" i="18" s="1"/>
  <c r="G1001" i="18"/>
  <c r="K1001" i="18" s="1"/>
  <c r="L1001" i="18" s="1"/>
  <c r="N1001" i="18" s="1"/>
  <c r="G929" i="18"/>
  <c r="K929" i="18" s="1"/>
  <c r="G881" i="18"/>
  <c r="K881" i="18" s="1"/>
  <c r="G785" i="18"/>
  <c r="K785" i="18" s="1"/>
  <c r="G749" i="18"/>
  <c r="K749" i="18" s="1"/>
  <c r="G725" i="18"/>
  <c r="G653" i="18"/>
  <c r="K653" i="18" s="1"/>
  <c r="L653" i="18" s="1"/>
  <c r="N653" i="18" s="1"/>
  <c r="G605" i="18"/>
  <c r="K605" i="18" s="1"/>
  <c r="G557" i="18"/>
  <c r="K557" i="18" s="1"/>
  <c r="L557" i="18" s="1"/>
  <c r="N557" i="18" s="1"/>
  <c r="G521" i="18"/>
  <c r="K521" i="18" s="1"/>
  <c r="G485" i="18"/>
  <c r="K485" i="18" s="1"/>
  <c r="G449" i="18"/>
  <c r="K449" i="18" s="1"/>
  <c r="L449" i="18" s="1"/>
  <c r="N449" i="18" s="1"/>
  <c r="G425" i="18"/>
  <c r="K425" i="18" s="1"/>
  <c r="L425" i="18" s="1"/>
  <c r="N425" i="18" s="1"/>
  <c r="G389" i="18"/>
  <c r="K389" i="18" s="1"/>
  <c r="G353" i="18"/>
  <c r="K353" i="18" s="1"/>
  <c r="L353" i="18" s="1"/>
  <c r="N353" i="18" s="1"/>
  <c r="G317" i="18"/>
  <c r="K317" i="18" s="1"/>
  <c r="G293" i="18"/>
  <c r="K293" i="18" s="1"/>
  <c r="G257" i="18"/>
  <c r="K257" i="18" s="1"/>
  <c r="L257" i="18" s="1"/>
  <c r="N257" i="18" s="1"/>
  <c r="G233" i="18"/>
  <c r="K233" i="18" s="1"/>
  <c r="L233" i="18" s="1"/>
  <c r="N233" i="18" s="1"/>
  <c r="G197" i="18"/>
  <c r="K197" i="18" s="1"/>
  <c r="G149" i="18"/>
  <c r="K149" i="18" s="1"/>
  <c r="L149" i="18" s="1"/>
  <c r="N149" i="18" s="1"/>
  <c r="G125" i="18"/>
  <c r="K125" i="18" s="1"/>
  <c r="G101" i="18"/>
  <c r="K101" i="18" s="1"/>
  <c r="G77" i="18"/>
  <c r="K77" i="18" s="1"/>
  <c r="L77" i="18" s="1"/>
  <c r="N77" i="18" s="1"/>
  <c r="G41" i="18"/>
  <c r="K41" i="18" s="1"/>
  <c r="L41" i="18" s="1"/>
  <c r="N41" i="18" s="1"/>
  <c r="G5" i="18"/>
  <c r="K5" i="18" s="1"/>
  <c r="G1012" i="18"/>
  <c r="K1012" i="18" s="1"/>
  <c r="L1012" i="18" s="1"/>
  <c r="N1012" i="18" s="1"/>
  <c r="G964" i="18"/>
  <c r="K964" i="18" s="1"/>
  <c r="L964" i="18" s="1"/>
  <c r="N964" i="18" s="1"/>
  <c r="G928" i="18"/>
  <c r="K928" i="18" s="1"/>
  <c r="G880" i="18"/>
  <c r="K880" i="18" s="1"/>
  <c r="L880" i="18" s="1"/>
  <c r="N880" i="18" s="1"/>
  <c r="G975" i="18"/>
  <c r="K975" i="18" s="1"/>
  <c r="L975" i="18" s="1"/>
  <c r="N975" i="18" s="1"/>
  <c r="G807" i="18"/>
  <c r="K807" i="18" s="1"/>
  <c r="G783" i="18"/>
  <c r="K783" i="18" s="1"/>
  <c r="L783" i="18" s="1"/>
  <c r="N783" i="18" s="1"/>
  <c r="G711" i="18"/>
  <c r="K711" i="18" s="1"/>
  <c r="G639" i="18"/>
  <c r="K639" i="18" s="1"/>
  <c r="G615" i="18"/>
  <c r="G543" i="18"/>
  <c r="K543" i="18" s="1"/>
  <c r="L543" i="18" s="1"/>
  <c r="N543" i="18" s="1"/>
  <c r="G519" i="18"/>
  <c r="K519" i="18" s="1"/>
  <c r="G135" i="18"/>
  <c r="K135" i="18" s="1"/>
  <c r="L135" i="18" s="1"/>
  <c r="N135" i="18" s="1"/>
  <c r="G63" i="18"/>
  <c r="K63" i="18" s="1"/>
  <c r="G2" i="18"/>
  <c r="K2" i="18" s="1"/>
  <c r="G354" i="18"/>
  <c r="K354" i="18" s="1"/>
  <c r="L354" i="18" s="1"/>
  <c r="L992" i="18"/>
  <c r="N992" i="18" s="1"/>
  <c r="G953" i="18"/>
  <c r="K953" i="18" s="1"/>
  <c r="L953" i="18" s="1"/>
  <c r="G1041" i="18"/>
  <c r="K1041" i="18" s="1"/>
  <c r="L1041" i="18" s="1"/>
  <c r="N1041" i="18" s="1"/>
  <c r="G1029" i="18"/>
  <c r="K1029" i="18" s="1"/>
  <c r="G1017" i="18"/>
  <c r="K1017" i="18" s="1"/>
  <c r="G1005" i="18"/>
  <c r="K1005" i="18" s="1"/>
  <c r="L1005" i="18" s="1"/>
  <c r="N1005" i="18" s="1"/>
  <c r="G945" i="18"/>
  <c r="K945" i="18" s="1"/>
  <c r="G933" i="18"/>
  <c r="K933" i="18" s="1"/>
  <c r="G873" i="18"/>
  <c r="K873" i="18" s="1"/>
  <c r="L873" i="18" s="1"/>
  <c r="N873" i="18" s="1"/>
  <c r="G849" i="18"/>
  <c r="K849" i="18" s="1"/>
  <c r="G825" i="18"/>
  <c r="K825" i="18" s="1"/>
  <c r="G777" i="18"/>
  <c r="K777" i="18" s="1"/>
  <c r="L777" i="18" s="1"/>
  <c r="N777" i="18" s="1"/>
  <c r="G753" i="18"/>
  <c r="K753" i="18" s="1"/>
  <c r="G705" i="18"/>
  <c r="K705" i="18" s="1"/>
  <c r="G681" i="18"/>
  <c r="K681" i="18" s="1"/>
  <c r="L681" i="18" s="1"/>
  <c r="N681" i="18" s="1"/>
  <c r="G657" i="18"/>
  <c r="K657" i="18" s="1"/>
  <c r="G633" i="18"/>
  <c r="K633" i="18" s="1"/>
  <c r="G609" i="18"/>
  <c r="K609" i="18" s="1"/>
  <c r="L609" i="18" s="1"/>
  <c r="N609" i="18" s="1"/>
  <c r="G585" i="18"/>
  <c r="K585" i="18" s="1"/>
  <c r="G561" i="18"/>
  <c r="K561" i="18" s="1"/>
  <c r="G537" i="18"/>
  <c r="K537" i="18" s="1"/>
  <c r="L537" i="18" s="1"/>
  <c r="N537" i="18" s="1"/>
  <c r="G513" i="18"/>
  <c r="K513" i="18" s="1"/>
  <c r="G489" i="18"/>
  <c r="K489" i="18" s="1"/>
  <c r="G465" i="18"/>
  <c r="K465" i="18" s="1"/>
  <c r="L465" i="18" s="1"/>
  <c r="N465" i="18" s="1"/>
  <c r="G405" i="18"/>
  <c r="K405" i="18" s="1"/>
  <c r="G369" i="18"/>
  <c r="K369" i="18" s="1"/>
  <c r="G333" i="18"/>
  <c r="K333" i="18" s="1"/>
  <c r="L333" i="18" s="1"/>
  <c r="N333" i="18" s="1"/>
  <c r="G297" i="18"/>
  <c r="K297" i="18" s="1"/>
  <c r="G261" i="18"/>
  <c r="K261" i="18" s="1"/>
  <c r="G225" i="18"/>
  <c r="K225" i="18" s="1"/>
  <c r="L225" i="18" s="1"/>
  <c r="N225" i="18" s="1"/>
  <c r="G189" i="18"/>
  <c r="K189" i="18" s="1"/>
  <c r="G153" i="18"/>
  <c r="K153" i="18" s="1"/>
  <c r="G117" i="18"/>
  <c r="K117" i="18" s="1"/>
  <c r="L117" i="18" s="1"/>
  <c r="N117" i="18" s="1"/>
  <c r="G81" i="18"/>
  <c r="K81" i="18" s="1"/>
  <c r="G45" i="18"/>
  <c r="K45" i="18" s="1"/>
  <c r="G9" i="18"/>
  <c r="K9" i="18" s="1"/>
  <c r="L9" i="18" s="1"/>
  <c r="N9" i="18" s="1"/>
  <c r="G689" i="18"/>
  <c r="K689" i="18" s="1"/>
  <c r="L689" i="18" s="1"/>
  <c r="G845" i="18"/>
  <c r="K845" i="18" s="1"/>
  <c r="L845" i="18" s="1"/>
  <c r="N845" i="18" s="1"/>
  <c r="G366" i="18"/>
  <c r="K366" i="18" s="1"/>
  <c r="L366" i="18" s="1"/>
  <c r="G944" i="18"/>
  <c r="K944" i="18" s="1"/>
  <c r="L944" i="18" s="1"/>
  <c r="N944" i="18" s="1"/>
  <c r="G728" i="18"/>
  <c r="K728" i="18" s="1"/>
  <c r="L728" i="18" s="1"/>
  <c r="N728" i="18" s="1"/>
  <c r="G632" i="18"/>
  <c r="K632" i="18" s="1"/>
  <c r="G584" i="18"/>
  <c r="K584" i="18" s="1"/>
  <c r="G536" i="18"/>
  <c r="K536" i="18" s="1"/>
  <c r="G524" i="18"/>
  <c r="K524" i="18" s="1"/>
  <c r="G488" i="18"/>
  <c r="K488" i="18" s="1"/>
  <c r="L488" i="18" s="1"/>
  <c r="N488" i="18" s="1"/>
  <c r="G476" i="18"/>
  <c r="K476" i="18" s="1"/>
  <c r="L476" i="18" s="1"/>
  <c r="N476" i="18" s="1"/>
  <c r="G440" i="18"/>
  <c r="G368" i="18"/>
  <c r="K368" i="18" s="1"/>
  <c r="G332" i="18"/>
  <c r="K332" i="18" s="1"/>
  <c r="G296" i="18"/>
  <c r="K296" i="18" s="1"/>
  <c r="G260" i="18"/>
  <c r="K260" i="18" s="1"/>
  <c r="L260" i="18" s="1"/>
  <c r="N260" i="18" s="1"/>
  <c r="G224" i="18"/>
  <c r="K224" i="18" s="1"/>
  <c r="L224" i="18" s="1"/>
  <c r="N224" i="18" s="1"/>
  <c r="G188" i="18"/>
  <c r="K188" i="18" s="1"/>
  <c r="G152" i="18"/>
  <c r="K152" i="18" s="1"/>
  <c r="G116" i="18"/>
  <c r="K116" i="18" s="1"/>
  <c r="G80" i="18"/>
  <c r="K80" i="18" s="1"/>
  <c r="G44" i="18"/>
  <c r="K44" i="18" s="1"/>
  <c r="L44" i="18" s="1"/>
  <c r="N44" i="18" s="1"/>
  <c r="G8" i="18"/>
  <c r="K8" i="18" s="1"/>
  <c r="L8" i="18" s="1"/>
  <c r="N8" i="18" s="1"/>
  <c r="G688" i="18"/>
  <c r="K688" i="18" s="1"/>
  <c r="L688" i="18" s="1"/>
  <c r="G786" i="18"/>
  <c r="K786" i="18" s="1"/>
  <c r="L786" i="18" s="1"/>
  <c r="G404" i="18"/>
  <c r="K404" i="18" s="1"/>
  <c r="L404" i="18" s="1"/>
  <c r="N404" i="18" s="1"/>
  <c r="G475" i="18"/>
  <c r="K475" i="18" s="1"/>
  <c r="L475" i="18" s="1"/>
  <c r="G434" i="18"/>
  <c r="K434" i="18" s="1"/>
  <c r="G422" i="18"/>
  <c r="K422" i="18" s="1"/>
  <c r="G410" i="18"/>
  <c r="K410" i="18" s="1"/>
  <c r="G398" i="18"/>
  <c r="K398" i="18" s="1"/>
  <c r="G386" i="18"/>
  <c r="K386" i="18" s="1"/>
  <c r="G362" i="18"/>
  <c r="K362" i="18" s="1"/>
  <c r="G350" i="18"/>
  <c r="K350" i="18" s="1"/>
  <c r="G338" i="18"/>
  <c r="K338" i="18" s="1"/>
  <c r="G326" i="18"/>
  <c r="K326" i="18" s="1"/>
  <c r="G314" i="18"/>
  <c r="K314" i="18" s="1"/>
  <c r="G302" i="18"/>
  <c r="K302" i="18" s="1"/>
  <c r="G290" i="18"/>
  <c r="K290" i="18" s="1"/>
  <c r="G278" i="18"/>
  <c r="K278" i="18" s="1"/>
  <c r="G266" i="18"/>
  <c r="K266" i="18" s="1"/>
  <c r="G254" i="18"/>
  <c r="K254" i="18" s="1"/>
  <c r="G242" i="18"/>
  <c r="K242" i="18" s="1"/>
  <c r="G230" i="18"/>
  <c r="K230" i="18" s="1"/>
  <c r="G206" i="18"/>
  <c r="K206" i="18" s="1"/>
  <c r="G194" i="18"/>
  <c r="K194" i="18" s="1"/>
  <c r="G182" i="18"/>
  <c r="K182" i="18" s="1"/>
  <c r="G170" i="18"/>
  <c r="K170" i="18" s="1"/>
  <c r="G158" i="18"/>
  <c r="K158" i="18" s="1"/>
  <c r="G134" i="18"/>
  <c r="K134" i="18" s="1"/>
  <c r="G122" i="18"/>
  <c r="K122" i="18" s="1"/>
  <c r="G110" i="18"/>
  <c r="K110" i="18" s="1"/>
  <c r="G86" i="18"/>
  <c r="G74" i="18"/>
  <c r="K74" i="18" s="1"/>
  <c r="G62" i="18"/>
  <c r="K62" i="18" s="1"/>
  <c r="G50" i="18"/>
  <c r="K50" i="18" s="1"/>
  <c r="G38" i="18"/>
  <c r="K38" i="18" s="1"/>
  <c r="G26" i="18"/>
  <c r="K26" i="18" s="1"/>
  <c r="G14" i="18"/>
  <c r="K14" i="18" s="1"/>
  <c r="G3" i="18"/>
  <c r="K3" i="18" s="1"/>
  <c r="G727" i="18"/>
  <c r="K727" i="18" s="1"/>
  <c r="L727" i="18" s="1"/>
  <c r="G98" i="18"/>
  <c r="K98" i="18" s="1"/>
  <c r="L98" i="18" s="1"/>
  <c r="G871" i="18"/>
  <c r="K871" i="18" s="1"/>
  <c r="L871" i="18" s="1"/>
  <c r="G97" i="18"/>
  <c r="K97" i="18" s="1"/>
  <c r="L97" i="18" s="1"/>
  <c r="L599" i="18"/>
  <c r="N599" i="18" s="1"/>
  <c r="L348" i="18"/>
  <c r="N348" i="18" s="1"/>
  <c r="C4" i="26" l="1"/>
  <c r="G5" i="21"/>
  <c r="H5" i="21" s="1"/>
  <c r="I5" i="21" s="1"/>
  <c r="C3" i="26"/>
  <c r="B12" i="27"/>
  <c r="C2" i="24"/>
  <c r="B7" i="27"/>
  <c r="H2" i="26"/>
  <c r="I2" i="26"/>
  <c r="K2" i="26" s="1"/>
  <c r="E2" i="26"/>
  <c r="D14" i="22" a="1"/>
  <c r="D14" i="22" s="1"/>
  <c r="F14" i="22" s="1"/>
  <c r="C5" i="23" s="1"/>
  <c r="D5" i="24" s="1"/>
  <c r="D15" i="22" a="1"/>
  <c r="D15" i="22" s="1"/>
  <c r="F15" i="22" s="1"/>
  <c r="D16" i="22" a="1"/>
  <c r="D16" i="22" s="1"/>
  <c r="F16" i="22" s="1"/>
  <c r="D17" i="22" a="1"/>
  <c r="D17" i="22" s="1"/>
  <c r="F17" i="22" s="1"/>
  <c r="D13" i="22" a="1"/>
  <c r="D13" i="22" s="1"/>
  <c r="F13" i="22" s="1"/>
  <c r="D11" i="22" a="1"/>
  <c r="D11" i="22" s="1"/>
  <c r="F11" i="22" s="1"/>
  <c r="D12" i="22" a="1"/>
  <c r="D12" i="22" s="1"/>
  <c r="F12" i="22" s="1"/>
  <c r="D10" i="22" a="1"/>
  <c r="D10" i="22" s="1"/>
  <c r="F10" i="22" s="1"/>
  <c r="C4" i="23" s="1"/>
  <c r="D4" i="24" s="1"/>
  <c r="D21" i="22" a="1"/>
  <c r="D21" i="22" s="1"/>
  <c r="F21" i="22" s="1"/>
  <c r="D18" i="22" a="1"/>
  <c r="D18" i="22" s="1"/>
  <c r="F18" i="22" s="1"/>
  <c r="C6" i="23" s="1"/>
  <c r="D6" i="24" s="1"/>
  <c r="D19" i="22" a="1"/>
  <c r="D19" i="22" s="1"/>
  <c r="F19" i="22" s="1"/>
  <c r="D20" i="22" a="1"/>
  <c r="D20" i="22" s="1"/>
  <c r="F20" i="22" s="1"/>
  <c r="D4" i="22" a="1"/>
  <c r="D4" i="22" s="1"/>
  <c r="F4" i="22" s="1"/>
  <c r="D5" i="22" a="1"/>
  <c r="D5" i="22" s="1"/>
  <c r="F5" i="22" s="1"/>
  <c r="D2" i="22" a="1"/>
  <c r="D2" i="22" s="1"/>
  <c r="F2" i="22" s="1"/>
  <c r="C2" i="23" s="1"/>
  <c r="D2" i="24" s="1"/>
  <c r="D3" i="22" a="1"/>
  <c r="D3" i="22" s="1"/>
  <c r="F3" i="22" s="1"/>
  <c r="D8" i="22" a="1"/>
  <c r="D8" i="22" s="1"/>
  <c r="F8" i="22" s="1"/>
  <c r="D9" i="22" a="1"/>
  <c r="D9" i="22" s="1"/>
  <c r="F9" i="22" s="1"/>
  <c r="D6" i="22" a="1"/>
  <c r="D6" i="22" s="1"/>
  <c r="F6" i="22" s="1"/>
  <c r="C3" i="23" s="1"/>
  <c r="D3" i="24" s="1"/>
  <c r="D7" i="22" a="1"/>
  <c r="D7" i="22" s="1"/>
  <c r="F7" i="22" s="1"/>
  <c r="J2" i="21"/>
  <c r="L2" i="21"/>
  <c r="Q2" i="21" s="1"/>
  <c r="J3" i="21"/>
  <c r="L3" i="21"/>
  <c r="Q3" i="21" s="1"/>
  <c r="J4" i="21"/>
  <c r="L4" i="21"/>
  <c r="Q4" i="21" s="1"/>
  <c r="J6" i="21"/>
  <c r="L6" i="21"/>
  <c r="Q6" i="21" s="1"/>
  <c r="J5" i="21"/>
  <c r="L5" i="21"/>
  <c r="M124" i="18"/>
  <c r="M701" i="18"/>
  <c r="M580" i="18"/>
  <c r="M146" i="18"/>
  <c r="M845" i="18"/>
  <c r="M772" i="18"/>
  <c r="M920" i="18"/>
  <c r="M918" i="18"/>
  <c r="M515" i="18"/>
  <c r="M145" i="18"/>
  <c r="M857" i="18"/>
  <c r="M471" i="18"/>
  <c r="M796" i="18"/>
  <c r="M727" i="18"/>
  <c r="N727" i="18"/>
  <c r="M689" i="18"/>
  <c r="N689" i="18"/>
  <c r="M486" i="18"/>
  <c r="N486" i="18"/>
  <c r="M300" i="18"/>
  <c r="N300" i="18"/>
  <c r="M441" i="18"/>
  <c r="N441" i="18"/>
  <c r="M374" i="18"/>
  <c r="N374" i="18"/>
  <c r="M72" i="18"/>
  <c r="N72" i="18"/>
  <c r="M379" i="18"/>
  <c r="N379" i="18"/>
  <c r="M786" i="18"/>
  <c r="N786" i="18"/>
  <c r="M688" i="18"/>
  <c r="N688" i="18"/>
  <c r="M354" i="18"/>
  <c r="N354" i="18"/>
  <c r="M810" i="18"/>
  <c r="N810" i="18"/>
  <c r="M991" i="18"/>
  <c r="N991" i="18"/>
  <c r="M1040" i="18"/>
  <c r="N1040" i="18"/>
  <c r="M952" i="18"/>
  <c r="N952" i="18"/>
  <c r="M136" i="18"/>
  <c r="N136" i="18"/>
  <c r="M916" i="18"/>
  <c r="N916" i="18"/>
  <c r="M805" i="18"/>
  <c r="N805" i="18"/>
  <c r="M654" i="18"/>
  <c r="N654" i="18"/>
  <c r="M304" i="18"/>
  <c r="N304" i="18"/>
  <c r="M341" i="18"/>
  <c r="N341" i="18"/>
  <c r="M971" i="18"/>
  <c r="N971" i="18"/>
  <c r="M316" i="18"/>
  <c r="N316" i="18"/>
  <c r="M458" i="18"/>
  <c r="N458" i="18"/>
  <c r="M729" i="18"/>
  <c r="N729" i="18"/>
  <c r="M984" i="18"/>
  <c r="N984" i="18"/>
  <c r="M342" i="18"/>
  <c r="N342" i="18"/>
  <c r="M1021" i="18"/>
  <c r="N1021" i="18"/>
  <c r="M871" i="18"/>
  <c r="N871" i="18"/>
  <c r="M475" i="18"/>
  <c r="N475" i="18"/>
  <c r="M366" i="18"/>
  <c r="N366" i="18"/>
  <c r="M216" i="18"/>
  <c r="N216" i="18"/>
  <c r="M801" i="18"/>
  <c r="N801" i="18"/>
  <c r="M328" i="18"/>
  <c r="N328" i="18"/>
  <c r="M97" i="18"/>
  <c r="N97" i="18"/>
  <c r="M301" i="18"/>
  <c r="N301" i="18"/>
  <c r="M98" i="18"/>
  <c r="N98" i="18"/>
  <c r="M953" i="18"/>
  <c r="N953" i="18"/>
  <c r="M218" i="18"/>
  <c r="N218" i="18"/>
  <c r="M665" i="18"/>
  <c r="N665" i="18"/>
  <c r="M482" i="18"/>
  <c r="N482" i="18"/>
  <c r="M762" i="18"/>
  <c r="N762" i="18"/>
  <c r="M47" i="18"/>
  <c r="N47" i="18"/>
  <c r="L96" i="18"/>
  <c r="L26" i="18"/>
  <c r="L194" i="18"/>
  <c r="L656" i="18"/>
  <c r="M403" i="18"/>
  <c r="L205" i="18"/>
  <c r="M122" i="18"/>
  <c r="L101" i="18"/>
  <c r="N101" i="18" s="1"/>
  <c r="L858" i="18"/>
  <c r="N858" i="18" s="1"/>
  <c r="L298" i="18"/>
  <c r="N298" i="18" s="1"/>
  <c r="M978" i="18"/>
  <c r="L860" i="18"/>
  <c r="M364" i="18"/>
  <c r="M592" i="18"/>
  <c r="L541" i="18"/>
  <c r="L132" i="18"/>
  <c r="L375" i="18"/>
  <c r="L419" i="18"/>
  <c r="L206" i="18"/>
  <c r="N206" i="18" s="1"/>
  <c r="L933" i="18"/>
  <c r="N933" i="18" s="1"/>
  <c r="L497" i="18"/>
  <c r="N497" i="18" s="1"/>
  <c r="M630" i="18"/>
  <c r="L387" i="18"/>
  <c r="L16" i="18"/>
  <c r="N16" i="18" s="1"/>
  <c r="M436" i="18"/>
  <c r="L109" i="18"/>
  <c r="L813" i="18"/>
  <c r="L371" i="18"/>
  <c r="L816" i="18"/>
  <c r="L203" i="18"/>
  <c r="M223" i="18"/>
  <c r="L711" i="18"/>
  <c r="L6" i="18"/>
  <c r="L666" i="18"/>
  <c r="N666" i="18" s="1"/>
  <c r="L118" i="18"/>
  <c r="L958" i="18"/>
  <c r="L808" i="18"/>
  <c r="L209" i="18"/>
  <c r="N209" i="18" s="1"/>
  <c r="M794" i="18"/>
  <c r="L803" i="18"/>
  <c r="M469" i="18"/>
  <c r="L887" i="18"/>
  <c r="L302" i="18"/>
  <c r="M956" i="18"/>
  <c r="L956" i="18"/>
  <c r="N956" i="18" s="1"/>
  <c r="M516" i="18"/>
  <c r="L217" i="18"/>
  <c r="N217" i="18" s="1"/>
  <c r="M289" i="18"/>
  <c r="M166" i="18"/>
  <c r="M922" i="18"/>
  <c r="M625" i="18"/>
  <c r="L215" i="18"/>
  <c r="N215" i="18" s="1"/>
  <c r="M758" i="18"/>
  <c r="L110" i="18"/>
  <c r="N110" i="18" s="1"/>
  <c r="L524" i="18"/>
  <c r="N524" i="18" s="1"/>
  <c r="L639" i="18"/>
  <c r="L126" i="18"/>
  <c r="N126" i="18" s="1"/>
  <c r="L776" i="18"/>
  <c r="N776" i="18" s="1"/>
  <c r="L646" i="18"/>
  <c r="N646" i="18" s="1"/>
  <c r="L795" i="18"/>
  <c r="N795" i="18" s="1"/>
  <c r="L481" i="18"/>
  <c r="M744" i="18"/>
  <c r="L362" i="18"/>
  <c r="L369" i="18"/>
  <c r="N369" i="18" s="1"/>
  <c r="L507" i="18"/>
  <c r="M150" i="18"/>
  <c r="M327" i="18"/>
  <c r="L713" i="18"/>
  <c r="L822" i="18"/>
  <c r="L879" i="18"/>
  <c r="L88" i="18"/>
  <c r="N88" i="18" s="1"/>
  <c r="L508" i="18"/>
  <c r="L672" i="18"/>
  <c r="L432" i="18"/>
  <c r="N432" i="18" s="1"/>
  <c r="L83" i="18"/>
  <c r="L121" i="18"/>
  <c r="L563" i="18"/>
  <c r="L168" i="18"/>
  <c r="N168" i="18" s="1"/>
  <c r="L863" i="18"/>
  <c r="N863" i="18" s="1"/>
  <c r="L1019" i="18"/>
  <c r="M964" i="18"/>
  <c r="L150" i="18"/>
  <c r="N150" i="18" s="1"/>
  <c r="L882" i="18"/>
  <c r="L538" i="18"/>
  <c r="N538" i="18" s="1"/>
  <c r="M510" i="18"/>
  <c r="L717" i="18"/>
  <c r="M100" i="18"/>
  <c r="L179" i="18"/>
  <c r="N179" i="18" s="1"/>
  <c r="M925" i="18"/>
  <c r="L925" i="18"/>
  <c r="N925" i="18" s="1"/>
  <c r="M345" i="18"/>
  <c r="M85" i="18"/>
  <c r="M599" i="18"/>
  <c r="L230" i="18"/>
  <c r="N230" i="18" s="1"/>
  <c r="M43" i="18"/>
  <c r="L817" i="18"/>
  <c r="L603" i="18"/>
  <c r="L156" i="18"/>
  <c r="M110" i="18"/>
  <c r="L167" i="18"/>
  <c r="N167" i="18" s="1"/>
  <c r="L503" i="18"/>
  <c r="N503" i="18" s="1"/>
  <c r="L350" i="18"/>
  <c r="M524" i="18"/>
  <c r="M101" i="18"/>
  <c r="L559" i="18"/>
  <c r="M206" i="18"/>
  <c r="L80" i="18"/>
  <c r="N80" i="18" s="1"/>
  <c r="M369" i="18"/>
  <c r="L293" i="18"/>
  <c r="L270" i="18"/>
  <c r="L82" i="18"/>
  <c r="L176" i="18"/>
  <c r="M863" i="18"/>
  <c r="L861" i="18"/>
  <c r="N861" i="18" s="1"/>
  <c r="L551" i="18"/>
  <c r="L38" i="18"/>
  <c r="L705" i="18"/>
  <c r="N705" i="18" s="1"/>
  <c r="M65" i="18"/>
  <c r="L498" i="18"/>
  <c r="N498" i="18" s="1"/>
  <c r="L171" i="18"/>
  <c r="L255" i="18"/>
  <c r="L364" i="18"/>
  <c r="N364" i="18" s="1"/>
  <c r="L748" i="18"/>
  <c r="N748" i="18" s="1"/>
  <c r="L155" i="18"/>
  <c r="N155" i="18" s="1"/>
  <c r="L683" i="18"/>
  <c r="M667" i="18"/>
  <c r="L332" i="18"/>
  <c r="L521" i="18"/>
  <c r="L522" i="18"/>
  <c r="L826" i="18"/>
  <c r="L663" i="18"/>
  <c r="N663" i="18" s="1"/>
  <c r="L809" i="18"/>
  <c r="N809" i="18" s="1"/>
  <c r="L493" i="18"/>
  <c r="L828" i="18"/>
  <c r="M407" i="18"/>
  <c r="M731" i="18"/>
  <c r="L23" i="18"/>
  <c r="L240" i="18"/>
  <c r="L50" i="18"/>
  <c r="L386" i="18"/>
  <c r="M349" i="18"/>
  <c r="L722" i="18"/>
  <c r="L12" i="18"/>
  <c r="L60" i="18"/>
  <c r="M434" i="18"/>
  <c r="L791" i="18"/>
  <c r="M889" i="18"/>
  <c r="L434" i="18"/>
  <c r="N434" i="18" s="1"/>
  <c r="M858" i="18"/>
  <c r="M298" i="18"/>
  <c r="L764" i="18"/>
  <c r="L2" i="18"/>
  <c r="L485" i="18"/>
  <c r="L462" i="18"/>
  <c r="N462" i="18" s="1"/>
  <c r="L502" i="18"/>
  <c r="M497" i="18"/>
  <c r="M581" i="18"/>
  <c r="L919" i="18"/>
  <c r="L187" i="18"/>
  <c r="M757" i="18"/>
  <c r="L839" i="18"/>
  <c r="L241" i="18"/>
  <c r="L947" i="18"/>
  <c r="L561" i="18"/>
  <c r="N561" i="18" s="1"/>
  <c r="M334" i="18"/>
  <c r="M305" i="18"/>
  <c r="L162" i="18"/>
  <c r="L978" i="18"/>
  <c r="N978" i="18" s="1"/>
  <c r="L184" i="18"/>
  <c r="N184" i="18" s="1"/>
  <c r="L664" i="18"/>
  <c r="L577" i="18"/>
  <c r="N577" i="18" s="1"/>
  <c r="L21" i="18"/>
  <c r="N21" i="18" s="1"/>
  <c r="L948" i="18"/>
  <c r="L983" i="18"/>
  <c r="N983" i="18" s="1"/>
  <c r="M7" i="18"/>
  <c r="M230" i="18"/>
  <c r="L116" i="18"/>
  <c r="L63" i="18"/>
  <c r="L785" i="18"/>
  <c r="L294" i="18"/>
  <c r="L896" i="18"/>
  <c r="L682" i="18"/>
  <c r="L99" i="18"/>
  <c r="N99" i="18" s="1"/>
  <c r="L509" i="18"/>
  <c r="M987" i="18"/>
  <c r="L320" i="18"/>
  <c r="M520" i="18"/>
  <c r="L651" i="18"/>
  <c r="L133" i="18"/>
  <c r="N133" i="18" s="1"/>
  <c r="M840" i="18"/>
  <c r="L134" i="18"/>
  <c r="M276" i="18"/>
  <c r="M901" i="18"/>
  <c r="M62" i="18"/>
  <c r="L518" i="18"/>
  <c r="N518" i="18" s="1"/>
  <c r="L380" i="18"/>
  <c r="M843" i="18"/>
  <c r="L928" i="18"/>
  <c r="L642" i="18"/>
  <c r="M748" i="18"/>
  <c r="L122" i="18"/>
  <c r="N122" i="18" s="1"/>
  <c r="L153" i="18"/>
  <c r="M125" i="18"/>
  <c r="L18" i="18"/>
  <c r="L976" i="18"/>
  <c r="M143" i="18"/>
  <c r="L119" i="18"/>
  <c r="N119" i="18" s="1"/>
  <c r="L317" i="18"/>
  <c r="M760" i="18"/>
  <c r="L758" i="18"/>
  <c r="N758" i="18" s="1"/>
  <c r="M600" i="18"/>
  <c r="L278" i="18"/>
  <c r="N278" i="18" s="1"/>
  <c r="M462" i="18"/>
  <c r="L296" i="18"/>
  <c r="M933" i="18"/>
  <c r="L749" i="18"/>
  <c r="M184" i="18"/>
  <c r="L636" i="18"/>
  <c r="L290" i="18"/>
  <c r="N290" i="18" s="1"/>
  <c r="M663" i="18"/>
  <c r="L306" i="18"/>
  <c r="M209" i="18"/>
  <c r="L256" i="18"/>
  <c r="N256" i="18" s="1"/>
  <c r="M429" i="18"/>
  <c r="L536" i="18"/>
  <c r="L125" i="18"/>
  <c r="N125" i="18" s="1"/>
  <c r="L334" i="18"/>
  <c r="N334" i="18" s="1"/>
  <c r="L706" i="18"/>
  <c r="L897" i="18"/>
  <c r="L1031" i="18"/>
  <c r="M247" i="18"/>
  <c r="L152" i="18"/>
  <c r="N152" i="18" s="1"/>
  <c r="L368" i="18"/>
  <c r="N368" i="18" s="1"/>
  <c r="L584" i="18"/>
  <c r="N584" i="18" s="1"/>
  <c r="M627" i="18"/>
  <c r="M9" i="18"/>
  <c r="M225" i="18"/>
  <c r="M465" i="18"/>
  <c r="M609" i="18"/>
  <c r="M777" i="18"/>
  <c r="M1005" i="18"/>
  <c r="M477" i="18"/>
  <c r="M137" i="18"/>
  <c r="M365" i="18"/>
  <c r="M569" i="18"/>
  <c r="M797" i="18"/>
  <c r="M66" i="18"/>
  <c r="M210" i="18"/>
  <c r="M402" i="18"/>
  <c r="M534" i="18"/>
  <c r="M702" i="18"/>
  <c r="M243" i="18"/>
  <c r="M735" i="18"/>
  <c r="M545" i="18"/>
  <c r="M892" i="18"/>
  <c r="M894" i="18"/>
  <c r="M1013" i="18"/>
  <c r="M40" i="18"/>
  <c r="M112" i="18"/>
  <c r="M208" i="18"/>
  <c r="M280" i="18"/>
  <c r="M388" i="18"/>
  <c r="M460" i="18"/>
  <c r="M532" i="18"/>
  <c r="M616" i="18"/>
  <c r="M700" i="18"/>
  <c r="M820" i="18"/>
  <c r="L781" i="18"/>
  <c r="N781" i="18" s="1"/>
  <c r="M573" i="18"/>
  <c r="L898" i="18"/>
  <c r="N898" i="18" s="1"/>
  <c r="M866" i="18"/>
  <c r="M756" i="18"/>
  <c r="L396" i="18"/>
  <c r="L285" i="18"/>
  <c r="M876" i="18"/>
  <c r="M878" i="18"/>
  <c r="L517" i="18"/>
  <c r="N517" i="18" s="1"/>
  <c r="L853" i="18"/>
  <c r="L403" i="18"/>
  <c r="N403" i="18" s="1"/>
  <c r="L105" i="18"/>
  <c r="L619" i="18"/>
  <c r="L392" i="18"/>
  <c r="L965" i="18"/>
  <c r="L679" i="18"/>
  <c r="L94" i="18"/>
  <c r="N94" i="18" s="1"/>
  <c r="L862" i="18"/>
  <c r="L271" i="18"/>
  <c r="L275" i="18"/>
  <c r="M745" i="18"/>
  <c r="L314" i="18"/>
  <c r="M235" i="18"/>
  <c r="M519" i="18"/>
  <c r="M5" i="18"/>
  <c r="M197" i="18"/>
  <c r="M714" i="18"/>
  <c r="M500" i="18"/>
  <c r="M190" i="18"/>
  <c r="M406" i="18"/>
  <c r="M730" i="18"/>
  <c r="M1018" i="18"/>
  <c r="M759" i="18"/>
  <c r="M904" i="18"/>
  <c r="M870" i="18"/>
  <c r="M824" i="18"/>
  <c r="M249" i="18"/>
  <c r="M17" i="18"/>
  <c r="M281" i="18"/>
  <c r="M593" i="18"/>
  <c r="L336" i="18"/>
  <c r="L494" i="18"/>
  <c r="M938" i="18"/>
  <c r="M962" i="18"/>
  <c r="L284" i="18"/>
  <c r="L802" i="18"/>
  <c r="M686" i="18"/>
  <c r="M321" i="18"/>
  <c r="M909" i="18"/>
  <c r="M87" i="18"/>
  <c r="L889" i="18"/>
  <c r="N889" i="18" s="1"/>
  <c r="M141" i="18"/>
  <c r="L451" i="18"/>
  <c r="N451" i="18" s="1"/>
  <c r="L548" i="18"/>
  <c r="N548" i="18" s="1"/>
  <c r="M528" i="18"/>
  <c r="M445" i="18"/>
  <c r="L696" i="18"/>
  <c r="M1039" i="18"/>
  <c r="L431" i="18"/>
  <c r="N431" i="18" s="1"/>
  <c r="L981" i="18"/>
  <c r="L905" i="18"/>
  <c r="L195" i="18"/>
  <c r="L723" i="18"/>
  <c r="N723" i="18" s="1"/>
  <c r="M670" i="18"/>
  <c r="L499" i="18"/>
  <c r="N499" i="18" s="1"/>
  <c r="L309" i="18"/>
  <c r="N309" i="18" s="1"/>
  <c r="L667" i="18"/>
  <c r="N667" i="18" s="1"/>
  <c r="L1013" i="18"/>
  <c r="N1013" i="18" s="1"/>
  <c r="L787" i="18"/>
  <c r="M512" i="18"/>
  <c r="L512" i="18"/>
  <c r="N512" i="18" s="1"/>
  <c r="L848" i="18"/>
  <c r="N848" i="18" s="1"/>
  <c r="L514" i="18"/>
  <c r="L970" i="18"/>
  <c r="L876" i="18"/>
  <c r="N876" i="18" s="1"/>
  <c r="L62" i="18"/>
  <c r="N62" i="18" s="1"/>
  <c r="M765" i="18"/>
  <c r="L807" i="18"/>
  <c r="L929" i="18"/>
  <c r="L570" i="18"/>
  <c r="M966" i="18"/>
  <c r="M555" i="18"/>
  <c r="M617" i="18"/>
  <c r="M274" i="18"/>
  <c r="M576" i="18"/>
  <c r="M955" i="18"/>
  <c r="M499" i="18"/>
  <c r="M927" i="18"/>
  <c r="M804" i="18"/>
  <c r="M319" i="18"/>
  <c r="M835" i="18"/>
  <c r="L768" i="18"/>
  <c r="L901" i="18"/>
  <c r="N901" i="18" s="1"/>
  <c r="M851" i="18"/>
  <c r="L372" i="18"/>
  <c r="L539" i="18"/>
  <c r="N539" i="18" s="1"/>
  <c r="M175" i="18"/>
  <c r="L751" i="18"/>
  <c r="L231" i="18"/>
  <c r="L893" i="18"/>
  <c r="L583" i="18"/>
  <c r="L357" i="18"/>
  <c r="L1026" i="18"/>
  <c r="L715" i="18"/>
  <c r="L1038" i="18"/>
  <c r="L267" i="18"/>
  <c r="L526" i="18"/>
  <c r="N526" i="18" s="1"/>
  <c r="L899" i="18"/>
  <c r="M1015" i="18"/>
  <c r="L865" i="18"/>
  <c r="N865" i="18" s="1"/>
  <c r="M647" i="18"/>
  <c r="L398" i="18"/>
  <c r="M440" i="18"/>
  <c r="M348" i="18"/>
  <c r="M457" i="18"/>
  <c r="L632" i="18"/>
  <c r="N632" i="18" s="1"/>
  <c r="L5" i="18"/>
  <c r="N5" i="18" s="1"/>
  <c r="L605" i="18"/>
  <c r="N605" i="18" s="1"/>
  <c r="L54" i="18"/>
  <c r="M390" i="18"/>
  <c r="L714" i="18"/>
  <c r="N714" i="18" s="1"/>
  <c r="M1028" i="18"/>
  <c r="L586" i="18"/>
  <c r="L874" i="18"/>
  <c r="M148" i="18"/>
  <c r="L637" i="18"/>
  <c r="M539" i="18"/>
  <c r="L229" i="18"/>
  <c r="N229" i="18" s="1"/>
  <c r="L662" i="18"/>
  <c r="L902" i="18"/>
  <c r="N902" i="18" s="1"/>
  <c r="L335" i="18"/>
  <c r="L491" i="18"/>
  <c r="N491" i="18" s="1"/>
  <c r="L635" i="18"/>
  <c r="L911" i="18"/>
  <c r="L624" i="18"/>
  <c r="L420" i="18"/>
  <c r="N420" i="18" s="1"/>
  <c r="L744" i="18"/>
  <c r="N744" i="18" s="1"/>
  <c r="L59" i="18"/>
  <c r="L1033" i="18"/>
  <c r="L385" i="18"/>
  <c r="N385" i="18" s="1"/>
  <c r="L242" i="18"/>
  <c r="N242" i="18" s="1"/>
  <c r="M188" i="18"/>
  <c r="L197" i="18"/>
  <c r="N197" i="18" s="1"/>
  <c r="M504" i="18"/>
  <c r="M297" i="18"/>
  <c r="L86" i="18"/>
  <c r="N86" i="18" s="1"/>
  <c r="L914" i="18"/>
  <c r="N914" i="18" s="1"/>
  <c r="M595" i="18"/>
  <c r="M283" i="18"/>
  <c r="M11" i="18"/>
  <c r="M923" i="18"/>
  <c r="L895" i="18"/>
  <c r="L70" i="18"/>
  <c r="N70" i="18" s="1"/>
  <c r="L327" i="18"/>
  <c r="N327" i="18" s="1"/>
  <c r="L867" i="18"/>
  <c r="N867" i="18" s="1"/>
  <c r="L1037" i="18"/>
  <c r="L811" i="18"/>
  <c r="L151" i="18"/>
  <c r="L823" i="18"/>
  <c r="N823" i="18" s="1"/>
  <c r="L55" i="18"/>
  <c r="L214" i="18"/>
  <c r="L238" i="18"/>
  <c r="L79" i="18"/>
  <c r="N79" i="18" s="1"/>
  <c r="L272" i="18"/>
  <c r="L647" i="18"/>
  <c r="N647" i="18" s="1"/>
  <c r="L686" i="18"/>
  <c r="N686" i="18" s="1"/>
  <c r="L158" i="18"/>
  <c r="N158" i="18" s="1"/>
  <c r="M914" i="18"/>
  <c r="M421" i="18"/>
  <c r="M326" i="18"/>
  <c r="L188" i="18"/>
  <c r="N188" i="18" s="1"/>
  <c r="L519" i="18"/>
  <c r="N519" i="18" s="1"/>
  <c r="L389" i="18"/>
  <c r="L198" i="18"/>
  <c r="M115" i="18"/>
  <c r="L986" i="18"/>
  <c r="M710" i="18"/>
  <c r="M523" i="18"/>
  <c r="M891" i="18"/>
  <c r="M81" i="18"/>
  <c r="M992" i="18"/>
  <c r="L595" i="18"/>
  <c r="N595" i="18" s="1"/>
  <c r="M466" i="18"/>
  <c r="M1008" i="18"/>
  <c r="L120" i="18"/>
  <c r="N120" i="18" s="1"/>
  <c r="L792" i="18"/>
  <c r="L767" i="18"/>
  <c r="N767" i="18" s="1"/>
  <c r="L67" i="18"/>
  <c r="N67" i="18" s="1"/>
  <c r="L931" i="18"/>
  <c r="L15" i="18"/>
  <c r="L339" i="18"/>
  <c r="L927" i="18"/>
  <c r="N927" i="18" s="1"/>
  <c r="M177" i="18"/>
  <c r="L859" i="18"/>
  <c r="L235" i="18"/>
  <c r="N235" i="18" s="1"/>
  <c r="L249" i="18"/>
  <c r="N249" i="18" s="1"/>
  <c r="L127" i="18"/>
  <c r="M943" i="18"/>
  <c r="L943" i="18"/>
  <c r="N943" i="18" s="1"/>
  <c r="L658" i="18"/>
  <c r="N658" i="18" s="1"/>
  <c r="L259" i="18"/>
  <c r="L428" i="18"/>
  <c r="L189" i="18"/>
  <c r="L405" i="18"/>
  <c r="N405" i="18" s="1"/>
  <c r="L585" i="18"/>
  <c r="L753" i="18"/>
  <c r="N753" i="18" s="1"/>
  <c r="L945" i="18"/>
  <c r="N945" i="18" s="1"/>
  <c r="M819" i="18"/>
  <c r="M135" i="18"/>
  <c r="M783" i="18"/>
  <c r="M1012" i="18"/>
  <c r="M149" i="18"/>
  <c r="M353" i="18"/>
  <c r="M557" i="18"/>
  <c r="L881" i="18"/>
  <c r="L30" i="18"/>
  <c r="M174" i="18"/>
  <c r="M318" i="18"/>
  <c r="M546" i="18"/>
  <c r="M690" i="18"/>
  <c r="M942" i="18"/>
  <c r="M968" i="18"/>
  <c r="M417" i="18"/>
  <c r="M1025" i="18"/>
  <c r="M154" i="18"/>
  <c r="M370" i="18"/>
  <c r="M550" i="18"/>
  <c r="M694" i="18"/>
  <c r="M838" i="18"/>
  <c r="M982" i="18"/>
  <c r="M961" i="18"/>
  <c r="M447" i="18"/>
  <c r="M687" i="18"/>
  <c r="M856" i="18"/>
  <c r="L89" i="18"/>
  <c r="L329" i="18"/>
  <c r="L533" i="18"/>
  <c r="L761" i="18"/>
  <c r="L42" i="18"/>
  <c r="N42" i="18" s="1"/>
  <c r="L186" i="18"/>
  <c r="L330" i="18"/>
  <c r="N330" i="18" s="1"/>
  <c r="L510" i="18"/>
  <c r="N510" i="18" s="1"/>
  <c r="L678" i="18"/>
  <c r="L846" i="18"/>
  <c r="N846" i="18" s="1"/>
  <c r="L1014" i="18"/>
  <c r="M130" i="18"/>
  <c r="L207" i="18"/>
  <c r="L423" i="18"/>
  <c r="N423" i="18" s="1"/>
  <c r="M245" i="18"/>
  <c r="L545" i="18"/>
  <c r="N545" i="18" s="1"/>
  <c r="M989" i="18"/>
  <c r="M921" i="18"/>
  <c r="L987" i="18"/>
  <c r="N987" i="18" s="1"/>
  <c r="M833" i="18"/>
  <c r="M399" i="18"/>
  <c r="M994" i="18"/>
  <c r="L28" i="18"/>
  <c r="L100" i="18"/>
  <c r="N100" i="18" s="1"/>
  <c r="L196" i="18"/>
  <c r="L268" i="18"/>
  <c r="L376" i="18"/>
  <c r="L448" i="18"/>
  <c r="N448" i="18" s="1"/>
  <c r="L520" i="18"/>
  <c r="N520" i="18" s="1"/>
  <c r="L604" i="18"/>
  <c r="L676" i="18"/>
  <c r="N676" i="18" s="1"/>
  <c r="L760" i="18"/>
  <c r="N760" i="18" s="1"/>
  <c r="L253" i="18"/>
  <c r="M650" i="18"/>
  <c r="M530" i="18"/>
  <c r="M951" i="18"/>
  <c r="M430" i="18"/>
  <c r="L864" i="18"/>
  <c r="M381" i="18"/>
  <c r="M829" i="18"/>
  <c r="L720" i="18"/>
  <c r="M193" i="18"/>
  <c r="L721" i="18"/>
  <c r="M157" i="18"/>
  <c r="L769" i="18"/>
  <c r="L169" i="18"/>
  <c r="N169" i="18" s="1"/>
  <c r="L505" i="18"/>
  <c r="N505" i="18" s="1"/>
  <c r="L841" i="18"/>
  <c r="N841" i="18" s="1"/>
  <c r="M93" i="18"/>
  <c r="M885" i="18"/>
  <c r="L710" i="18"/>
  <c r="N710" i="18" s="1"/>
  <c r="L926" i="18"/>
  <c r="N926" i="18" s="1"/>
  <c r="L547" i="18"/>
  <c r="L492" i="18"/>
  <c r="M361" i="18"/>
  <c r="L142" i="18"/>
  <c r="N142" i="18" s="1"/>
  <c r="L562" i="18"/>
  <c r="L409" i="18"/>
  <c r="N409" i="18" s="1"/>
  <c r="L11" i="18"/>
  <c r="N11" i="18" s="1"/>
  <c r="L359" i="18"/>
  <c r="L527" i="18"/>
  <c r="N527" i="18" s="1"/>
  <c r="L671" i="18"/>
  <c r="N671" i="18" s="1"/>
  <c r="L923" i="18"/>
  <c r="N923" i="18" s="1"/>
  <c r="L732" i="18"/>
  <c r="L84" i="18"/>
  <c r="L456" i="18"/>
  <c r="L756" i="18"/>
  <c r="N756" i="18" s="1"/>
  <c r="L95" i="18"/>
  <c r="L719" i="18"/>
  <c r="N719" i="18" s="1"/>
  <c r="M660" i="18"/>
  <c r="L19" i="18"/>
  <c r="N19" i="18" s="1"/>
  <c r="L835" i="18"/>
  <c r="N835" i="18" s="1"/>
  <c r="M236" i="18"/>
  <c r="L291" i="18"/>
  <c r="L819" i="18"/>
  <c r="N819" i="18" s="1"/>
  <c r="L941" i="18"/>
  <c r="L763" i="18"/>
  <c r="L549" i="18"/>
  <c r="L43" i="18"/>
  <c r="N43" i="18" s="1"/>
  <c r="L775" i="18"/>
  <c r="N775" i="18" s="1"/>
  <c r="L740" i="18"/>
  <c r="N740" i="18" s="1"/>
  <c r="L7" i="18"/>
  <c r="N7" i="18" s="1"/>
  <c r="L847" i="18"/>
  <c r="L213" i="18"/>
  <c r="N213" i="18" s="1"/>
  <c r="L411" i="18"/>
  <c r="N411" i="18" s="1"/>
  <c r="L178" i="18"/>
  <c r="L610" i="18"/>
  <c r="L1006" i="18"/>
  <c r="L367" i="18"/>
  <c r="L464" i="18"/>
  <c r="M565" i="18"/>
  <c r="L384" i="18"/>
  <c r="M695" i="18"/>
  <c r="M505" i="18"/>
  <c r="M793" i="18"/>
  <c r="L3" i="18"/>
  <c r="L74" i="18"/>
  <c r="N74" i="18" s="1"/>
  <c r="L170" i="18"/>
  <c r="N170" i="18" s="1"/>
  <c r="L254" i="18"/>
  <c r="L326" i="18"/>
  <c r="N326" i="18" s="1"/>
  <c r="L410" i="18"/>
  <c r="M8" i="18"/>
  <c r="M224" i="18"/>
  <c r="M476" i="18"/>
  <c r="M728" i="18"/>
  <c r="M788" i="18"/>
  <c r="L45" i="18"/>
  <c r="L261" i="18"/>
  <c r="L489" i="18"/>
  <c r="L633" i="18"/>
  <c r="N633" i="18" s="1"/>
  <c r="L825" i="18"/>
  <c r="L1017" i="18"/>
  <c r="M543" i="18"/>
  <c r="M975" i="18"/>
  <c r="M41" i="18"/>
  <c r="M233" i="18"/>
  <c r="M425" i="18"/>
  <c r="M653" i="18"/>
  <c r="M1001" i="18"/>
  <c r="M78" i="18"/>
  <c r="M222" i="18"/>
  <c r="M414" i="18"/>
  <c r="M594" i="18"/>
  <c r="M738" i="18"/>
  <c r="M1002" i="18"/>
  <c r="M39" i="18"/>
  <c r="M608" i="18"/>
  <c r="M10" i="18"/>
  <c r="M226" i="18"/>
  <c r="M454" i="18"/>
  <c r="M598" i="18"/>
  <c r="M742" i="18"/>
  <c r="M886" i="18"/>
  <c r="M1030" i="18"/>
  <c r="M620" i="18"/>
  <c r="M495" i="18"/>
  <c r="M831" i="18"/>
  <c r="M1000" i="18"/>
  <c r="L161" i="18"/>
  <c r="L401" i="18"/>
  <c r="L617" i="18"/>
  <c r="N617" i="18" s="1"/>
  <c r="L821" i="18"/>
  <c r="L90" i="18"/>
  <c r="L234" i="18"/>
  <c r="L426" i="18"/>
  <c r="L558" i="18"/>
  <c r="M726" i="18"/>
  <c r="L906" i="18"/>
  <c r="M872" i="18"/>
  <c r="M303" i="18"/>
  <c r="L279" i="18"/>
  <c r="L915" i="18"/>
  <c r="M53" i="18"/>
  <c r="M377" i="18"/>
  <c r="M629" i="18"/>
  <c r="L940" i="18"/>
  <c r="N940" i="18" s="1"/>
  <c r="L990" i="18"/>
  <c r="N990" i="18" s="1"/>
  <c r="M572" i="18"/>
  <c r="L52" i="18"/>
  <c r="N52" i="18" s="1"/>
  <c r="L148" i="18"/>
  <c r="N148" i="18" s="1"/>
  <c r="L220" i="18"/>
  <c r="N220" i="18" s="1"/>
  <c r="L292" i="18"/>
  <c r="L400" i="18"/>
  <c r="M472" i="18"/>
  <c r="M544" i="18"/>
  <c r="L628" i="18"/>
  <c r="M712" i="18"/>
  <c r="L832" i="18"/>
  <c r="N832" i="18" s="1"/>
  <c r="M106" i="18"/>
  <c r="M33" i="18"/>
  <c r="K574" i="18"/>
  <c r="L574" i="18" s="1"/>
  <c r="N574" i="18" s="1"/>
  <c r="M574" i="18"/>
  <c r="M993" i="18"/>
  <c r="M540" i="18"/>
  <c r="L960" i="18"/>
  <c r="N960" i="18" s="1"/>
  <c r="M397" i="18"/>
  <c r="M875" i="18"/>
  <c r="M877" i="18"/>
  <c r="M969" i="18"/>
  <c r="M977" i="18"/>
  <c r="L265" i="18"/>
  <c r="L601" i="18"/>
  <c r="L937" i="18"/>
  <c r="N937" i="18" s="1"/>
  <c r="M201" i="18"/>
  <c r="L542" i="18"/>
  <c r="L770" i="18"/>
  <c r="L1010" i="18"/>
  <c r="L139" i="18"/>
  <c r="L691" i="18"/>
  <c r="M140" i="18"/>
  <c r="L684" i="18"/>
  <c r="L288" i="18"/>
  <c r="L733" i="18"/>
  <c r="L202" i="18"/>
  <c r="M612" i="18"/>
  <c r="L407" i="18"/>
  <c r="N407" i="18" s="1"/>
  <c r="L587" i="18"/>
  <c r="L731" i="18"/>
  <c r="N731" i="18" s="1"/>
  <c r="L1007" i="18"/>
  <c r="L13" i="18"/>
  <c r="L180" i="18"/>
  <c r="L552" i="18"/>
  <c r="L852" i="18"/>
  <c r="L239" i="18"/>
  <c r="L875" i="18"/>
  <c r="N875" i="18" s="1"/>
  <c r="L470" i="18"/>
  <c r="N470" i="18" s="1"/>
  <c r="L319" i="18"/>
  <c r="N319" i="18" s="1"/>
  <c r="L56" i="18"/>
  <c r="N56" i="18" s="1"/>
  <c r="L51" i="18"/>
  <c r="L435" i="18"/>
  <c r="N435" i="18" s="1"/>
  <c r="L963" i="18"/>
  <c r="L31" i="18"/>
  <c r="L967" i="18"/>
  <c r="N967" i="18" s="1"/>
  <c r="L358" i="18"/>
  <c r="L343" i="18"/>
  <c r="L1003" i="18"/>
  <c r="L393" i="18"/>
  <c r="N393" i="18" s="1"/>
  <c r="L68" i="18"/>
  <c r="N68" i="18" s="1"/>
  <c r="L204" i="18"/>
  <c r="L891" i="18"/>
  <c r="N891" i="18" s="1"/>
  <c r="L506" i="18"/>
  <c r="L957" i="18"/>
  <c r="L459" i="18"/>
  <c r="L322" i="18"/>
  <c r="L718" i="18"/>
  <c r="N718" i="18" s="1"/>
  <c r="L560" i="18"/>
  <c r="L655" i="18"/>
  <c r="L972" i="18"/>
  <c r="M258" i="18"/>
  <c r="M750" i="18"/>
  <c r="M393" i="18"/>
  <c r="M988" i="18"/>
  <c r="M1004" i="18"/>
  <c r="M160" i="18"/>
  <c r="M640" i="18"/>
  <c r="M453" i="18"/>
  <c r="M924" i="18"/>
  <c r="M144" i="18"/>
  <c r="M68" i="18"/>
  <c r="L602" i="18"/>
  <c r="M108" i="18"/>
  <c r="M575" i="18"/>
  <c r="M554" i="18"/>
  <c r="M907" i="18"/>
  <c r="M468" i="18"/>
  <c r="M998" i="18"/>
  <c r="M446" i="18"/>
  <c r="L277" i="18"/>
  <c r="L649" i="18"/>
  <c r="N649" i="18" s="1"/>
  <c r="L949" i="18"/>
  <c r="L566" i="18"/>
  <c r="L806" i="18"/>
  <c r="N806" i="18" s="1"/>
  <c r="L1022" i="18"/>
  <c r="M799" i="18"/>
  <c r="M360" i="18"/>
  <c r="L228" i="18"/>
  <c r="L900" i="18"/>
  <c r="L299" i="18"/>
  <c r="L959" i="18"/>
  <c r="M57" i="18"/>
  <c r="L415" i="18"/>
  <c r="L164" i="18"/>
  <c r="N164" i="18" s="1"/>
  <c r="L87" i="18"/>
  <c r="N87" i="18" s="1"/>
  <c r="L483" i="18"/>
  <c r="L999" i="18"/>
  <c r="L91" i="18"/>
  <c r="L1039" i="18"/>
  <c r="N1039" i="18" s="1"/>
  <c r="M250" i="18"/>
  <c r="L391" i="18"/>
  <c r="L501" i="18"/>
  <c r="N501" i="18" s="1"/>
  <c r="L307" i="18"/>
  <c r="L104" i="18"/>
  <c r="L129" i="18"/>
  <c r="N129" i="18" s="1"/>
  <c r="L939" i="18"/>
  <c r="N939" i="18" s="1"/>
  <c r="L754" i="18"/>
  <c r="N754" i="18" s="1"/>
  <c r="L908" i="18"/>
  <c r="N908" i="18" s="1"/>
  <c r="L650" i="18"/>
  <c r="N650" i="18" s="1"/>
  <c r="L620" i="18"/>
  <c r="N620" i="18" s="1"/>
  <c r="M747" i="18"/>
  <c r="M114" i="18"/>
  <c r="K450" i="18"/>
  <c r="L450" i="18" s="1"/>
  <c r="N450" i="18" s="1"/>
  <c r="M450" i="18"/>
  <c r="M622" i="18"/>
  <c r="M631" i="18"/>
  <c r="M24" i="18"/>
  <c r="M743" i="18"/>
  <c r="L61" i="18"/>
  <c r="M553" i="18"/>
  <c r="L14" i="18"/>
  <c r="N14" i="18" s="1"/>
  <c r="L182" i="18"/>
  <c r="L266" i="18"/>
  <c r="N266" i="18" s="1"/>
  <c r="L338" i="18"/>
  <c r="L422" i="18"/>
  <c r="M44" i="18"/>
  <c r="M260" i="18"/>
  <c r="M488" i="18"/>
  <c r="M944" i="18"/>
  <c r="L81" i="18"/>
  <c r="N81" i="18" s="1"/>
  <c r="L297" i="18"/>
  <c r="N297" i="18" s="1"/>
  <c r="L513" i="18"/>
  <c r="N513" i="18" s="1"/>
  <c r="L657" i="18"/>
  <c r="N657" i="18" s="1"/>
  <c r="L849" i="18"/>
  <c r="L1029" i="18"/>
  <c r="M771" i="18"/>
  <c r="M615" i="18"/>
  <c r="M880" i="18"/>
  <c r="M77" i="18"/>
  <c r="M257" i="18"/>
  <c r="M449" i="18"/>
  <c r="M725" i="18"/>
  <c r="M704" i="18"/>
  <c r="M102" i="18"/>
  <c r="M246" i="18"/>
  <c r="M438" i="18"/>
  <c r="M618" i="18"/>
  <c r="M834" i="18"/>
  <c r="M680" i="18"/>
  <c r="M129" i="18"/>
  <c r="M46" i="18"/>
  <c r="M262" i="18"/>
  <c r="M490" i="18"/>
  <c r="M634" i="18"/>
  <c r="M778" i="18"/>
  <c r="M910" i="18"/>
  <c r="M219" i="18"/>
  <c r="M567" i="18"/>
  <c r="M855" i="18"/>
  <c r="M884" i="18"/>
  <c r="L185" i="18"/>
  <c r="L437" i="18"/>
  <c r="L641" i="18"/>
  <c r="N641" i="18" s="1"/>
  <c r="L869" i="18"/>
  <c r="N869" i="18" s="1"/>
  <c r="L114" i="18"/>
  <c r="N114" i="18" s="1"/>
  <c r="L258" i="18"/>
  <c r="N258" i="18" s="1"/>
  <c r="L582" i="18"/>
  <c r="L930" i="18"/>
  <c r="M932" i="18"/>
  <c r="M418" i="18"/>
  <c r="L315" i="18"/>
  <c r="L784" i="18"/>
  <c r="L113" i="18"/>
  <c r="M413" i="18"/>
  <c r="M737" i="18"/>
  <c r="M668" i="18"/>
  <c r="L1004" i="18"/>
  <c r="N1004" i="18" s="1"/>
  <c r="M645" i="18"/>
  <c r="M64" i="18"/>
  <c r="L160" i="18"/>
  <c r="N160" i="18" s="1"/>
  <c r="L232" i="18"/>
  <c r="M340" i="18"/>
  <c r="L412" i="18"/>
  <c r="L484" i="18"/>
  <c r="L556" i="18"/>
  <c r="L724" i="18"/>
  <c r="N724" i="18" s="1"/>
  <c r="L844" i="18"/>
  <c r="N844" i="18" s="1"/>
  <c r="M529" i="18"/>
  <c r="M950" i="18"/>
  <c r="M746" i="18"/>
  <c r="M107" i="18"/>
  <c r="M638" i="18"/>
  <c r="M607" i="18"/>
  <c r="M1027" i="18"/>
  <c r="M433" i="18"/>
  <c r="M935" i="18"/>
  <c r="M578" i="18"/>
  <c r="M1034" i="18"/>
  <c r="L25" i="18"/>
  <c r="L313" i="18"/>
  <c r="L661" i="18"/>
  <c r="L985" i="18"/>
  <c r="M525" i="18"/>
  <c r="L578" i="18"/>
  <c r="N578" i="18" s="1"/>
  <c r="L818" i="18"/>
  <c r="M703" i="18"/>
  <c r="M199" i="18"/>
  <c r="L799" i="18"/>
  <c r="N799" i="18" s="1"/>
  <c r="M212" i="18"/>
  <c r="M780" i="18"/>
  <c r="M324" i="18"/>
  <c r="L913" i="18"/>
  <c r="N913" i="18" s="1"/>
  <c r="L286" i="18"/>
  <c r="N286" i="18" s="1"/>
  <c r="L888" i="18"/>
  <c r="L251" i="18"/>
  <c r="L443" i="18"/>
  <c r="L611" i="18"/>
  <c r="L779" i="18"/>
  <c r="L252" i="18"/>
  <c r="M613" i="18"/>
  <c r="L264" i="18"/>
  <c r="L600" i="18"/>
  <c r="N600" i="18" s="1"/>
  <c r="L936" i="18"/>
  <c r="N936" i="18" s="1"/>
  <c r="L347" i="18"/>
  <c r="N347" i="18" s="1"/>
  <c r="M323" i="18"/>
  <c r="L463" i="18"/>
  <c r="L692" i="18"/>
  <c r="L123" i="18"/>
  <c r="L531" i="18"/>
  <c r="L1011" i="18"/>
  <c r="L163" i="18"/>
  <c r="L20" i="18"/>
  <c r="M165" i="18"/>
  <c r="L439" i="18"/>
  <c r="L200" i="18"/>
  <c r="N200" i="18" s="1"/>
  <c r="L597" i="18"/>
  <c r="N597" i="18" s="1"/>
  <c r="L427" i="18"/>
  <c r="L308" i="18"/>
  <c r="L1032" i="18"/>
  <c r="L237" i="18"/>
  <c r="L355" i="18"/>
  <c r="L1023" i="18"/>
  <c r="L382" i="18"/>
  <c r="L766" i="18"/>
  <c r="L842" i="18"/>
  <c r="N842" i="18" s="1"/>
  <c r="L131" i="18"/>
  <c r="L752" i="18"/>
  <c r="N752" i="18" s="1"/>
  <c r="L995" i="18"/>
  <c r="N995" i="18" s="1"/>
  <c r="L236" i="18"/>
  <c r="N236" i="18" s="1"/>
  <c r="L311" i="18"/>
  <c r="L433" i="18"/>
  <c r="N433" i="18" s="1"/>
  <c r="M117" i="18"/>
  <c r="M333" i="18"/>
  <c r="M537" i="18"/>
  <c r="M681" i="18"/>
  <c r="M873" i="18"/>
  <c r="M1041" i="18"/>
  <c r="M183" i="18"/>
  <c r="M789" i="18"/>
  <c r="M363" i="18"/>
  <c r="M29" i="18"/>
  <c r="M269" i="18"/>
  <c r="L461" i="18"/>
  <c r="N461" i="18" s="1"/>
  <c r="M677" i="18"/>
  <c r="M917" i="18"/>
  <c r="M138" i="18"/>
  <c r="M282" i="18"/>
  <c r="M474" i="18"/>
  <c r="M606" i="18"/>
  <c r="M774" i="18"/>
  <c r="L954" i="18"/>
  <c r="N954" i="18" s="1"/>
  <c r="M478" i="18"/>
  <c r="M27" i="18"/>
  <c r="M351" i="18"/>
  <c r="M868" i="18"/>
  <c r="M718" i="18"/>
  <c r="M1036" i="18"/>
  <c r="M32" i="18"/>
  <c r="M4" i="18"/>
  <c r="M76" i="18"/>
  <c r="M172" i="18"/>
  <c r="M244" i="18"/>
  <c r="M352" i="18"/>
  <c r="M424" i="18"/>
  <c r="M496" i="18"/>
  <c r="M568" i="18"/>
  <c r="M652" i="18"/>
  <c r="M736" i="18"/>
  <c r="M22" i="18"/>
  <c r="M564" i="18"/>
  <c r="M1020" i="18"/>
  <c r="M263" i="18"/>
  <c r="L782" i="18"/>
  <c r="M181" i="18"/>
  <c r="M674" i="18"/>
  <c r="M191" i="18"/>
  <c r="M643" i="18"/>
  <c r="M467" i="18"/>
  <c r="M967" i="18"/>
  <c r="M974" i="18"/>
  <c r="M621" i="18"/>
  <c r="L37" i="18"/>
  <c r="N37" i="18" s="1"/>
  <c r="L697" i="18"/>
  <c r="N697" i="18" s="1"/>
  <c r="L997" i="18"/>
  <c r="N997" i="18" s="1"/>
  <c r="L614" i="18"/>
  <c r="L830" i="18"/>
  <c r="M883" i="18"/>
  <c r="M211" i="18"/>
  <c r="M979" i="18"/>
  <c r="M310" i="18"/>
  <c r="M408" i="18"/>
  <c r="M325" i="18"/>
  <c r="L442" i="18"/>
  <c r="N442" i="18" s="1"/>
  <c r="M912" i="18"/>
  <c r="M346" i="18"/>
  <c r="M287" i="18"/>
  <c r="M479" i="18"/>
  <c r="M623" i="18"/>
  <c r="M815" i="18"/>
  <c r="M588" i="18"/>
  <c r="L276" i="18"/>
  <c r="N276" i="18" s="1"/>
  <c r="L648" i="18"/>
  <c r="L996" i="18"/>
  <c r="L383" i="18"/>
  <c r="L103" i="18"/>
  <c r="M669" i="18"/>
  <c r="L511" i="18"/>
  <c r="N511" i="18" s="1"/>
  <c r="L836" i="18"/>
  <c r="L147" i="18"/>
  <c r="L579" i="18"/>
  <c r="L1035" i="18"/>
  <c r="L295" i="18"/>
  <c r="N295" i="18" s="1"/>
  <c r="M444" i="18"/>
  <c r="L487" i="18"/>
  <c r="L248" i="18"/>
  <c r="L837" i="18"/>
  <c r="L523" i="18"/>
  <c r="N523" i="18" s="1"/>
  <c r="L500" i="18"/>
  <c r="N500" i="18" s="1"/>
  <c r="L273" i="18"/>
  <c r="N273" i="18" s="1"/>
  <c r="L739" i="18"/>
  <c r="N739" i="18" s="1"/>
  <c r="L34" i="18"/>
  <c r="L394" i="18"/>
  <c r="L814" i="18"/>
  <c r="M480" i="18"/>
  <c r="L890" i="18"/>
  <c r="L71" i="18"/>
  <c r="L800" i="18"/>
  <c r="N800" i="18" s="1"/>
  <c r="L455" i="18"/>
  <c r="L673" i="18"/>
  <c r="N673" i="18" s="1"/>
  <c r="M946" i="18"/>
  <c r="M452" i="18"/>
  <c r="M591" i="18"/>
  <c r="M903" i="18"/>
  <c r="M461" i="18"/>
  <c r="M954" i="18"/>
  <c r="M1016" i="18"/>
  <c r="M173" i="18"/>
  <c r="M473" i="18"/>
  <c r="M773" i="18"/>
  <c r="M741" i="18"/>
  <c r="M75" i="18"/>
  <c r="M111" i="18"/>
  <c r="M58" i="18"/>
  <c r="M596" i="18"/>
  <c r="M337" i="18"/>
  <c r="M827" i="18"/>
  <c r="M708" i="18"/>
  <c r="M192" i="18"/>
  <c r="M675" i="18"/>
  <c r="M36" i="18"/>
  <c r="M685" i="18"/>
  <c r="L73" i="18"/>
  <c r="L373" i="18"/>
  <c r="L709" i="18"/>
  <c r="M693" i="18"/>
  <c r="L626" i="18"/>
  <c r="L854" i="18"/>
  <c r="N854" i="18" s="1"/>
  <c r="M356" i="18"/>
  <c r="M734" i="18"/>
  <c r="M49" i="18"/>
  <c r="M934" i="18"/>
  <c r="M589" i="18"/>
  <c r="M442" i="18"/>
  <c r="M590" i="18"/>
  <c r="M698" i="18"/>
  <c r="L312" i="18"/>
  <c r="N312" i="18" s="1"/>
  <c r="M659" i="18"/>
  <c r="L395" i="18"/>
  <c r="L980" i="18"/>
  <c r="L159" i="18"/>
  <c r="L627" i="18"/>
  <c r="N627" i="18" s="1"/>
  <c r="M92" i="18"/>
  <c r="L331" i="18"/>
  <c r="L69" i="18"/>
  <c r="N69" i="18" s="1"/>
  <c r="M755" i="18"/>
  <c r="L535" i="18"/>
  <c r="N535" i="18" s="1"/>
  <c r="L344" i="18"/>
  <c r="L571" i="18"/>
  <c r="N571" i="18" s="1"/>
  <c r="L644" i="18"/>
  <c r="L590" i="18"/>
  <c r="N590" i="18" s="1"/>
  <c r="L321" i="18"/>
  <c r="N321" i="18" s="1"/>
  <c r="L716" i="18"/>
  <c r="N716" i="18" s="1"/>
  <c r="L58" i="18"/>
  <c r="N58" i="18" s="1"/>
  <c r="L430" i="18"/>
  <c r="N430" i="18" s="1"/>
  <c r="L850" i="18"/>
  <c r="L707" i="18"/>
  <c r="N707" i="18" s="1"/>
  <c r="M48" i="18"/>
  <c r="L128" i="18"/>
  <c r="L227" i="18"/>
  <c r="M1009" i="18"/>
  <c r="L699" i="18"/>
  <c r="L812" i="18"/>
  <c r="J2" i="26" l="1"/>
  <c r="I2" i="34"/>
  <c r="K4" i="26"/>
  <c r="E4" i="26"/>
  <c r="E3" i="26"/>
  <c r="K3" i="26"/>
  <c r="C8" i="23"/>
  <c r="D8" i="24" s="1"/>
  <c r="C7" i="23"/>
  <c r="D7" i="24" s="1"/>
  <c r="C9" i="23"/>
  <c r="D9" i="24" s="1"/>
  <c r="L2" i="26"/>
  <c r="E4" i="24"/>
  <c r="F4" i="24" s="1"/>
  <c r="E6" i="24"/>
  <c r="F6" i="24" s="1"/>
  <c r="E3" i="24"/>
  <c r="F3" i="24" s="1"/>
  <c r="E5" i="24"/>
  <c r="F5" i="24" s="1"/>
  <c r="M6" i="21"/>
  <c r="N6" i="21" s="1"/>
  <c r="P6" i="21"/>
  <c r="M5" i="21"/>
  <c r="O5" i="21" s="1"/>
  <c r="P5" i="21"/>
  <c r="E2" i="24"/>
  <c r="F2" i="24" s="1"/>
  <c r="Q5" i="21"/>
  <c r="M4" i="21"/>
  <c r="O4" i="21" s="1"/>
  <c r="P4" i="21"/>
  <c r="M3" i="21"/>
  <c r="N3" i="21" s="1"/>
  <c r="P3" i="21"/>
  <c r="M2" i="21"/>
  <c r="N2" i="21" s="1"/>
  <c r="P2" i="21"/>
  <c r="N5" i="21"/>
  <c r="M74" i="18"/>
  <c r="M347" i="18"/>
  <c r="M526" i="18"/>
  <c r="M605" i="18"/>
  <c r="M120" i="18"/>
  <c r="M697" i="18"/>
  <c r="M848" i="18"/>
  <c r="M795" i="18"/>
  <c r="M752" i="18"/>
  <c r="M960" i="18"/>
  <c r="M740" i="18"/>
  <c r="M86" i="18"/>
  <c r="M385" i="18"/>
  <c r="M939" i="18"/>
  <c r="M409" i="18"/>
  <c r="M666" i="18"/>
  <c r="M571" i="18"/>
  <c r="M775" i="18"/>
  <c r="M503" i="18"/>
  <c r="M753" i="18"/>
  <c r="M242" i="18"/>
  <c r="M842" i="18"/>
  <c r="M266" i="18"/>
  <c r="M658" i="18"/>
  <c r="M19" i="18"/>
  <c r="M423" i="18"/>
  <c r="M767" i="18"/>
  <c r="M168" i="18"/>
  <c r="M561" i="18"/>
  <c r="M676" i="18"/>
  <c r="M99" i="18"/>
  <c r="M169" i="18"/>
  <c r="M781" i="18"/>
  <c r="M295" i="18"/>
  <c r="M56" i="18"/>
  <c r="M158" i="18"/>
  <c r="M16" i="18"/>
  <c r="M167" i="18"/>
  <c r="M432" i="18"/>
  <c r="M511" i="18"/>
  <c r="M707" i="18"/>
  <c r="M641" i="18"/>
  <c r="M869" i="18"/>
  <c r="M800" i="18"/>
  <c r="M411" i="18"/>
  <c r="M14" i="18"/>
  <c r="M67" i="18"/>
  <c r="M170" i="18"/>
  <c r="M491" i="18"/>
  <c r="M832" i="18"/>
  <c r="M633" i="18"/>
  <c r="M632" i="18"/>
  <c r="M865" i="18"/>
  <c r="M867" i="18"/>
  <c r="M823" i="18"/>
  <c r="M577" i="18"/>
  <c r="M518" i="18"/>
  <c r="M846" i="18"/>
  <c r="M754" i="18"/>
  <c r="M861" i="18"/>
  <c r="M470" i="18"/>
  <c r="M945" i="18"/>
  <c r="M538" i="18"/>
  <c r="M215" i="18"/>
  <c r="M220" i="18"/>
  <c r="M926" i="18"/>
  <c r="M431" i="18"/>
  <c r="M290" i="18"/>
  <c r="M309" i="18"/>
  <c r="M42" i="18"/>
  <c r="M983" i="18"/>
  <c r="M646" i="18"/>
  <c r="M213" i="18"/>
  <c r="M21" i="18"/>
  <c r="M908" i="18"/>
  <c r="M584" i="18"/>
  <c r="M330" i="18"/>
  <c r="M142" i="18"/>
  <c r="M133" i="18"/>
  <c r="M673" i="18"/>
  <c r="M420" i="18"/>
  <c r="M990" i="18"/>
  <c r="M52" i="18"/>
  <c r="M548" i="18"/>
  <c r="M498" i="18"/>
  <c r="M119" i="18"/>
  <c r="M806" i="18"/>
  <c r="M155" i="18"/>
  <c r="M776" i="18"/>
  <c r="M37" i="18"/>
  <c r="M69" i="18"/>
  <c r="M368" i="18"/>
  <c r="M995" i="18"/>
  <c r="M517" i="18"/>
  <c r="M997" i="18"/>
  <c r="M739" i="18"/>
  <c r="M841" i="18"/>
  <c r="M716" i="18"/>
  <c r="M286" i="18"/>
  <c r="M501" i="18"/>
  <c r="M913" i="18"/>
  <c r="M937" i="18"/>
  <c r="M844" i="18"/>
  <c r="M435" i="18"/>
  <c r="M657" i="18"/>
  <c r="M671" i="18"/>
  <c r="M79" i="18"/>
  <c r="M936" i="18"/>
  <c r="M940" i="18"/>
  <c r="M312" i="18"/>
  <c r="M597" i="18"/>
  <c r="M451" i="18"/>
  <c r="M898" i="18"/>
  <c r="M273" i="18"/>
  <c r="M902" i="18"/>
  <c r="M405" i="18"/>
  <c r="M70" i="18"/>
  <c r="M126" i="18"/>
  <c r="M217" i="18"/>
  <c r="M179" i="18"/>
  <c r="M854" i="18"/>
  <c r="M719" i="18"/>
  <c r="M152" i="18"/>
  <c r="M723" i="18"/>
  <c r="M649" i="18"/>
  <c r="M705" i="18"/>
  <c r="M200" i="18"/>
  <c r="M724" i="18"/>
  <c r="M513" i="18"/>
  <c r="M527" i="18"/>
  <c r="M535" i="18"/>
  <c r="M164" i="18"/>
  <c r="M80" i="18"/>
  <c r="M229" i="18"/>
  <c r="M809" i="18"/>
  <c r="M256" i="18"/>
  <c r="M448" i="18"/>
  <c r="M88" i="18"/>
  <c r="M278" i="18"/>
  <c r="M94" i="18"/>
  <c r="M812" i="18"/>
  <c r="N812" i="18"/>
  <c r="M881" i="18"/>
  <c r="N881" i="18"/>
  <c r="M339" i="18"/>
  <c r="N339" i="18"/>
  <c r="M635" i="18"/>
  <c r="N635" i="18"/>
  <c r="M583" i="18"/>
  <c r="N583" i="18"/>
  <c r="M336" i="18"/>
  <c r="N336" i="18"/>
  <c r="M713" i="18"/>
  <c r="N713" i="18"/>
  <c r="M118" i="18"/>
  <c r="N118" i="18"/>
  <c r="M419" i="18"/>
  <c r="N419" i="18"/>
  <c r="M644" i="18"/>
  <c r="N644" i="18"/>
  <c r="M313" i="18"/>
  <c r="N313" i="18"/>
  <c r="M31" i="18"/>
  <c r="N31" i="18"/>
  <c r="M261" i="18"/>
  <c r="N261" i="18"/>
  <c r="M864" i="18"/>
  <c r="N864" i="18"/>
  <c r="M428" i="18"/>
  <c r="N428" i="18"/>
  <c r="M536" i="18"/>
  <c r="N536" i="18"/>
  <c r="M375" i="18"/>
  <c r="N375" i="18"/>
  <c r="M394" i="18"/>
  <c r="N394" i="18"/>
  <c r="M963" i="18"/>
  <c r="N963" i="18"/>
  <c r="M628" i="18"/>
  <c r="N628" i="18"/>
  <c r="M905" i="18"/>
  <c r="N905" i="18"/>
  <c r="M296" i="18"/>
  <c r="N296" i="18"/>
  <c r="M332" i="18"/>
  <c r="N332" i="18"/>
  <c r="M82" i="18"/>
  <c r="N82" i="18"/>
  <c r="M717" i="18"/>
  <c r="N717" i="18"/>
  <c r="M302" i="18"/>
  <c r="N302" i="18"/>
  <c r="M132" i="18"/>
  <c r="N132" i="18"/>
  <c r="M344" i="18"/>
  <c r="N344" i="18"/>
  <c r="M34" i="18"/>
  <c r="N34" i="18"/>
  <c r="M131" i="18"/>
  <c r="N131" i="18"/>
  <c r="M329" i="18"/>
  <c r="N329" i="18"/>
  <c r="M507" i="18"/>
  <c r="N507" i="18"/>
  <c r="M887" i="18"/>
  <c r="N887" i="18"/>
  <c r="M541" i="18"/>
  <c r="N541" i="18"/>
  <c r="M73" i="18"/>
  <c r="N73" i="18"/>
  <c r="M614" i="18"/>
  <c r="N614" i="18"/>
  <c r="M264" i="18"/>
  <c r="N264" i="18"/>
  <c r="M113" i="18"/>
  <c r="N113" i="18"/>
  <c r="M422" i="18"/>
  <c r="N422" i="18"/>
  <c r="M566" i="18"/>
  <c r="N566" i="18"/>
  <c r="M506" i="18"/>
  <c r="N506" i="18"/>
  <c r="M542" i="18"/>
  <c r="N542" i="18"/>
  <c r="M915" i="18"/>
  <c r="N915" i="18"/>
  <c r="M89" i="18"/>
  <c r="N89" i="18"/>
  <c r="M54" i="18"/>
  <c r="N54" i="18"/>
  <c r="M293" i="18"/>
  <c r="N293" i="18"/>
  <c r="M784" i="18"/>
  <c r="N784" i="18"/>
  <c r="M338" i="18"/>
  <c r="N338" i="18"/>
  <c r="M949" i="18"/>
  <c r="N949" i="18"/>
  <c r="M161" i="18"/>
  <c r="N161" i="18"/>
  <c r="M769" i="18"/>
  <c r="N769" i="18"/>
  <c r="M1037" i="18"/>
  <c r="N1037" i="18"/>
  <c r="M899" i="18"/>
  <c r="N899" i="18"/>
  <c r="M570" i="18"/>
  <c r="N570" i="18"/>
  <c r="M802" i="18"/>
  <c r="N802" i="18"/>
  <c r="M493" i="18"/>
  <c r="N493" i="18"/>
  <c r="M38" i="18"/>
  <c r="N38" i="18"/>
  <c r="M882" i="18"/>
  <c r="N882" i="18"/>
  <c r="M163" i="18"/>
  <c r="N163" i="18"/>
  <c r="M412" i="18"/>
  <c r="N412" i="18"/>
  <c r="M1029" i="18"/>
  <c r="N1029" i="18"/>
  <c r="M307" i="18"/>
  <c r="N307" i="18"/>
  <c r="M959" i="18"/>
  <c r="N959" i="18"/>
  <c r="M204" i="18"/>
  <c r="N204" i="18"/>
  <c r="M292" i="18"/>
  <c r="N292" i="18"/>
  <c r="M384" i="18"/>
  <c r="N384" i="18"/>
  <c r="M95" i="18"/>
  <c r="N95" i="18"/>
  <c r="M1014" i="18"/>
  <c r="N1014" i="18"/>
  <c r="M127" i="18"/>
  <c r="N127" i="18"/>
  <c r="M1033" i="18"/>
  <c r="N1033" i="18"/>
  <c r="M929" i="18"/>
  <c r="N929" i="18"/>
  <c r="M787" i="18"/>
  <c r="N787" i="18"/>
  <c r="M696" i="18"/>
  <c r="N696" i="18"/>
  <c r="M284" i="18"/>
  <c r="N284" i="18"/>
  <c r="M392" i="18"/>
  <c r="N392" i="18"/>
  <c r="M134" i="18"/>
  <c r="N134" i="18"/>
  <c r="M682" i="18"/>
  <c r="N682" i="18"/>
  <c r="M947" i="18"/>
  <c r="N947" i="18"/>
  <c r="M764" i="18"/>
  <c r="N764" i="18"/>
  <c r="M12" i="18"/>
  <c r="N12" i="18"/>
  <c r="M551" i="18"/>
  <c r="N551" i="18"/>
  <c r="M639" i="18"/>
  <c r="N639" i="18"/>
  <c r="M203" i="18"/>
  <c r="N203" i="18"/>
  <c r="M860" i="18"/>
  <c r="N860" i="18"/>
  <c r="M26" i="18"/>
  <c r="N26" i="18"/>
  <c r="M626" i="18"/>
  <c r="N626" i="18"/>
  <c r="M999" i="18"/>
  <c r="N999" i="18"/>
  <c r="M180" i="18"/>
  <c r="N180" i="18"/>
  <c r="M214" i="18"/>
  <c r="N214" i="18"/>
  <c r="M275" i="18"/>
  <c r="N275" i="18"/>
  <c r="M522" i="18"/>
  <c r="N522" i="18"/>
  <c r="M817" i="18"/>
  <c r="N817" i="18"/>
  <c r="M814" i="18"/>
  <c r="N814" i="18"/>
  <c r="M322" i="18"/>
  <c r="N322" i="18"/>
  <c r="M376" i="18"/>
  <c r="N376" i="18"/>
  <c r="M761" i="18"/>
  <c r="N761" i="18"/>
  <c r="M15" i="18"/>
  <c r="N15" i="18"/>
  <c r="M398" i="18"/>
  <c r="N398" i="18"/>
  <c r="M970" i="18"/>
  <c r="N970" i="18"/>
  <c r="M271" i="18"/>
  <c r="N271" i="18"/>
  <c r="M18" i="18"/>
  <c r="N18" i="18"/>
  <c r="M162" i="18"/>
  <c r="N162" i="18"/>
  <c r="M521" i="18"/>
  <c r="N521" i="18"/>
  <c r="M1035" i="18"/>
  <c r="N1035" i="18"/>
  <c r="M25" i="18"/>
  <c r="N25" i="18"/>
  <c r="M3" i="18"/>
  <c r="N3" i="18"/>
  <c r="M259" i="18"/>
  <c r="N259" i="18"/>
  <c r="M335" i="18"/>
  <c r="N335" i="18"/>
  <c r="M320" i="18"/>
  <c r="N320" i="18"/>
  <c r="M791" i="18"/>
  <c r="N791" i="18"/>
  <c r="M437" i="18"/>
  <c r="N437" i="18"/>
  <c r="M770" i="18"/>
  <c r="N770" i="18"/>
  <c r="M751" i="18"/>
  <c r="N751" i="18"/>
  <c r="M270" i="18"/>
  <c r="N270" i="18"/>
  <c r="M128" i="18"/>
  <c r="N128" i="18"/>
  <c r="M147" i="18"/>
  <c r="N147" i="18"/>
  <c r="M556" i="18"/>
  <c r="N556" i="18"/>
  <c r="M415" i="18"/>
  <c r="N415" i="18"/>
  <c r="M51" i="18"/>
  <c r="N51" i="18"/>
  <c r="M401" i="18"/>
  <c r="N401" i="18"/>
  <c r="M811" i="18"/>
  <c r="N811" i="18"/>
  <c r="M285" i="18"/>
  <c r="N285" i="18"/>
  <c r="M828" i="18"/>
  <c r="N828" i="18"/>
  <c r="M656" i="18"/>
  <c r="N656" i="18"/>
  <c r="M836" i="18"/>
  <c r="N836" i="18"/>
  <c r="M766" i="18"/>
  <c r="N766" i="18"/>
  <c r="M484" i="18"/>
  <c r="N484" i="18"/>
  <c r="M602" i="18"/>
  <c r="N602" i="18"/>
  <c r="M400" i="18"/>
  <c r="N400" i="18"/>
  <c r="M279" i="18"/>
  <c r="N279" i="18"/>
  <c r="M562" i="18"/>
  <c r="N562" i="18"/>
  <c r="M965" i="18"/>
  <c r="N965" i="18"/>
  <c r="M60" i="18"/>
  <c r="N60" i="18"/>
  <c r="M194" i="18"/>
  <c r="N194" i="18"/>
  <c r="M382" i="18"/>
  <c r="N382" i="18"/>
  <c r="M252" i="18"/>
  <c r="N252" i="18"/>
  <c r="M315" i="18"/>
  <c r="N315" i="18"/>
  <c r="M850" i="18"/>
  <c r="N850" i="18"/>
  <c r="M331" i="18"/>
  <c r="N331" i="18"/>
  <c r="M1023" i="18"/>
  <c r="N1023" i="18"/>
  <c r="M1011" i="18"/>
  <c r="N1011" i="18"/>
  <c r="M779" i="18"/>
  <c r="N779" i="18"/>
  <c r="M849" i="18"/>
  <c r="N849" i="18"/>
  <c r="M182" i="18"/>
  <c r="N182" i="18"/>
  <c r="M299" i="18"/>
  <c r="N299" i="18"/>
  <c r="M277" i="18"/>
  <c r="N277" i="18"/>
  <c r="M202" i="18"/>
  <c r="N202" i="18"/>
  <c r="M601" i="18"/>
  <c r="N601" i="18"/>
  <c r="M253" i="18"/>
  <c r="N253" i="18"/>
  <c r="M986" i="18"/>
  <c r="N986" i="18"/>
  <c r="M59" i="18"/>
  <c r="N59" i="18"/>
  <c r="M637" i="18"/>
  <c r="N637" i="18"/>
  <c r="M267" i="18"/>
  <c r="N267" i="18"/>
  <c r="M372" i="18"/>
  <c r="N372" i="18"/>
  <c r="M807" i="18"/>
  <c r="N807" i="18"/>
  <c r="M619" i="18"/>
  <c r="N619" i="18"/>
  <c r="M642" i="18"/>
  <c r="N642" i="18"/>
  <c r="M896" i="18"/>
  <c r="N896" i="18"/>
  <c r="M241" i="18"/>
  <c r="N241" i="18"/>
  <c r="M722" i="18"/>
  <c r="N722" i="18"/>
  <c r="M672" i="18"/>
  <c r="N672" i="18"/>
  <c r="M816" i="18"/>
  <c r="N816" i="18"/>
  <c r="M661" i="18"/>
  <c r="N661" i="18"/>
  <c r="M189" i="18"/>
  <c r="N189" i="18"/>
  <c r="M768" i="18"/>
  <c r="N768" i="18"/>
  <c r="M749" i="18"/>
  <c r="N749" i="18"/>
  <c r="M109" i="18"/>
  <c r="N109" i="18"/>
  <c r="M13" i="18"/>
  <c r="N13" i="18"/>
  <c r="M380" i="18"/>
  <c r="N380" i="18"/>
  <c r="M171" i="18"/>
  <c r="N171" i="18"/>
  <c r="M709" i="18"/>
  <c r="N709" i="18"/>
  <c r="M1022" i="18"/>
  <c r="N1022" i="18"/>
  <c r="M459" i="18"/>
  <c r="N459" i="18"/>
  <c r="M1010" i="18"/>
  <c r="N1010" i="18"/>
  <c r="M45" i="18"/>
  <c r="N45" i="18"/>
  <c r="M359" i="18"/>
  <c r="N359" i="18"/>
  <c r="M533" i="18"/>
  <c r="N533" i="18"/>
  <c r="M931" i="18"/>
  <c r="N931" i="18"/>
  <c r="M231" i="18"/>
  <c r="N231" i="18"/>
  <c r="M350" i="18"/>
  <c r="N350" i="18"/>
  <c r="M205" i="18"/>
  <c r="N205" i="18"/>
  <c r="M579" i="18"/>
  <c r="N579" i="18"/>
  <c r="M439" i="18"/>
  <c r="N439" i="18"/>
  <c r="M847" i="18"/>
  <c r="N847" i="18"/>
  <c r="M207" i="18"/>
  <c r="N207" i="18"/>
  <c r="M151" i="18"/>
  <c r="N151" i="18"/>
  <c r="M153" i="18"/>
  <c r="N153" i="18"/>
  <c r="M782" i="18"/>
  <c r="N782" i="18"/>
  <c r="M185" i="18"/>
  <c r="N185" i="18"/>
  <c r="M587" i="18"/>
  <c r="N587" i="18"/>
  <c r="M662" i="18"/>
  <c r="N662" i="18"/>
  <c r="M679" i="18"/>
  <c r="N679" i="18"/>
  <c r="M509" i="18"/>
  <c r="N509" i="18"/>
  <c r="M485" i="18"/>
  <c r="N485" i="18"/>
  <c r="M83" i="18"/>
  <c r="N83" i="18"/>
  <c r="M387" i="18"/>
  <c r="N387" i="18"/>
  <c r="M20" i="18"/>
  <c r="N20" i="18"/>
  <c r="M104" i="18"/>
  <c r="N104" i="18"/>
  <c r="M28" i="18"/>
  <c r="N28" i="18"/>
  <c r="M792" i="18"/>
  <c r="N792" i="18"/>
  <c r="M396" i="18"/>
  <c r="N396" i="18"/>
  <c r="M306" i="18"/>
  <c r="N306" i="18"/>
  <c r="M948" i="18"/>
  <c r="N948" i="18"/>
  <c r="M2" i="18"/>
  <c r="N2" i="18"/>
  <c r="M683" i="18"/>
  <c r="N683" i="18"/>
  <c r="M362" i="18"/>
  <c r="N362" i="18"/>
  <c r="M803" i="18"/>
  <c r="N803" i="18"/>
  <c r="M455" i="18"/>
  <c r="N455" i="18"/>
  <c r="M837" i="18"/>
  <c r="N837" i="18"/>
  <c r="M103" i="18"/>
  <c r="N103" i="18"/>
  <c r="M355" i="18"/>
  <c r="N355" i="18"/>
  <c r="M531" i="18"/>
  <c r="N531" i="18"/>
  <c r="M611" i="18"/>
  <c r="N611" i="18"/>
  <c r="M818" i="18"/>
  <c r="N818" i="18"/>
  <c r="M232" i="18"/>
  <c r="N232" i="18"/>
  <c r="M391" i="18"/>
  <c r="N391" i="18"/>
  <c r="M900" i="18"/>
  <c r="N900" i="18"/>
  <c r="M733" i="18"/>
  <c r="N733" i="18"/>
  <c r="M265" i="18"/>
  <c r="N265" i="18"/>
  <c r="M906" i="18"/>
  <c r="N906" i="18"/>
  <c r="M464" i="18"/>
  <c r="N464" i="18"/>
  <c r="M549" i="18"/>
  <c r="N549" i="18"/>
  <c r="M456" i="18"/>
  <c r="N456" i="18"/>
  <c r="M492" i="18"/>
  <c r="N492" i="18"/>
  <c r="M721" i="18"/>
  <c r="N721" i="18"/>
  <c r="M678" i="18"/>
  <c r="N678" i="18"/>
  <c r="M1038" i="18"/>
  <c r="N1038" i="18"/>
  <c r="M105" i="18"/>
  <c r="N105" i="18"/>
  <c r="M1031" i="18"/>
  <c r="N1031" i="18"/>
  <c r="M636" i="18"/>
  <c r="N636" i="18"/>
  <c r="M317" i="18"/>
  <c r="N317" i="18"/>
  <c r="M928" i="18"/>
  <c r="N928" i="18"/>
  <c r="M294" i="18"/>
  <c r="N294" i="18"/>
  <c r="M839" i="18"/>
  <c r="N839" i="18"/>
  <c r="M559" i="18"/>
  <c r="N559" i="18"/>
  <c r="M508" i="18"/>
  <c r="N508" i="18"/>
  <c r="M481" i="18"/>
  <c r="N481" i="18"/>
  <c r="M371" i="18"/>
  <c r="N371" i="18"/>
  <c r="M96" i="18"/>
  <c r="N96" i="18"/>
  <c r="M291" i="18"/>
  <c r="N291" i="18"/>
  <c r="M981" i="18"/>
  <c r="N981" i="18"/>
  <c r="M248" i="18"/>
  <c r="N248" i="18"/>
  <c r="M443" i="18"/>
  <c r="N443" i="18"/>
  <c r="M930" i="18"/>
  <c r="N930" i="18"/>
  <c r="M972" i="18"/>
  <c r="N972" i="18"/>
  <c r="M763" i="18"/>
  <c r="N763" i="18"/>
  <c r="M859" i="18"/>
  <c r="N859" i="18"/>
  <c r="M895" i="18"/>
  <c r="N895" i="18"/>
  <c r="M897" i="18"/>
  <c r="N897" i="18"/>
  <c r="M785" i="18"/>
  <c r="N785" i="18"/>
  <c r="M386" i="18"/>
  <c r="N386" i="18"/>
  <c r="M178" i="18"/>
  <c r="N178" i="18"/>
  <c r="M373" i="18"/>
  <c r="N373" i="18"/>
  <c r="M196" i="18"/>
  <c r="N196" i="18"/>
  <c r="M228" i="18"/>
  <c r="N228" i="18"/>
  <c r="M1003" i="18"/>
  <c r="N1003" i="18"/>
  <c r="M1017" i="18"/>
  <c r="N1017" i="18"/>
  <c r="M84" i="18"/>
  <c r="N84" i="18"/>
  <c r="M715" i="18"/>
  <c r="N715" i="18"/>
  <c r="M156" i="18"/>
  <c r="N156" i="18"/>
  <c r="M487" i="18"/>
  <c r="N487" i="18"/>
  <c r="M604" i="18"/>
  <c r="N604" i="18"/>
  <c r="M314" i="18"/>
  <c r="N314" i="18"/>
  <c r="M664" i="18"/>
  <c r="N664" i="18"/>
  <c r="M603" i="18"/>
  <c r="N603" i="18"/>
  <c r="M879" i="18"/>
  <c r="N879" i="18"/>
  <c r="M808" i="18"/>
  <c r="N808" i="18"/>
  <c r="M813" i="18"/>
  <c r="N813" i="18"/>
  <c r="M395" i="18"/>
  <c r="N395" i="18"/>
  <c r="M427" i="18"/>
  <c r="N427" i="18"/>
  <c r="M691" i="18"/>
  <c r="N691" i="18"/>
  <c r="M234" i="18"/>
  <c r="N234" i="18"/>
  <c r="M489" i="18"/>
  <c r="N489" i="18"/>
  <c r="M586" i="18"/>
  <c r="N586" i="18"/>
  <c r="M853" i="18"/>
  <c r="N853" i="18"/>
  <c r="M976" i="18"/>
  <c r="N976" i="18"/>
  <c r="M116" i="18"/>
  <c r="N116" i="18"/>
  <c r="M23" i="18"/>
  <c r="N23" i="18"/>
  <c r="M699" i="18"/>
  <c r="N699" i="18"/>
  <c r="M483" i="18"/>
  <c r="N483" i="18"/>
  <c r="M139" i="18"/>
  <c r="N139" i="18"/>
  <c r="M90" i="18"/>
  <c r="N90" i="18"/>
  <c r="M55" i="18"/>
  <c r="N55" i="18"/>
  <c r="M893" i="18"/>
  <c r="N893" i="18"/>
  <c r="M195" i="18"/>
  <c r="N195" i="18"/>
  <c r="M176" i="18"/>
  <c r="N176" i="18"/>
  <c r="M1007" i="18"/>
  <c r="N1007" i="18"/>
  <c r="M821" i="18"/>
  <c r="N821" i="18"/>
  <c r="M268" i="18"/>
  <c r="N268" i="18"/>
  <c r="M514" i="18"/>
  <c r="N514" i="18"/>
  <c r="M862" i="18"/>
  <c r="N862" i="18"/>
  <c r="M502" i="18"/>
  <c r="N502" i="18"/>
  <c r="M563" i="18"/>
  <c r="N563" i="18"/>
  <c r="M6" i="18"/>
  <c r="N6" i="18"/>
  <c r="M227" i="18"/>
  <c r="N227" i="18"/>
  <c r="M830" i="18"/>
  <c r="N830" i="18"/>
  <c r="M957" i="18"/>
  <c r="N957" i="18"/>
  <c r="M121" i="18"/>
  <c r="N121" i="18"/>
  <c r="M711" i="18"/>
  <c r="N711" i="18"/>
  <c r="M383" i="18"/>
  <c r="N383" i="18"/>
  <c r="M237" i="18"/>
  <c r="N237" i="18"/>
  <c r="M123" i="18"/>
  <c r="N123" i="18"/>
  <c r="M239" i="18"/>
  <c r="N239" i="18"/>
  <c r="M288" i="18"/>
  <c r="N288" i="18"/>
  <c r="M410" i="18"/>
  <c r="N410" i="18"/>
  <c r="M367" i="18"/>
  <c r="N367" i="18"/>
  <c r="M547" i="18"/>
  <c r="N547" i="18"/>
  <c r="M198" i="18"/>
  <c r="N198" i="18"/>
  <c r="M272" i="18"/>
  <c r="N272" i="18"/>
  <c r="M159" i="18"/>
  <c r="N159" i="18"/>
  <c r="M71" i="18"/>
  <c r="N71" i="18"/>
  <c r="M996" i="18"/>
  <c r="N996" i="18"/>
  <c r="M1032" i="18"/>
  <c r="N1032" i="18"/>
  <c r="M692" i="18"/>
  <c r="N692" i="18"/>
  <c r="M251" i="18"/>
  <c r="N251" i="18"/>
  <c r="M582" i="18"/>
  <c r="N582" i="18"/>
  <c r="M655" i="18"/>
  <c r="N655" i="18"/>
  <c r="M343" i="18"/>
  <c r="N343" i="18"/>
  <c r="M852" i="18"/>
  <c r="N852" i="18"/>
  <c r="M684" i="18"/>
  <c r="N684" i="18"/>
  <c r="M558" i="18"/>
  <c r="N558" i="18"/>
  <c r="M825" i="18"/>
  <c r="N825" i="18"/>
  <c r="M1006" i="18"/>
  <c r="N1006" i="18"/>
  <c r="M941" i="18"/>
  <c r="N941" i="18"/>
  <c r="M732" i="18"/>
  <c r="N732" i="18"/>
  <c r="M720" i="18"/>
  <c r="N720" i="18"/>
  <c r="M585" i="18"/>
  <c r="N585" i="18"/>
  <c r="M389" i="18"/>
  <c r="N389" i="18"/>
  <c r="M624" i="18"/>
  <c r="N624" i="18"/>
  <c r="M1026" i="18"/>
  <c r="N1026" i="18"/>
  <c r="M494" i="18"/>
  <c r="N494" i="18"/>
  <c r="M706" i="18"/>
  <c r="N706" i="18"/>
  <c r="M651" i="18"/>
  <c r="N651" i="18"/>
  <c r="M63" i="18"/>
  <c r="N63" i="18"/>
  <c r="M187" i="18"/>
  <c r="N187" i="18"/>
  <c r="M50" i="18"/>
  <c r="N50" i="18"/>
  <c r="M1019" i="18"/>
  <c r="N1019" i="18"/>
  <c r="M980" i="18"/>
  <c r="N980" i="18"/>
  <c r="M890" i="18"/>
  <c r="N890" i="18"/>
  <c r="M648" i="18"/>
  <c r="N648" i="18"/>
  <c r="M311" i="18"/>
  <c r="N311" i="18"/>
  <c r="M308" i="18"/>
  <c r="N308" i="18"/>
  <c r="M463" i="18"/>
  <c r="N463" i="18"/>
  <c r="M888" i="18"/>
  <c r="N888" i="18"/>
  <c r="M985" i="18"/>
  <c r="N985" i="18"/>
  <c r="M61" i="18"/>
  <c r="N61" i="18"/>
  <c r="M91" i="18"/>
  <c r="N91" i="18"/>
  <c r="M560" i="18"/>
  <c r="N560" i="18"/>
  <c r="M358" i="18"/>
  <c r="N358" i="18"/>
  <c r="M552" i="18"/>
  <c r="N552" i="18"/>
  <c r="M426" i="18"/>
  <c r="N426" i="18"/>
  <c r="M254" i="18"/>
  <c r="N254" i="18"/>
  <c r="M610" i="18"/>
  <c r="N610" i="18"/>
  <c r="M186" i="18"/>
  <c r="N186" i="18"/>
  <c r="M30" i="18"/>
  <c r="N30" i="18"/>
  <c r="M238" i="18"/>
  <c r="N238" i="18"/>
  <c r="M911" i="18"/>
  <c r="N911" i="18"/>
  <c r="M874" i="18"/>
  <c r="N874" i="18"/>
  <c r="M357" i="18"/>
  <c r="N357" i="18"/>
  <c r="M919" i="18"/>
  <c r="N919" i="18"/>
  <c r="M240" i="18"/>
  <c r="N240" i="18"/>
  <c r="M826" i="18"/>
  <c r="N826" i="18"/>
  <c r="M255" i="18"/>
  <c r="N255" i="18"/>
  <c r="M822" i="18"/>
  <c r="N822" i="18"/>
  <c r="M958" i="18"/>
  <c r="N958" i="18"/>
  <c r="H3" i="24" l="1"/>
  <c r="E9" i="24"/>
  <c r="J3" i="26"/>
  <c r="L3" i="26" s="1"/>
  <c r="H2" i="24"/>
  <c r="J4" i="26"/>
  <c r="I3" i="34"/>
  <c r="I5" i="34"/>
  <c r="H4" i="24"/>
  <c r="I4" i="34"/>
  <c r="I6" i="34"/>
  <c r="E8" i="24"/>
  <c r="F8" i="24" s="1"/>
  <c r="H6" i="24"/>
  <c r="J2" i="34" a="1"/>
  <c r="J2" i="34" s="1"/>
  <c r="E7" i="24"/>
  <c r="F7" i="24" s="1"/>
  <c r="H5" i="24"/>
  <c r="H2" i="34"/>
  <c r="C10" i="21"/>
  <c r="E10" i="21" s="1"/>
  <c r="S5" i="21"/>
  <c r="T5" i="21"/>
  <c r="C9" i="21"/>
  <c r="E9" i="21" s="1"/>
  <c r="H9" i="21" s="1"/>
  <c r="I9" i="21" s="1"/>
  <c r="D30" i="22" s="1" a="1"/>
  <c r="D30" i="22" s="1"/>
  <c r="F30" i="22" s="1"/>
  <c r="C12" i="23" s="1"/>
  <c r="D12" i="24" s="1"/>
  <c r="S4" i="21"/>
  <c r="O2" i="21"/>
  <c r="O3" i="21"/>
  <c r="O6" i="21"/>
  <c r="F9" i="24"/>
  <c r="D31" i="22" a="1"/>
  <c r="D31" i="22" s="1"/>
  <c r="F31" i="22" s="1"/>
  <c r="D32" i="22" a="1"/>
  <c r="D32" i="22" s="1"/>
  <c r="F32" i="22" s="1"/>
  <c r="D33" i="22" a="1"/>
  <c r="D33" i="22" s="1"/>
  <c r="F33" i="22" s="1"/>
  <c r="N4" i="21"/>
  <c r="H10" i="21"/>
  <c r="I10" i="21" s="1"/>
  <c r="J9" i="21"/>
  <c r="J3" i="34" l="1" a="1"/>
  <c r="J3" i="34" s="1"/>
  <c r="J5" i="34" a="1"/>
  <c r="J5" i="34" s="1"/>
  <c r="H7" i="24"/>
  <c r="I3" i="24"/>
  <c r="J3" i="24" s="1"/>
  <c r="I6" i="24"/>
  <c r="J6" i="24" s="1"/>
  <c r="H4" i="34"/>
  <c r="H6" i="34"/>
  <c r="L4" i="26"/>
  <c r="I2" i="24"/>
  <c r="J2" i="24" s="1"/>
  <c r="H8" i="24"/>
  <c r="H9" i="24"/>
  <c r="I5" i="24"/>
  <c r="J5" i="24" s="1"/>
  <c r="H3" i="34"/>
  <c r="H5" i="34"/>
  <c r="I4" i="24"/>
  <c r="J4" i="24" s="1"/>
  <c r="C11" i="21"/>
  <c r="E11" i="21" s="1"/>
  <c r="H11" i="21" s="1"/>
  <c r="I11" i="21" s="1"/>
  <c r="C7" i="26" s="1"/>
  <c r="S6" i="21"/>
  <c r="T6" i="21" s="1"/>
  <c r="L9" i="21"/>
  <c r="Q9" i="21" s="1"/>
  <c r="T4" i="21"/>
  <c r="C8" i="21"/>
  <c r="E8" i="21" s="1"/>
  <c r="H8" i="21" s="1"/>
  <c r="I8" i="21" s="1"/>
  <c r="C6" i="26" s="1"/>
  <c r="S3" i="21"/>
  <c r="T3" i="21" s="1"/>
  <c r="C7" i="21"/>
  <c r="S2" i="21"/>
  <c r="T2" i="21" s="1"/>
  <c r="E7" i="21"/>
  <c r="E6" i="26"/>
  <c r="K6" i="26"/>
  <c r="L8" i="21"/>
  <c r="Q8" i="21" s="1"/>
  <c r="D28" i="22" a="1"/>
  <c r="D28" i="22" s="1"/>
  <c r="F28" i="22" s="1"/>
  <c r="D29" i="22" a="1"/>
  <c r="D29" i="22" s="1"/>
  <c r="F29" i="22" s="1"/>
  <c r="D26" i="22" a="1"/>
  <c r="D26" i="22" s="1"/>
  <c r="F26" i="22" s="1"/>
  <c r="C11" i="23" s="1"/>
  <c r="D11" i="24" s="1"/>
  <c r="D27" i="22" a="1"/>
  <c r="D27" i="22" s="1"/>
  <c r="F27" i="22" s="1"/>
  <c r="M9" i="21"/>
  <c r="P9" i="21"/>
  <c r="E12" i="24"/>
  <c r="L10" i="21"/>
  <c r="Q10" i="21" s="1"/>
  <c r="D36" i="22" a="1"/>
  <c r="D36" i="22" s="1"/>
  <c r="F36" i="22" s="1"/>
  <c r="D37" i="22" a="1"/>
  <c r="D37" i="22" s="1"/>
  <c r="F37" i="22" s="1"/>
  <c r="D34" i="22" a="1"/>
  <c r="D34" i="22" s="1"/>
  <c r="F34" i="22" s="1"/>
  <c r="C13" i="23" s="1"/>
  <c r="D13" i="24" s="1"/>
  <c r="D35" i="22" a="1"/>
  <c r="D35" i="22" s="1"/>
  <c r="F35" i="22" s="1"/>
  <c r="J10" i="21"/>
  <c r="J8" i="21"/>
  <c r="K7" i="26" l="1"/>
  <c r="L4" i="24"/>
  <c r="K4" i="24"/>
  <c r="L5" i="24"/>
  <c r="K5" i="24"/>
  <c r="K6" i="24"/>
  <c r="L6" i="24"/>
  <c r="I9" i="24"/>
  <c r="J9" i="24" s="1"/>
  <c r="L3" i="24"/>
  <c r="K3" i="24"/>
  <c r="I7" i="24"/>
  <c r="J7" i="24" s="1"/>
  <c r="I8" i="24"/>
  <c r="J8" i="24" s="1"/>
  <c r="I8" i="34"/>
  <c r="I10" i="34"/>
  <c r="J6" i="26"/>
  <c r="L6" i="26" s="1"/>
  <c r="L2" i="24"/>
  <c r="K2" i="24"/>
  <c r="J4" i="34" a="1"/>
  <c r="J4" i="34" s="1"/>
  <c r="J6" i="34" a="1"/>
  <c r="J6" i="34" s="1"/>
  <c r="D41" i="22" a="1"/>
  <c r="D41" i="22" s="1"/>
  <c r="F41" i="22" s="1"/>
  <c r="D40" i="22" a="1"/>
  <c r="D40" i="22" s="1"/>
  <c r="F40" i="22" s="1"/>
  <c r="D39" i="22" a="1"/>
  <c r="D39" i="22" s="1"/>
  <c r="F39" i="22" s="1"/>
  <c r="D38" i="22" a="1"/>
  <c r="D38" i="22" s="1"/>
  <c r="F38" i="22" s="1"/>
  <c r="C14" i="23" s="1"/>
  <c r="D14" i="24" s="1"/>
  <c r="E7" i="26"/>
  <c r="L11" i="21"/>
  <c r="Q11" i="21" s="1"/>
  <c r="J11" i="21"/>
  <c r="H7" i="21"/>
  <c r="I7" i="21" s="1"/>
  <c r="J7" i="21" s="1"/>
  <c r="E13" i="24"/>
  <c r="M10" i="21"/>
  <c r="P10" i="21"/>
  <c r="M8" i="21"/>
  <c r="P8" i="21"/>
  <c r="P11" i="21"/>
  <c r="M11" i="21"/>
  <c r="E11" i="24"/>
  <c r="N9" i="21"/>
  <c r="O9" i="21"/>
  <c r="J8" i="34" l="1" a="1"/>
  <c r="J8" i="34" s="1"/>
  <c r="J10" i="34" a="1"/>
  <c r="J10" i="34" s="1"/>
  <c r="F13" i="24"/>
  <c r="L7" i="24"/>
  <c r="K7" i="24"/>
  <c r="C10" i="24"/>
  <c r="C12" i="24"/>
  <c r="F12" i="24" s="1"/>
  <c r="J7" i="26"/>
  <c r="C11" i="24"/>
  <c r="F11" i="24" s="1"/>
  <c r="L2" i="34"/>
  <c r="L9" i="24"/>
  <c r="K9" i="24"/>
  <c r="E14" i="24"/>
  <c r="C13" i="24"/>
  <c r="L4" i="34"/>
  <c r="C14" i="24"/>
  <c r="L8" i="24"/>
  <c r="K8" i="24"/>
  <c r="L6" i="34"/>
  <c r="L5" i="34"/>
  <c r="H8" i="34"/>
  <c r="H10" i="34"/>
  <c r="L3" i="34"/>
  <c r="I11" i="34"/>
  <c r="I9" i="34"/>
  <c r="C14" i="21"/>
  <c r="E14" i="21" s="1"/>
  <c r="H14" i="21" s="1"/>
  <c r="I14" i="21" s="1"/>
  <c r="S9" i="21"/>
  <c r="T9" i="21"/>
  <c r="L14" i="21"/>
  <c r="M14" i="21" s="1"/>
  <c r="N14" i="21" s="1"/>
  <c r="J14" i="21"/>
  <c r="C5" i="26"/>
  <c r="L7" i="21"/>
  <c r="Q7" i="21" s="1"/>
  <c r="D25" i="22" a="1"/>
  <c r="D25" i="22" s="1"/>
  <c r="F25" i="22" s="1"/>
  <c r="C17" i="23" s="1"/>
  <c r="D17" i="24" s="1"/>
  <c r="D22" i="22" a="1"/>
  <c r="D22" i="22" s="1"/>
  <c r="F22" i="22" s="1"/>
  <c r="C10" i="23" s="1"/>
  <c r="D10" i="24" s="1"/>
  <c r="D23" i="22" a="1"/>
  <c r="D23" i="22" s="1"/>
  <c r="F23" i="22" s="1"/>
  <c r="D24" i="22" a="1"/>
  <c r="D24" i="22" s="1"/>
  <c r="F24" i="22" s="1"/>
  <c r="C16" i="23" s="1"/>
  <c r="D16" i="24" s="1"/>
  <c r="O10" i="21"/>
  <c r="N10" i="21"/>
  <c r="N8" i="21"/>
  <c r="O8" i="21"/>
  <c r="N11" i="21"/>
  <c r="O11" i="21"/>
  <c r="D50" i="22" a="1"/>
  <c r="D50" i="22" s="1"/>
  <c r="F50" i="22" s="1"/>
  <c r="C20" i="23" s="1"/>
  <c r="D20" i="24" s="1"/>
  <c r="D51" i="22" a="1"/>
  <c r="D51" i="22" s="1"/>
  <c r="F51" i="22" s="1"/>
  <c r="D52" i="22" a="1"/>
  <c r="D52" i="22" s="1"/>
  <c r="F52" i="22" s="1"/>
  <c r="D53" i="22" a="1"/>
  <c r="D53" i="22" s="1"/>
  <c r="F53" i="22" s="1"/>
  <c r="Q14" i="21"/>
  <c r="H11" i="24" l="1"/>
  <c r="E16" i="24"/>
  <c r="F14" i="24"/>
  <c r="H12" i="24"/>
  <c r="O5" i="34"/>
  <c r="M5" i="34"/>
  <c r="N5" i="34" s="1"/>
  <c r="H9" i="34"/>
  <c r="H11" i="34"/>
  <c r="L7" i="26"/>
  <c r="M6" i="34"/>
  <c r="N6" i="34" s="1"/>
  <c r="O6" i="34"/>
  <c r="C17" i="24"/>
  <c r="E17" i="24"/>
  <c r="C16" i="24"/>
  <c r="M3" i="34"/>
  <c r="N3" i="34" s="1"/>
  <c r="O3" i="34"/>
  <c r="C15" i="24"/>
  <c r="O2" i="34"/>
  <c r="M2" i="34"/>
  <c r="N2" i="34" s="1"/>
  <c r="H13" i="24"/>
  <c r="O4" i="34"/>
  <c r="M4" i="34"/>
  <c r="N4" i="34" s="1"/>
  <c r="C15" i="21"/>
  <c r="E15" i="21" s="1"/>
  <c r="S10" i="21"/>
  <c r="C16" i="21"/>
  <c r="E16" i="21" s="1"/>
  <c r="S11" i="21"/>
  <c r="T10" i="21"/>
  <c r="T11" i="21"/>
  <c r="C13" i="21"/>
  <c r="E13" i="21" s="1"/>
  <c r="S8" i="21"/>
  <c r="T8" i="21" s="1"/>
  <c r="P14" i="21"/>
  <c r="E10" i="24"/>
  <c r="F10" i="24" s="1"/>
  <c r="M7" i="21"/>
  <c r="P7" i="21"/>
  <c r="E5" i="26"/>
  <c r="K5" i="26"/>
  <c r="E20" i="24"/>
  <c r="O14" i="21"/>
  <c r="H16" i="21"/>
  <c r="I16" i="21" s="1"/>
  <c r="C10" i="26" s="1"/>
  <c r="H13" i="21"/>
  <c r="I13" i="21" s="1"/>
  <c r="C9" i="26" s="1"/>
  <c r="H15" i="21"/>
  <c r="I15" i="21" s="1"/>
  <c r="I7" i="34" l="1"/>
  <c r="I11" i="24"/>
  <c r="J11" i="24" s="1"/>
  <c r="P3" i="34" a="1"/>
  <c r="P3" i="34" s="1"/>
  <c r="R3" i="34" s="1" a="1"/>
  <c r="R3" i="34" s="1"/>
  <c r="Q3" i="34" a="1"/>
  <c r="Q3" i="34" s="1"/>
  <c r="P4" i="34" a="1"/>
  <c r="P4" i="34" s="1"/>
  <c r="R4" i="34" s="1" a="1"/>
  <c r="R4" i="34" s="1"/>
  <c r="Q4" i="34" a="1"/>
  <c r="Q4" i="34" s="1"/>
  <c r="I12" i="24"/>
  <c r="J12" i="24" s="1"/>
  <c r="I13" i="24"/>
  <c r="J13" i="24" s="1"/>
  <c r="Q6" i="34" a="1"/>
  <c r="Q6" i="34" s="1"/>
  <c r="P6" i="34" a="1"/>
  <c r="P6" i="34" s="1"/>
  <c r="R6" i="34" s="1" a="1"/>
  <c r="R6" i="34" s="1"/>
  <c r="H14" i="24"/>
  <c r="H10" i="24"/>
  <c r="F17" i="24"/>
  <c r="J9" i="34" a="1"/>
  <c r="J9" i="34" s="1"/>
  <c r="J11" i="34" a="1"/>
  <c r="J11" i="34" s="1"/>
  <c r="F16" i="24"/>
  <c r="Q5" i="34" a="1"/>
  <c r="Q5" i="34" s="1"/>
  <c r="P5" i="34" a="1"/>
  <c r="P5" i="34" s="1"/>
  <c r="R5" i="34" s="1" a="1"/>
  <c r="R5" i="34" s="1"/>
  <c r="Q2" i="34" a="1"/>
  <c r="Q2" i="34" s="1"/>
  <c r="P2" i="34" a="1"/>
  <c r="P2" i="34" s="1"/>
  <c r="R2" i="34" s="1" a="1"/>
  <c r="R2" i="34" s="1"/>
  <c r="C19" i="21"/>
  <c r="E19" i="21" s="1"/>
  <c r="S14" i="21"/>
  <c r="T14" i="21" s="1"/>
  <c r="J16" i="21"/>
  <c r="K9" i="26"/>
  <c r="E9" i="26"/>
  <c r="J5" i="26"/>
  <c r="K10" i="26"/>
  <c r="E10" i="26"/>
  <c r="L5" i="26"/>
  <c r="N7" i="21"/>
  <c r="O7" i="21"/>
  <c r="J13" i="21"/>
  <c r="D57" i="22" a="1"/>
  <c r="D57" i="22" s="1"/>
  <c r="F57" i="22" s="1"/>
  <c r="D55" i="22" a="1"/>
  <c r="D55" i="22" s="1"/>
  <c r="F55" i="22" s="1"/>
  <c r="D56" i="22" a="1"/>
  <c r="D56" i="22" s="1"/>
  <c r="F56" i="22" s="1"/>
  <c r="D54" i="22" a="1"/>
  <c r="D54" i="22" s="1"/>
  <c r="F54" i="22" s="1"/>
  <c r="C21" i="23" s="1"/>
  <c r="D21" i="24" s="1"/>
  <c r="L15" i="21"/>
  <c r="J15" i="21"/>
  <c r="D46" i="22" a="1"/>
  <c r="D46" i="22" s="1"/>
  <c r="F46" i="22" s="1"/>
  <c r="C19" i="23" s="1"/>
  <c r="D19" i="24" s="1"/>
  <c r="D47" i="22" a="1"/>
  <c r="D47" i="22" s="1"/>
  <c r="F47" i="22" s="1"/>
  <c r="D48" i="22" a="1"/>
  <c r="D48" i="22" s="1"/>
  <c r="F48" i="22" s="1"/>
  <c r="D49" i="22" a="1"/>
  <c r="D49" i="22" s="1"/>
  <c r="F49" i="22" s="1"/>
  <c r="L13" i="21"/>
  <c r="Q13" i="21" s="1"/>
  <c r="L16" i="21"/>
  <c r="D58" i="22" a="1"/>
  <c r="D58" i="22" s="1"/>
  <c r="F58" i="22" s="1"/>
  <c r="C22" i="23" s="1"/>
  <c r="D22" i="24" s="1"/>
  <c r="D59" i="22" a="1"/>
  <c r="D59" i="22" s="1"/>
  <c r="F59" i="22" s="1"/>
  <c r="D61" i="22" a="1"/>
  <c r="D61" i="22" s="1"/>
  <c r="F61" i="22" s="1"/>
  <c r="D60" i="22" a="1"/>
  <c r="D60" i="22" s="1"/>
  <c r="F60" i="22" s="1"/>
  <c r="H19" i="21"/>
  <c r="I19" i="21" s="1"/>
  <c r="H7" i="34" l="1"/>
  <c r="I10" i="24"/>
  <c r="J10" i="24" s="1"/>
  <c r="I14" i="34"/>
  <c r="I16" i="34"/>
  <c r="L13" i="24"/>
  <c r="K13" i="24"/>
  <c r="I14" i="24"/>
  <c r="J14" i="24" s="1"/>
  <c r="H16" i="24"/>
  <c r="J7" i="34" a="1"/>
  <c r="J7" i="34" s="1"/>
  <c r="I13" i="34"/>
  <c r="I15" i="34"/>
  <c r="L11" i="24"/>
  <c r="K11" i="24"/>
  <c r="J9" i="26"/>
  <c r="J10" i="26"/>
  <c r="H17" i="24"/>
  <c r="K12" i="24"/>
  <c r="L12" i="24"/>
  <c r="C12" i="21"/>
  <c r="S7" i="21"/>
  <c r="T7" i="21" s="1"/>
  <c r="E12" i="21"/>
  <c r="L10" i="26"/>
  <c r="M15" i="21"/>
  <c r="P15" i="21"/>
  <c r="Q15" i="21"/>
  <c r="E22" i="24"/>
  <c r="P16" i="21"/>
  <c r="M16" i="21"/>
  <c r="M13" i="21"/>
  <c r="P13" i="21"/>
  <c r="E21" i="24"/>
  <c r="L19" i="21"/>
  <c r="D72" i="22" a="1"/>
  <c r="D72" i="22" s="1"/>
  <c r="F72" i="22" s="1"/>
  <c r="D73" i="22" a="1"/>
  <c r="D73" i="22" s="1"/>
  <c r="F73" i="22" s="1"/>
  <c r="D70" i="22" a="1"/>
  <c r="D70" i="22" s="1"/>
  <c r="F70" i="22" s="1"/>
  <c r="C28" i="23" s="1"/>
  <c r="D28" i="24" s="1"/>
  <c r="D71" i="22" a="1"/>
  <c r="D71" i="22" s="1"/>
  <c r="F71" i="22" s="1"/>
  <c r="Q16" i="21"/>
  <c r="E19" i="24"/>
  <c r="J19" i="21"/>
  <c r="H15" i="34" l="1"/>
  <c r="H13" i="34"/>
  <c r="L9" i="26"/>
  <c r="K14" i="24"/>
  <c r="L14" i="24"/>
  <c r="L8" i="34"/>
  <c r="C19" i="24"/>
  <c r="L10" i="34"/>
  <c r="J16" i="34" a="1"/>
  <c r="J16" i="34" s="1"/>
  <c r="J14" i="34" a="1"/>
  <c r="J14" i="34" s="1"/>
  <c r="C21" i="24"/>
  <c r="F21" i="24" s="1"/>
  <c r="C20" i="24"/>
  <c r="F20" i="24" s="1"/>
  <c r="F19" i="24"/>
  <c r="I17" i="24"/>
  <c r="J17" i="24" s="1"/>
  <c r="H16" i="34"/>
  <c r="H14" i="34"/>
  <c r="L10" i="24"/>
  <c r="K10" i="24"/>
  <c r="I16" i="24"/>
  <c r="J16" i="24" s="1"/>
  <c r="L9" i="34"/>
  <c r="H12" i="21"/>
  <c r="I12" i="21" s="1"/>
  <c r="J12" i="21" s="1"/>
  <c r="E28" i="24"/>
  <c r="M19" i="21"/>
  <c r="P19" i="21"/>
  <c r="N15" i="21"/>
  <c r="O15" i="21"/>
  <c r="N13" i="21"/>
  <c r="O13" i="21"/>
  <c r="N16" i="21"/>
  <c r="O16" i="21"/>
  <c r="Q19" i="21"/>
  <c r="H21" i="24" l="1"/>
  <c r="L17" i="24"/>
  <c r="K17" i="24"/>
  <c r="O9" i="34"/>
  <c r="M9" i="34"/>
  <c r="N9" i="34" s="1"/>
  <c r="O10" i="34"/>
  <c r="M10" i="34"/>
  <c r="N10" i="34" s="1"/>
  <c r="H19" i="24"/>
  <c r="H20" i="24"/>
  <c r="L16" i="24"/>
  <c r="K16" i="24"/>
  <c r="M8" i="34"/>
  <c r="N8" i="34" s="1"/>
  <c r="O8" i="34"/>
  <c r="C18" i="24"/>
  <c r="C22" i="24"/>
  <c r="F22" i="24" s="1"/>
  <c r="L11" i="34"/>
  <c r="J15" i="34" a="1"/>
  <c r="J15" i="34" s="1"/>
  <c r="J13" i="34" a="1"/>
  <c r="J13" i="34" s="1"/>
  <c r="L7" i="34"/>
  <c r="C21" i="21"/>
  <c r="E21" i="21" s="1"/>
  <c r="S16" i="21"/>
  <c r="T16" i="21" s="1"/>
  <c r="C18" i="21"/>
  <c r="E18" i="21" s="1"/>
  <c r="S13" i="21"/>
  <c r="T13" i="21"/>
  <c r="C20" i="21"/>
  <c r="E20" i="21" s="1"/>
  <c r="S15" i="21"/>
  <c r="T15" i="21" s="1"/>
  <c r="C8" i="26"/>
  <c r="D43" i="22" a="1"/>
  <c r="D43" i="22" s="1"/>
  <c r="F43" i="22" s="1"/>
  <c r="C23" i="23" s="1"/>
  <c r="D23" i="24" s="1"/>
  <c r="E23" i="24" s="1"/>
  <c r="D44" i="22" a="1"/>
  <c r="D44" i="22" s="1"/>
  <c r="F44" i="22" s="1"/>
  <c r="C24" i="23" s="1"/>
  <c r="D24" i="24" s="1"/>
  <c r="L12" i="21"/>
  <c r="Q12" i="21" s="1"/>
  <c r="D42" i="22" a="1"/>
  <c r="D42" i="22" s="1"/>
  <c r="F42" i="22" s="1"/>
  <c r="C18" i="23" s="1"/>
  <c r="D18" i="24" s="1"/>
  <c r="D45" i="22" a="1"/>
  <c r="D45" i="22" s="1"/>
  <c r="F45" i="22" s="1"/>
  <c r="C25" i="23" s="1"/>
  <c r="D25" i="24" s="1"/>
  <c r="O19" i="21"/>
  <c r="N19" i="21"/>
  <c r="H21" i="21"/>
  <c r="I21" i="21" s="1"/>
  <c r="C13" i="26" s="1"/>
  <c r="H18" i="21"/>
  <c r="I18" i="21" s="1"/>
  <c r="J18" i="21"/>
  <c r="H20" i="21"/>
  <c r="I20" i="21" s="1"/>
  <c r="J20" i="21" s="1"/>
  <c r="O11" i="34" l="1"/>
  <c r="N11" i="34"/>
  <c r="M11" i="34"/>
  <c r="I20" i="24"/>
  <c r="J20" i="24" s="1"/>
  <c r="H22" i="24"/>
  <c r="I19" i="24"/>
  <c r="J19" i="24" s="1"/>
  <c r="M7" i="34"/>
  <c r="O7" i="34"/>
  <c r="N7" i="34"/>
  <c r="P8" i="34" a="1"/>
  <c r="P8" i="34" s="1"/>
  <c r="R8" i="34" s="1" a="1"/>
  <c r="R8" i="34" s="1"/>
  <c r="Q8" i="34" a="1"/>
  <c r="Q8" i="34" s="1"/>
  <c r="Q9" i="34" a="1"/>
  <c r="Q9" i="34" s="1"/>
  <c r="P9" i="34" a="1"/>
  <c r="P9" i="34" s="1"/>
  <c r="R9" i="34" s="1" a="1"/>
  <c r="R9" i="34" s="1"/>
  <c r="E18" i="24"/>
  <c r="F18" i="24" s="1"/>
  <c r="E24" i="24"/>
  <c r="Q10" i="34" a="1"/>
  <c r="Q10" i="34" s="1"/>
  <c r="P10" i="34" a="1"/>
  <c r="P10" i="34" s="1"/>
  <c r="R10" i="34" s="1" a="1"/>
  <c r="R10" i="34" s="1"/>
  <c r="C24" i="24"/>
  <c r="C25" i="24"/>
  <c r="I21" i="24"/>
  <c r="J21" i="24" s="1"/>
  <c r="C24" i="21"/>
  <c r="E24" i="21" s="1"/>
  <c r="S19" i="21"/>
  <c r="T19" i="21" s="1"/>
  <c r="E25" i="24"/>
  <c r="F25" i="24" s="1"/>
  <c r="P12" i="21"/>
  <c r="M12" i="21"/>
  <c r="C12" i="26"/>
  <c r="J21" i="21"/>
  <c r="K13" i="26"/>
  <c r="E13" i="26"/>
  <c r="K8" i="26"/>
  <c r="E8" i="26"/>
  <c r="D66" i="22" a="1"/>
  <c r="D66" i="22" s="1"/>
  <c r="F66" i="22" s="1"/>
  <c r="C27" i="23" s="1"/>
  <c r="D27" i="24" s="1"/>
  <c r="D67" i="22" a="1"/>
  <c r="D67" i="22" s="1"/>
  <c r="F67" i="22" s="1"/>
  <c r="D68" i="22" a="1"/>
  <c r="D68" i="22" s="1"/>
  <c r="F68" i="22" s="1"/>
  <c r="D69" i="22" a="1"/>
  <c r="D69" i="22" s="1"/>
  <c r="F69" i="22" s="1"/>
  <c r="L18" i="21"/>
  <c r="L21" i="21"/>
  <c r="D79" i="22" a="1"/>
  <c r="D79" i="22" s="1"/>
  <c r="F79" i="22" s="1"/>
  <c r="D80" i="22" a="1"/>
  <c r="D80" i="22" s="1"/>
  <c r="F80" i="22" s="1"/>
  <c r="D78" i="22" a="1"/>
  <c r="D78" i="22" s="1"/>
  <c r="F78" i="22" s="1"/>
  <c r="C30" i="23" s="1"/>
  <c r="D30" i="24" s="1"/>
  <c r="D81" i="22" a="1"/>
  <c r="D81" i="22" s="1"/>
  <c r="F81" i="22" s="1"/>
  <c r="D77" i="22" a="1"/>
  <c r="D77" i="22" s="1"/>
  <c r="F77" i="22" s="1"/>
  <c r="D74" i="22" a="1"/>
  <c r="D74" i="22" s="1"/>
  <c r="F74" i="22" s="1"/>
  <c r="C29" i="23" s="1"/>
  <c r="D29" i="24" s="1"/>
  <c r="D75" i="22" a="1"/>
  <c r="D75" i="22" s="1"/>
  <c r="F75" i="22" s="1"/>
  <c r="D76" i="22" a="1"/>
  <c r="D76" i="22" s="1"/>
  <c r="F76" i="22" s="1"/>
  <c r="L20" i="21"/>
  <c r="Q20" i="21" s="1"/>
  <c r="H24" i="21"/>
  <c r="I24" i="21" s="1"/>
  <c r="J24" i="21" s="1"/>
  <c r="H25" i="24" l="1"/>
  <c r="Q7" i="34" a="1"/>
  <c r="Q7" i="34" s="1"/>
  <c r="P7" i="34" a="1"/>
  <c r="P7" i="34" s="1"/>
  <c r="R7" i="34" s="1" a="1"/>
  <c r="R7" i="34" s="1"/>
  <c r="J13" i="26"/>
  <c r="P11" i="34" a="1"/>
  <c r="P11" i="34" s="1"/>
  <c r="R11" i="34" s="1" a="1"/>
  <c r="R11" i="34" s="1"/>
  <c r="Q11" i="34" a="1"/>
  <c r="Q11" i="34" s="1"/>
  <c r="I19" i="34"/>
  <c r="I21" i="34"/>
  <c r="L21" i="24"/>
  <c r="K21" i="24"/>
  <c r="F24" i="24"/>
  <c r="K19" i="24"/>
  <c r="L19" i="24"/>
  <c r="H18" i="24"/>
  <c r="I22" i="24"/>
  <c r="J22" i="24" s="1"/>
  <c r="K20" i="24"/>
  <c r="L20" i="24"/>
  <c r="I12" i="34"/>
  <c r="K12" i="26"/>
  <c r="E12" i="26"/>
  <c r="N12" i="21"/>
  <c r="O12" i="21"/>
  <c r="J8" i="26"/>
  <c r="L13" i="26"/>
  <c r="M18" i="21"/>
  <c r="P18" i="21"/>
  <c r="E29" i="24"/>
  <c r="E27" i="24"/>
  <c r="M21" i="21"/>
  <c r="P21" i="21"/>
  <c r="Q18" i="21"/>
  <c r="Q21" i="21"/>
  <c r="D93" i="22" a="1"/>
  <c r="D93" i="22" s="1"/>
  <c r="F93" i="22" s="1"/>
  <c r="D90" i="22" a="1"/>
  <c r="D90" i="22" s="1"/>
  <c r="F90" i="22" s="1"/>
  <c r="C36" i="23" s="1"/>
  <c r="D36" i="24" s="1"/>
  <c r="D92" i="22" a="1"/>
  <c r="D92" i="22" s="1"/>
  <c r="F92" i="22" s="1"/>
  <c r="D91" i="22" a="1"/>
  <c r="D91" i="22" s="1"/>
  <c r="F91" i="22" s="1"/>
  <c r="L24" i="21"/>
  <c r="M20" i="21"/>
  <c r="P20" i="21"/>
  <c r="E30" i="24"/>
  <c r="L13" i="34" l="1"/>
  <c r="H24" i="24"/>
  <c r="L15" i="34"/>
  <c r="L14" i="34"/>
  <c r="J21" i="34" a="1"/>
  <c r="J21" i="34" s="1"/>
  <c r="J19" i="34" a="1"/>
  <c r="J19" i="34" s="1"/>
  <c r="C29" i="24"/>
  <c r="F29" i="24" s="1"/>
  <c r="H19" i="34"/>
  <c r="H21" i="34"/>
  <c r="C27" i="24"/>
  <c r="F27" i="24" s="1"/>
  <c r="L8" i="26"/>
  <c r="H12" i="34"/>
  <c r="I18" i="24"/>
  <c r="J18" i="24" s="1"/>
  <c r="J12" i="26"/>
  <c r="I25" i="24"/>
  <c r="J25" i="24" s="1"/>
  <c r="I18" i="34"/>
  <c r="I20" i="34"/>
  <c r="C28" i="24"/>
  <c r="F28" i="24" s="1"/>
  <c r="L22" i="24"/>
  <c r="K22" i="24"/>
  <c r="C17" i="21"/>
  <c r="S12" i="21"/>
  <c r="T12" i="21"/>
  <c r="L12" i="26"/>
  <c r="E17" i="21"/>
  <c r="M24" i="21"/>
  <c r="P24" i="21"/>
  <c r="E36" i="24"/>
  <c r="Q24" i="21"/>
  <c r="N18" i="21"/>
  <c r="O18" i="21"/>
  <c r="O21" i="21"/>
  <c r="N21" i="21"/>
  <c r="N20" i="21"/>
  <c r="O20" i="21"/>
  <c r="H27" i="24" l="1"/>
  <c r="K18" i="24"/>
  <c r="L18" i="24"/>
  <c r="L16" i="34"/>
  <c r="J12" i="34" a="1"/>
  <c r="J12" i="34" s="1"/>
  <c r="O14" i="34"/>
  <c r="M14" i="34"/>
  <c r="N14" i="34"/>
  <c r="I24" i="24"/>
  <c r="J24" i="24" s="1"/>
  <c r="C30" i="24"/>
  <c r="F30" i="24" s="1"/>
  <c r="H28" i="24"/>
  <c r="N15" i="34"/>
  <c r="M15" i="34"/>
  <c r="O15" i="34"/>
  <c r="J18" i="34" a="1"/>
  <c r="J18" i="34" s="1"/>
  <c r="J20" i="34" a="1"/>
  <c r="J20" i="34" s="1"/>
  <c r="K25" i="24"/>
  <c r="L25" i="24"/>
  <c r="H18" i="34"/>
  <c r="H20" i="34"/>
  <c r="H29" i="24"/>
  <c r="O13" i="34"/>
  <c r="M13" i="34"/>
  <c r="N13" i="34" s="1"/>
  <c r="T20" i="21"/>
  <c r="C25" i="21"/>
  <c r="E25" i="21" s="1"/>
  <c r="S20" i="21"/>
  <c r="C26" i="21"/>
  <c r="E26" i="21" s="1"/>
  <c r="H26" i="21" s="1"/>
  <c r="I26" i="21" s="1"/>
  <c r="C16" i="26" s="1"/>
  <c r="S21" i="21"/>
  <c r="T21" i="21" s="1"/>
  <c r="C23" i="21"/>
  <c r="E23" i="21" s="1"/>
  <c r="H23" i="21" s="1"/>
  <c r="I23" i="21" s="1"/>
  <c r="C15" i="26" s="1"/>
  <c r="S18" i="21"/>
  <c r="T18" i="21" s="1"/>
  <c r="H17" i="21"/>
  <c r="I17" i="21" s="1"/>
  <c r="J17" i="21" s="1"/>
  <c r="H25" i="21"/>
  <c r="I25" i="21" s="1"/>
  <c r="N24" i="21"/>
  <c r="O24" i="21"/>
  <c r="I28" i="24" l="1"/>
  <c r="J28" i="24" s="1"/>
  <c r="M16" i="34"/>
  <c r="N16" i="34"/>
  <c r="O16" i="34"/>
  <c r="H30" i="24"/>
  <c r="K24" i="24"/>
  <c r="L24" i="24"/>
  <c r="I27" i="24"/>
  <c r="J27" i="24" s="1"/>
  <c r="P15" i="34" a="1"/>
  <c r="P15" i="34" s="1"/>
  <c r="R15" i="34" s="1" a="1"/>
  <c r="R15" i="34" s="1"/>
  <c r="Q15" i="34" a="1"/>
  <c r="Q15" i="34" s="1"/>
  <c r="Q14" i="34" a="1"/>
  <c r="Q14" i="34" s="1"/>
  <c r="P14" i="34" a="1"/>
  <c r="P14" i="34" s="1"/>
  <c r="R14" i="34" s="1" a="1"/>
  <c r="R14" i="34" s="1"/>
  <c r="P13" i="34" a="1"/>
  <c r="P13" i="34" s="1"/>
  <c r="R13" i="34" s="1" a="1"/>
  <c r="R13" i="34" s="1"/>
  <c r="Q13" i="34" a="1"/>
  <c r="Q13" i="34" s="1"/>
  <c r="C33" i="24"/>
  <c r="C26" i="24"/>
  <c r="I29" i="24"/>
  <c r="J29" i="24" s="1"/>
  <c r="L12" i="34"/>
  <c r="C29" i="21"/>
  <c r="E29" i="21" s="1"/>
  <c r="S24" i="21"/>
  <c r="T24" i="21"/>
  <c r="E15" i="26"/>
  <c r="K15" i="26"/>
  <c r="C11" i="26"/>
  <c r="L17" i="21"/>
  <c r="Q17" i="21" s="1"/>
  <c r="D63" i="22" a="1"/>
  <c r="D63" i="22" s="1"/>
  <c r="F63" i="22" s="1"/>
  <c r="C31" i="23" s="1"/>
  <c r="D31" i="24" s="1"/>
  <c r="E31" i="24" s="1"/>
  <c r="D62" i="22" a="1"/>
  <c r="D62" i="22" s="1"/>
  <c r="F62" i="22" s="1"/>
  <c r="C26" i="23" s="1"/>
  <c r="D26" i="24" s="1"/>
  <c r="E26" i="24" s="1"/>
  <c r="F26" i="24" s="1"/>
  <c r="D64" i="22" a="1"/>
  <c r="D64" i="22" s="1"/>
  <c r="F64" i="22" s="1"/>
  <c r="C32" i="23" s="1"/>
  <c r="D32" i="24" s="1"/>
  <c r="D65" i="22" a="1"/>
  <c r="D65" i="22" s="1"/>
  <c r="F65" i="22" s="1"/>
  <c r="C33" i="23" s="1"/>
  <c r="D33" i="24" s="1"/>
  <c r="E16" i="26"/>
  <c r="K16" i="26"/>
  <c r="L26" i="21"/>
  <c r="D100" i="22" a="1"/>
  <c r="D100" i="22" s="1"/>
  <c r="F100" i="22" s="1"/>
  <c r="D101" i="22" a="1"/>
  <c r="D101" i="22" s="1"/>
  <c r="F101" i="22" s="1"/>
  <c r="D98" i="22" a="1"/>
  <c r="D98" i="22" s="1"/>
  <c r="F98" i="22" s="1"/>
  <c r="C38" i="23" s="1"/>
  <c r="D38" i="24" s="1"/>
  <c r="D99" i="22" a="1"/>
  <c r="D99" i="22" s="1"/>
  <c r="F99" i="22" s="1"/>
  <c r="Q26" i="21"/>
  <c r="J26" i="21"/>
  <c r="L23" i="21"/>
  <c r="Q23" i="21" s="1"/>
  <c r="D86" i="22" a="1"/>
  <c r="D86" i="22" s="1"/>
  <c r="F86" i="22" s="1"/>
  <c r="C35" i="23" s="1"/>
  <c r="D35" i="24" s="1"/>
  <c r="D87" i="22" a="1"/>
  <c r="D87" i="22" s="1"/>
  <c r="F87" i="22" s="1"/>
  <c r="D89" i="22" a="1"/>
  <c r="D89" i="22" s="1"/>
  <c r="F89" i="22" s="1"/>
  <c r="D88" i="22" a="1"/>
  <c r="D88" i="22" s="1"/>
  <c r="F88" i="22" s="1"/>
  <c r="H29" i="21"/>
  <c r="I29" i="21" s="1"/>
  <c r="J29" i="21"/>
  <c r="L25" i="21"/>
  <c r="Q25" i="21" s="1"/>
  <c r="D94" i="22" a="1"/>
  <c r="D94" i="22" s="1"/>
  <c r="F94" i="22" s="1"/>
  <c r="C37" i="23" s="1"/>
  <c r="D37" i="24" s="1"/>
  <c r="D95" i="22" a="1"/>
  <c r="D95" i="22" s="1"/>
  <c r="F95" i="22" s="1"/>
  <c r="D96" i="22" a="1"/>
  <c r="D96" i="22" s="1"/>
  <c r="F96" i="22" s="1"/>
  <c r="D97" i="22" a="1"/>
  <c r="D97" i="22" s="1"/>
  <c r="F97" i="22" s="1"/>
  <c r="J25" i="21"/>
  <c r="J23" i="21"/>
  <c r="H26" i="24" l="1"/>
  <c r="I23" i="34"/>
  <c r="I25" i="34"/>
  <c r="C32" i="24"/>
  <c r="J15" i="26"/>
  <c r="J16" i="26"/>
  <c r="E32" i="24"/>
  <c r="F32" i="24" s="1"/>
  <c r="L29" i="24"/>
  <c r="K29" i="24"/>
  <c r="L27" i="24"/>
  <c r="K27" i="24"/>
  <c r="I30" i="24"/>
  <c r="J30" i="24" s="1"/>
  <c r="K28" i="24"/>
  <c r="L28" i="24"/>
  <c r="I24" i="34"/>
  <c r="I26" i="34"/>
  <c r="P16" i="34" a="1"/>
  <c r="P16" i="34" s="1"/>
  <c r="R16" i="34" s="1" a="1"/>
  <c r="R16" i="34" s="1"/>
  <c r="Q16" i="34" a="1"/>
  <c r="Q16" i="34" s="1"/>
  <c r="M12" i="34"/>
  <c r="N12" i="34" s="1"/>
  <c r="O12" i="34"/>
  <c r="L16" i="26"/>
  <c r="K11" i="26"/>
  <c r="E11" i="26"/>
  <c r="E33" i="24"/>
  <c r="F33" i="24" s="1"/>
  <c r="P17" i="21"/>
  <c r="M17" i="21"/>
  <c r="M26" i="21"/>
  <c r="P26" i="21"/>
  <c r="E37" i="24"/>
  <c r="E38" i="24"/>
  <c r="M23" i="21"/>
  <c r="P23" i="21"/>
  <c r="M25" i="21"/>
  <c r="P25" i="21"/>
  <c r="D110" i="22" a="1"/>
  <c r="D110" i="22" s="1"/>
  <c r="F110" i="22" s="1"/>
  <c r="C44" i="23" s="1"/>
  <c r="D44" i="24" s="1"/>
  <c r="D111" i="22" a="1"/>
  <c r="D111" i="22" s="1"/>
  <c r="F111" i="22" s="1"/>
  <c r="D112" i="22" a="1"/>
  <c r="D112" i="22" s="1"/>
  <c r="F112" i="22" s="1"/>
  <c r="D113" i="22" a="1"/>
  <c r="D113" i="22" s="1"/>
  <c r="F113" i="22" s="1"/>
  <c r="L29" i="21"/>
  <c r="E35" i="24"/>
  <c r="I17" i="34" l="1"/>
  <c r="C36" i="24"/>
  <c r="F36" i="24" s="1"/>
  <c r="H24" i="34"/>
  <c r="H26" i="34"/>
  <c r="L19" i="34"/>
  <c r="L18" i="34"/>
  <c r="C35" i="24"/>
  <c r="F35" i="24" s="1"/>
  <c r="P12" i="34" a="1"/>
  <c r="P12" i="34" s="1"/>
  <c r="R12" i="34" s="1" a="1"/>
  <c r="R12" i="34" s="1"/>
  <c r="Q12" i="34" a="1"/>
  <c r="Q12" i="34" s="1"/>
  <c r="H25" i="34"/>
  <c r="H23" i="34"/>
  <c r="L20" i="34"/>
  <c r="C37" i="24"/>
  <c r="F37" i="24" s="1"/>
  <c r="J24" i="34" a="1"/>
  <c r="J24" i="34" s="1"/>
  <c r="J26" i="34" a="1"/>
  <c r="J26" i="34" s="1"/>
  <c r="L30" i="24"/>
  <c r="K30" i="24"/>
  <c r="H33" i="24"/>
  <c r="H32" i="24"/>
  <c r="L15" i="26"/>
  <c r="I26" i="24"/>
  <c r="J26" i="24" s="1"/>
  <c r="J11" i="26"/>
  <c r="N17" i="21"/>
  <c r="O17" i="21"/>
  <c r="E44" i="24"/>
  <c r="N25" i="21"/>
  <c r="O25" i="21"/>
  <c r="N26" i="21"/>
  <c r="O26" i="21"/>
  <c r="O23" i="21"/>
  <c r="N23" i="21"/>
  <c r="M29" i="21"/>
  <c r="P29" i="21"/>
  <c r="Q29" i="21"/>
  <c r="H37" i="24" l="1"/>
  <c r="H35" i="24"/>
  <c r="J25" i="34" a="1"/>
  <c r="J25" i="34" s="1"/>
  <c r="J23" i="34" a="1"/>
  <c r="J23" i="34" s="1"/>
  <c r="H36" i="24"/>
  <c r="M20" i="34"/>
  <c r="N20" i="34" s="1"/>
  <c r="O20" i="34"/>
  <c r="K26" i="24"/>
  <c r="L26" i="24"/>
  <c r="I32" i="24"/>
  <c r="J32" i="24" s="1"/>
  <c r="I33" i="24"/>
  <c r="J33" i="24" s="1"/>
  <c r="L21" i="34"/>
  <c r="M18" i="34"/>
  <c r="N18" i="34"/>
  <c r="O18" i="34"/>
  <c r="C38" i="24"/>
  <c r="F38" i="24" s="1"/>
  <c r="L11" i="26"/>
  <c r="H17" i="34"/>
  <c r="M19" i="34"/>
  <c r="N19" i="34"/>
  <c r="O19" i="34"/>
  <c r="C30" i="21"/>
  <c r="E30" i="21" s="1"/>
  <c r="S25" i="21"/>
  <c r="T25" i="21"/>
  <c r="C31" i="21"/>
  <c r="E31" i="21" s="1"/>
  <c r="H31" i="21" s="1"/>
  <c r="I31" i="21" s="1"/>
  <c r="C19" i="26" s="1"/>
  <c r="S26" i="21"/>
  <c r="T26" i="21"/>
  <c r="C22" i="21"/>
  <c r="E22" i="21" s="1"/>
  <c r="S17" i="21"/>
  <c r="T17" i="21" s="1"/>
  <c r="C28" i="21"/>
  <c r="E28" i="21" s="1"/>
  <c r="H28" i="21" s="1"/>
  <c r="I28" i="21" s="1"/>
  <c r="S23" i="21"/>
  <c r="T23" i="21" s="1"/>
  <c r="H30" i="21"/>
  <c r="I30" i="21" s="1"/>
  <c r="J30" i="21" s="1"/>
  <c r="N29" i="21"/>
  <c r="O29" i="21"/>
  <c r="L32" i="24" l="1"/>
  <c r="K32" i="24"/>
  <c r="H38" i="24"/>
  <c r="C34" i="24"/>
  <c r="L17" i="34"/>
  <c r="J17" i="34" a="1"/>
  <c r="J17" i="34" s="1"/>
  <c r="I35" i="24"/>
  <c r="J35" i="24" s="1"/>
  <c r="Q18" i="34" a="1"/>
  <c r="Q18" i="34" s="1"/>
  <c r="P18" i="34" a="1"/>
  <c r="P18" i="34" s="1"/>
  <c r="R18" i="34" s="1" a="1"/>
  <c r="R18" i="34" s="1"/>
  <c r="M21" i="34"/>
  <c r="N21" i="34" s="1"/>
  <c r="O21" i="34"/>
  <c r="K33" i="24"/>
  <c r="L33" i="24"/>
  <c r="I37" i="24"/>
  <c r="J37" i="24" s="1"/>
  <c r="P20" i="34" a="1"/>
  <c r="P20" i="34" s="1"/>
  <c r="R20" i="34" s="1" a="1"/>
  <c r="R20" i="34" s="1"/>
  <c r="Q20" i="34" a="1"/>
  <c r="Q20" i="34" s="1"/>
  <c r="Q19" i="34" a="1"/>
  <c r="Q19" i="34" s="1"/>
  <c r="P19" i="34" a="1"/>
  <c r="P19" i="34" s="1"/>
  <c r="R19" i="34" s="1" a="1"/>
  <c r="R19" i="34" s="1"/>
  <c r="I36" i="24"/>
  <c r="J36" i="24" s="1"/>
  <c r="C34" i="21"/>
  <c r="E34" i="21" s="1"/>
  <c r="S29" i="21"/>
  <c r="T29" i="21" s="1"/>
  <c r="J31" i="21"/>
  <c r="E19" i="26"/>
  <c r="J19" i="26" s="1"/>
  <c r="K19" i="26"/>
  <c r="J28" i="21"/>
  <c r="C18" i="26"/>
  <c r="H22" i="21"/>
  <c r="I22" i="21" s="1"/>
  <c r="J22" i="21" s="1"/>
  <c r="L28" i="21"/>
  <c r="Q28" i="21" s="1"/>
  <c r="D107" i="22" a="1"/>
  <c r="D107" i="22" s="1"/>
  <c r="F107" i="22" s="1"/>
  <c r="D108" i="22" a="1"/>
  <c r="D108" i="22" s="1"/>
  <c r="F108" i="22" s="1"/>
  <c r="D106" i="22" a="1"/>
  <c r="D106" i="22" s="1"/>
  <c r="F106" i="22" s="1"/>
  <c r="C43" i="23" s="1"/>
  <c r="D43" i="24" s="1"/>
  <c r="D109" i="22" a="1"/>
  <c r="D109" i="22" s="1"/>
  <c r="F109" i="22" s="1"/>
  <c r="D114" i="22" a="1"/>
  <c r="D114" i="22" s="1"/>
  <c r="F114" i="22" s="1"/>
  <c r="C45" i="23" s="1"/>
  <c r="D45" i="24" s="1"/>
  <c r="D115" i="22" a="1"/>
  <c r="D115" i="22" s="1"/>
  <c r="F115" i="22" s="1"/>
  <c r="D116" i="22" a="1"/>
  <c r="D116" i="22" s="1"/>
  <c r="F116" i="22" s="1"/>
  <c r="D117" i="22" a="1"/>
  <c r="D117" i="22" s="1"/>
  <c r="F117" i="22" s="1"/>
  <c r="L30" i="21"/>
  <c r="H34" i="21"/>
  <c r="I34" i="21" s="1"/>
  <c r="J34" i="21"/>
  <c r="D121" i="22" a="1"/>
  <c r="D121" i="22" s="1"/>
  <c r="F121" i="22" s="1"/>
  <c r="D119" i="22" a="1"/>
  <c r="D119" i="22" s="1"/>
  <c r="F119" i="22" s="1"/>
  <c r="D120" i="22" a="1"/>
  <c r="D120" i="22" s="1"/>
  <c r="F120" i="22" s="1"/>
  <c r="D118" i="22" a="1"/>
  <c r="D118" i="22" s="1"/>
  <c r="F118" i="22" s="1"/>
  <c r="C46" i="23" s="1"/>
  <c r="D46" i="24" s="1"/>
  <c r="L31" i="21"/>
  <c r="K36" i="24" l="1"/>
  <c r="L36" i="24"/>
  <c r="I38" i="24"/>
  <c r="J38" i="24" s="1"/>
  <c r="K35" i="24"/>
  <c r="L35" i="24"/>
  <c r="C40" i="24"/>
  <c r="I29" i="34"/>
  <c r="I31" i="34"/>
  <c r="L37" i="24"/>
  <c r="K37" i="24"/>
  <c r="H31" i="34"/>
  <c r="H29" i="34"/>
  <c r="C41" i="24"/>
  <c r="M17" i="34"/>
  <c r="N17" i="34"/>
  <c r="O17" i="34"/>
  <c r="P21" i="34" a="1"/>
  <c r="P21" i="34" s="1"/>
  <c r="R21" i="34" s="1" a="1"/>
  <c r="R21" i="34" s="1"/>
  <c r="Q21" i="34" a="1"/>
  <c r="Q21" i="34" s="1"/>
  <c r="C14" i="26"/>
  <c r="D84" i="22" a="1"/>
  <c r="D84" i="22" s="1"/>
  <c r="F84" i="22" s="1"/>
  <c r="C40" i="23" s="1"/>
  <c r="D40" i="24" s="1"/>
  <c r="D85" i="22" a="1"/>
  <c r="D85" i="22" s="1"/>
  <c r="F85" i="22" s="1"/>
  <c r="C41" i="23" s="1"/>
  <c r="D41" i="24" s="1"/>
  <c r="E41" i="24" s="1"/>
  <c r="F41" i="24" s="1"/>
  <c r="L22" i="21"/>
  <c r="D82" i="22" a="1"/>
  <c r="D82" i="22" s="1"/>
  <c r="F82" i="22" s="1"/>
  <c r="C34" i="23" s="1"/>
  <c r="D34" i="24" s="1"/>
  <c r="D83" i="22" a="1"/>
  <c r="D83" i="22" s="1"/>
  <c r="F83" i="22" s="1"/>
  <c r="C39" i="23" s="1"/>
  <c r="D39" i="24" s="1"/>
  <c r="E39" i="24" s="1"/>
  <c r="E18" i="26"/>
  <c r="J18" i="26" s="1"/>
  <c r="K18" i="26"/>
  <c r="L19" i="26"/>
  <c r="E43" i="24"/>
  <c r="E45" i="24"/>
  <c r="M31" i="21"/>
  <c r="P31" i="21"/>
  <c r="D130" i="22" a="1"/>
  <c r="D130" i="22" s="1"/>
  <c r="F130" i="22" s="1"/>
  <c r="C52" i="23" s="1"/>
  <c r="D52" i="24" s="1"/>
  <c r="D132" i="22" a="1"/>
  <c r="D132" i="22" s="1"/>
  <c r="F132" i="22" s="1"/>
  <c r="D133" i="22" a="1"/>
  <c r="D133" i="22" s="1"/>
  <c r="F133" i="22" s="1"/>
  <c r="D131" i="22" a="1"/>
  <c r="D131" i="22" s="1"/>
  <c r="F131" i="22" s="1"/>
  <c r="L34" i="21"/>
  <c r="Q31" i="21"/>
  <c r="M30" i="21"/>
  <c r="P30" i="21"/>
  <c r="E46" i="24"/>
  <c r="M28" i="21"/>
  <c r="P28" i="21"/>
  <c r="Q30" i="21"/>
  <c r="J29" i="34" l="1" a="1"/>
  <c r="J29" i="34" s="1"/>
  <c r="J31" i="34" a="1"/>
  <c r="J31" i="34" s="1"/>
  <c r="L18" i="26"/>
  <c r="I30" i="34"/>
  <c r="I28" i="34"/>
  <c r="Q17" i="34" a="1"/>
  <c r="Q17" i="34" s="1"/>
  <c r="P17" i="34" a="1"/>
  <c r="P17" i="34" s="1"/>
  <c r="R17" i="34" s="1" a="1"/>
  <c r="R17" i="34" s="1"/>
  <c r="H30" i="34"/>
  <c r="H28" i="34"/>
  <c r="C43" i="24"/>
  <c r="F43" i="24" s="1"/>
  <c r="H43" i="24" s="1"/>
  <c r="I43" i="24" s="1"/>
  <c r="J43" i="24" s="1"/>
  <c r="L25" i="34"/>
  <c r="C45" i="24"/>
  <c r="F45" i="24" s="1"/>
  <c r="H45" i="24" s="1"/>
  <c r="I45" i="24" s="1"/>
  <c r="J45" i="24" s="1"/>
  <c r="L23" i="34"/>
  <c r="H41" i="24"/>
  <c r="E40" i="24"/>
  <c r="F40" i="24" s="1"/>
  <c r="L38" i="24"/>
  <c r="K38" i="24"/>
  <c r="C44" i="24"/>
  <c r="F44" i="24" s="1"/>
  <c r="H44" i="24" s="1"/>
  <c r="I44" i="24" s="1"/>
  <c r="J44" i="24" s="1"/>
  <c r="L24" i="34"/>
  <c r="E34" i="24"/>
  <c r="F34" i="24" s="1"/>
  <c r="P22" i="21"/>
  <c r="M22" i="21"/>
  <c r="Q22" i="21"/>
  <c r="E14" i="26"/>
  <c r="J14" i="26" s="1"/>
  <c r="K14" i="26"/>
  <c r="M34" i="21"/>
  <c r="P34" i="21"/>
  <c r="Q34" i="21"/>
  <c r="N28" i="21"/>
  <c r="O28" i="21"/>
  <c r="O30" i="21"/>
  <c r="N30" i="21"/>
  <c r="N31" i="21"/>
  <c r="O31" i="21"/>
  <c r="E52" i="24"/>
  <c r="L45" i="24" l="1"/>
  <c r="C53" i="24" s="1"/>
  <c r="K45" i="24"/>
  <c r="L30" i="34" s="1"/>
  <c r="L43" i="24"/>
  <c r="C51" i="24" s="1"/>
  <c r="K43" i="24"/>
  <c r="L28" i="34" s="1"/>
  <c r="O23" i="34"/>
  <c r="M23" i="34"/>
  <c r="N23" i="34" s="1"/>
  <c r="M25" i="34"/>
  <c r="O25" i="34"/>
  <c r="N25" i="34"/>
  <c r="O24" i="34"/>
  <c r="M24" i="34"/>
  <c r="N24" i="34" s="1"/>
  <c r="L26" i="34"/>
  <c r="C46" i="24"/>
  <c r="F46" i="24" s="1"/>
  <c r="H46" i="24" s="1"/>
  <c r="I46" i="24" s="1"/>
  <c r="J46" i="24" s="1"/>
  <c r="H34" i="24"/>
  <c r="J30" i="34" a="1"/>
  <c r="J30" i="34" s="1"/>
  <c r="J28" i="34" a="1"/>
  <c r="J28" i="34" s="1"/>
  <c r="L14" i="26"/>
  <c r="I22" i="34"/>
  <c r="H40" i="24"/>
  <c r="F52" i="24"/>
  <c r="H52" i="24" s="1"/>
  <c r="I52" i="24" s="1"/>
  <c r="J52" i="24" s="1"/>
  <c r="K52" i="24" s="1"/>
  <c r="L34" i="34" s="1"/>
  <c r="I41" i="24"/>
  <c r="J41" i="24" s="1"/>
  <c r="H22" i="34"/>
  <c r="K44" i="24"/>
  <c r="L29" i="34" s="1"/>
  <c r="L44" i="24"/>
  <c r="C52" i="24" s="1"/>
  <c r="C33" i="21"/>
  <c r="E33" i="21" s="1"/>
  <c r="S28" i="21"/>
  <c r="T28" i="21" s="1"/>
  <c r="C35" i="21"/>
  <c r="E35" i="21" s="1"/>
  <c r="H35" i="21" s="1"/>
  <c r="I35" i="21" s="1"/>
  <c r="S30" i="21"/>
  <c r="T30" i="21" s="1"/>
  <c r="C36" i="21"/>
  <c r="E36" i="21" s="1"/>
  <c r="H36" i="21" s="1"/>
  <c r="I36" i="21" s="1"/>
  <c r="C22" i="26" s="1"/>
  <c r="S31" i="21"/>
  <c r="T31" i="21" s="1"/>
  <c r="N22" i="21"/>
  <c r="O22" i="21"/>
  <c r="O34" i="21"/>
  <c r="N34" i="21"/>
  <c r="H33" i="21"/>
  <c r="I33" i="21" s="1"/>
  <c r="J33" i="21"/>
  <c r="L46" i="24" l="1"/>
  <c r="C54" i="24" s="1"/>
  <c r="K46" i="24"/>
  <c r="L31" i="34" s="1"/>
  <c r="Q23" i="34" a="1"/>
  <c r="Q23" i="34" s="1"/>
  <c r="P23" i="34" a="1"/>
  <c r="P23" i="34" s="1"/>
  <c r="R23" i="34" s="1" a="1"/>
  <c r="R23" i="34" s="1"/>
  <c r="I40" i="24"/>
  <c r="J40" i="24" s="1"/>
  <c r="J22" i="34" a="1"/>
  <c r="J22" i="34" s="1"/>
  <c r="Q24" i="34" a="1"/>
  <c r="Q24" i="34" s="1"/>
  <c r="P24" i="34" a="1"/>
  <c r="P24" i="34" s="1"/>
  <c r="R24" i="34" s="1" a="1"/>
  <c r="R24" i="34" s="1"/>
  <c r="L52" i="24"/>
  <c r="C60" i="24" s="1"/>
  <c r="I34" i="24"/>
  <c r="J34" i="24" s="1"/>
  <c r="O29" i="34"/>
  <c r="M29" i="34"/>
  <c r="N29" i="34" s="1"/>
  <c r="P25" i="34" a="1"/>
  <c r="P25" i="34" s="1"/>
  <c r="R25" i="34" s="1" a="1"/>
  <c r="R25" i="34" s="1"/>
  <c r="Q25" i="34" a="1"/>
  <c r="Q25" i="34" s="1"/>
  <c r="L41" i="24"/>
  <c r="K41" i="24"/>
  <c r="N26" i="34"/>
  <c r="O26" i="34"/>
  <c r="M26" i="34"/>
  <c r="O28" i="34"/>
  <c r="M28" i="34"/>
  <c r="N28" i="34" s="1"/>
  <c r="M30" i="34"/>
  <c r="N30" i="34" s="1"/>
  <c r="O30" i="34"/>
  <c r="C21" i="26"/>
  <c r="E21" i="26" s="1"/>
  <c r="J21" i="26" s="1"/>
  <c r="C39" i="21"/>
  <c r="E39" i="21" s="1"/>
  <c r="S34" i="21"/>
  <c r="T34" i="21" s="1"/>
  <c r="C27" i="21"/>
  <c r="S22" i="21"/>
  <c r="T22" i="21" s="1"/>
  <c r="J36" i="21"/>
  <c r="K22" i="26"/>
  <c r="E22" i="26"/>
  <c r="J22" i="26" s="1"/>
  <c r="E27" i="21"/>
  <c r="D139" i="22" a="1"/>
  <c r="D139" i="22" s="1"/>
  <c r="F139" i="22" s="1"/>
  <c r="D140" i="22" a="1"/>
  <c r="D140" i="22" s="1"/>
  <c r="F140" i="22" s="1"/>
  <c r="D141" i="22" a="1"/>
  <c r="D141" i="22" s="1"/>
  <c r="F141" i="22" s="1"/>
  <c r="D138" i="22" a="1"/>
  <c r="D138" i="22" s="1"/>
  <c r="F138" i="22" s="1"/>
  <c r="C54" i="23" s="1"/>
  <c r="D54" i="24" s="1"/>
  <c r="L36" i="21"/>
  <c r="Q36" i="21" s="1"/>
  <c r="L33" i="21"/>
  <c r="Q33" i="21" s="1"/>
  <c r="D129" i="22" a="1"/>
  <c r="D129" i="22" s="1"/>
  <c r="F129" i="22" s="1"/>
  <c r="D126" i="22" a="1"/>
  <c r="D126" i="22" s="1"/>
  <c r="F126" i="22" s="1"/>
  <c r="C51" i="23" s="1"/>
  <c r="D51" i="24" s="1"/>
  <c r="D127" i="22" a="1"/>
  <c r="D127" i="22" s="1"/>
  <c r="F127" i="22" s="1"/>
  <c r="D128" i="22" a="1"/>
  <c r="D128" i="22" s="1"/>
  <c r="F128" i="22" s="1"/>
  <c r="H39" i="21"/>
  <c r="I39" i="21" s="1"/>
  <c r="L35" i="21"/>
  <c r="D136" i="22" a="1"/>
  <c r="D136" i="22" s="1"/>
  <c r="F136" i="22" s="1"/>
  <c r="D137" i="22" a="1"/>
  <c r="D137" i="22" s="1"/>
  <c r="F137" i="22" s="1"/>
  <c r="D134" i="22" a="1"/>
  <c r="D134" i="22" s="1"/>
  <c r="F134" i="22" s="1"/>
  <c r="C53" i="23" s="1"/>
  <c r="D53" i="24" s="1"/>
  <c r="D135" i="22" a="1"/>
  <c r="D135" i="22" s="1"/>
  <c r="F135" i="22" s="1"/>
  <c r="J35" i="21"/>
  <c r="C49" i="24" l="1"/>
  <c r="H33" i="34"/>
  <c r="H35" i="34"/>
  <c r="K40" i="24"/>
  <c r="L40" i="24"/>
  <c r="Q30" i="34" a="1"/>
  <c r="Q30" i="34" s="1"/>
  <c r="P30" i="34" a="1"/>
  <c r="P30" i="34" s="1"/>
  <c r="R30" i="34" s="1" a="1"/>
  <c r="R30" i="34" s="1"/>
  <c r="M31" i="34"/>
  <c r="N31" i="34" s="1"/>
  <c r="O31" i="34"/>
  <c r="H36" i="34"/>
  <c r="H34" i="34"/>
  <c r="I36" i="34"/>
  <c r="I34" i="34"/>
  <c r="Q28" i="34" a="1"/>
  <c r="Q28" i="34" s="1"/>
  <c r="P28" i="34" a="1"/>
  <c r="P28" i="34" s="1"/>
  <c r="R28" i="34" s="1" a="1"/>
  <c r="R28" i="34" s="1"/>
  <c r="L34" i="24"/>
  <c r="K34" i="24"/>
  <c r="P29" i="34" a="1"/>
  <c r="P29" i="34" s="1"/>
  <c r="R29" i="34" s="1" a="1"/>
  <c r="R29" i="34" s="1"/>
  <c r="Q29" i="34" a="1"/>
  <c r="Q29" i="34" s="1"/>
  <c r="Q26" i="34" a="1"/>
  <c r="Q26" i="34" s="1"/>
  <c r="P26" i="34" a="1"/>
  <c r="P26" i="34" s="1"/>
  <c r="R26" i="34" s="1" a="1"/>
  <c r="R26" i="34" s="1"/>
  <c r="L22" i="26"/>
  <c r="K21" i="26"/>
  <c r="H27" i="21"/>
  <c r="I27" i="21" s="1"/>
  <c r="J27" i="21"/>
  <c r="L21" i="26"/>
  <c r="J39" i="21"/>
  <c r="E54" i="24"/>
  <c r="F54" i="24"/>
  <c r="H54" i="24" s="1"/>
  <c r="I54" i="24" s="1"/>
  <c r="J54" i="24" s="1"/>
  <c r="M35" i="21"/>
  <c r="P35" i="21"/>
  <c r="L39" i="21"/>
  <c r="Q39" i="21" s="1"/>
  <c r="D151" i="22" a="1"/>
  <c r="D151" i="22" s="1"/>
  <c r="F151" i="22" s="1"/>
  <c r="D152" i="22" a="1"/>
  <c r="D152" i="22" s="1"/>
  <c r="F152" i="22" s="1"/>
  <c r="D150" i="22" a="1"/>
  <c r="D150" i="22" s="1"/>
  <c r="F150" i="22" s="1"/>
  <c r="C60" i="23" s="1"/>
  <c r="D60" i="24" s="1"/>
  <c r="D153" i="22" a="1"/>
  <c r="D153" i="22" s="1"/>
  <c r="F153" i="22" s="1"/>
  <c r="Q35" i="21"/>
  <c r="E51" i="24"/>
  <c r="F51" i="24" s="1"/>
  <c r="H51" i="24" s="1"/>
  <c r="I51" i="24" s="1"/>
  <c r="J51" i="24" s="1"/>
  <c r="M33" i="21"/>
  <c r="P33" i="21"/>
  <c r="E53" i="24"/>
  <c r="F53" i="24" s="1"/>
  <c r="H53" i="24" s="1"/>
  <c r="I53" i="24" s="1"/>
  <c r="J53" i="24" s="1"/>
  <c r="M36" i="21"/>
  <c r="P36" i="21"/>
  <c r="J33" i="34" l="1" a="1"/>
  <c r="J33" i="34" s="1"/>
  <c r="J35" i="34" a="1"/>
  <c r="J35" i="34" s="1"/>
  <c r="I35" i="34"/>
  <c r="I33" i="34"/>
  <c r="J34" i="34" a="1"/>
  <c r="J34" i="34" s="1"/>
  <c r="J36" i="34" a="1"/>
  <c r="J36" i="34" s="1"/>
  <c r="Q31" i="34" a="1"/>
  <c r="Q31" i="34" s="1"/>
  <c r="P31" i="34" a="1"/>
  <c r="P31" i="34" s="1"/>
  <c r="R31" i="34" s="1" a="1"/>
  <c r="R31" i="34" s="1"/>
  <c r="L22" i="34"/>
  <c r="C42" i="24"/>
  <c r="C48" i="24"/>
  <c r="C17" i="26"/>
  <c r="L27" i="21"/>
  <c r="Q27" i="21" s="1"/>
  <c r="D102" i="22" a="1"/>
  <c r="D102" i="22" s="1"/>
  <c r="F102" i="22" s="1"/>
  <c r="C42" i="23" s="1"/>
  <c r="D42" i="24" s="1"/>
  <c r="E42" i="24" s="1"/>
  <c r="D105" i="22" a="1"/>
  <c r="D105" i="22" s="1"/>
  <c r="F105" i="22" s="1"/>
  <c r="C49" i="23" s="1"/>
  <c r="D49" i="24" s="1"/>
  <c r="E49" i="24" s="1"/>
  <c r="F49" i="24" s="1"/>
  <c r="H49" i="24" s="1"/>
  <c r="I49" i="24" s="1"/>
  <c r="J49" i="24" s="1"/>
  <c r="D104" i="22" a="1"/>
  <c r="D104" i="22" s="1"/>
  <c r="F104" i="22" s="1"/>
  <c r="C48" i="23" s="1"/>
  <c r="D48" i="24" s="1"/>
  <c r="D103" i="22" a="1"/>
  <c r="D103" i="22" s="1"/>
  <c r="F103" i="22" s="1"/>
  <c r="C47" i="23" s="1"/>
  <c r="D47" i="24" s="1"/>
  <c r="E47" i="24" s="1"/>
  <c r="N33" i="21"/>
  <c r="O33" i="21"/>
  <c r="L51" i="24"/>
  <c r="C59" i="24" s="1"/>
  <c r="K51" i="24"/>
  <c r="L33" i="34" s="1"/>
  <c r="N35" i="21"/>
  <c r="O35" i="21"/>
  <c r="K54" i="24"/>
  <c r="L36" i="34" s="1"/>
  <c r="L54" i="24"/>
  <c r="C62" i="24" s="1"/>
  <c r="E60" i="24"/>
  <c r="F60" i="24" s="1"/>
  <c r="H60" i="24" s="1"/>
  <c r="I60" i="24" s="1"/>
  <c r="J60" i="24" s="1"/>
  <c r="N36" i="21"/>
  <c r="O36" i="21"/>
  <c r="M39" i="21"/>
  <c r="P39" i="21"/>
  <c r="K53" i="24"/>
  <c r="L35" i="34" s="1"/>
  <c r="L53" i="24"/>
  <c r="C61" i="24" s="1"/>
  <c r="M36" i="34" l="1"/>
  <c r="N36" i="34" s="1"/>
  <c r="O36" i="34"/>
  <c r="O22" i="34"/>
  <c r="M22" i="34"/>
  <c r="N22" i="34" s="1"/>
  <c r="O35" i="34"/>
  <c r="M35" i="34"/>
  <c r="N35" i="34" s="1"/>
  <c r="F42" i="24"/>
  <c r="H42" i="24" s="1"/>
  <c r="I42" i="24" s="1"/>
  <c r="J42" i="24" s="1"/>
  <c r="M33" i="34"/>
  <c r="N33" i="34" s="1"/>
  <c r="O33" i="34"/>
  <c r="O34" i="34"/>
  <c r="M34" i="34"/>
  <c r="N34" i="34" s="1"/>
  <c r="C41" i="21"/>
  <c r="E41" i="21" s="1"/>
  <c r="S36" i="21"/>
  <c r="T36" i="21" s="1"/>
  <c r="C40" i="21"/>
  <c r="E40" i="21" s="1"/>
  <c r="S35" i="21"/>
  <c r="T35" i="21"/>
  <c r="C38" i="21"/>
  <c r="E38" i="21" s="1"/>
  <c r="S33" i="21"/>
  <c r="T33" i="21"/>
  <c r="E48" i="24"/>
  <c r="F48" i="24" s="1"/>
  <c r="H48" i="24" s="1"/>
  <c r="I48" i="24" s="1"/>
  <c r="J48" i="24" s="1"/>
  <c r="L42" i="24"/>
  <c r="C50" i="24" s="1"/>
  <c r="K42" i="24"/>
  <c r="L27" i="34" s="1"/>
  <c r="P27" i="21"/>
  <c r="M27" i="21"/>
  <c r="L49" i="24"/>
  <c r="C57" i="24" s="1"/>
  <c r="K49" i="24"/>
  <c r="E17" i="26"/>
  <c r="J17" i="26" s="1"/>
  <c r="H27" i="34" s="1"/>
  <c r="K17" i="26"/>
  <c r="N39" i="21"/>
  <c r="O39" i="21"/>
  <c r="L60" i="24"/>
  <c r="C68" i="24" s="1"/>
  <c r="K60" i="24"/>
  <c r="L39" i="34" s="1"/>
  <c r="H38" i="21"/>
  <c r="I38" i="21" s="1"/>
  <c r="C24" i="26" s="1"/>
  <c r="H41" i="21"/>
  <c r="I41" i="21" s="1"/>
  <c r="C25" i="26" s="1"/>
  <c r="J41" i="21"/>
  <c r="H40" i="21"/>
  <c r="I40" i="21" s="1"/>
  <c r="J40" i="21" s="1"/>
  <c r="Q35" i="34" l="1" a="1"/>
  <c r="Q35" i="34" s="1"/>
  <c r="P35" i="34" a="1"/>
  <c r="P35" i="34" s="1"/>
  <c r="R35" i="34" s="1" a="1"/>
  <c r="R35" i="34" s="1"/>
  <c r="Q22" i="34" a="1"/>
  <c r="Q22" i="34" s="1"/>
  <c r="P22" i="34" a="1"/>
  <c r="P22" i="34" s="1"/>
  <c r="R22" i="34" s="1" a="1"/>
  <c r="R22" i="34" s="1"/>
  <c r="P33" i="34" a="1"/>
  <c r="P33" i="34" s="1"/>
  <c r="R33" i="34" s="1" a="1"/>
  <c r="R33" i="34" s="1"/>
  <c r="Q33" i="34" a="1"/>
  <c r="Q33" i="34" s="1"/>
  <c r="P36" i="34" a="1"/>
  <c r="P36" i="34" s="1"/>
  <c r="R36" i="34" s="1" a="1"/>
  <c r="R36" i="34" s="1"/>
  <c r="Q36" i="34" a="1"/>
  <c r="Q36" i="34" s="1"/>
  <c r="Q34" i="34" a="1"/>
  <c r="Q34" i="34" s="1"/>
  <c r="P34" i="34" a="1"/>
  <c r="P34" i="34" s="1"/>
  <c r="R34" i="34" s="1" a="1"/>
  <c r="R34" i="34" s="1"/>
  <c r="L17" i="26"/>
  <c r="J27" i="34" s="1" a="1"/>
  <c r="J27" i="34" s="1"/>
  <c r="I27" i="34"/>
  <c r="C44" i="21"/>
  <c r="E44" i="21" s="1"/>
  <c r="S39" i="21"/>
  <c r="J38" i="21"/>
  <c r="T39" i="21"/>
  <c r="K48" i="24"/>
  <c r="L48" i="24"/>
  <c r="C56" i="24" s="1"/>
  <c r="K25" i="26"/>
  <c r="E25" i="26"/>
  <c r="J25" i="26" s="1"/>
  <c r="K24" i="26"/>
  <c r="E24" i="26"/>
  <c r="J24" i="26" s="1"/>
  <c r="N27" i="21"/>
  <c r="O27" i="21"/>
  <c r="L38" i="21"/>
  <c r="Q38" i="21" s="1"/>
  <c r="D147" i="22" a="1"/>
  <c r="D147" i="22" s="1"/>
  <c r="F147" i="22" s="1"/>
  <c r="D146" i="22" a="1"/>
  <c r="D146" i="22" s="1"/>
  <c r="F146" i="22" s="1"/>
  <c r="C59" i="23" s="1"/>
  <c r="D59" i="24" s="1"/>
  <c r="D148" i="22" a="1"/>
  <c r="D148" i="22" s="1"/>
  <c r="F148" i="22" s="1"/>
  <c r="D149" i="22" a="1"/>
  <c r="D149" i="22" s="1"/>
  <c r="F149" i="22" s="1"/>
  <c r="H44" i="21"/>
  <c r="I44" i="21" s="1"/>
  <c r="J44" i="21" s="1"/>
  <c r="L40" i="21"/>
  <c r="Q40" i="21" s="1"/>
  <c r="D154" i="22" a="1"/>
  <c r="D154" i="22" s="1"/>
  <c r="F154" i="22" s="1"/>
  <c r="C61" i="23" s="1"/>
  <c r="D61" i="24" s="1"/>
  <c r="D155" i="22" a="1"/>
  <c r="D155" i="22" s="1"/>
  <c r="F155" i="22" s="1"/>
  <c r="D157" i="22" a="1"/>
  <c r="D157" i="22" s="1"/>
  <c r="F157" i="22" s="1"/>
  <c r="D156" i="22" a="1"/>
  <c r="D156" i="22" s="1"/>
  <c r="F156" i="22" s="1"/>
  <c r="L41" i="21"/>
  <c r="D158" i="22" a="1"/>
  <c r="D158" i="22" s="1"/>
  <c r="F158" i="22" s="1"/>
  <c r="C62" i="23" s="1"/>
  <c r="D62" i="24" s="1"/>
  <c r="D159" i="22" a="1"/>
  <c r="D159" i="22" s="1"/>
  <c r="F159" i="22" s="1"/>
  <c r="D160" i="22" a="1"/>
  <c r="D160" i="22" s="1"/>
  <c r="F160" i="22" s="1"/>
  <c r="D161" i="22" a="1"/>
  <c r="D161" i="22" s="1"/>
  <c r="F161" i="22" s="1"/>
  <c r="H39" i="34" l="1"/>
  <c r="H41" i="34"/>
  <c r="M27" i="34"/>
  <c r="N27" i="34" s="1"/>
  <c r="H40" i="34"/>
  <c r="H38" i="34"/>
  <c r="I38" i="34"/>
  <c r="I40" i="34"/>
  <c r="I39" i="34"/>
  <c r="I41" i="34"/>
  <c r="O27" i="34"/>
  <c r="C32" i="21"/>
  <c r="E32" i="21" s="1"/>
  <c r="S27" i="21"/>
  <c r="T27" i="21"/>
  <c r="L24" i="26"/>
  <c r="L25" i="26"/>
  <c r="H32" i="21"/>
  <c r="I32" i="21" s="1"/>
  <c r="J32" i="21" s="1"/>
  <c r="D172" i="22" a="1"/>
  <c r="D172" i="22" s="1"/>
  <c r="F172" i="22" s="1"/>
  <c r="D173" i="22" a="1"/>
  <c r="D173" i="22" s="1"/>
  <c r="F173" i="22" s="1"/>
  <c r="D170" i="22" a="1"/>
  <c r="D170" i="22" s="1"/>
  <c r="F170" i="22" s="1"/>
  <c r="C68" i="23" s="1"/>
  <c r="D68" i="24" s="1"/>
  <c r="D171" i="22" a="1"/>
  <c r="D171" i="22" s="1"/>
  <c r="F171" i="22" s="1"/>
  <c r="L44" i="21"/>
  <c r="Q44" i="21" s="1"/>
  <c r="E59" i="24"/>
  <c r="F59" i="24" s="1"/>
  <c r="H59" i="24" s="1"/>
  <c r="I59" i="24" s="1"/>
  <c r="J59" i="24" s="1"/>
  <c r="M38" i="21"/>
  <c r="P38" i="21"/>
  <c r="E61" i="24"/>
  <c r="F61" i="24" s="1"/>
  <c r="H61" i="24" s="1"/>
  <c r="I61" i="24" s="1"/>
  <c r="J61" i="24" s="1"/>
  <c r="E62" i="24"/>
  <c r="F62" i="24" s="1"/>
  <c r="H62" i="24" s="1"/>
  <c r="I62" i="24" s="1"/>
  <c r="J62" i="24" s="1"/>
  <c r="M41" i="21"/>
  <c r="P41" i="21"/>
  <c r="Q41" i="21"/>
  <c r="M40" i="21"/>
  <c r="P40" i="21"/>
  <c r="J38" i="34" l="1" a="1"/>
  <c r="J38" i="34" s="1"/>
  <c r="J40" i="34" a="1"/>
  <c r="J40" i="34" s="1"/>
  <c r="Q27" i="34" a="1"/>
  <c r="Q27" i="34" s="1"/>
  <c r="P27" i="34" a="1"/>
  <c r="P27" i="34" s="1"/>
  <c r="R27" i="34" s="1" a="1"/>
  <c r="R27" i="34" s="1"/>
  <c r="J39" i="34" a="1"/>
  <c r="J39" i="34" s="1"/>
  <c r="J41" i="34" a="1"/>
  <c r="J41" i="34" s="1"/>
  <c r="C20" i="26"/>
  <c r="D124" i="22" a="1"/>
  <c r="D124" i="22" s="1"/>
  <c r="F124" i="22" s="1"/>
  <c r="C56" i="23" s="1"/>
  <c r="D56" i="24" s="1"/>
  <c r="D125" i="22" a="1"/>
  <c r="D125" i="22" s="1"/>
  <c r="F125" i="22" s="1"/>
  <c r="C57" i="23" s="1"/>
  <c r="D57" i="24" s="1"/>
  <c r="D122" i="22" a="1"/>
  <c r="D122" i="22" s="1"/>
  <c r="F122" i="22" s="1"/>
  <c r="C50" i="23" s="1"/>
  <c r="D50" i="24" s="1"/>
  <c r="E50" i="24" s="1"/>
  <c r="F50" i="24" s="1"/>
  <c r="H50" i="24" s="1"/>
  <c r="I50" i="24" s="1"/>
  <c r="J50" i="24" s="1"/>
  <c r="D123" i="22" a="1"/>
  <c r="D123" i="22" s="1"/>
  <c r="F123" i="22" s="1"/>
  <c r="C55" i="23" s="1"/>
  <c r="D55" i="24" s="1"/>
  <c r="E55" i="24" s="1"/>
  <c r="L32" i="21"/>
  <c r="E68" i="24"/>
  <c r="F68" i="24" s="1"/>
  <c r="H68" i="24" s="1"/>
  <c r="I68" i="24" s="1"/>
  <c r="J68" i="24" s="1"/>
  <c r="K61" i="24"/>
  <c r="L40" i="34" s="1"/>
  <c r="L61" i="24"/>
  <c r="C69" i="24" s="1"/>
  <c r="M44" i="21"/>
  <c r="P44" i="21"/>
  <c r="K59" i="24"/>
  <c r="L38" i="34" s="1"/>
  <c r="L59" i="24"/>
  <c r="C67" i="24" s="1"/>
  <c r="O41" i="21"/>
  <c r="N41" i="21"/>
  <c r="L62" i="24"/>
  <c r="C70" i="24" s="1"/>
  <c r="K62" i="24"/>
  <c r="L41" i="34" s="1"/>
  <c r="N40" i="21"/>
  <c r="O40" i="21"/>
  <c r="N38" i="21"/>
  <c r="O38" i="21"/>
  <c r="M41" i="34" l="1"/>
  <c r="O41" i="34"/>
  <c r="N41" i="34"/>
  <c r="M38" i="34"/>
  <c r="N38" i="34" s="1"/>
  <c r="O38" i="34"/>
  <c r="M39" i="34"/>
  <c r="O39" i="34"/>
  <c r="N39" i="34"/>
  <c r="O40" i="34"/>
  <c r="M40" i="34"/>
  <c r="N40" i="34" s="1"/>
  <c r="C43" i="21"/>
  <c r="E43" i="21" s="1"/>
  <c r="S38" i="21"/>
  <c r="C45" i="21"/>
  <c r="E45" i="21" s="1"/>
  <c r="S40" i="21"/>
  <c r="T38" i="21"/>
  <c r="T40" i="21"/>
  <c r="C46" i="21"/>
  <c r="E46" i="21" s="1"/>
  <c r="H46" i="21" s="1"/>
  <c r="I46" i="21" s="1"/>
  <c r="C28" i="26" s="1"/>
  <c r="S41" i="21"/>
  <c r="T41" i="21" s="1"/>
  <c r="P32" i="21"/>
  <c r="M32" i="21"/>
  <c r="Q32" i="21"/>
  <c r="L50" i="24"/>
  <c r="C58" i="24" s="1"/>
  <c r="K50" i="24"/>
  <c r="L32" i="34" s="1"/>
  <c r="E56" i="24"/>
  <c r="F56" i="24"/>
  <c r="H56" i="24" s="1"/>
  <c r="I56" i="24" s="1"/>
  <c r="J56" i="24" s="1"/>
  <c r="E57" i="24"/>
  <c r="F57" i="24"/>
  <c r="H57" i="24" s="1"/>
  <c r="I57" i="24" s="1"/>
  <c r="J57" i="24" s="1"/>
  <c r="K20" i="26"/>
  <c r="I32" i="34" s="1"/>
  <c r="E20" i="26"/>
  <c r="J20" i="26" s="1"/>
  <c r="H32" i="34" s="1"/>
  <c r="L68" i="24"/>
  <c r="C76" i="24" s="1"/>
  <c r="K68" i="24"/>
  <c r="L44" i="34" s="1"/>
  <c r="H43" i="21"/>
  <c r="I43" i="21" s="1"/>
  <c r="O44" i="21"/>
  <c r="N44" i="21"/>
  <c r="H45" i="21"/>
  <c r="I45" i="21" s="1"/>
  <c r="J45" i="21" s="1"/>
  <c r="P41" i="34" l="1" a="1"/>
  <c r="P41" i="34" s="1"/>
  <c r="R41" i="34" s="1" a="1"/>
  <c r="R41" i="34" s="1"/>
  <c r="Q41" i="34" a="1"/>
  <c r="Q41" i="34" s="1"/>
  <c r="P40" i="34" a="1"/>
  <c r="P40" i="34" s="1"/>
  <c r="R40" i="34" s="1" a="1"/>
  <c r="R40" i="34" s="1"/>
  <c r="Q40" i="34" a="1"/>
  <c r="Q40" i="34" s="1"/>
  <c r="Q38" i="34" a="1"/>
  <c r="Q38" i="34" s="1"/>
  <c r="P38" i="34" a="1"/>
  <c r="P38" i="34" s="1"/>
  <c r="R38" i="34" s="1" a="1"/>
  <c r="R38" i="34" s="1"/>
  <c r="P39" i="34" a="1"/>
  <c r="P39" i="34" s="1"/>
  <c r="R39" i="34" s="1" a="1"/>
  <c r="R39" i="34" s="1"/>
  <c r="Q39" i="34" a="1"/>
  <c r="Q39" i="34" s="1"/>
  <c r="C49" i="21"/>
  <c r="E49" i="21" s="1"/>
  <c r="S44" i="21"/>
  <c r="T44" i="21"/>
  <c r="L20" i="26"/>
  <c r="J32" i="34" s="1" a="1"/>
  <c r="J32" i="34" s="1"/>
  <c r="K57" i="24"/>
  <c r="L57" i="24"/>
  <c r="C65" i="24" s="1"/>
  <c r="L56" i="24"/>
  <c r="C64" i="24" s="1"/>
  <c r="K56" i="24"/>
  <c r="C27" i="26"/>
  <c r="N32" i="21"/>
  <c r="O32" i="21"/>
  <c r="E28" i="26"/>
  <c r="J28" i="26" s="1"/>
  <c r="K28" i="26"/>
  <c r="H49" i="21"/>
  <c r="I49" i="21" s="1"/>
  <c r="J49" i="21" s="1"/>
  <c r="L46" i="21"/>
  <c r="Q46" i="21" s="1"/>
  <c r="D179" i="22" a="1"/>
  <c r="D179" i="22" s="1"/>
  <c r="F179" i="22" s="1"/>
  <c r="D180" i="22" a="1"/>
  <c r="D180" i="22" s="1"/>
  <c r="F180" i="22" s="1"/>
  <c r="D178" i="22" a="1"/>
  <c r="D178" i="22" s="1"/>
  <c r="F178" i="22" s="1"/>
  <c r="C70" i="23" s="1"/>
  <c r="D70" i="24" s="1"/>
  <c r="D181" i="22" a="1"/>
  <c r="D181" i="22" s="1"/>
  <c r="F181" i="22" s="1"/>
  <c r="L43" i="21"/>
  <c r="Q43" i="21" s="1"/>
  <c r="D166" i="22" a="1"/>
  <c r="D166" i="22" s="1"/>
  <c r="F166" i="22" s="1"/>
  <c r="C67" i="23" s="1"/>
  <c r="D67" i="24" s="1"/>
  <c r="D167" i="22" a="1"/>
  <c r="D167" i="22" s="1"/>
  <c r="F167" i="22" s="1"/>
  <c r="D168" i="22" a="1"/>
  <c r="D168" i="22" s="1"/>
  <c r="F168" i="22" s="1"/>
  <c r="D169" i="22" a="1"/>
  <c r="D169" i="22" s="1"/>
  <c r="F169" i="22" s="1"/>
  <c r="J46" i="21"/>
  <c r="J43" i="21"/>
  <c r="L45" i="21"/>
  <c r="Q45" i="21" s="1"/>
  <c r="D174" i="22" a="1"/>
  <c r="D174" i="22" s="1"/>
  <c r="F174" i="22" s="1"/>
  <c r="C69" i="23" s="1"/>
  <c r="D69" i="24" s="1"/>
  <c r="D175" i="22" a="1"/>
  <c r="D175" i="22" s="1"/>
  <c r="F175" i="22" s="1"/>
  <c r="D176" i="22" a="1"/>
  <c r="D176" i="22" s="1"/>
  <c r="F176" i="22" s="1"/>
  <c r="D177" i="22" a="1"/>
  <c r="D177" i="22" s="1"/>
  <c r="F177" i="22" s="1"/>
  <c r="I44" i="34" l="1"/>
  <c r="I46" i="34"/>
  <c r="O32" i="34"/>
  <c r="H46" i="34"/>
  <c r="H44" i="34"/>
  <c r="M32" i="34"/>
  <c r="N32" i="34" s="1"/>
  <c r="C37" i="21"/>
  <c r="E37" i="21" s="1"/>
  <c r="S32" i="21"/>
  <c r="T32" i="21"/>
  <c r="L28" i="26"/>
  <c r="H37" i="21"/>
  <c r="I37" i="21" s="1"/>
  <c r="J37" i="21" s="1"/>
  <c r="E27" i="26"/>
  <c r="J27" i="26" s="1"/>
  <c r="K27" i="26"/>
  <c r="E70" i="24"/>
  <c r="F70" i="24" s="1"/>
  <c r="H70" i="24" s="1"/>
  <c r="I70" i="24" s="1"/>
  <c r="J70" i="24" s="1"/>
  <c r="M46" i="21"/>
  <c r="P46" i="21"/>
  <c r="M43" i="21"/>
  <c r="P43" i="21"/>
  <c r="M45" i="21"/>
  <c r="P45" i="21"/>
  <c r="E69" i="24"/>
  <c r="F69" i="24"/>
  <c r="H69" i="24" s="1"/>
  <c r="I69" i="24" s="1"/>
  <c r="J69" i="24" s="1"/>
  <c r="E67" i="24"/>
  <c r="F67" i="24" s="1"/>
  <c r="H67" i="24" s="1"/>
  <c r="I67" i="24" s="1"/>
  <c r="J67" i="24" s="1"/>
  <c r="L49" i="21"/>
  <c r="Q49" i="21" s="1"/>
  <c r="D193" i="22" a="1"/>
  <c r="D193" i="22" s="1"/>
  <c r="F193" i="22" s="1"/>
  <c r="D190" i="22" a="1"/>
  <c r="D190" i="22" s="1"/>
  <c r="F190" i="22" s="1"/>
  <c r="C76" i="23" s="1"/>
  <c r="D76" i="24" s="1"/>
  <c r="D191" i="22" a="1"/>
  <c r="D191" i="22" s="1"/>
  <c r="F191" i="22" s="1"/>
  <c r="D192" i="22" a="1"/>
  <c r="D192" i="22" s="1"/>
  <c r="F192" i="22" s="1"/>
  <c r="I43" i="34" l="1"/>
  <c r="I45" i="34"/>
  <c r="H43" i="34"/>
  <c r="H45" i="34"/>
  <c r="J44" i="34" a="1"/>
  <c r="J44" i="34" s="1"/>
  <c r="J46" i="34" a="1"/>
  <c r="J46" i="34" s="1"/>
  <c r="P32" i="34" a="1"/>
  <c r="P32" i="34" s="1"/>
  <c r="R32" i="34" s="1" a="1"/>
  <c r="R32" i="34" s="1"/>
  <c r="Q32" i="34" a="1"/>
  <c r="Q32" i="34" s="1"/>
  <c r="L27" i="26"/>
  <c r="C23" i="26"/>
  <c r="D145" i="22" a="1"/>
  <c r="D145" i="22" s="1"/>
  <c r="F145" i="22" s="1"/>
  <c r="C65" i="23" s="1"/>
  <c r="D65" i="24" s="1"/>
  <c r="D142" i="22" a="1"/>
  <c r="D142" i="22" s="1"/>
  <c r="F142" i="22" s="1"/>
  <c r="C58" i="23" s="1"/>
  <c r="D58" i="24" s="1"/>
  <c r="D143" i="22" a="1"/>
  <c r="D143" i="22" s="1"/>
  <c r="F143" i="22" s="1"/>
  <c r="C63" i="23" s="1"/>
  <c r="D63" i="24" s="1"/>
  <c r="E63" i="24" s="1"/>
  <c r="L37" i="21"/>
  <c r="D144" i="22" a="1"/>
  <c r="D144" i="22" s="1"/>
  <c r="F144" i="22" s="1"/>
  <c r="C64" i="23" s="1"/>
  <c r="D64" i="24" s="1"/>
  <c r="E64" i="24" s="1"/>
  <c r="F64" i="24" s="1"/>
  <c r="H64" i="24" s="1"/>
  <c r="I64" i="24" s="1"/>
  <c r="J64" i="24" s="1"/>
  <c r="L69" i="24"/>
  <c r="C77" i="24" s="1"/>
  <c r="K69" i="24"/>
  <c r="L45" i="34" s="1"/>
  <c r="L70" i="24"/>
  <c r="C78" i="24" s="1"/>
  <c r="K70" i="24"/>
  <c r="L46" i="34" s="1"/>
  <c r="M49" i="21"/>
  <c r="P49" i="21"/>
  <c r="N43" i="21"/>
  <c r="O43" i="21"/>
  <c r="N45" i="21"/>
  <c r="O45" i="21"/>
  <c r="L67" i="24"/>
  <c r="C75" i="24" s="1"/>
  <c r="K67" i="24"/>
  <c r="L43" i="34" s="1"/>
  <c r="E76" i="24"/>
  <c r="F76" i="24" s="1"/>
  <c r="H76" i="24" s="1"/>
  <c r="I76" i="24" s="1"/>
  <c r="J76" i="24" s="1"/>
  <c r="N46" i="21"/>
  <c r="O46" i="21"/>
  <c r="J43" i="34" l="1" a="1"/>
  <c r="J43" i="34" s="1"/>
  <c r="M43" i="34" s="1"/>
  <c r="J45" i="34" a="1"/>
  <c r="J45" i="34" s="1"/>
  <c r="O45" i="34" s="1"/>
  <c r="M46" i="34"/>
  <c r="N46" i="34" s="1"/>
  <c r="O46" i="34"/>
  <c r="O44" i="34"/>
  <c r="M44" i="34"/>
  <c r="N44" i="34" s="1"/>
  <c r="C51" i="21"/>
  <c r="E51" i="21" s="1"/>
  <c r="S46" i="21"/>
  <c r="T46" i="21"/>
  <c r="C50" i="21"/>
  <c r="E50" i="21" s="1"/>
  <c r="S45" i="21"/>
  <c r="T45" i="21"/>
  <c r="C48" i="21"/>
  <c r="E48" i="21" s="1"/>
  <c r="H48" i="21" s="1"/>
  <c r="I48" i="21" s="1"/>
  <c r="S43" i="21"/>
  <c r="T43" i="21"/>
  <c r="K64" i="24"/>
  <c r="L64" i="24"/>
  <c r="C72" i="24" s="1"/>
  <c r="P37" i="21"/>
  <c r="M37" i="21"/>
  <c r="Q37" i="21"/>
  <c r="E65" i="24"/>
  <c r="F65" i="24" s="1"/>
  <c r="H65" i="24" s="1"/>
  <c r="I65" i="24" s="1"/>
  <c r="J65" i="24" s="1"/>
  <c r="E58" i="24"/>
  <c r="F58" i="24"/>
  <c r="H58" i="24" s="1"/>
  <c r="I58" i="24" s="1"/>
  <c r="J58" i="24" s="1"/>
  <c r="K23" i="26"/>
  <c r="I37" i="34" s="1"/>
  <c r="E23" i="26"/>
  <c r="J23" i="26" s="1"/>
  <c r="H37" i="34" s="1"/>
  <c r="L76" i="24"/>
  <c r="C84" i="24" s="1"/>
  <c r="K76" i="24"/>
  <c r="L49" i="34" s="1"/>
  <c r="H51" i="21"/>
  <c r="I51" i="21" s="1"/>
  <c r="N49" i="21"/>
  <c r="O49" i="21"/>
  <c r="H50" i="21"/>
  <c r="I50" i="21" s="1"/>
  <c r="J50" i="21" s="1"/>
  <c r="Q45" i="34" l="1" a="1"/>
  <c r="Q45" i="34" s="1"/>
  <c r="P45" i="34" a="1"/>
  <c r="P45" i="34" s="1"/>
  <c r="R45" i="34" s="1" a="1"/>
  <c r="R45" i="34" s="1"/>
  <c r="M45" i="34"/>
  <c r="N45" i="34" s="1"/>
  <c r="O43" i="34"/>
  <c r="N43" i="34"/>
  <c r="Q44" i="34" a="1"/>
  <c r="Q44" i="34" s="1"/>
  <c r="P44" i="34" a="1"/>
  <c r="P44" i="34" s="1"/>
  <c r="R44" i="34" s="1" a="1"/>
  <c r="R44" i="34" s="1"/>
  <c r="Q46" i="34" a="1"/>
  <c r="Q46" i="34" s="1"/>
  <c r="P46" i="34" a="1"/>
  <c r="P46" i="34" s="1"/>
  <c r="R46" i="34" s="1" a="1"/>
  <c r="R46" i="34" s="1"/>
  <c r="C54" i="21"/>
  <c r="E54" i="21" s="1"/>
  <c r="S49" i="21"/>
  <c r="T49" i="21" s="1"/>
  <c r="K65" i="24"/>
  <c r="L65" i="24"/>
  <c r="C73" i="24" s="1"/>
  <c r="L58" i="24"/>
  <c r="C66" i="24" s="1"/>
  <c r="K58" i="24"/>
  <c r="L37" i="34" s="1"/>
  <c r="L23" i="26"/>
  <c r="J37" i="34" s="1" a="1"/>
  <c r="J37" i="34" s="1"/>
  <c r="N37" i="21"/>
  <c r="O37" i="21"/>
  <c r="J51" i="21"/>
  <c r="C31" i="26"/>
  <c r="J48" i="21"/>
  <c r="C30" i="26"/>
  <c r="D194" i="22" a="1"/>
  <c r="D194" i="22" s="1"/>
  <c r="F194" i="22" s="1"/>
  <c r="C77" i="23" s="1"/>
  <c r="D77" i="24" s="1"/>
  <c r="D196" i="22" a="1"/>
  <c r="D196" i="22" s="1"/>
  <c r="F196" i="22" s="1"/>
  <c r="D197" i="22" a="1"/>
  <c r="D197" i="22" s="1"/>
  <c r="F197" i="22" s="1"/>
  <c r="D195" i="22" a="1"/>
  <c r="D195" i="22" s="1"/>
  <c r="F195" i="22" s="1"/>
  <c r="L50" i="21"/>
  <c r="D186" i="22" a="1"/>
  <c r="D186" i="22" s="1"/>
  <c r="F186" i="22" s="1"/>
  <c r="C75" i="23" s="1"/>
  <c r="D75" i="24" s="1"/>
  <c r="D187" i="22" a="1"/>
  <c r="D187" i="22" s="1"/>
  <c r="F187" i="22" s="1"/>
  <c r="D188" i="22" a="1"/>
  <c r="D188" i="22" s="1"/>
  <c r="F188" i="22" s="1"/>
  <c r="D189" i="22" a="1"/>
  <c r="D189" i="22" s="1"/>
  <c r="F189" i="22" s="1"/>
  <c r="L48" i="21"/>
  <c r="L51" i="21"/>
  <c r="D200" i="22" a="1"/>
  <c r="D200" i="22" s="1"/>
  <c r="F200" i="22" s="1"/>
  <c r="D201" i="22" a="1"/>
  <c r="D201" i="22" s="1"/>
  <c r="F201" i="22" s="1"/>
  <c r="D198" i="22" a="1"/>
  <c r="D198" i="22" s="1"/>
  <c r="F198" i="22" s="1"/>
  <c r="C78" i="23" s="1"/>
  <c r="D78" i="24" s="1"/>
  <c r="D199" i="22" a="1"/>
  <c r="D199" i="22" s="1"/>
  <c r="F199" i="22" s="1"/>
  <c r="Q51" i="21"/>
  <c r="H54" i="21"/>
  <c r="I54" i="21" s="1"/>
  <c r="Q43" i="34" l="1" a="1"/>
  <c r="Q43" i="34" s="1"/>
  <c r="P43" i="34" a="1"/>
  <c r="P43" i="34" s="1"/>
  <c r="R43" i="34" s="1" a="1"/>
  <c r="R43" i="34" s="1"/>
  <c r="N37" i="34"/>
  <c r="M37" i="34"/>
  <c r="O37" i="34"/>
  <c r="C42" i="21"/>
  <c r="E42" i="21" s="1"/>
  <c r="S37" i="21"/>
  <c r="T37" i="21"/>
  <c r="E31" i="26"/>
  <c r="J31" i="26" s="1"/>
  <c r="K31" i="26"/>
  <c r="J54" i="21"/>
  <c r="E30" i="26"/>
  <c r="J30" i="26" s="1"/>
  <c r="K30" i="26"/>
  <c r="H42" i="21"/>
  <c r="I42" i="21" s="1"/>
  <c r="J42" i="21"/>
  <c r="E78" i="24"/>
  <c r="F78" i="24"/>
  <c r="H78" i="24" s="1"/>
  <c r="I78" i="24" s="1"/>
  <c r="J78" i="24" s="1"/>
  <c r="E77" i="24"/>
  <c r="F77" i="24" s="1"/>
  <c r="H77" i="24" s="1"/>
  <c r="I77" i="24" s="1"/>
  <c r="J77" i="24" s="1"/>
  <c r="E75" i="24"/>
  <c r="F75" i="24" s="1"/>
  <c r="H75" i="24" s="1"/>
  <c r="I75" i="24" s="1"/>
  <c r="J75" i="24" s="1"/>
  <c r="M51" i="21"/>
  <c r="P51" i="21"/>
  <c r="M48" i="21"/>
  <c r="P48" i="21"/>
  <c r="D212" i="22" a="1"/>
  <c r="D212" i="22" s="1"/>
  <c r="F212" i="22" s="1"/>
  <c r="D213" i="22" a="1"/>
  <c r="D213" i="22" s="1"/>
  <c r="F213" i="22" s="1"/>
  <c r="D210" i="22" a="1"/>
  <c r="D210" i="22" s="1"/>
  <c r="F210" i="22" s="1"/>
  <c r="C84" i="23" s="1"/>
  <c r="D84" i="24" s="1"/>
  <c r="D211" i="22" a="1"/>
  <c r="D211" i="22" s="1"/>
  <c r="F211" i="22" s="1"/>
  <c r="L54" i="21"/>
  <c r="Q54" i="21" s="1"/>
  <c r="Q48" i="21"/>
  <c r="M50" i="21"/>
  <c r="P50" i="21"/>
  <c r="Q50" i="21"/>
  <c r="L31" i="26" l="1"/>
  <c r="I49" i="34"/>
  <c r="I51" i="34"/>
  <c r="H51" i="34"/>
  <c r="H49" i="34"/>
  <c r="L30" i="26"/>
  <c r="I48" i="34"/>
  <c r="I50" i="34"/>
  <c r="P37" i="34" a="1"/>
  <c r="P37" i="34" s="1"/>
  <c r="R37" i="34" s="1" a="1"/>
  <c r="R37" i="34" s="1"/>
  <c r="Q37" i="34" a="1"/>
  <c r="Q37" i="34" s="1"/>
  <c r="H50" i="34"/>
  <c r="H48" i="34"/>
  <c r="C26" i="26"/>
  <c r="L42" i="21"/>
  <c r="Q42" i="21" s="1"/>
  <c r="D165" i="22" a="1"/>
  <c r="D165" i="22" s="1"/>
  <c r="F165" i="22" s="1"/>
  <c r="C73" i="23" s="1"/>
  <c r="D73" i="24" s="1"/>
  <c r="D163" i="22" a="1"/>
  <c r="D163" i="22" s="1"/>
  <c r="F163" i="22" s="1"/>
  <c r="C71" i="23" s="1"/>
  <c r="D71" i="24" s="1"/>
  <c r="E71" i="24" s="1"/>
  <c r="D164" i="22" a="1"/>
  <c r="D164" i="22" s="1"/>
  <c r="F164" i="22" s="1"/>
  <c r="C72" i="23" s="1"/>
  <c r="D72" i="24" s="1"/>
  <c r="E72" i="24" s="1"/>
  <c r="F72" i="24" s="1"/>
  <c r="H72" i="24" s="1"/>
  <c r="I72" i="24" s="1"/>
  <c r="J72" i="24" s="1"/>
  <c r="D162" i="22" a="1"/>
  <c r="D162" i="22" s="1"/>
  <c r="F162" i="22" s="1"/>
  <c r="C66" i="23" s="1"/>
  <c r="D66" i="24" s="1"/>
  <c r="E66" i="24" s="1"/>
  <c r="F66" i="24" s="1"/>
  <c r="H66" i="24" s="1"/>
  <c r="I66" i="24" s="1"/>
  <c r="J66" i="24" s="1"/>
  <c r="K75" i="24"/>
  <c r="L48" i="34" s="1"/>
  <c r="L75" i="24"/>
  <c r="C83" i="24" s="1"/>
  <c r="L77" i="24"/>
  <c r="C85" i="24" s="1"/>
  <c r="K77" i="24"/>
  <c r="L50" i="34" s="1"/>
  <c r="M54" i="21"/>
  <c r="P54" i="21"/>
  <c r="E84" i="24"/>
  <c r="F84" i="24" s="1"/>
  <c r="H84" i="24" s="1"/>
  <c r="I84" i="24" s="1"/>
  <c r="J84" i="24" s="1"/>
  <c r="K78" i="24"/>
  <c r="L51" i="34" s="1"/>
  <c r="L78" i="24"/>
  <c r="C86" i="24" s="1"/>
  <c r="N50" i="21"/>
  <c r="O50" i="21"/>
  <c r="N48" i="21"/>
  <c r="O48" i="21"/>
  <c r="N51" i="21"/>
  <c r="O51" i="21"/>
  <c r="O50" i="34" l="1"/>
  <c r="M50" i="34"/>
  <c r="N50" i="34" s="1"/>
  <c r="O48" i="34"/>
  <c r="J50" i="34" a="1"/>
  <c r="J50" i="34" s="1"/>
  <c r="J48" i="34" a="1"/>
  <c r="J48" i="34" s="1"/>
  <c r="M48" i="34" s="1"/>
  <c r="N48" i="34" s="1"/>
  <c r="J51" i="34" a="1"/>
  <c r="J51" i="34" s="1"/>
  <c r="M51" i="34" s="1"/>
  <c r="J49" i="34" a="1"/>
  <c r="J49" i="34" s="1"/>
  <c r="C56" i="21"/>
  <c r="E56" i="21" s="1"/>
  <c r="S51" i="21"/>
  <c r="T51" i="21" s="1"/>
  <c r="C53" i="21"/>
  <c r="E53" i="21" s="1"/>
  <c r="S48" i="21"/>
  <c r="T48" i="21"/>
  <c r="C55" i="21"/>
  <c r="E55" i="21" s="1"/>
  <c r="S50" i="21"/>
  <c r="T50" i="21"/>
  <c r="K66" i="24"/>
  <c r="L42" i="34" s="1"/>
  <c r="L66" i="24"/>
  <c r="C74" i="24" s="1"/>
  <c r="E73" i="24"/>
  <c r="F73" i="24" s="1"/>
  <c r="H73" i="24" s="1"/>
  <c r="I73" i="24" s="1"/>
  <c r="J73" i="24" s="1"/>
  <c r="P42" i="21"/>
  <c r="M42" i="21"/>
  <c r="K72" i="24"/>
  <c r="L72" i="24"/>
  <c r="C80" i="24" s="1"/>
  <c r="E26" i="26"/>
  <c r="J26" i="26" s="1"/>
  <c r="H42" i="34" s="1"/>
  <c r="K26" i="26"/>
  <c r="I42" i="34" s="1"/>
  <c r="L84" i="24"/>
  <c r="C92" i="24" s="1"/>
  <c r="K84" i="24"/>
  <c r="L54" i="34" s="1"/>
  <c r="H53" i="21"/>
  <c r="I53" i="21" s="1"/>
  <c r="J53" i="21" s="1"/>
  <c r="N54" i="21"/>
  <c r="O54" i="21"/>
  <c r="H55" i="21"/>
  <c r="I55" i="21" s="1"/>
  <c r="H56" i="21"/>
  <c r="I56" i="21" s="1"/>
  <c r="C34" i="26" s="1"/>
  <c r="O51" i="34" l="1"/>
  <c r="N51" i="34"/>
  <c r="M49" i="34"/>
  <c r="N49" i="34"/>
  <c r="O49" i="34"/>
  <c r="Q48" i="34" a="1"/>
  <c r="Q48" i="34" s="1"/>
  <c r="P48" i="34" a="1"/>
  <c r="P48" i="34" s="1"/>
  <c r="R48" i="34" s="1" a="1"/>
  <c r="R48" i="34" s="1"/>
  <c r="Q50" i="34" a="1"/>
  <c r="Q50" i="34" s="1"/>
  <c r="P50" i="34" a="1"/>
  <c r="P50" i="34" s="1"/>
  <c r="R50" i="34" s="1" a="1"/>
  <c r="R50" i="34" s="1"/>
  <c r="C59" i="21"/>
  <c r="E59" i="21" s="1"/>
  <c r="S54" i="21"/>
  <c r="T54" i="21" s="1"/>
  <c r="L26" i="26"/>
  <c r="J42" i="34" s="1" a="1"/>
  <c r="J42" i="34" s="1"/>
  <c r="M42" i="34" s="1"/>
  <c r="K73" i="24"/>
  <c r="L73" i="24"/>
  <c r="C81" i="24" s="1"/>
  <c r="K34" i="26"/>
  <c r="E34" i="26"/>
  <c r="J34" i="26" s="1"/>
  <c r="C33" i="26"/>
  <c r="N42" i="21"/>
  <c r="O42" i="21"/>
  <c r="J56" i="21"/>
  <c r="H59" i="21"/>
  <c r="I59" i="21" s="1"/>
  <c r="J59" i="21" s="1"/>
  <c r="L53" i="21"/>
  <c r="Q53" i="21" s="1"/>
  <c r="D207" i="22" a="1"/>
  <c r="D207" i="22" s="1"/>
  <c r="F207" i="22" s="1"/>
  <c r="D208" i="22" a="1"/>
  <c r="D208" i="22" s="1"/>
  <c r="F208" i="22" s="1"/>
  <c r="D209" i="22" a="1"/>
  <c r="D209" i="22" s="1"/>
  <c r="F209" i="22" s="1"/>
  <c r="D206" i="22" a="1"/>
  <c r="D206" i="22" s="1"/>
  <c r="F206" i="22" s="1"/>
  <c r="C83" i="23" s="1"/>
  <c r="D83" i="24" s="1"/>
  <c r="L55" i="21"/>
  <c r="D215" i="22" a="1"/>
  <c r="D215" i="22" s="1"/>
  <c r="F215" i="22" s="1"/>
  <c r="D216" i="22" a="1"/>
  <c r="D216" i="22" s="1"/>
  <c r="F216" i="22" s="1"/>
  <c r="D217" i="22" a="1"/>
  <c r="D217" i="22" s="1"/>
  <c r="F217" i="22" s="1"/>
  <c r="D214" i="22" a="1"/>
  <c r="D214" i="22" s="1"/>
  <c r="F214" i="22" s="1"/>
  <c r="C85" i="23" s="1"/>
  <c r="D85" i="24" s="1"/>
  <c r="D218" i="22" a="1"/>
  <c r="D218" i="22" s="1"/>
  <c r="F218" i="22" s="1"/>
  <c r="C86" i="23" s="1"/>
  <c r="D86" i="24" s="1"/>
  <c r="D220" i="22" a="1"/>
  <c r="D220" i="22" s="1"/>
  <c r="F220" i="22" s="1"/>
  <c r="D219" i="22" a="1"/>
  <c r="D219" i="22" s="1"/>
  <c r="F219" i="22" s="1"/>
  <c r="D221" i="22" a="1"/>
  <c r="D221" i="22" s="1"/>
  <c r="F221" i="22" s="1"/>
  <c r="L56" i="21"/>
  <c r="Q56" i="21" s="1"/>
  <c r="J55" i="21"/>
  <c r="Q51" i="34" l="1" a="1"/>
  <c r="Q51" i="34" s="1"/>
  <c r="P51" i="34" a="1"/>
  <c r="P51" i="34" s="1"/>
  <c r="R51" i="34" s="1" a="1"/>
  <c r="R51" i="34" s="1"/>
  <c r="Q49" i="34" a="1"/>
  <c r="Q49" i="34" s="1"/>
  <c r="P49" i="34" a="1"/>
  <c r="P49" i="34" s="1"/>
  <c r="R49" i="34" s="1" a="1"/>
  <c r="R49" i="34" s="1"/>
  <c r="O42" i="34"/>
  <c r="H54" i="34"/>
  <c r="H56" i="34"/>
  <c r="I56" i="34"/>
  <c r="I54" i="34"/>
  <c r="N42" i="34"/>
  <c r="C47" i="21"/>
  <c r="E47" i="21" s="1"/>
  <c r="H47" i="21" s="1"/>
  <c r="I47" i="21" s="1"/>
  <c r="J47" i="21" s="1"/>
  <c r="S42" i="21"/>
  <c r="T42" i="21"/>
  <c r="K33" i="26"/>
  <c r="E33" i="26"/>
  <c r="J33" i="26" s="1"/>
  <c r="L34" i="26"/>
  <c r="M55" i="21"/>
  <c r="P55" i="21"/>
  <c r="E83" i="24"/>
  <c r="F83" i="24" s="1"/>
  <c r="H83" i="24" s="1"/>
  <c r="I83" i="24" s="1"/>
  <c r="J83" i="24" s="1"/>
  <c r="E86" i="24"/>
  <c r="F86" i="24" s="1"/>
  <c r="H86" i="24" s="1"/>
  <c r="I86" i="24" s="1"/>
  <c r="J86" i="24" s="1"/>
  <c r="M53" i="21"/>
  <c r="P53" i="21"/>
  <c r="Q55" i="21"/>
  <c r="E85" i="24"/>
  <c r="F85" i="24" s="1"/>
  <c r="H85" i="24" s="1"/>
  <c r="I85" i="24" s="1"/>
  <c r="J85" i="24" s="1"/>
  <c r="M56" i="21"/>
  <c r="P56" i="21"/>
  <c r="D230" i="22" a="1"/>
  <c r="D230" i="22" s="1"/>
  <c r="F230" i="22" s="1"/>
  <c r="C92" i="23" s="1"/>
  <c r="D92" i="24" s="1"/>
  <c r="D231" i="22" a="1"/>
  <c r="D231" i="22" s="1"/>
  <c r="F231" i="22" s="1"/>
  <c r="D232" i="22" a="1"/>
  <c r="D232" i="22" s="1"/>
  <c r="F232" i="22" s="1"/>
  <c r="D233" i="22" a="1"/>
  <c r="D233" i="22" s="1"/>
  <c r="F233" i="22" s="1"/>
  <c r="L59" i="21"/>
  <c r="H53" i="34" l="1"/>
  <c r="H55" i="34"/>
  <c r="I53" i="34"/>
  <c r="I55" i="34"/>
  <c r="Q42" i="34" a="1"/>
  <c r="Q42" i="34" s="1"/>
  <c r="P42" i="34" a="1"/>
  <c r="P42" i="34" s="1"/>
  <c r="R42" i="34" s="1" a="1"/>
  <c r="R42" i="34" s="1"/>
  <c r="J56" i="34" a="1"/>
  <c r="J56" i="34" s="1"/>
  <c r="J54" i="34" a="1"/>
  <c r="J54" i="34" s="1"/>
  <c r="L33" i="26"/>
  <c r="C29" i="26"/>
  <c r="L47" i="21"/>
  <c r="Q47" i="21" s="1"/>
  <c r="D184" i="22" a="1"/>
  <c r="D184" i="22" s="1"/>
  <c r="F184" i="22" s="1"/>
  <c r="C80" i="23" s="1"/>
  <c r="D80" i="24" s="1"/>
  <c r="D183" i="22" a="1"/>
  <c r="D183" i="22" s="1"/>
  <c r="F183" i="22" s="1"/>
  <c r="C79" i="23" s="1"/>
  <c r="D79" i="24" s="1"/>
  <c r="E79" i="24" s="1"/>
  <c r="D185" i="22" a="1"/>
  <c r="D185" i="22" s="1"/>
  <c r="F185" i="22" s="1"/>
  <c r="C81" i="23" s="1"/>
  <c r="D81" i="24" s="1"/>
  <c r="D182" i="22" a="1"/>
  <c r="D182" i="22" s="1"/>
  <c r="F182" i="22" s="1"/>
  <c r="C74" i="23" s="1"/>
  <c r="D74" i="24" s="1"/>
  <c r="E74" i="24" s="1"/>
  <c r="F74" i="24" s="1"/>
  <c r="H74" i="24" s="1"/>
  <c r="I74" i="24" s="1"/>
  <c r="J74" i="24" s="1"/>
  <c r="L85" i="24"/>
  <c r="C93" i="24" s="1"/>
  <c r="K85" i="24"/>
  <c r="L55" i="34" s="1"/>
  <c r="M59" i="21"/>
  <c r="P59" i="21"/>
  <c r="L83" i="24"/>
  <c r="C91" i="24" s="1"/>
  <c r="K83" i="24"/>
  <c r="L53" i="34" s="1"/>
  <c r="L86" i="24"/>
  <c r="C94" i="24" s="1"/>
  <c r="K86" i="24"/>
  <c r="L56" i="34" s="1"/>
  <c r="E92" i="24"/>
  <c r="F92" i="24" s="1"/>
  <c r="H92" i="24" s="1"/>
  <c r="I92" i="24" s="1"/>
  <c r="J92" i="24" s="1"/>
  <c r="N56" i="21"/>
  <c r="O56" i="21"/>
  <c r="N53" i="21"/>
  <c r="O53" i="21"/>
  <c r="Q59" i="21"/>
  <c r="N55" i="21"/>
  <c r="O55" i="21"/>
  <c r="M56" i="34" l="1"/>
  <c r="O56" i="34"/>
  <c r="N56" i="34"/>
  <c r="M53" i="34"/>
  <c r="O53" i="34"/>
  <c r="N53" i="34"/>
  <c r="J55" i="34" a="1"/>
  <c r="J55" i="34" s="1"/>
  <c r="M55" i="34" s="1"/>
  <c r="J53" i="34" a="1"/>
  <c r="J53" i="34" s="1"/>
  <c r="O54" i="34"/>
  <c r="M54" i="34"/>
  <c r="N54" i="34" s="1"/>
  <c r="C58" i="21"/>
  <c r="E58" i="21" s="1"/>
  <c r="S53" i="21"/>
  <c r="T53" i="21"/>
  <c r="C60" i="21"/>
  <c r="E60" i="21" s="1"/>
  <c r="S55" i="21"/>
  <c r="T55" i="21"/>
  <c r="C61" i="21"/>
  <c r="E61" i="21" s="1"/>
  <c r="H61" i="21" s="1"/>
  <c r="I61" i="21" s="1"/>
  <c r="C37" i="26" s="1"/>
  <c r="S56" i="21"/>
  <c r="T56" i="21" s="1"/>
  <c r="E81" i="24"/>
  <c r="F81" i="24" s="1"/>
  <c r="H81" i="24" s="1"/>
  <c r="I81" i="24" s="1"/>
  <c r="J81" i="24" s="1"/>
  <c r="E29" i="26"/>
  <c r="J29" i="26" s="1"/>
  <c r="H47" i="34" s="1"/>
  <c r="K29" i="26"/>
  <c r="L74" i="24"/>
  <c r="C82" i="24" s="1"/>
  <c r="K74" i="24"/>
  <c r="L47" i="34" s="1"/>
  <c r="E80" i="24"/>
  <c r="F80" i="24" s="1"/>
  <c r="H80" i="24" s="1"/>
  <c r="I80" i="24" s="1"/>
  <c r="J80" i="24" s="1"/>
  <c r="P47" i="21"/>
  <c r="M47" i="21"/>
  <c r="H60" i="21"/>
  <c r="I60" i="21" s="1"/>
  <c r="J60" i="21" s="1"/>
  <c r="N59" i="21"/>
  <c r="O59" i="21"/>
  <c r="H58" i="21"/>
  <c r="I58" i="21" s="1"/>
  <c r="K92" i="24"/>
  <c r="L59" i="34" s="1"/>
  <c r="L92" i="24"/>
  <c r="C100" i="24" s="1"/>
  <c r="N55" i="34" l="1"/>
  <c r="O55" i="34"/>
  <c r="P56" i="34" a="1"/>
  <c r="P56" i="34" s="1"/>
  <c r="R56" i="34" s="1" a="1"/>
  <c r="R56" i="34" s="1"/>
  <c r="Q56" i="34" a="1"/>
  <c r="Q56" i="34" s="1"/>
  <c r="L29" i="26"/>
  <c r="J47" i="34" s="1" a="1"/>
  <c r="J47" i="34" s="1"/>
  <c r="M47" i="34" s="1"/>
  <c r="N47" i="34" s="1"/>
  <c r="I47" i="34"/>
  <c r="P53" i="34" a="1"/>
  <c r="P53" i="34" s="1"/>
  <c r="R53" i="34" s="1" a="1"/>
  <c r="R53" i="34" s="1"/>
  <c r="Q53" i="34" a="1"/>
  <c r="Q53" i="34" s="1"/>
  <c r="O47" i="34"/>
  <c r="Q54" i="34" a="1"/>
  <c r="Q54" i="34" s="1"/>
  <c r="P54" i="34" a="1"/>
  <c r="P54" i="34" s="1"/>
  <c r="R54" i="34" s="1" a="1"/>
  <c r="R54" i="34" s="1"/>
  <c r="C64" i="21"/>
  <c r="E64" i="21" s="1"/>
  <c r="S59" i="21"/>
  <c r="T59" i="21" s="1"/>
  <c r="L80" i="24"/>
  <c r="C88" i="24" s="1"/>
  <c r="K80" i="24"/>
  <c r="O47" i="21"/>
  <c r="N47" i="21"/>
  <c r="J58" i="21"/>
  <c r="C36" i="26"/>
  <c r="J61" i="21"/>
  <c r="K81" i="24"/>
  <c r="L81" i="24"/>
  <c r="C89" i="24" s="1"/>
  <c r="K37" i="26"/>
  <c r="E37" i="26"/>
  <c r="J37" i="26" s="1"/>
  <c r="L60" i="21"/>
  <c r="Q60" i="21" s="1"/>
  <c r="D236" i="22" a="1"/>
  <c r="D236" i="22" s="1"/>
  <c r="F236" i="22" s="1"/>
  <c r="D237" i="22" a="1"/>
  <c r="D237" i="22" s="1"/>
  <c r="F237" i="22" s="1"/>
  <c r="D235" i="22" a="1"/>
  <c r="D235" i="22" s="1"/>
  <c r="F235" i="22" s="1"/>
  <c r="D234" i="22" a="1"/>
  <c r="D234" i="22" s="1"/>
  <c r="F234" i="22" s="1"/>
  <c r="C93" i="23" s="1"/>
  <c r="D93" i="24" s="1"/>
  <c r="D238" i="22" a="1"/>
  <c r="D238" i="22" s="1"/>
  <c r="F238" i="22" s="1"/>
  <c r="C94" i="23" s="1"/>
  <c r="D94" i="24" s="1"/>
  <c r="D240" i="22" a="1"/>
  <c r="D240" i="22" s="1"/>
  <c r="F240" i="22" s="1"/>
  <c r="D241" i="22" a="1"/>
  <c r="D241" i="22" s="1"/>
  <c r="F241" i="22" s="1"/>
  <c r="D239" i="22" a="1"/>
  <c r="D239" i="22" s="1"/>
  <c r="F239" i="22" s="1"/>
  <c r="L61" i="21"/>
  <c r="Q61" i="21" s="1"/>
  <c r="D229" i="22" a="1"/>
  <c r="D229" i="22" s="1"/>
  <c r="F229" i="22" s="1"/>
  <c r="D226" i="22" a="1"/>
  <c r="D226" i="22" s="1"/>
  <c r="F226" i="22" s="1"/>
  <c r="C91" i="23" s="1"/>
  <c r="D91" i="24" s="1"/>
  <c r="D227" i="22" a="1"/>
  <c r="D227" i="22" s="1"/>
  <c r="F227" i="22" s="1"/>
  <c r="D228" i="22" a="1"/>
  <c r="D228" i="22" s="1"/>
  <c r="F228" i="22" s="1"/>
  <c r="L58" i="21"/>
  <c r="Q58" i="21" s="1"/>
  <c r="H64" i="21"/>
  <c r="I64" i="21" s="1"/>
  <c r="J64" i="21"/>
  <c r="Q47" i="34" l="1" a="1"/>
  <c r="Q47" i="34" s="1"/>
  <c r="P47" i="34" a="1"/>
  <c r="P47" i="34" s="1"/>
  <c r="R47" i="34" s="1" a="1"/>
  <c r="R47" i="34" s="1"/>
  <c r="H59" i="34"/>
  <c r="H61" i="34"/>
  <c r="I59" i="34"/>
  <c r="I61" i="34"/>
  <c r="Q55" i="34" a="1"/>
  <c r="Q55" i="34" s="1"/>
  <c r="P55" i="34" a="1"/>
  <c r="P55" i="34" s="1"/>
  <c r="R55" i="34" s="1" a="1"/>
  <c r="R55" i="34" s="1"/>
  <c r="C52" i="21"/>
  <c r="E52" i="21" s="1"/>
  <c r="S47" i="21"/>
  <c r="T47" i="21" s="1"/>
  <c r="L37" i="26"/>
  <c r="H52" i="21"/>
  <c r="I52" i="21" s="1"/>
  <c r="K36" i="26"/>
  <c r="E36" i="26"/>
  <c r="J36" i="26" s="1"/>
  <c r="E94" i="24"/>
  <c r="F94" i="24" s="1"/>
  <c r="H94" i="24" s="1"/>
  <c r="I94" i="24" s="1"/>
  <c r="J94" i="24" s="1"/>
  <c r="E91" i="24"/>
  <c r="F91" i="24" s="1"/>
  <c r="H91" i="24" s="1"/>
  <c r="I91" i="24" s="1"/>
  <c r="J91" i="24" s="1"/>
  <c r="M58" i="21"/>
  <c r="P58" i="21"/>
  <c r="M60" i="21"/>
  <c r="P60" i="21"/>
  <c r="E93" i="24"/>
  <c r="F93" i="24" s="1"/>
  <c r="H93" i="24" s="1"/>
  <c r="I93" i="24" s="1"/>
  <c r="J93" i="24" s="1"/>
  <c r="D251" i="22" a="1"/>
  <c r="D251" i="22" s="1"/>
  <c r="F251" i="22" s="1"/>
  <c r="D250" i="22" a="1"/>
  <c r="D250" i="22" s="1"/>
  <c r="F250" i="22" s="1"/>
  <c r="C100" i="23" s="1"/>
  <c r="D100" i="24" s="1"/>
  <c r="D252" i="22" a="1"/>
  <c r="D252" i="22" s="1"/>
  <c r="F252" i="22" s="1"/>
  <c r="D253" i="22" a="1"/>
  <c r="D253" i="22" s="1"/>
  <c r="F253" i="22" s="1"/>
  <c r="L64" i="21"/>
  <c r="M61" i="21"/>
  <c r="P61" i="21"/>
  <c r="I60" i="34" l="1"/>
  <c r="I58" i="34"/>
  <c r="J59" i="34" a="1"/>
  <c r="J59" i="34" s="1"/>
  <c r="J61" i="34" a="1"/>
  <c r="J61" i="34" s="1"/>
  <c r="H58" i="34"/>
  <c r="H60" i="34"/>
  <c r="L36" i="26"/>
  <c r="J52" i="21"/>
  <c r="C32" i="26"/>
  <c r="L52" i="21"/>
  <c r="D202" i="22" a="1"/>
  <c r="D202" i="22" s="1"/>
  <c r="F202" i="22" s="1"/>
  <c r="C82" i="23" s="1"/>
  <c r="D82" i="24" s="1"/>
  <c r="D205" i="22" a="1"/>
  <c r="D205" i="22" s="1"/>
  <c r="F205" i="22" s="1"/>
  <c r="C89" i="23" s="1"/>
  <c r="D89" i="24" s="1"/>
  <c r="D203" i="22" a="1"/>
  <c r="D203" i="22" s="1"/>
  <c r="F203" i="22" s="1"/>
  <c r="C87" i="23" s="1"/>
  <c r="D87" i="24" s="1"/>
  <c r="E87" i="24" s="1"/>
  <c r="D204" i="22" a="1"/>
  <c r="D204" i="22" s="1"/>
  <c r="F204" i="22" s="1"/>
  <c r="C88" i="23" s="1"/>
  <c r="D88" i="24" s="1"/>
  <c r="E88" i="24" s="1"/>
  <c r="F88" i="24" s="1"/>
  <c r="H88" i="24" s="1"/>
  <c r="I88" i="24" s="1"/>
  <c r="J88" i="24" s="1"/>
  <c r="Q52" i="21"/>
  <c r="K91" i="24"/>
  <c r="L58" i="34" s="1"/>
  <c r="L91" i="24"/>
  <c r="C99" i="24" s="1"/>
  <c r="N58" i="21"/>
  <c r="O58" i="21"/>
  <c r="L94" i="24"/>
  <c r="C102" i="24" s="1"/>
  <c r="K94" i="24"/>
  <c r="L61" i="34" s="1"/>
  <c r="E100" i="24"/>
  <c r="F100" i="24"/>
  <c r="H100" i="24" s="1"/>
  <c r="I100" i="24" s="1"/>
  <c r="J100" i="24" s="1"/>
  <c r="K93" i="24"/>
  <c r="L60" i="34" s="1"/>
  <c r="L93" i="24"/>
  <c r="C101" i="24" s="1"/>
  <c r="N61" i="21"/>
  <c r="O61" i="21"/>
  <c r="M64" i="21"/>
  <c r="P64" i="21"/>
  <c r="Q64" i="21"/>
  <c r="N60" i="21"/>
  <c r="O60" i="21"/>
  <c r="M59" i="34" l="1"/>
  <c r="N59" i="34" s="1"/>
  <c r="O59" i="34"/>
  <c r="M60" i="34"/>
  <c r="N60" i="34" s="1"/>
  <c r="M61" i="34"/>
  <c r="N61" i="34" s="1"/>
  <c r="O61" i="34"/>
  <c r="J58" i="34" a="1"/>
  <c r="J58" i="34" s="1"/>
  <c r="J60" i="34" a="1"/>
  <c r="J60" i="34" s="1"/>
  <c r="O60" i="34" s="1"/>
  <c r="O58" i="34"/>
  <c r="M58" i="34"/>
  <c r="N58" i="34" s="1"/>
  <c r="C66" i="21"/>
  <c r="E66" i="21" s="1"/>
  <c r="S61" i="21"/>
  <c r="T61" i="21"/>
  <c r="C65" i="21"/>
  <c r="E65" i="21" s="1"/>
  <c r="S60" i="21"/>
  <c r="T60" i="21" s="1"/>
  <c r="C63" i="21"/>
  <c r="E63" i="21" s="1"/>
  <c r="H63" i="21" s="1"/>
  <c r="I63" i="21" s="1"/>
  <c r="C39" i="26" s="1"/>
  <c r="S58" i="21"/>
  <c r="T58" i="21" s="1"/>
  <c r="E89" i="24"/>
  <c r="F89" i="24" s="1"/>
  <c r="H89" i="24" s="1"/>
  <c r="I89" i="24" s="1"/>
  <c r="J89" i="24" s="1"/>
  <c r="K32" i="26"/>
  <c r="I52" i="34" s="1"/>
  <c r="E32" i="26"/>
  <c r="J32" i="26" s="1"/>
  <c r="H52" i="34" s="1"/>
  <c r="L88" i="24"/>
  <c r="C96" i="24" s="1"/>
  <c r="K88" i="24"/>
  <c r="E82" i="24"/>
  <c r="F82" i="24"/>
  <c r="H82" i="24" s="1"/>
  <c r="I82" i="24" s="1"/>
  <c r="J82" i="24" s="1"/>
  <c r="P52" i="21"/>
  <c r="M52" i="21"/>
  <c r="H65" i="21"/>
  <c r="I65" i="21" s="1"/>
  <c r="J65" i="21" s="1"/>
  <c r="N64" i="21"/>
  <c r="O64" i="21"/>
  <c r="L100" i="24"/>
  <c r="C108" i="24" s="1"/>
  <c r="K100" i="24"/>
  <c r="L64" i="34" s="1"/>
  <c r="H66" i="21"/>
  <c r="I66" i="21" s="1"/>
  <c r="C40" i="26" s="1"/>
  <c r="P60" i="34" l="1" a="1"/>
  <c r="P60" i="34" s="1"/>
  <c r="R60" i="34" s="1" a="1"/>
  <c r="R60" i="34" s="1"/>
  <c r="Q60" i="34" a="1"/>
  <c r="Q60" i="34" s="1"/>
  <c r="P59" i="34" a="1"/>
  <c r="P59" i="34" s="1"/>
  <c r="R59" i="34" s="1" a="1"/>
  <c r="R59" i="34" s="1"/>
  <c r="Q59" i="34" a="1"/>
  <c r="Q59" i="34" s="1"/>
  <c r="P61" i="34" a="1"/>
  <c r="P61" i="34" s="1"/>
  <c r="R61" i="34" s="1" a="1"/>
  <c r="R61" i="34" s="1"/>
  <c r="Q61" i="34" a="1"/>
  <c r="Q61" i="34" s="1"/>
  <c r="Q58" i="34" a="1"/>
  <c r="Q58" i="34" s="1"/>
  <c r="P58" i="34" a="1"/>
  <c r="P58" i="34" s="1"/>
  <c r="R58" i="34" s="1" a="1"/>
  <c r="R58" i="34" s="1"/>
  <c r="C69" i="21"/>
  <c r="E69" i="21" s="1"/>
  <c r="S64" i="21"/>
  <c r="T64" i="21" s="1"/>
  <c r="J63" i="21"/>
  <c r="L89" i="24"/>
  <c r="C97" i="24" s="1"/>
  <c r="K89" i="24"/>
  <c r="N52" i="21"/>
  <c r="O52" i="21"/>
  <c r="L82" i="24"/>
  <c r="C90" i="24" s="1"/>
  <c r="K82" i="24"/>
  <c r="L52" i="34" s="1"/>
  <c r="E39" i="26"/>
  <c r="J39" i="26" s="1"/>
  <c r="K39" i="26"/>
  <c r="J66" i="21"/>
  <c r="L32" i="26"/>
  <c r="J52" i="34" s="1" a="1"/>
  <c r="J52" i="34" s="1"/>
  <c r="E40" i="26"/>
  <c r="J40" i="26" s="1"/>
  <c r="K40" i="26"/>
  <c r="D246" i="22" a="1"/>
  <c r="D246" i="22" s="1"/>
  <c r="F246" i="22" s="1"/>
  <c r="C99" i="23" s="1"/>
  <c r="D99" i="24" s="1"/>
  <c r="D247" i="22" a="1"/>
  <c r="D247" i="22" s="1"/>
  <c r="F247" i="22" s="1"/>
  <c r="D248" i="22" a="1"/>
  <c r="D248" i="22" s="1"/>
  <c r="F248" i="22" s="1"/>
  <c r="D249" i="22" a="1"/>
  <c r="D249" i="22" s="1"/>
  <c r="F249" i="22" s="1"/>
  <c r="L63" i="21"/>
  <c r="D258" i="22" a="1"/>
  <c r="D258" i="22" s="1"/>
  <c r="F258" i="22" s="1"/>
  <c r="C102" i="23" s="1"/>
  <c r="D102" i="24" s="1"/>
  <c r="D259" i="22" a="1"/>
  <c r="D259" i="22" s="1"/>
  <c r="F259" i="22" s="1"/>
  <c r="D260" i="22" a="1"/>
  <c r="D260" i="22" s="1"/>
  <c r="F260" i="22" s="1"/>
  <c r="D261" i="22" a="1"/>
  <c r="D261" i="22" s="1"/>
  <c r="F261" i="22" s="1"/>
  <c r="L66" i="21"/>
  <c r="H69" i="21"/>
  <c r="I69" i="21" s="1"/>
  <c r="J69" i="21" s="1"/>
  <c r="L65" i="21"/>
  <c r="Q65" i="21" s="1"/>
  <c r="D254" i="22" a="1"/>
  <c r="D254" i="22" s="1"/>
  <c r="F254" i="22" s="1"/>
  <c r="C101" i="23" s="1"/>
  <c r="D101" i="24" s="1"/>
  <c r="D255" i="22" a="1"/>
  <c r="D255" i="22" s="1"/>
  <c r="F255" i="22" s="1"/>
  <c r="D256" i="22" a="1"/>
  <c r="D256" i="22" s="1"/>
  <c r="F256" i="22" s="1"/>
  <c r="D257" i="22" a="1"/>
  <c r="D257" i="22" s="1"/>
  <c r="F257" i="22" s="1"/>
  <c r="I64" i="34" l="1"/>
  <c r="I66" i="34"/>
  <c r="L39" i="26"/>
  <c r="I63" i="34"/>
  <c r="I65" i="34"/>
  <c r="H63" i="34"/>
  <c r="H65" i="34"/>
  <c r="O52" i="34"/>
  <c r="M52" i="34"/>
  <c r="N52" i="34"/>
  <c r="H64" i="34"/>
  <c r="H66" i="34"/>
  <c r="C57" i="21"/>
  <c r="E57" i="21" s="1"/>
  <c r="S52" i="21"/>
  <c r="T52" i="21" s="1"/>
  <c r="L40" i="26"/>
  <c r="H57" i="21"/>
  <c r="I57" i="21" s="1"/>
  <c r="J57" i="21"/>
  <c r="M63" i="21"/>
  <c r="P63" i="21"/>
  <c r="Q63" i="21"/>
  <c r="D273" i="22" a="1"/>
  <c r="D273" i="22" s="1"/>
  <c r="F273" i="22" s="1"/>
  <c r="D270" i="22" a="1"/>
  <c r="D270" i="22" s="1"/>
  <c r="F270" i="22" s="1"/>
  <c r="C108" i="23" s="1"/>
  <c r="D108" i="24" s="1"/>
  <c r="D272" i="22" a="1"/>
  <c r="D272" i="22" s="1"/>
  <c r="F272" i="22" s="1"/>
  <c r="D271" i="22" a="1"/>
  <c r="D271" i="22" s="1"/>
  <c r="F271" i="22" s="1"/>
  <c r="L69" i="21"/>
  <c r="Q69" i="21" s="1"/>
  <c r="E99" i="24"/>
  <c r="F99" i="24" s="1"/>
  <c r="H99" i="24" s="1"/>
  <c r="I99" i="24" s="1"/>
  <c r="J99" i="24" s="1"/>
  <c r="E102" i="24"/>
  <c r="F102" i="24" s="1"/>
  <c r="H102" i="24" s="1"/>
  <c r="I102" i="24" s="1"/>
  <c r="J102" i="24" s="1"/>
  <c r="M66" i="21"/>
  <c r="P66" i="21"/>
  <c r="Q66" i="21"/>
  <c r="E101" i="24"/>
  <c r="F101" i="24" s="1"/>
  <c r="H101" i="24" s="1"/>
  <c r="I101" i="24" s="1"/>
  <c r="J101" i="24" s="1"/>
  <c r="M65" i="21"/>
  <c r="P65" i="21"/>
  <c r="Q52" i="34" l="1" a="1"/>
  <c r="Q52" i="34" s="1"/>
  <c r="P52" i="34" a="1"/>
  <c r="P52" i="34" s="1"/>
  <c r="R52" i="34" s="1" a="1"/>
  <c r="R52" i="34" s="1"/>
  <c r="J66" i="34" a="1"/>
  <c r="J66" i="34" s="1"/>
  <c r="J64" i="34" a="1"/>
  <c r="J64" i="34" s="1"/>
  <c r="J63" i="34" a="1"/>
  <c r="J63" i="34" s="1"/>
  <c r="J65" i="34" a="1"/>
  <c r="J65" i="34" s="1"/>
  <c r="C35" i="26"/>
  <c r="D225" i="22" a="1"/>
  <c r="D225" i="22" s="1"/>
  <c r="F225" i="22" s="1"/>
  <c r="C97" i="23" s="1"/>
  <c r="D97" i="24" s="1"/>
  <c r="D224" i="22" a="1"/>
  <c r="D224" i="22" s="1"/>
  <c r="F224" i="22" s="1"/>
  <c r="C96" i="23" s="1"/>
  <c r="D96" i="24" s="1"/>
  <c r="D223" i="22" a="1"/>
  <c r="D223" i="22" s="1"/>
  <c r="F223" i="22" s="1"/>
  <c r="C95" i="23" s="1"/>
  <c r="D95" i="24" s="1"/>
  <c r="E95" i="24" s="1"/>
  <c r="L57" i="21"/>
  <c r="D222" i="22" a="1"/>
  <c r="D222" i="22" s="1"/>
  <c r="F222" i="22" s="1"/>
  <c r="C90" i="23" s="1"/>
  <c r="D90" i="24" s="1"/>
  <c r="E108" i="24"/>
  <c r="F108" i="24" s="1"/>
  <c r="H108" i="24" s="1"/>
  <c r="I108" i="24" s="1"/>
  <c r="J108" i="24" s="1"/>
  <c r="K102" i="24"/>
  <c r="L66" i="34" s="1"/>
  <c r="L102" i="24"/>
  <c r="C110" i="24" s="1"/>
  <c r="N63" i="21"/>
  <c r="O63" i="21"/>
  <c r="O65" i="21"/>
  <c r="N65" i="21"/>
  <c r="N66" i="21"/>
  <c r="O66" i="21"/>
  <c r="K99" i="24"/>
  <c r="L63" i="34" s="1"/>
  <c r="L99" i="24"/>
  <c r="C107" i="24" s="1"/>
  <c r="K101" i="24"/>
  <c r="L65" i="34" s="1"/>
  <c r="L101" i="24"/>
  <c r="C109" i="24" s="1"/>
  <c r="M69" i="21"/>
  <c r="P69" i="21"/>
  <c r="M65" i="34" l="1"/>
  <c r="O65" i="34"/>
  <c r="N65" i="34"/>
  <c r="N63" i="34"/>
  <c r="M63" i="34"/>
  <c r="O63" i="34"/>
  <c r="M66" i="34"/>
  <c r="O66" i="34"/>
  <c r="N66" i="34"/>
  <c r="O64" i="34"/>
  <c r="M64" i="34"/>
  <c r="N64" i="34" s="1"/>
  <c r="C71" i="21"/>
  <c r="E71" i="21" s="1"/>
  <c r="S66" i="21"/>
  <c r="T66" i="21" s="1"/>
  <c r="C70" i="21"/>
  <c r="E70" i="21" s="1"/>
  <c r="H70" i="21" s="1"/>
  <c r="I70" i="21" s="1"/>
  <c r="S65" i="21"/>
  <c r="T65" i="21" s="1"/>
  <c r="C68" i="21"/>
  <c r="E68" i="21" s="1"/>
  <c r="S63" i="21"/>
  <c r="T63" i="21"/>
  <c r="E96" i="24"/>
  <c r="F96" i="24" s="1"/>
  <c r="H96" i="24" s="1"/>
  <c r="I96" i="24" s="1"/>
  <c r="J96" i="24" s="1"/>
  <c r="E90" i="24"/>
  <c r="F90" i="24" s="1"/>
  <c r="H90" i="24" s="1"/>
  <c r="I90" i="24" s="1"/>
  <c r="J90" i="24" s="1"/>
  <c r="P57" i="21"/>
  <c r="M57" i="21"/>
  <c r="E97" i="24"/>
  <c r="F97" i="24"/>
  <c r="H97" i="24" s="1"/>
  <c r="I97" i="24" s="1"/>
  <c r="J97" i="24" s="1"/>
  <c r="Q57" i="21"/>
  <c r="K35" i="26"/>
  <c r="I57" i="34" s="1"/>
  <c r="E35" i="26"/>
  <c r="J35" i="26" s="1"/>
  <c r="H57" i="34" s="1"/>
  <c r="N69" i="21"/>
  <c r="O69" i="21"/>
  <c r="H68" i="21"/>
  <c r="I68" i="21" s="1"/>
  <c r="J68" i="21" s="1"/>
  <c r="H71" i="21"/>
  <c r="I71" i="21" s="1"/>
  <c r="C43" i="26" s="1"/>
  <c r="L108" i="24"/>
  <c r="C116" i="24" s="1"/>
  <c r="K108" i="24"/>
  <c r="L69" i="34" s="1"/>
  <c r="Q65" i="34" l="1" a="1"/>
  <c r="Q65" i="34" s="1"/>
  <c r="P65" i="34" a="1"/>
  <c r="P65" i="34" s="1"/>
  <c r="R65" i="34" s="1" a="1"/>
  <c r="R65" i="34" s="1"/>
  <c r="P64" i="34" a="1"/>
  <c r="P64" i="34" s="1"/>
  <c r="R64" i="34" s="1" a="1"/>
  <c r="R64" i="34" s="1"/>
  <c r="Q64" i="34" a="1"/>
  <c r="Q64" i="34" s="1"/>
  <c r="Q63" i="34" a="1"/>
  <c r="Q63" i="34" s="1"/>
  <c r="P63" i="34" a="1"/>
  <c r="P63" i="34" s="1"/>
  <c r="R63" i="34" s="1" a="1"/>
  <c r="R63" i="34" s="1"/>
  <c r="Q66" i="34" a="1"/>
  <c r="Q66" i="34" s="1"/>
  <c r="P66" i="34" a="1"/>
  <c r="P66" i="34" s="1"/>
  <c r="R66" i="34" s="1" a="1"/>
  <c r="R66" i="34" s="1"/>
  <c r="C42" i="26"/>
  <c r="E42" i="26" s="1"/>
  <c r="J42" i="26" s="1"/>
  <c r="C74" i="21"/>
  <c r="E74" i="21" s="1"/>
  <c r="S69" i="21"/>
  <c r="T69" i="21" s="1"/>
  <c r="K96" i="24"/>
  <c r="L96" i="24"/>
  <c r="C104" i="24" s="1"/>
  <c r="E43" i="26"/>
  <c r="J43" i="26" s="1"/>
  <c r="K43" i="26"/>
  <c r="L35" i="26"/>
  <c r="J57" i="34" s="1" a="1"/>
  <c r="J57" i="34" s="1"/>
  <c r="L97" i="24"/>
  <c r="C105" i="24" s="1"/>
  <c r="K97" i="24"/>
  <c r="N57" i="21"/>
  <c r="O57" i="21"/>
  <c r="K90" i="24"/>
  <c r="L57" i="34" s="1"/>
  <c r="L90" i="24"/>
  <c r="C98" i="24" s="1"/>
  <c r="D280" i="22" a="1"/>
  <c r="D280" i="22" s="1"/>
  <c r="F280" i="22" s="1"/>
  <c r="D281" i="22" a="1"/>
  <c r="D281" i="22" s="1"/>
  <c r="F281" i="22" s="1"/>
  <c r="D278" i="22" a="1"/>
  <c r="D278" i="22" s="1"/>
  <c r="F278" i="22" s="1"/>
  <c r="C110" i="23" s="1"/>
  <c r="D110" i="24" s="1"/>
  <c r="D279" i="22" a="1"/>
  <c r="D279" i="22" s="1"/>
  <c r="F279" i="22" s="1"/>
  <c r="L71" i="21"/>
  <c r="Q71" i="21" s="1"/>
  <c r="L70" i="21"/>
  <c r="Q70" i="21" s="1"/>
  <c r="D274" i="22" a="1"/>
  <c r="D274" i="22" s="1"/>
  <c r="F274" i="22" s="1"/>
  <c r="C109" i="23" s="1"/>
  <c r="D109" i="24" s="1"/>
  <c r="D275" i="22" a="1"/>
  <c r="D275" i="22" s="1"/>
  <c r="F275" i="22" s="1"/>
  <c r="D276" i="22" a="1"/>
  <c r="D276" i="22" s="1"/>
  <c r="F276" i="22" s="1"/>
  <c r="D277" i="22" a="1"/>
  <c r="D277" i="22" s="1"/>
  <c r="F277" i="22" s="1"/>
  <c r="J70" i="21"/>
  <c r="D266" i="22" a="1"/>
  <c r="D266" i="22" s="1"/>
  <c r="F266" i="22" s="1"/>
  <c r="C107" i="23" s="1"/>
  <c r="D107" i="24" s="1"/>
  <c r="D267" i="22" a="1"/>
  <c r="D267" i="22" s="1"/>
  <c r="F267" i="22" s="1"/>
  <c r="D269" i="22" a="1"/>
  <c r="D269" i="22" s="1"/>
  <c r="F269" i="22" s="1"/>
  <c r="D268" i="22" a="1"/>
  <c r="D268" i="22" s="1"/>
  <c r="F268" i="22" s="1"/>
  <c r="L68" i="21"/>
  <c r="Q68" i="21" s="1"/>
  <c r="H74" i="21"/>
  <c r="I74" i="21" s="1"/>
  <c r="J71" i="21"/>
  <c r="H68" i="34" l="1"/>
  <c r="H70" i="34"/>
  <c r="H71" i="34"/>
  <c r="H69" i="34"/>
  <c r="N57" i="34"/>
  <c r="M57" i="34"/>
  <c r="O57" i="34"/>
  <c r="L43" i="26"/>
  <c r="I71" i="34"/>
  <c r="I69" i="34"/>
  <c r="K42" i="26"/>
  <c r="C62" i="21"/>
  <c r="E62" i="21" s="1"/>
  <c r="S57" i="21"/>
  <c r="T57" i="21" s="1"/>
  <c r="H62" i="21"/>
  <c r="I62" i="21" s="1"/>
  <c r="J62" i="21" s="1"/>
  <c r="J74" i="21"/>
  <c r="L42" i="26"/>
  <c r="E110" i="24"/>
  <c r="F110" i="24" s="1"/>
  <c r="H110" i="24" s="1"/>
  <c r="I110" i="24" s="1"/>
  <c r="J110" i="24" s="1"/>
  <c r="E109" i="24"/>
  <c r="F109" i="24" s="1"/>
  <c r="H109" i="24" s="1"/>
  <c r="I109" i="24" s="1"/>
  <c r="J109" i="24" s="1"/>
  <c r="M71" i="21"/>
  <c r="P71" i="21"/>
  <c r="D293" i="22" a="1"/>
  <c r="D293" i="22" s="1"/>
  <c r="F293" i="22" s="1"/>
  <c r="D292" i="22" a="1"/>
  <c r="D292" i="22" s="1"/>
  <c r="F292" i="22" s="1"/>
  <c r="D290" i="22" a="1"/>
  <c r="D290" i="22" s="1"/>
  <c r="F290" i="22" s="1"/>
  <c r="C116" i="23" s="1"/>
  <c r="D116" i="24" s="1"/>
  <c r="D291" i="22" a="1"/>
  <c r="D291" i="22" s="1"/>
  <c r="F291" i="22" s="1"/>
  <c r="L74" i="21"/>
  <c r="M68" i="21"/>
  <c r="P68" i="21"/>
  <c r="M70" i="21"/>
  <c r="P70" i="21"/>
  <c r="E107" i="24"/>
  <c r="F107" i="24" s="1"/>
  <c r="H107" i="24" s="1"/>
  <c r="I107" i="24" s="1"/>
  <c r="J107" i="24" s="1"/>
  <c r="I68" i="34" l="1"/>
  <c r="I70" i="34"/>
  <c r="J71" i="34" a="1"/>
  <c r="J71" i="34" s="1"/>
  <c r="J69" i="34" a="1"/>
  <c r="J69" i="34" s="1"/>
  <c r="Q57" i="34" a="1"/>
  <c r="Q57" i="34" s="1"/>
  <c r="P57" i="34" a="1"/>
  <c r="P57" i="34" s="1"/>
  <c r="R57" i="34" s="1" a="1"/>
  <c r="R57" i="34" s="1"/>
  <c r="J68" i="34" a="1"/>
  <c r="J68" i="34" s="1"/>
  <c r="J70" i="34" a="1"/>
  <c r="J70" i="34" s="1"/>
  <c r="C38" i="26"/>
  <c r="D242" i="22" a="1"/>
  <c r="D242" i="22" s="1"/>
  <c r="F242" i="22" s="1"/>
  <c r="C98" i="23" s="1"/>
  <c r="D98" i="24" s="1"/>
  <c r="L62" i="21"/>
  <c r="Q62" i="21" s="1"/>
  <c r="D243" i="22" a="1"/>
  <c r="D243" i="22" s="1"/>
  <c r="F243" i="22" s="1"/>
  <c r="C103" i="23" s="1"/>
  <c r="D103" i="24" s="1"/>
  <c r="E103" i="24" s="1"/>
  <c r="D244" i="22" a="1"/>
  <c r="D244" i="22" s="1"/>
  <c r="F244" i="22" s="1"/>
  <c r="C104" i="23" s="1"/>
  <c r="D104" i="24" s="1"/>
  <c r="D245" i="22" a="1"/>
  <c r="D245" i="22" s="1"/>
  <c r="F245" i="22" s="1"/>
  <c r="C105" i="23" s="1"/>
  <c r="D105" i="24" s="1"/>
  <c r="E116" i="24"/>
  <c r="F116" i="24"/>
  <c r="H116" i="24" s="1"/>
  <c r="I116" i="24" s="1"/>
  <c r="J116" i="24" s="1"/>
  <c r="N68" i="21"/>
  <c r="O68" i="21"/>
  <c r="M74" i="21"/>
  <c r="P74" i="21"/>
  <c r="K110" i="24"/>
  <c r="L71" i="34" s="1"/>
  <c r="L110" i="24"/>
  <c r="C118" i="24" s="1"/>
  <c r="L109" i="24"/>
  <c r="C117" i="24" s="1"/>
  <c r="K109" i="24"/>
  <c r="L70" i="34" s="1"/>
  <c r="Q74" i="21"/>
  <c r="K107" i="24"/>
  <c r="L68" i="34" s="1"/>
  <c r="L107" i="24"/>
  <c r="C115" i="24" s="1"/>
  <c r="O71" i="21"/>
  <c r="N71" i="21"/>
  <c r="N70" i="21"/>
  <c r="O70" i="21"/>
  <c r="O70" i="34" l="1"/>
  <c r="M70" i="34"/>
  <c r="N70" i="34"/>
  <c r="O68" i="34"/>
  <c r="N68" i="34"/>
  <c r="M68" i="34"/>
  <c r="O71" i="34"/>
  <c r="M71" i="34"/>
  <c r="N71" i="34" s="1"/>
  <c r="O69" i="34"/>
  <c r="M69" i="34"/>
  <c r="N69" i="34" s="1"/>
  <c r="C75" i="21"/>
  <c r="E75" i="21" s="1"/>
  <c r="S70" i="21"/>
  <c r="T70" i="21" s="1"/>
  <c r="C73" i="21"/>
  <c r="E73" i="21" s="1"/>
  <c r="S68" i="21"/>
  <c r="T68" i="21"/>
  <c r="C76" i="21"/>
  <c r="E76" i="21" s="1"/>
  <c r="H76" i="21" s="1"/>
  <c r="I76" i="21" s="1"/>
  <c r="C46" i="26" s="1"/>
  <c r="S71" i="21"/>
  <c r="T71" i="21" s="1"/>
  <c r="P62" i="21"/>
  <c r="M62" i="21"/>
  <c r="E105" i="24"/>
  <c r="F105" i="24" s="1"/>
  <c r="H105" i="24" s="1"/>
  <c r="I105" i="24" s="1"/>
  <c r="J105" i="24" s="1"/>
  <c r="E98" i="24"/>
  <c r="F98" i="24" s="1"/>
  <c r="H98" i="24" s="1"/>
  <c r="I98" i="24" s="1"/>
  <c r="J98" i="24" s="1"/>
  <c r="E104" i="24"/>
  <c r="F104" i="24" s="1"/>
  <c r="H104" i="24" s="1"/>
  <c r="I104" i="24" s="1"/>
  <c r="J104" i="24" s="1"/>
  <c r="E38" i="26"/>
  <c r="J38" i="26" s="1"/>
  <c r="H62" i="34" s="1"/>
  <c r="K38" i="26"/>
  <c r="H75" i="21"/>
  <c r="I75" i="21" s="1"/>
  <c r="J75" i="21" s="1"/>
  <c r="N74" i="21"/>
  <c r="O74" i="21"/>
  <c r="H73" i="21"/>
  <c r="I73" i="21" s="1"/>
  <c r="C45" i="26" s="1"/>
  <c r="K116" i="24"/>
  <c r="L74" i="34" s="1"/>
  <c r="L116" i="24"/>
  <c r="C124" i="24" s="1"/>
  <c r="Q71" i="34" l="1" a="1"/>
  <c r="Q71" i="34" s="1"/>
  <c r="P71" i="34" a="1"/>
  <c r="P71" i="34" s="1"/>
  <c r="R71" i="34" s="1" a="1"/>
  <c r="R71" i="34" s="1"/>
  <c r="P68" i="34" a="1"/>
  <c r="P68" i="34" s="1"/>
  <c r="R68" i="34" s="1" a="1"/>
  <c r="R68" i="34" s="1"/>
  <c r="Q68" i="34" a="1"/>
  <c r="Q68" i="34" s="1"/>
  <c r="L38" i="26"/>
  <c r="J62" i="34" s="1" a="1"/>
  <c r="J62" i="34" s="1"/>
  <c r="I62" i="34"/>
  <c r="P69" i="34" a="1"/>
  <c r="P69" i="34" s="1"/>
  <c r="R69" i="34" s="1" a="1"/>
  <c r="R69" i="34" s="1"/>
  <c r="Q69" i="34" a="1"/>
  <c r="Q69" i="34" s="1"/>
  <c r="Q70" i="34" a="1"/>
  <c r="Q70" i="34" s="1"/>
  <c r="P70" i="34" a="1"/>
  <c r="P70" i="34" s="1"/>
  <c r="R70" i="34" s="1" a="1"/>
  <c r="R70" i="34" s="1"/>
  <c r="J76" i="21"/>
  <c r="C79" i="21"/>
  <c r="E79" i="21" s="1"/>
  <c r="S74" i="21"/>
  <c r="T74" i="21" s="1"/>
  <c r="K98" i="24"/>
  <c r="L62" i="34" s="1"/>
  <c r="L98" i="24"/>
  <c r="C106" i="24" s="1"/>
  <c r="J73" i="21"/>
  <c r="K45" i="26"/>
  <c r="E45" i="26"/>
  <c r="J45" i="26" s="1"/>
  <c r="K46" i="26"/>
  <c r="E46" i="26"/>
  <c r="J46" i="26" s="1"/>
  <c r="L104" i="24"/>
  <c r="C112" i="24" s="1"/>
  <c r="K104" i="24"/>
  <c r="L105" i="24"/>
  <c r="C113" i="24" s="1"/>
  <c r="K105" i="24"/>
  <c r="N62" i="21"/>
  <c r="O62" i="21"/>
  <c r="L75" i="21"/>
  <c r="Q75" i="21" s="1"/>
  <c r="D295" i="22" a="1"/>
  <c r="D295" i="22" s="1"/>
  <c r="F295" i="22" s="1"/>
  <c r="D294" i="22" a="1"/>
  <c r="D294" i="22" s="1"/>
  <c r="F294" i="22" s="1"/>
  <c r="C117" i="23" s="1"/>
  <c r="D117" i="24" s="1"/>
  <c r="D296" i="22" a="1"/>
  <c r="D296" i="22" s="1"/>
  <c r="F296" i="22" s="1"/>
  <c r="D297" i="22" a="1"/>
  <c r="D297" i="22" s="1"/>
  <c r="F297" i="22" s="1"/>
  <c r="D288" i="22" a="1"/>
  <c r="D288" i="22" s="1"/>
  <c r="F288" i="22" s="1"/>
  <c r="D286" i="22" a="1"/>
  <c r="D286" i="22" s="1"/>
  <c r="F286" i="22" s="1"/>
  <c r="C115" i="23" s="1"/>
  <c r="D115" i="24" s="1"/>
  <c r="D289" i="22" a="1"/>
  <c r="D289" i="22" s="1"/>
  <c r="F289" i="22" s="1"/>
  <c r="D287" i="22" a="1"/>
  <c r="D287" i="22" s="1"/>
  <c r="F287" i="22" s="1"/>
  <c r="L73" i="21"/>
  <c r="Q73" i="21" s="1"/>
  <c r="H79" i="21"/>
  <c r="I79" i="21" s="1"/>
  <c r="J79" i="21" s="1"/>
  <c r="D301" i="22" a="1"/>
  <c r="D301" i="22" s="1"/>
  <c r="F301" i="22" s="1"/>
  <c r="D300" i="22" a="1"/>
  <c r="D300" i="22" s="1"/>
  <c r="F300" i="22" s="1"/>
  <c r="D299" i="22" a="1"/>
  <c r="D299" i="22" s="1"/>
  <c r="F299" i="22" s="1"/>
  <c r="D298" i="22" a="1"/>
  <c r="D298" i="22" s="1"/>
  <c r="F298" i="22" s="1"/>
  <c r="C118" i="23" s="1"/>
  <c r="D118" i="24" s="1"/>
  <c r="L76" i="21"/>
  <c r="I73" i="34" l="1"/>
  <c r="I75" i="34"/>
  <c r="M62" i="34"/>
  <c r="N62" i="34" s="1"/>
  <c r="O62" i="34"/>
  <c r="H76" i="34"/>
  <c r="H74" i="34"/>
  <c r="I74" i="34"/>
  <c r="I76" i="34"/>
  <c r="H75" i="34"/>
  <c r="H73" i="34"/>
  <c r="C67" i="21"/>
  <c r="E67" i="21" s="1"/>
  <c r="S62" i="21"/>
  <c r="T62" i="21"/>
  <c r="L45" i="26"/>
  <c r="L46" i="26"/>
  <c r="H67" i="21"/>
  <c r="I67" i="21" s="1"/>
  <c r="J67" i="21" s="1"/>
  <c r="E117" i="24"/>
  <c r="F117" i="24" s="1"/>
  <c r="H117" i="24" s="1"/>
  <c r="I117" i="24" s="1"/>
  <c r="J117" i="24" s="1"/>
  <c r="M75" i="21"/>
  <c r="P75" i="21"/>
  <c r="E115" i="24"/>
  <c r="F115" i="24" s="1"/>
  <c r="H115" i="24" s="1"/>
  <c r="I115" i="24" s="1"/>
  <c r="J115" i="24" s="1"/>
  <c r="E118" i="24"/>
  <c r="F118" i="24" s="1"/>
  <c r="H118" i="24" s="1"/>
  <c r="I118" i="24" s="1"/>
  <c r="J118" i="24" s="1"/>
  <c r="D310" i="22" a="1"/>
  <c r="D310" i="22" s="1"/>
  <c r="F310" i="22" s="1"/>
  <c r="C124" i="23" s="1"/>
  <c r="D124" i="24" s="1"/>
  <c r="D311" i="22" a="1"/>
  <c r="D311" i="22" s="1"/>
  <c r="F311" i="22" s="1"/>
  <c r="D312" i="22" a="1"/>
  <c r="D312" i="22" s="1"/>
  <c r="F312" i="22" s="1"/>
  <c r="D313" i="22" a="1"/>
  <c r="D313" i="22" s="1"/>
  <c r="F313" i="22" s="1"/>
  <c r="L79" i="21"/>
  <c r="Q79" i="21" s="1"/>
  <c r="M73" i="21"/>
  <c r="P73" i="21"/>
  <c r="M76" i="21"/>
  <c r="P76" i="21"/>
  <c r="Q76" i="21"/>
  <c r="P62" i="34" l="1" a="1"/>
  <c r="P62" i="34" s="1"/>
  <c r="R62" i="34" s="1" a="1"/>
  <c r="R62" i="34" s="1"/>
  <c r="Q62" i="34" a="1"/>
  <c r="Q62" i="34" s="1"/>
  <c r="J73" i="34" a="1"/>
  <c r="J73" i="34" s="1"/>
  <c r="J75" i="34" a="1"/>
  <c r="J75" i="34" s="1"/>
  <c r="J74" i="34" a="1"/>
  <c r="J74" i="34" s="1"/>
  <c r="J76" i="34" a="1"/>
  <c r="J76" i="34" s="1"/>
  <c r="C41" i="26"/>
  <c r="L67" i="21"/>
  <c r="Q67" i="21" s="1"/>
  <c r="D265" i="22" a="1"/>
  <c r="D265" i="22" s="1"/>
  <c r="F265" i="22" s="1"/>
  <c r="C113" i="23" s="1"/>
  <c r="D113" i="24" s="1"/>
  <c r="E113" i="24" s="1"/>
  <c r="F113" i="24" s="1"/>
  <c r="H113" i="24" s="1"/>
  <c r="I113" i="24" s="1"/>
  <c r="J113" i="24" s="1"/>
  <c r="D264" i="22" a="1"/>
  <c r="D264" i="22" s="1"/>
  <c r="F264" i="22" s="1"/>
  <c r="C112" i="23" s="1"/>
  <c r="D112" i="24" s="1"/>
  <c r="E112" i="24" s="1"/>
  <c r="F112" i="24" s="1"/>
  <c r="H112" i="24" s="1"/>
  <c r="I112" i="24" s="1"/>
  <c r="J112" i="24" s="1"/>
  <c r="D262" i="22" a="1"/>
  <c r="D262" i="22" s="1"/>
  <c r="F262" i="22" s="1"/>
  <c r="C106" i="23" s="1"/>
  <c r="D106" i="24" s="1"/>
  <c r="E106" i="24" s="1"/>
  <c r="F106" i="24" s="1"/>
  <c r="H106" i="24" s="1"/>
  <c r="I106" i="24" s="1"/>
  <c r="J106" i="24" s="1"/>
  <c r="D263" i="22" a="1"/>
  <c r="D263" i="22" s="1"/>
  <c r="F263" i="22" s="1"/>
  <c r="C111" i="23" s="1"/>
  <c r="D111" i="24" s="1"/>
  <c r="E111" i="24" s="1"/>
  <c r="E124" i="24"/>
  <c r="F124" i="24" s="1"/>
  <c r="H124" i="24" s="1"/>
  <c r="I124" i="24" s="1"/>
  <c r="J124" i="24" s="1"/>
  <c r="N73" i="21"/>
  <c r="O73" i="21"/>
  <c r="N75" i="21"/>
  <c r="O75" i="21"/>
  <c r="M79" i="21"/>
  <c r="P79" i="21"/>
  <c r="L115" i="24"/>
  <c r="C123" i="24" s="1"/>
  <c r="K115" i="24"/>
  <c r="L73" i="34" s="1"/>
  <c r="L117" i="24"/>
  <c r="C125" i="24" s="1"/>
  <c r="K117" i="24"/>
  <c r="L75" i="34" s="1"/>
  <c r="L118" i="24"/>
  <c r="C126" i="24" s="1"/>
  <c r="K118" i="24"/>
  <c r="L76" i="34" s="1"/>
  <c r="N76" i="21"/>
  <c r="O76" i="21"/>
  <c r="M75" i="34" l="1"/>
  <c r="N75" i="34" s="1"/>
  <c r="O75" i="34"/>
  <c r="M73" i="34"/>
  <c r="O73" i="34"/>
  <c r="N73" i="34"/>
  <c r="O76" i="34"/>
  <c r="N76" i="34"/>
  <c r="M76" i="34"/>
  <c r="O74" i="34"/>
  <c r="M74" i="34"/>
  <c r="N74" i="34" s="1"/>
  <c r="C80" i="21"/>
  <c r="E80" i="21" s="1"/>
  <c r="S75" i="21"/>
  <c r="T75" i="21"/>
  <c r="C81" i="21"/>
  <c r="E81" i="21" s="1"/>
  <c r="H81" i="21" s="1"/>
  <c r="I81" i="21" s="1"/>
  <c r="C49" i="26" s="1"/>
  <c r="S76" i="21"/>
  <c r="C78" i="21"/>
  <c r="E78" i="21" s="1"/>
  <c r="S73" i="21"/>
  <c r="T76" i="21"/>
  <c r="T73" i="21"/>
  <c r="L106" i="24"/>
  <c r="C114" i="24" s="1"/>
  <c r="K106" i="24"/>
  <c r="L67" i="34" s="1"/>
  <c r="K112" i="24"/>
  <c r="L112" i="24"/>
  <c r="C120" i="24" s="1"/>
  <c r="K113" i="24"/>
  <c r="L113" i="24"/>
  <c r="C121" i="24" s="1"/>
  <c r="P67" i="21"/>
  <c r="M67" i="21"/>
  <c r="E41" i="26"/>
  <c r="J41" i="26" s="1"/>
  <c r="H67" i="34" s="1"/>
  <c r="K41" i="26"/>
  <c r="I67" i="34" s="1"/>
  <c r="N79" i="21"/>
  <c r="O79" i="21"/>
  <c r="K124" i="24"/>
  <c r="L79" i="34" s="1"/>
  <c r="L124" i="24"/>
  <c r="C132" i="24" s="1"/>
  <c r="H80" i="21"/>
  <c r="I80" i="21" s="1"/>
  <c r="H78" i="21"/>
  <c r="I78" i="21" s="1"/>
  <c r="C48" i="26" s="1"/>
  <c r="P73" i="34" l="1" a="1"/>
  <c r="P73" i="34" s="1"/>
  <c r="R73" i="34" s="1" a="1"/>
  <c r="R73" i="34" s="1"/>
  <c r="Q73" i="34" a="1"/>
  <c r="Q73" i="34" s="1"/>
  <c r="Q74" i="34" a="1"/>
  <c r="Q74" i="34" s="1"/>
  <c r="P74" i="34" a="1"/>
  <c r="P74" i="34" s="1"/>
  <c r="R74" i="34" s="1" a="1"/>
  <c r="R74" i="34" s="1"/>
  <c r="Q76" i="34" a="1"/>
  <c r="Q76" i="34" s="1"/>
  <c r="P76" i="34" a="1"/>
  <c r="P76" i="34" s="1"/>
  <c r="R76" i="34" s="1" a="1"/>
  <c r="R76" i="34" s="1"/>
  <c r="P75" i="34" a="1"/>
  <c r="P75" i="34" s="1"/>
  <c r="R75" i="34" s="1" a="1"/>
  <c r="R75" i="34" s="1"/>
  <c r="Q75" i="34" a="1"/>
  <c r="Q75" i="34" s="1"/>
  <c r="T79" i="21"/>
  <c r="C84" i="21"/>
  <c r="E84" i="21" s="1"/>
  <c r="S79" i="21"/>
  <c r="L41" i="26"/>
  <c r="J67" i="34" s="1" a="1"/>
  <c r="J67" i="34" s="1"/>
  <c r="M67" i="34" s="1"/>
  <c r="J81" i="21"/>
  <c r="K48" i="26"/>
  <c r="E48" i="26"/>
  <c r="J48" i="26" s="1"/>
  <c r="K49" i="26"/>
  <c r="E49" i="26"/>
  <c r="J49" i="26" s="1"/>
  <c r="O67" i="21"/>
  <c r="N67" i="21"/>
  <c r="J78" i="21"/>
  <c r="L81" i="21"/>
  <c r="Q81" i="21" s="1"/>
  <c r="D319" i="22" a="1"/>
  <c r="D319" i="22" s="1"/>
  <c r="F319" i="22" s="1"/>
  <c r="D320" i="22" a="1"/>
  <c r="D320" i="22" s="1"/>
  <c r="F320" i="22" s="1"/>
  <c r="D321" i="22" a="1"/>
  <c r="D321" i="22" s="1"/>
  <c r="F321" i="22" s="1"/>
  <c r="D318" i="22" a="1"/>
  <c r="D318" i="22" s="1"/>
  <c r="F318" i="22" s="1"/>
  <c r="C126" i="23" s="1"/>
  <c r="D126" i="24" s="1"/>
  <c r="D309" i="22" a="1"/>
  <c r="D309" i="22" s="1"/>
  <c r="F309" i="22" s="1"/>
  <c r="D307" i="22" a="1"/>
  <c r="D307" i="22" s="1"/>
  <c r="F307" i="22" s="1"/>
  <c r="D308" i="22" a="1"/>
  <c r="D308" i="22" s="1"/>
  <c r="F308" i="22" s="1"/>
  <c r="D306" i="22" a="1"/>
  <c r="D306" i="22" s="1"/>
  <c r="F306" i="22" s="1"/>
  <c r="C123" i="23" s="1"/>
  <c r="D123" i="24" s="1"/>
  <c r="L78" i="21"/>
  <c r="Q78" i="21" s="1"/>
  <c r="H84" i="21"/>
  <c r="I84" i="21" s="1"/>
  <c r="L80" i="21"/>
  <c r="Q80" i="21" s="1"/>
  <c r="D316" i="22" a="1"/>
  <c r="D316" i="22" s="1"/>
  <c r="F316" i="22" s="1"/>
  <c r="D317" i="22" a="1"/>
  <c r="D317" i="22" s="1"/>
  <c r="F317" i="22" s="1"/>
  <c r="D314" i="22" a="1"/>
  <c r="D314" i="22" s="1"/>
  <c r="F314" i="22" s="1"/>
  <c r="C125" i="23" s="1"/>
  <c r="D125" i="24" s="1"/>
  <c r="D315" i="22" a="1"/>
  <c r="D315" i="22" s="1"/>
  <c r="F315" i="22" s="1"/>
  <c r="J80" i="21"/>
  <c r="H80" i="34" l="1"/>
  <c r="H78" i="34"/>
  <c r="I79" i="34"/>
  <c r="I81" i="34"/>
  <c r="O67" i="34"/>
  <c r="I80" i="34"/>
  <c r="I78" i="34"/>
  <c r="N67" i="34"/>
  <c r="H79" i="34"/>
  <c r="H81" i="34"/>
  <c r="C72" i="21"/>
  <c r="E72" i="21" s="1"/>
  <c r="S67" i="21"/>
  <c r="T67" i="21" s="1"/>
  <c r="J84" i="21"/>
  <c r="H72" i="21"/>
  <c r="I72" i="21" s="1"/>
  <c r="L49" i="26"/>
  <c r="L48" i="26"/>
  <c r="E126" i="24"/>
  <c r="F126" i="24" s="1"/>
  <c r="H126" i="24" s="1"/>
  <c r="I126" i="24" s="1"/>
  <c r="J126" i="24" s="1"/>
  <c r="E125" i="24"/>
  <c r="F125" i="24" s="1"/>
  <c r="H125" i="24" s="1"/>
  <c r="I125" i="24" s="1"/>
  <c r="J125" i="24" s="1"/>
  <c r="D332" i="22" a="1"/>
  <c r="D332" i="22" s="1"/>
  <c r="F332" i="22" s="1"/>
  <c r="D333" i="22" a="1"/>
  <c r="D333" i="22" s="1"/>
  <c r="F333" i="22" s="1"/>
  <c r="D330" i="22" a="1"/>
  <c r="D330" i="22" s="1"/>
  <c r="F330" i="22" s="1"/>
  <c r="C132" i="23" s="1"/>
  <c r="D132" i="24" s="1"/>
  <c r="D331" i="22" a="1"/>
  <c r="D331" i="22" s="1"/>
  <c r="F331" i="22" s="1"/>
  <c r="L84" i="21"/>
  <c r="M81" i="21"/>
  <c r="P81" i="21"/>
  <c r="E123" i="24"/>
  <c r="F123" i="24" s="1"/>
  <c r="H123" i="24" s="1"/>
  <c r="I123" i="24" s="1"/>
  <c r="J123" i="24" s="1"/>
  <c r="M80" i="21"/>
  <c r="P80" i="21"/>
  <c r="M78" i="21"/>
  <c r="P78" i="21"/>
  <c r="J78" i="34" l="1" a="1"/>
  <c r="J78" i="34" s="1"/>
  <c r="J80" i="34" a="1"/>
  <c r="J80" i="34" s="1"/>
  <c r="J81" i="34" a="1"/>
  <c r="J81" i="34" s="1"/>
  <c r="J79" i="34" a="1"/>
  <c r="J79" i="34" s="1"/>
  <c r="Q67" i="34" a="1"/>
  <c r="Q67" i="34" s="1"/>
  <c r="P67" i="34" a="1"/>
  <c r="P67" i="34" s="1"/>
  <c r="R67" i="34" s="1" a="1"/>
  <c r="R67" i="34" s="1"/>
  <c r="C44" i="26"/>
  <c r="L72" i="21"/>
  <c r="Q72" i="21" s="1"/>
  <c r="D285" i="22" a="1"/>
  <c r="D285" i="22" s="1"/>
  <c r="F285" i="22" s="1"/>
  <c r="C121" i="23" s="1"/>
  <c r="D121" i="24" s="1"/>
  <c r="D282" i="22" a="1"/>
  <c r="D282" i="22" s="1"/>
  <c r="F282" i="22" s="1"/>
  <c r="C114" i="23" s="1"/>
  <c r="D114" i="24" s="1"/>
  <c r="D283" i="22" a="1"/>
  <c r="D283" i="22" s="1"/>
  <c r="F283" i="22" s="1"/>
  <c r="C119" i="23" s="1"/>
  <c r="D119" i="24" s="1"/>
  <c r="E119" i="24" s="1"/>
  <c r="D284" i="22" a="1"/>
  <c r="D284" i="22" s="1"/>
  <c r="F284" i="22" s="1"/>
  <c r="C120" i="23" s="1"/>
  <c r="D120" i="24" s="1"/>
  <c r="J72" i="21"/>
  <c r="N80" i="21"/>
  <c r="O80" i="21"/>
  <c r="L126" i="24"/>
  <c r="C134" i="24" s="1"/>
  <c r="K126" i="24"/>
  <c r="L81" i="34" s="1"/>
  <c r="E132" i="24"/>
  <c r="F132" i="24" s="1"/>
  <c r="H132" i="24" s="1"/>
  <c r="I132" i="24" s="1"/>
  <c r="J132" i="24" s="1"/>
  <c r="N81" i="21"/>
  <c r="O81" i="21"/>
  <c r="L123" i="24"/>
  <c r="C131" i="24" s="1"/>
  <c r="K123" i="24"/>
  <c r="L78" i="34" s="1"/>
  <c r="L125" i="24"/>
  <c r="C133" i="24" s="1"/>
  <c r="K125" i="24"/>
  <c r="L80" i="34" s="1"/>
  <c r="O78" i="21"/>
  <c r="N78" i="21"/>
  <c r="M84" i="21"/>
  <c r="P84" i="21"/>
  <c r="Q84" i="21"/>
  <c r="O80" i="34" l="1"/>
  <c r="N80" i="34"/>
  <c r="M80" i="34"/>
  <c r="M78" i="34"/>
  <c r="N78" i="34" s="1"/>
  <c r="O78" i="34"/>
  <c r="O81" i="34"/>
  <c r="M81" i="34"/>
  <c r="N81" i="34" s="1"/>
  <c r="M79" i="34"/>
  <c r="O79" i="34"/>
  <c r="N79" i="34"/>
  <c r="C85" i="21"/>
  <c r="E85" i="21" s="1"/>
  <c r="S80" i="21"/>
  <c r="T80" i="21"/>
  <c r="C83" i="21"/>
  <c r="E83" i="21" s="1"/>
  <c r="S78" i="21"/>
  <c r="T78" i="21" s="1"/>
  <c r="C86" i="21"/>
  <c r="E86" i="21" s="1"/>
  <c r="S81" i="21"/>
  <c r="T81" i="21" s="1"/>
  <c r="E114" i="24"/>
  <c r="F114" i="24" s="1"/>
  <c r="H114" i="24" s="1"/>
  <c r="I114" i="24" s="1"/>
  <c r="J114" i="24" s="1"/>
  <c r="E121" i="24"/>
  <c r="F121" i="24" s="1"/>
  <c r="H121" i="24" s="1"/>
  <c r="I121" i="24" s="1"/>
  <c r="J121" i="24" s="1"/>
  <c r="P72" i="21"/>
  <c r="M72" i="21"/>
  <c r="E120" i="24"/>
  <c r="F120" i="24" s="1"/>
  <c r="H120" i="24" s="1"/>
  <c r="I120" i="24" s="1"/>
  <c r="J120" i="24" s="1"/>
  <c r="K44" i="26"/>
  <c r="I72" i="34" s="1"/>
  <c r="E44" i="26"/>
  <c r="J44" i="26" s="1"/>
  <c r="H72" i="34" s="1"/>
  <c r="L132" i="24"/>
  <c r="C140" i="24" s="1"/>
  <c r="K132" i="24"/>
  <c r="L84" i="34" s="1"/>
  <c r="H83" i="21"/>
  <c r="I83" i="21" s="1"/>
  <c r="C51" i="26" s="1"/>
  <c r="H85" i="21"/>
  <c r="I85" i="21" s="1"/>
  <c r="J85" i="21" s="1"/>
  <c r="H86" i="21"/>
  <c r="I86" i="21" s="1"/>
  <c r="C52" i="26" s="1"/>
  <c r="J86" i="21"/>
  <c r="N84" i="21"/>
  <c r="O84" i="21"/>
  <c r="Q81" i="34" l="1" a="1"/>
  <c r="Q81" i="34" s="1"/>
  <c r="P81" i="34" a="1"/>
  <c r="P81" i="34" s="1"/>
  <c r="R81" i="34" s="1" a="1"/>
  <c r="R81" i="34" s="1"/>
  <c r="Q78" i="34" a="1"/>
  <c r="Q78" i="34" s="1"/>
  <c r="P78" i="34" a="1"/>
  <c r="P78" i="34" s="1"/>
  <c r="R78" i="34" s="1" a="1"/>
  <c r="R78" i="34" s="1"/>
  <c r="P80" i="34" a="1"/>
  <c r="P80" i="34" s="1"/>
  <c r="R80" i="34" s="1" a="1"/>
  <c r="R80" i="34" s="1"/>
  <c r="Q80" i="34" a="1"/>
  <c r="Q80" i="34" s="1"/>
  <c r="Q79" i="34" a="1"/>
  <c r="Q79" i="34" s="1"/>
  <c r="P79" i="34" a="1"/>
  <c r="P79" i="34" s="1"/>
  <c r="R79" i="34" s="1" a="1"/>
  <c r="R79" i="34" s="1"/>
  <c r="C89" i="21"/>
  <c r="E89" i="21" s="1"/>
  <c r="S84" i="21"/>
  <c r="T84" i="21"/>
  <c r="L120" i="24"/>
  <c r="C128" i="24" s="1"/>
  <c r="K120" i="24"/>
  <c r="L114" i="24"/>
  <c r="C122" i="24" s="1"/>
  <c r="K114" i="24"/>
  <c r="L72" i="34" s="1"/>
  <c r="E52" i="26"/>
  <c r="J52" i="26" s="1"/>
  <c r="K52" i="26"/>
  <c r="L44" i="26"/>
  <c r="J72" i="34" s="1" a="1"/>
  <c r="J72" i="34" s="1"/>
  <c r="J83" i="21"/>
  <c r="E51" i="26"/>
  <c r="J51" i="26" s="1"/>
  <c r="K51" i="26"/>
  <c r="O72" i="21"/>
  <c r="N72" i="21"/>
  <c r="K121" i="24"/>
  <c r="L121" i="24"/>
  <c r="C129" i="24" s="1"/>
  <c r="H89" i="21"/>
  <c r="I89" i="21" s="1"/>
  <c r="J89" i="21"/>
  <c r="L85" i="21"/>
  <c r="Q85" i="21" s="1"/>
  <c r="D336" i="22" a="1"/>
  <c r="D336" i="22" s="1"/>
  <c r="F336" i="22" s="1"/>
  <c r="D337" i="22" a="1"/>
  <c r="D337" i="22" s="1"/>
  <c r="F337" i="22" s="1"/>
  <c r="D334" i="22" a="1"/>
  <c r="D334" i="22" s="1"/>
  <c r="F334" i="22" s="1"/>
  <c r="C133" i="23" s="1"/>
  <c r="D133" i="24" s="1"/>
  <c r="D335" i="22" a="1"/>
  <c r="D335" i="22" s="1"/>
  <c r="F335" i="22" s="1"/>
  <c r="D327" i="22" a="1"/>
  <c r="D327" i="22" s="1"/>
  <c r="F327" i="22" s="1"/>
  <c r="D328" i="22" a="1"/>
  <c r="D328" i="22" s="1"/>
  <c r="F328" i="22" s="1"/>
  <c r="D329" i="22" a="1"/>
  <c r="D329" i="22" s="1"/>
  <c r="F329" i="22" s="1"/>
  <c r="D326" i="22" a="1"/>
  <c r="D326" i="22" s="1"/>
  <c r="F326" i="22" s="1"/>
  <c r="C131" i="23" s="1"/>
  <c r="D131" i="24" s="1"/>
  <c r="L83" i="21"/>
  <c r="D339" i="22" a="1"/>
  <c r="D339" i="22" s="1"/>
  <c r="F339" i="22" s="1"/>
  <c r="D338" i="22" a="1"/>
  <c r="D338" i="22" s="1"/>
  <c r="F338" i="22" s="1"/>
  <c r="C134" i="23" s="1"/>
  <c r="D134" i="24" s="1"/>
  <c r="D340" i="22" a="1"/>
  <c r="D340" i="22" s="1"/>
  <c r="F340" i="22" s="1"/>
  <c r="D341" i="22" a="1"/>
  <c r="D341" i="22" s="1"/>
  <c r="F341" i="22" s="1"/>
  <c r="L86" i="21"/>
  <c r="Q86" i="21" s="1"/>
  <c r="I83" i="34" l="1"/>
  <c r="I85" i="34"/>
  <c r="H83" i="34"/>
  <c r="H85" i="34"/>
  <c r="I84" i="34"/>
  <c r="I86" i="34"/>
  <c r="O72" i="34"/>
  <c r="M72" i="34"/>
  <c r="N72" i="34" s="1"/>
  <c r="H84" i="34"/>
  <c r="H86" i="34"/>
  <c r="C77" i="21"/>
  <c r="E77" i="21" s="1"/>
  <c r="S72" i="21"/>
  <c r="T72" i="21" s="1"/>
  <c r="L51" i="26"/>
  <c r="L52" i="26"/>
  <c r="H77" i="21"/>
  <c r="I77" i="21" s="1"/>
  <c r="E133" i="24"/>
  <c r="F133" i="24" s="1"/>
  <c r="H133" i="24" s="1"/>
  <c r="I133" i="24" s="1"/>
  <c r="J133" i="24" s="1"/>
  <c r="E134" i="24"/>
  <c r="F134" i="24" s="1"/>
  <c r="H134" i="24" s="1"/>
  <c r="I134" i="24" s="1"/>
  <c r="J134" i="24" s="1"/>
  <c r="M85" i="21"/>
  <c r="P85" i="21"/>
  <c r="M83" i="21"/>
  <c r="P83" i="21"/>
  <c r="Q83" i="21"/>
  <c r="L89" i="21"/>
  <c r="D353" i="22" a="1"/>
  <c r="D353" i="22" s="1"/>
  <c r="F353" i="22" s="1"/>
  <c r="D350" i="22" a="1"/>
  <c r="D350" i="22" s="1"/>
  <c r="F350" i="22" s="1"/>
  <c r="C140" i="23" s="1"/>
  <c r="D140" i="24" s="1"/>
  <c r="D352" i="22" a="1"/>
  <c r="D352" i="22" s="1"/>
  <c r="F352" i="22" s="1"/>
  <c r="D351" i="22" a="1"/>
  <c r="D351" i="22" s="1"/>
  <c r="F351" i="22" s="1"/>
  <c r="Q89" i="21"/>
  <c r="E131" i="24"/>
  <c r="F131" i="24" s="1"/>
  <c r="H131" i="24" s="1"/>
  <c r="I131" i="24" s="1"/>
  <c r="J131" i="24" s="1"/>
  <c r="M86" i="21"/>
  <c r="P86" i="21"/>
  <c r="Q72" i="34" l="1" a="1"/>
  <c r="Q72" i="34" s="1"/>
  <c r="P72" i="34" a="1"/>
  <c r="P72" i="34" s="1"/>
  <c r="R72" i="34" s="1" a="1"/>
  <c r="R72" i="34" s="1"/>
  <c r="J84" i="34" a="1"/>
  <c r="J84" i="34" s="1"/>
  <c r="J86" i="34" a="1"/>
  <c r="J86" i="34" s="1"/>
  <c r="J83" i="34" a="1"/>
  <c r="J83" i="34" s="1"/>
  <c r="J85" i="34" a="1"/>
  <c r="J85" i="34" s="1"/>
  <c r="J77" i="21"/>
  <c r="C47" i="26"/>
  <c r="L77" i="21"/>
  <c r="D302" i="22" a="1"/>
  <c r="D302" i="22" s="1"/>
  <c r="F302" i="22" s="1"/>
  <c r="C122" i="23" s="1"/>
  <c r="D122" i="24" s="1"/>
  <c r="D303" i="22" a="1"/>
  <c r="D303" i="22" s="1"/>
  <c r="F303" i="22" s="1"/>
  <c r="C127" i="23" s="1"/>
  <c r="D127" i="24" s="1"/>
  <c r="E127" i="24" s="1"/>
  <c r="D304" i="22" a="1"/>
  <c r="D304" i="22" s="1"/>
  <c r="F304" i="22" s="1"/>
  <c r="C128" i="23" s="1"/>
  <c r="D128" i="24" s="1"/>
  <c r="E128" i="24" s="1"/>
  <c r="F128" i="24" s="1"/>
  <c r="H128" i="24" s="1"/>
  <c r="I128" i="24" s="1"/>
  <c r="J128" i="24" s="1"/>
  <c r="Q77" i="21"/>
  <c r="D305" i="22" a="1"/>
  <c r="D305" i="22" s="1"/>
  <c r="F305" i="22" s="1"/>
  <c r="C129" i="23" s="1"/>
  <c r="D129" i="24" s="1"/>
  <c r="E129" i="24" s="1"/>
  <c r="F129" i="24" s="1"/>
  <c r="H129" i="24" s="1"/>
  <c r="I129" i="24" s="1"/>
  <c r="J129" i="24" s="1"/>
  <c r="O86" i="21"/>
  <c r="N86" i="21"/>
  <c r="L131" i="24"/>
  <c r="C139" i="24" s="1"/>
  <c r="K131" i="24"/>
  <c r="L83" i="34" s="1"/>
  <c r="N83" i="21"/>
  <c r="O83" i="21"/>
  <c r="L134" i="24"/>
  <c r="C142" i="24" s="1"/>
  <c r="K134" i="24"/>
  <c r="L86" i="34" s="1"/>
  <c r="O85" i="21"/>
  <c r="N85" i="21"/>
  <c r="K133" i="24"/>
  <c r="L85" i="34" s="1"/>
  <c r="L133" i="24"/>
  <c r="C141" i="24" s="1"/>
  <c r="E140" i="24"/>
  <c r="F140" i="24" s="1"/>
  <c r="H140" i="24" s="1"/>
  <c r="I140" i="24" s="1"/>
  <c r="J140" i="24" s="1"/>
  <c r="M89" i="21"/>
  <c r="P89" i="21"/>
  <c r="M86" i="34" l="1"/>
  <c r="N86" i="34" s="1"/>
  <c r="O86" i="34"/>
  <c r="O83" i="34"/>
  <c r="M83" i="34"/>
  <c r="N83" i="34" s="1"/>
  <c r="M84" i="34"/>
  <c r="N84" i="34" s="1"/>
  <c r="O84" i="34"/>
  <c r="M85" i="34"/>
  <c r="N85" i="34" s="1"/>
  <c r="O85" i="34"/>
  <c r="C91" i="21"/>
  <c r="E91" i="21" s="1"/>
  <c r="H91" i="21" s="1"/>
  <c r="I91" i="21" s="1"/>
  <c r="C55" i="26" s="1"/>
  <c r="S86" i="21"/>
  <c r="T85" i="21"/>
  <c r="C90" i="21"/>
  <c r="E90" i="21" s="1"/>
  <c r="S85" i="21"/>
  <c r="T86" i="21"/>
  <c r="C88" i="21"/>
  <c r="E88" i="21" s="1"/>
  <c r="S83" i="21"/>
  <c r="T83" i="21"/>
  <c r="L128" i="24"/>
  <c r="C136" i="24" s="1"/>
  <c r="K128" i="24"/>
  <c r="L129" i="24"/>
  <c r="C137" i="24" s="1"/>
  <c r="K129" i="24"/>
  <c r="K47" i="26"/>
  <c r="I77" i="34" s="1"/>
  <c r="E47" i="26"/>
  <c r="J47" i="26" s="1"/>
  <c r="H77" i="34" s="1"/>
  <c r="E122" i="24"/>
  <c r="F122" i="24" s="1"/>
  <c r="H122" i="24" s="1"/>
  <c r="I122" i="24" s="1"/>
  <c r="J122" i="24" s="1"/>
  <c r="P77" i="21"/>
  <c r="M77" i="21"/>
  <c r="H88" i="21"/>
  <c r="I88" i="21" s="1"/>
  <c r="H90" i="21"/>
  <c r="I90" i="21" s="1"/>
  <c r="J90" i="21" s="1"/>
  <c r="N89" i="21"/>
  <c r="O89" i="21"/>
  <c r="K140" i="24"/>
  <c r="L89" i="34" s="1"/>
  <c r="L140" i="24"/>
  <c r="C148" i="24" s="1"/>
  <c r="P85" i="34" l="1" a="1"/>
  <c r="P85" i="34" s="1"/>
  <c r="R85" i="34" s="1" a="1"/>
  <c r="R85" i="34" s="1"/>
  <c r="Q85" i="34" a="1"/>
  <c r="Q85" i="34" s="1"/>
  <c r="P84" i="34" a="1"/>
  <c r="P84" i="34" s="1"/>
  <c r="R84" i="34" s="1" a="1"/>
  <c r="R84" i="34" s="1"/>
  <c r="Q84" i="34" a="1"/>
  <c r="Q84" i="34" s="1"/>
  <c r="Q83" i="34" a="1"/>
  <c r="Q83" i="34" s="1"/>
  <c r="P83" i="34" a="1"/>
  <c r="P83" i="34" s="1"/>
  <c r="R83" i="34" s="1" a="1"/>
  <c r="R83" i="34" s="1"/>
  <c r="Q86" i="34" a="1"/>
  <c r="Q86" i="34" s="1"/>
  <c r="P86" i="34" a="1"/>
  <c r="P86" i="34" s="1"/>
  <c r="R86" i="34" s="1" a="1"/>
  <c r="R86" i="34" s="1"/>
  <c r="C94" i="21"/>
  <c r="E94" i="21" s="1"/>
  <c r="S89" i="21"/>
  <c r="T89" i="21"/>
  <c r="E55" i="26"/>
  <c r="J55" i="26" s="1"/>
  <c r="K55" i="26"/>
  <c r="O77" i="21"/>
  <c r="N77" i="21"/>
  <c r="J88" i="21"/>
  <c r="C54" i="26"/>
  <c r="L47" i="26"/>
  <c r="J77" i="34" s="1" a="1"/>
  <c r="J77" i="34" s="1"/>
  <c r="K122" i="24"/>
  <c r="L77" i="34" s="1"/>
  <c r="L122" i="24"/>
  <c r="C130" i="24" s="1"/>
  <c r="J91" i="21"/>
  <c r="L90" i="21"/>
  <c r="Q90" i="21" s="1"/>
  <c r="D354" i="22" a="1"/>
  <c r="D354" i="22" s="1"/>
  <c r="F354" i="22" s="1"/>
  <c r="C141" i="23" s="1"/>
  <c r="D141" i="24" s="1"/>
  <c r="D355" i="22" a="1"/>
  <c r="D355" i="22" s="1"/>
  <c r="F355" i="22" s="1"/>
  <c r="D356" i="22" a="1"/>
  <c r="D356" i="22" s="1"/>
  <c r="F356" i="22" s="1"/>
  <c r="D357" i="22" a="1"/>
  <c r="D357" i="22" s="1"/>
  <c r="F357" i="22" s="1"/>
  <c r="D360" i="22" a="1"/>
  <c r="D360" i="22" s="1"/>
  <c r="F360" i="22" s="1"/>
  <c r="D358" i="22" a="1"/>
  <c r="D358" i="22" s="1"/>
  <c r="F358" i="22" s="1"/>
  <c r="C142" i="23" s="1"/>
  <c r="D142" i="24" s="1"/>
  <c r="D359" i="22" a="1"/>
  <c r="D359" i="22" s="1"/>
  <c r="F359" i="22" s="1"/>
  <c r="D361" i="22" a="1"/>
  <c r="D361" i="22" s="1"/>
  <c r="F361" i="22" s="1"/>
  <c r="L91" i="21"/>
  <c r="Q91" i="21" s="1"/>
  <c r="H94" i="21"/>
  <c r="I94" i="21" s="1"/>
  <c r="L88" i="21"/>
  <c r="D346" i="22" a="1"/>
  <c r="D346" i="22" s="1"/>
  <c r="F346" i="22" s="1"/>
  <c r="C139" i="23" s="1"/>
  <c r="D139" i="24" s="1"/>
  <c r="D347" i="22" a="1"/>
  <c r="D347" i="22" s="1"/>
  <c r="F347" i="22" s="1"/>
  <c r="D348" i="22" a="1"/>
  <c r="D348" i="22" s="1"/>
  <c r="F348" i="22" s="1"/>
  <c r="D349" i="22" a="1"/>
  <c r="D349" i="22" s="1"/>
  <c r="F349" i="22" s="1"/>
  <c r="N77" i="34" l="1"/>
  <c r="M77" i="34"/>
  <c r="O77" i="34"/>
  <c r="L55" i="26"/>
  <c r="I89" i="34"/>
  <c r="I91" i="34"/>
  <c r="H91" i="34"/>
  <c r="H89" i="34"/>
  <c r="C82" i="21"/>
  <c r="E82" i="21" s="1"/>
  <c r="S77" i="21"/>
  <c r="T77" i="21" s="1"/>
  <c r="E54" i="26"/>
  <c r="J54" i="26" s="1"/>
  <c r="K54" i="26"/>
  <c r="H82" i="21"/>
  <c r="I82" i="21" s="1"/>
  <c r="J82" i="21" s="1"/>
  <c r="J94" i="21"/>
  <c r="E139" i="24"/>
  <c r="F139" i="24" s="1"/>
  <c r="H139" i="24" s="1"/>
  <c r="I139" i="24" s="1"/>
  <c r="J139" i="24" s="1"/>
  <c r="E142" i="24"/>
  <c r="F142" i="24"/>
  <c r="H142" i="24" s="1"/>
  <c r="I142" i="24" s="1"/>
  <c r="J142" i="24" s="1"/>
  <c r="M88" i="21"/>
  <c r="P88" i="21"/>
  <c r="E141" i="24"/>
  <c r="F141" i="24"/>
  <c r="H141" i="24" s="1"/>
  <c r="I141" i="24" s="1"/>
  <c r="J141" i="24" s="1"/>
  <c r="D373" i="22" a="1"/>
  <c r="D373" i="22" s="1"/>
  <c r="F373" i="22" s="1"/>
  <c r="D370" i="22" a="1"/>
  <c r="D370" i="22" s="1"/>
  <c r="F370" i="22" s="1"/>
  <c r="C148" i="23" s="1"/>
  <c r="D148" i="24" s="1"/>
  <c r="D371" i="22" a="1"/>
  <c r="D371" i="22" s="1"/>
  <c r="F371" i="22" s="1"/>
  <c r="D372" i="22" a="1"/>
  <c r="D372" i="22" s="1"/>
  <c r="F372" i="22" s="1"/>
  <c r="L94" i="21"/>
  <c r="Q94" i="21" s="1"/>
  <c r="Q88" i="21"/>
  <c r="M91" i="21"/>
  <c r="P91" i="21"/>
  <c r="M90" i="21"/>
  <c r="P90" i="21"/>
  <c r="J89" i="34" l="1" a="1"/>
  <c r="J89" i="34" s="1"/>
  <c r="J91" i="34" a="1"/>
  <c r="J91" i="34" s="1"/>
  <c r="H90" i="34"/>
  <c r="H88" i="34"/>
  <c r="P77" i="34" a="1"/>
  <c r="P77" i="34" s="1"/>
  <c r="R77" i="34" s="1" a="1"/>
  <c r="R77" i="34" s="1"/>
  <c r="Q77" i="34" a="1"/>
  <c r="Q77" i="34" s="1"/>
  <c r="L54" i="26"/>
  <c r="I88" i="34"/>
  <c r="I90" i="34"/>
  <c r="C50" i="26"/>
  <c r="D322" i="22" a="1"/>
  <c r="D322" i="22" s="1"/>
  <c r="F322" i="22" s="1"/>
  <c r="C130" i="23" s="1"/>
  <c r="D130" i="24" s="1"/>
  <c r="E130" i="24" s="1"/>
  <c r="F130" i="24" s="1"/>
  <c r="H130" i="24" s="1"/>
  <c r="I130" i="24" s="1"/>
  <c r="J130" i="24" s="1"/>
  <c r="D325" i="22" a="1"/>
  <c r="D325" i="22" s="1"/>
  <c r="F325" i="22" s="1"/>
  <c r="C137" i="23" s="1"/>
  <c r="D137" i="24" s="1"/>
  <c r="E137" i="24" s="1"/>
  <c r="F137" i="24" s="1"/>
  <c r="H137" i="24" s="1"/>
  <c r="I137" i="24" s="1"/>
  <c r="J137" i="24" s="1"/>
  <c r="L82" i="21"/>
  <c r="Q82" i="21" s="1"/>
  <c r="D324" i="22" a="1"/>
  <c r="D324" i="22" s="1"/>
  <c r="F324" i="22" s="1"/>
  <c r="C136" i="23" s="1"/>
  <c r="D136" i="24" s="1"/>
  <c r="D323" i="22" a="1"/>
  <c r="D323" i="22" s="1"/>
  <c r="F323" i="22" s="1"/>
  <c r="C135" i="23" s="1"/>
  <c r="D135" i="24" s="1"/>
  <c r="E135" i="24" s="1"/>
  <c r="E148" i="24"/>
  <c r="F148" i="24" s="1"/>
  <c r="H148" i="24" s="1"/>
  <c r="I148" i="24" s="1"/>
  <c r="J148" i="24" s="1"/>
  <c r="K139" i="24"/>
  <c r="L88" i="34" s="1"/>
  <c r="L139" i="24"/>
  <c r="C147" i="24" s="1"/>
  <c r="M94" i="21"/>
  <c r="P94" i="21"/>
  <c r="N88" i="21"/>
  <c r="O88" i="21"/>
  <c r="L142" i="24"/>
  <c r="C150" i="24" s="1"/>
  <c r="K142" i="24"/>
  <c r="L91" i="34" s="1"/>
  <c r="L141" i="24"/>
  <c r="C149" i="24" s="1"/>
  <c r="K141" i="24"/>
  <c r="L90" i="34" s="1"/>
  <c r="N90" i="21"/>
  <c r="O90" i="21"/>
  <c r="N91" i="21"/>
  <c r="O91" i="21"/>
  <c r="M89" i="34" l="1"/>
  <c r="N89" i="34" s="1"/>
  <c r="O89" i="34"/>
  <c r="M91" i="34"/>
  <c r="N91" i="34" s="1"/>
  <c r="O91" i="34"/>
  <c r="J88" i="34" a="1"/>
  <c r="J88" i="34" s="1"/>
  <c r="O88" i="34" s="1"/>
  <c r="J90" i="34" a="1"/>
  <c r="J90" i="34" s="1"/>
  <c r="C93" i="21"/>
  <c r="E93" i="21" s="1"/>
  <c r="S88" i="21"/>
  <c r="C96" i="21"/>
  <c r="E96" i="21" s="1"/>
  <c r="S91" i="21"/>
  <c r="T91" i="21"/>
  <c r="C95" i="21"/>
  <c r="E95" i="21" s="1"/>
  <c r="S90" i="21"/>
  <c r="T90" i="21"/>
  <c r="T88" i="21"/>
  <c r="E136" i="24"/>
  <c r="F136" i="24" s="1"/>
  <c r="H136" i="24" s="1"/>
  <c r="I136" i="24" s="1"/>
  <c r="J136" i="24" s="1"/>
  <c r="P82" i="21"/>
  <c r="M82" i="21"/>
  <c r="L137" i="24"/>
  <c r="C145" i="24" s="1"/>
  <c r="K137" i="24"/>
  <c r="L130" i="24"/>
  <c r="C138" i="24" s="1"/>
  <c r="K130" i="24"/>
  <c r="L82" i="34" s="1"/>
  <c r="E50" i="26"/>
  <c r="J50" i="26" s="1"/>
  <c r="H82" i="34" s="1"/>
  <c r="K50" i="26"/>
  <c r="H96" i="21"/>
  <c r="I96" i="21" s="1"/>
  <c r="C58" i="26" s="1"/>
  <c r="N94" i="21"/>
  <c r="O94" i="21"/>
  <c r="H95" i="21"/>
  <c r="I95" i="21" s="1"/>
  <c r="J95" i="21" s="1"/>
  <c r="K148" i="24"/>
  <c r="L94" i="34" s="1"/>
  <c r="L148" i="24"/>
  <c r="C156" i="24" s="1"/>
  <c r="H93" i="21"/>
  <c r="I93" i="21" s="1"/>
  <c r="C57" i="26" s="1"/>
  <c r="P88" i="34" l="1" a="1"/>
  <c r="P88" i="34" s="1"/>
  <c r="R88" i="34" s="1" a="1"/>
  <c r="R88" i="34" s="1"/>
  <c r="Q88" i="34" a="1"/>
  <c r="Q88" i="34" s="1"/>
  <c r="M90" i="34"/>
  <c r="N90" i="34" s="1"/>
  <c r="L50" i="26"/>
  <c r="J82" i="34" s="1" a="1"/>
  <c r="J82" i="34" s="1"/>
  <c r="O82" i="34" s="1"/>
  <c r="I82" i="34"/>
  <c r="M88" i="34"/>
  <c r="N88" i="34" s="1"/>
  <c r="Q91" i="34" a="1"/>
  <c r="Q91" i="34" s="1"/>
  <c r="P91" i="34" a="1"/>
  <c r="P91" i="34" s="1"/>
  <c r="R91" i="34" s="1" a="1"/>
  <c r="R91" i="34" s="1"/>
  <c r="O90" i="34"/>
  <c r="P89" i="34" a="1"/>
  <c r="P89" i="34" s="1"/>
  <c r="R89" i="34" s="1" a="1"/>
  <c r="R89" i="34" s="1"/>
  <c r="Q89" i="34" a="1"/>
  <c r="Q89" i="34" s="1"/>
  <c r="C99" i="21"/>
  <c r="E99" i="21" s="1"/>
  <c r="S94" i="21"/>
  <c r="T94" i="21" s="1"/>
  <c r="J96" i="21"/>
  <c r="L136" i="24"/>
  <c r="C144" i="24" s="1"/>
  <c r="K136" i="24"/>
  <c r="K57" i="26"/>
  <c r="E57" i="26"/>
  <c r="J57" i="26" s="1"/>
  <c r="K58" i="26"/>
  <c r="E58" i="26"/>
  <c r="J58" i="26" s="1"/>
  <c r="J93" i="21"/>
  <c r="O82" i="21"/>
  <c r="N82" i="21"/>
  <c r="H99" i="21"/>
  <c r="I99" i="21" s="1"/>
  <c r="L93" i="21"/>
  <c r="D367" i="22" a="1"/>
  <c r="D367" i="22" s="1"/>
  <c r="F367" i="22" s="1"/>
  <c r="D369" i="22" a="1"/>
  <c r="D369" i="22" s="1"/>
  <c r="F369" i="22" s="1"/>
  <c r="D366" i="22" a="1"/>
  <c r="D366" i="22" s="1"/>
  <c r="F366" i="22" s="1"/>
  <c r="C147" i="23" s="1"/>
  <c r="D147" i="24" s="1"/>
  <c r="D368" i="22" a="1"/>
  <c r="D368" i="22" s="1"/>
  <c r="F368" i="22" s="1"/>
  <c r="L95" i="21"/>
  <c r="Q95" i="21" s="1"/>
  <c r="D374" i="22" a="1"/>
  <c r="D374" i="22" s="1"/>
  <c r="F374" i="22" s="1"/>
  <c r="C149" i="23" s="1"/>
  <c r="D149" i="24" s="1"/>
  <c r="D375" i="22" a="1"/>
  <c r="D375" i="22" s="1"/>
  <c r="F375" i="22" s="1"/>
  <c r="D377" i="22" a="1"/>
  <c r="D377" i="22" s="1"/>
  <c r="F377" i="22" s="1"/>
  <c r="D376" i="22" a="1"/>
  <c r="D376" i="22" s="1"/>
  <c r="F376" i="22" s="1"/>
  <c r="L96" i="21"/>
  <c r="D381" i="22" a="1"/>
  <c r="D381" i="22" s="1"/>
  <c r="F381" i="22" s="1"/>
  <c r="D379" i="22" a="1"/>
  <c r="D379" i="22" s="1"/>
  <c r="F379" i="22" s="1"/>
  <c r="D380" i="22" a="1"/>
  <c r="D380" i="22" s="1"/>
  <c r="F380" i="22" s="1"/>
  <c r="D378" i="22" a="1"/>
  <c r="D378" i="22" s="1"/>
  <c r="F378" i="22" s="1"/>
  <c r="C150" i="23" s="1"/>
  <c r="D150" i="24" s="1"/>
  <c r="Q82" i="34" l="1" a="1"/>
  <c r="Q82" i="34" s="1"/>
  <c r="P82" i="34" a="1"/>
  <c r="P82" i="34" s="1"/>
  <c r="R82" i="34" s="1" a="1"/>
  <c r="R82" i="34" s="1"/>
  <c r="M82" i="34"/>
  <c r="N82" i="34"/>
  <c r="H94" i="34"/>
  <c r="H96" i="34"/>
  <c r="Q90" i="34" a="1"/>
  <c r="Q90" i="34" s="1"/>
  <c r="P90" i="34" a="1"/>
  <c r="P90" i="34" s="1"/>
  <c r="R90" i="34" s="1" a="1"/>
  <c r="R90" i="34" s="1"/>
  <c r="I96" i="34"/>
  <c r="I94" i="34"/>
  <c r="H95" i="34"/>
  <c r="H93" i="34"/>
  <c r="I95" i="34"/>
  <c r="I93" i="34"/>
  <c r="C87" i="21"/>
  <c r="E87" i="21" s="1"/>
  <c r="S82" i="21"/>
  <c r="T82" i="21"/>
  <c r="J99" i="21"/>
  <c r="H87" i="21"/>
  <c r="I87" i="21" s="1"/>
  <c r="J87" i="21" s="1"/>
  <c r="L58" i="26"/>
  <c r="L57" i="26"/>
  <c r="M96" i="21"/>
  <c r="P96" i="21"/>
  <c r="E147" i="24"/>
  <c r="F147" i="24" s="1"/>
  <c r="H147" i="24" s="1"/>
  <c r="I147" i="24" s="1"/>
  <c r="J147" i="24" s="1"/>
  <c r="M93" i="21"/>
  <c r="P93" i="21"/>
  <c r="Q96" i="21"/>
  <c r="E150" i="24"/>
  <c r="F150" i="24" s="1"/>
  <c r="H150" i="24" s="1"/>
  <c r="I150" i="24" s="1"/>
  <c r="J150" i="24" s="1"/>
  <c r="M95" i="21"/>
  <c r="P95" i="21"/>
  <c r="E149" i="24"/>
  <c r="F149" i="24" s="1"/>
  <c r="H149" i="24" s="1"/>
  <c r="I149" i="24" s="1"/>
  <c r="J149" i="24" s="1"/>
  <c r="Q93" i="21"/>
  <c r="D390" i="22" a="1"/>
  <c r="D390" i="22" s="1"/>
  <c r="F390" i="22" s="1"/>
  <c r="C156" i="23" s="1"/>
  <c r="D156" i="24" s="1"/>
  <c r="D391" i="22" a="1"/>
  <c r="D391" i="22" s="1"/>
  <c r="F391" i="22" s="1"/>
  <c r="D392" i="22" a="1"/>
  <c r="D392" i="22" s="1"/>
  <c r="F392" i="22" s="1"/>
  <c r="D393" i="22" a="1"/>
  <c r="D393" i="22" s="1"/>
  <c r="F393" i="22" s="1"/>
  <c r="L99" i="21"/>
  <c r="J93" i="34" l="1" a="1"/>
  <c r="J93" i="34" s="1"/>
  <c r="J95" i="34" a="1"/>
  <c r="J95" i="34" s="1"/>
  <c r="J96" i="34" a="1"/>
  <c r="J96" i="34" s="1"/>
  <c r="J94" i="34" a="1"/>
  <c r="J94" i="34" s="1"/>
  <c r="C53" i="26"/>
  <c r="D344" i="22" a="1"/>
  <c r="D344" i="22" s="1"/>
  <c r="F344" i="22" s="1"/>
  <c r="C144" i="23" s="1"/>
  <c r="D144" i="24" s="1"/>
  <c r="E144" i="24" s="1"/>
  <c r="F144" i="24" s="1"/>
  <c r="H144" i="24" s="1"/>
  <c r="I144" i="24" s="1"/>
  <c r="J144" i="24" s="1"/>
  <c r="D343" i="22" a="1"/>
  <c r="D343" i="22" s="1"/>
  <c r="F343" i="22" s="1"/>
  <c r="C143" i="23" s="1"/>
  <c r="D143" i="24" s="1"/>
  <c r="E143" i="24" s="1"/>
  <c r="D342" i="22" a="1"/>
  <c r="D342" i="22" s="1"/>
  <c r="F342" i="22" s="1"/>
  <c r="C138" i="23" s="1"/>
  <c r="D138" i="24" s="1"/>
  <c r="E138" i="24" s="1"/>
  <c r="F138" i="24" s="1"/>
  <c r="H138" i="24" s="1"/>
  <c r="I138" i="24" s="1"/>
  <c r="J138" i="24" s="1"/>
  <c r="D345" i="22" a="1"/>
  <c r="D345" i="22" s="1"/>
  <c r="F345" i="22" s="1"/>
  <c r="C145" i="23" s="1"/>
  <c r="D145" i="24" s="1"/>
  <c r="L87" i="21"/>
  <c r="K149" i="24"/>
  <c r="L95" i="34" s="1"/>
  <c r="L149" i="24"/>
  <c r="C157" i="24" s="1"/>
  <c r="N93" i="21"/>
  <c r="O93" i="21"/>
  <c r="L150" i="24"/>
  <c r="C158" i="24" s="1"/>
  <c r="K150" i="24"/>
  <c r="L96" i="34" s="1"/>
  <c r="O95" i="21"/>
  <c r="N95" i="21"/>
  <c r="L147" i="24"/>
  <c r="C155" i="24" s="1"/>
  <c r="K147" i="24"/>
  <c r="L93" i="34" s="1"/>
  <c r="M99" i="21"/>
  <c r="P99" i="21"/>
  <c r="Q99" i="21"/>
  <c r="N96" i="21"/>
  <c r="O96" i="21"/>
  <c r="E156" i="24"/>
  <c r="F156" i="24" s="1"/>
  <c r="H156" i="24" s="1"/>
  <c r="I156" i="24" s="1"/>
  <c r="J156" i="24" s="1"/>
  <c r="O96" i="34" l="1"/>
  <c r="M96" i="34"/>
  <c r="N96" i="34" s="1"/>
  <c r="O95" i="34"/>
  <c r="N95" i="34"/>
  <c r="M95" i="34"/>
  <c r="M93" i="34"/>
  <c r="N93" i="34" s="1"/>
  <c r="O93" i="34"/>
  <c r="O94" i="34"/>
  <c r="M94" i="34"/>
  <c r="N94" i="34"/>
  <c r="C98" i="21"/>
  <c r="E98" i="21" s="1"/>
  <c r="H98" i="21" s="1"/>
  <c r="I98" i="21" s="1"/>
  <c r="C60" i="26" s="1"/>
  <c r="S93" i="21"/>
  <c r="C101" i="21"/>
  <c r="E101" i="21" s="1"/>
  <c r="S96" i="21"/>
  <c r="T96" i="21" s="1"/>
  <c r="T93" i="21"/>
  <c r="C100" i="21"/>
  <c r="E100" i="21" s="1"/>
  <c r="S95" i="21"/>
  <c r="T95" i="21" s="1"/>
  <c r="P87" i="21"/>
  <c r="M87" i="21"/>
  <c r="L138" i="24"/>
  <c r="C146" i="24" s="1"/>
  <c r="K138" i="24"/>
  <c r="L87" i="34" s="1"/>
  <c r="E145" i="24"/>
  <c r="F145" i="24" s="1"/>
  <c r="H145" i="24" s="1"/>
  <c r="I145" i="24" s="1"/>
  <c r="J145" i="24" s="1"/>
  <c r="L144" i="24"/>
  <c r="C152" i="24" s="1"/>
  <c r="K144" i="24"/>
  <c r="Q87" i="21"/>
  <c r="E53" i="26"/>
  <c r="J53" i="26" s="1"/>
  <c r="H87" i="34" s="1"/>
  <c r="K53" i="26"/>
  <c r="H101" i="21"/>
  <c r="I101" i="21" s="1"/>
  <c r="C61" i="26" s="1"/>
  <c r="N99" i="21"/>
  <c r="O99" i="21"/>
  <c r="H100" i="21"/>
  <c r="I100" i="21" s="1"/>
  <c r="J100" i="21" s="1"/>
  <c r="K156" i="24"/>
  <c r="L99" i="34" s="1"/>
  <c r="L156" i="24"/>
  <c r="C164" i="24" s="1"/>
  <c r="Q93" i="34" l="1" a="1"/>
  <c r="Q93" i="34" s="1"/>
  <c r="P93" i="34" a="1"/>
  <c r="P93" i="34" s="1"/>
  <c r="R93" i="34" s="1" a="1"/>
  <c r="R93" i="34" s="1"/>
  <c r="P96" i="34" a="1"/>
  <c r="P96" i="34" s="1"/>
  <c r="R96" i="34" s="1" a="1"/>
  <c r="R96" i="34" s="1"/>
  <c r="Q96" i="34" a="1"/>
  <c r="Q96" i="34" s="1"/>
  <c r="Q95" i="34" a="1"/>
  <c r="Q95" i="34" s="1"/>
  <c r="P95" i="34" a="1"/>
  <c r="P95" i="34" s="1"/>
  <c r="R95" i="34" s="1" a="1"/>
  <c r="R95" i="34" s="1"/>
  <c r="Q94" i="34" a="1"/>
  <c r="Q94" i="34" s="1"/>
  <c r="P94" i="34" a="1"/>
  <c r="P94" i="34" s="1"/>
  <c r="R94" i="34" s="1" a="1"/>
  <c r="R94" i="34" s="1"/>
  <c r="L53" i="26"/>
  <c r="J87" i="34" s="1" a="1"/>
  <c r="J87" i="34" s="1"/>
  <c r="I87" i="34"/>
  <c r="C104" i="21"/>
  <c r="E104" i="21" s="1"/>
  <c r="S99" i="21"/>
  <c r="T99" i="21" s="1"/>
  <c r="K61" i="26"/>
  <c r="E61" i="26"/>
  <c r="J61" i="26" s="1"/>
  <c r="K60" i="26"/>
  <c r="E60" i="26"/>
  <c r="J60" i="26" s="1"/>
  <c r="K145" i="24"/>
  <c r="L145" i="24"/>
  <c r="C153" i="24" s="1"/>
  <c r="N87" i="21"/>
  <c r="O87" i="21"/>
  <c r="J98" i="21"/>
  <c r="J101" i="21"/>
  <c r="L98" i="21"/>
  <c r="Q98" i="21" s="1"/>
  <c r="D388" i="22" a="1"/>
  <c r="D388" i="22" s="1"/>
  <c r="F388" i="22" s="1"/>
  <c r="D387" i="22" a="1"/>
  <c r="D387" i="22" s="1"/>
  <c r="F387" i="22" s="1"/>
  <c r="D389" i="22" a="1"/>
  <c r="D389" i="22" s="1"/>
  <c r="F389" i="22" s="1"/>
  <c r="D386" i="22" a="1"/>
  <c r="D386" i="22" s="1"/>
  <c r="F386" i="22" s="1"/>
  <c r="C155" i="23" s="1"/>
  <c r="D155" i="24" s="1"/>
  <c r="L100" i="21"/>
  <c r="D396" i="22" a="1"/>
  <c r="D396" i="22" s="1"/>
  <c r="F396" i="22" s="1"/>
  <c r="D397" i="22" a="1"/>
  <c r="D397" i="22" s="1"/>
  <c r="F397" i="22" s="1"/>
  <c r="D395" i="22" a="1"/>
  <c r="D395" i="22" s="1"/>
  <c r="F395" i="22" s="1"/>
  <c r="D394" i="22" a="1"/>
  <c r="D394" i="22" s="1"/>
  <c r="F394" i="22" s="1"/>
  <c r="C157" i="23" s="1"/>
  <c r="D157" i="24" s="1"/>
  <c r="H104" i="21"/>
  <c r="I104" i="21" s="1"/>
  <c r="J104" i="21" s="1"/>
  <c r="D398" i="22" a="1"/>
  <c r="D398" i="22" s="1"/>
  <c r="F398" i="22" s="1"/>
  <c r="C158" i="23" s="1"/>
  <c r="D158" i="24" s="1"/>
  <c r="D399" i="22" a="1"/>
  <c r="D399" i="22" s="1"/>
  <c r="F399" i="22" s="1"/>
  <c r="D400" i="22" a="1"/>
  <c r="D400" i="22" s="1"/>
  <c r="F400" i="22" s="1"/>
  <c r="D401" i="22" a="1"/>
  <c r="D401" i="22" s="1"/>
  <c r="F401" i="22" s="1"/>
  <c r="L101" i="21"/>
  <c r="Q101" i="21" s="1"/>
  <c r="N87" i="34" l="1"/>
  <c r="M87" i="34"/>
  <c r="O87" i="34"/>
  <c r="H100" i="34"/>
  <c r="H98" i="34"/>
  <c r="I98" i="34"/>
  <c r="I100" i="34"/>
  <c r="H99" i="34"/>
  <c r="H101" i="34"/>
  <c r="I99" i="34"/>
  <c r="I101" i="34"/>
  <c r="C92" i="21"/>
  <c r="E92" i="21" s="1"/>
  <c r="S87" i="21"/>
  <c r="T87" i="21"/>
  <c r="L60" i="26"/>
  <c r="H92" i="21"/>
  <c r="I92" i="21" s="1"/>
  <c r="J92" i="21" s="1"/>
  <c r="L61" i="26"/>
  <c r="E158" i="24"/>
  <c r="F158" i="24" s="1"/>
  <c r="H158" i="24" s="1"/>
  <c r="I158" i="24" s="1"/>
  <c r="J158" i="24" s="1"/>
  <c r="M100" i="21"/>
  <c r="P100" i="21"/>
  <c r="E155" i="24"/>
  <c r="F155" i="24" s="1"/>
  <c r="H155" i="24" s="1"/>
  <c r="I155" i="24" s="1"/>
  <c r="J155" i="24" s="1"/>
  <c r="E157" i="24"/>
  <c r="F157" i="24" s="1"/>
  <c r="H157" i="24" s="1"/>
  <c r="I157" i="24" s="1"/>
  <c r="J157" i="24" s="1"/>
  <c r="M101" i="21"/>
  <c r="P101" i="21"/>
  <c r="L104" i="21"/>
  <c r="Q104" i="21" s="1"/>
  <c r="D410" i="22" a="1"/>
  <c r="D410" i="22" s="1"/>
  <c r="F410" i="22" s="1"/>
  <c r="C164" i="23" s="1"/>
  <c r="D164" i="24" s="1"/>
  <c r="D411" i="22" a="1"/>
  <c r="D411" i="22" s="1"/>
  <c r="F411" i="22" s="1"/>
  <c r="D412" i="22" a="1"/>
  <c r="D412" i="22" s="1"/>
  <c r="F412" i="22" s="1"/>
  <c r="D413" i="22" a="1"/>
  <c r="D413" i="22" s="1"/>
  <c r="F413" i="22" s="1"/>
  <c r="Q100" i="21"/>
  <c r="M98" i="21"/>
  <c r="P98" i="21"/>
  <c r="J101" i="34" l="1" a="1"/>
  <c r="J101" i="34" s="1"/>
  <c r="J99" i="34" a="1"/>
  <c r="J99" i="34" s="1"/>
  <c r="J98" i="34" a="1"/>
  <c r="J98" i="34" s="1"/>
  <c r="J100" i="34" a="1"/>
  <c r="J100" i="34" s="1"/>
  <c r="P87" i="34" a="1"/>
  <c r="P87" i="34" s="1"/>
  <c r="R87" i="34" s="1" a="1"/>
  <c r="R87" i="34" s="1"/>
  <c r="Q87" i="34" a="1"/>
  <c r="Q87" i="34" s="1"/>
  <c r="C56" i="26"/>
  <c r="D365" i="22" a="1"/>
  <c r="D365" i="22" s="1"/>
  <c r="F365" i="22" s="1"/>
  <c r="C153" i="23" s="1"/>
  <c r="D153" i="24" s="1"/>
  <c r="E153" i="24" s="1"/>
  <c r="F153" i="24" s="1"/>
  <c r="H153" i="24" s="1"/>
  <c r="I153" i="24" s="1"/>
  <c r="J153" i="24" s="1"/>
  <c r="D363" i="22" a="1"/>
  <c r="D363" i="22" s="1"/>
  <c r="F363" i="22" s="1"/>
  <c r="C151" i="23" s="1"/>
  <c r="D151" i="24" s="1"/>
  <c r="E151" i="24" s="1"/>
  <c r="D364" i="22" a="1"/>
  <c r="D364" i="22" s="1"/>
  <c r="F364" i="22" s="1"/>
  <c r="C152" i="23" s="1"/>
  <c r="D152" i="24" s="1"/>
  <c r="E152" i="24" s="1"/>
  <c r="F152" i="24" s="1"/>
  <c r="H152" i="24" s="1"/>
  <c r="I152" i="24" s="1"/>
  <c r="J152" i="24" s="1"/>
  <c r="L92" i="21"/>
  <c r="D362" i="22" a="1"/>
  <c r="D362" i="22" s="1"/>
  <c r="F362" i="22" s="1"/>
  <c r="C146" i="23" s="1"/>
  <c r="D146" i="24" s="1"/>
  <c r="E146" i="24" s="1"/>
  <c r="F146" i="24" s="1"/>
  <c r="H146" i="24" s="1"/>
  <c r="I146" i="24" s="1"/>
  <c r="J146" i="24" s="1"/>
  <c r="E164" i="24"/>
  <c r="F164" i="24" s="1"/>
  <c r="H164" i="24" s="1"/>
  <c r="I164" i="24" s="1"/>
  <c r="J164" i="24" s="1"/>
  <c r="O100" i="21"/>
  <c r="N100" i="21"/>
  <c r="K157" i="24"/>
  <c r="L100" i="34" s="1"/>
  <c r="L157" i="24"/>
  <c r="C165" i="24" s="1"/>
  <c r="O98" i="21"/>
  <c r="N98" i="21"/>
  <c r="L155" i="24"/>
  <c r="C163" i="24" s="1"/>
  <c r="K155" i="24"/>
  <c r="L98" i="34" s="1"/>
  <c r="M104" i="21"/>
  <c r="P104" i="21"/>
  <c r="N101" i="21"/>
  <c r="O101" i="21"/>
  <c r="K158" i="24"/>
  <c r="L101" i="34" s="1"/>
  <c r="L158" i="24"/>
  <c r="C166" i="24" s="1"/>
  <c r="O100" i="34" l="1"/>
  <c r="M100" i="34"/>
  <c r="N100" i="34"/>
  <c r="M101" i="34"/>
  <c r="N101" i="34" s="1"/>
  <c r="O101" i="34"/>
  <c r="O98" i="34"/>
  <c r="M98" i="34"/>
  <c r="N98" i="34" s="1"/>
  <c r="O99" i="34"/>
  <c r="M99" i="34"/>
  <c r="N99" i="34" s="1"/>
  <c r="C103" i="21"/>
  <c r="E103" i="21" s="1"/>
  <c r="S98" i="21"/>
  <c r="T98" i="21" s="1"/>
  <c r="T100" i="21"/>
  <c r="C105" i="21"/>
  <c r="E105" i="21" s="1"/>
  <c r="S100" i="21"/>
  <c r="C106" i="21"/>
  <c r="E106" i="21" s="1"/>
  <c r="J106" i="21" s="1"/>
  <c r="S101" i="21"/>
  <c r="T101" i="21"/>
  <c r="L152" i="24"/>
  <c r="C160" i="24" s="1"/>
  <c r="K152" i="24"/>
  <c r="K153" i="24"/>
  <c r="L153" i="24"/>
  <c r="C161" i="24" s="1"/>
  <c r="L146" i="24"/>
  <c r="C154" i="24" s="1"/>
  <c r="K146" i="24"/>
  <c r="L92" i="34" s="1"/>
  <c r="P92" i="21"/>
  <c r="M92" i="21"/>
  <c r="Q92" i="21"/>
  <c r="K56" i="26"/>
  <c r="I92" i="34" s="1"/>
  <c r="E56" i="26"/>
  <c r="J56" i="26" s="1"/>
  <c r="H92" i="34" s="1"/>
  <c r="L164" i="24"/>
  <c r="C172" i="24" s="1"/>
  <c r="K164" i="24"/>
  <c r="L104" i="34" s="1"/>
  <c r="H103" i="21"/>
  <c r="I103" i="21" s="1"/>
  <c r="C63" i="26" s="1"/>
  <c r="H106" i="21"/>
  <c r="I106" i="21" s="1"/>
  <c r="C64" i="26" s="1"/>
  <c r="H105" i="21"/>
  <c r="I105" i="21" s="1"/>
  <c r="N104" i="21"/>
  <c r="O104" i="21"/>
  <c r="Q100" i="34" l="1" a="1"/>
  <c r="Q100" i="34" s="1"/>
  <c r="P100" i="34" a="1"/>
  <c r="P100" i="34" s="1"/>
  <c r="R100" i="34" s="1" a="1"/>
  <c r="R100" i="34" s="1"/>
  <c r="P99" i="34" a="1"/>
  <c r="P99" i="34" s="1"/>
  <c r="R99" i="34" s="1" a="1"/>
  <c r="R99" i="34" s="1"/>
  <c r="Q99" i="34" a="1"/>
  <c r="Q99" i="34" s="1"/>
  <c r="P101" i="34" a="1"/>
  <c r="P101" i="34" s="1"/>
  <c r="R101" i="34" s="1" a="1"/>
  <c r="R101" i="34" s="1"/>
  <c r="Q101" i="34" a="1"/>
  <c r="Q101" i="34" s="1"/>
  <c r="Q98" i="34" a="1"/>
  <c r="Q98" i="34" s="1"/>
  <c r="P98" i="34" a="1"/>
  <c r="P98" i="34" s="1"/>
  <c r="R98" i="34" s="1" a="1"/>
  <c r="R98" i="34" s="1"/>
  <c r="C109" i="21"/>
  <c r="E109" i="21" s="1"/>
  <c r="S104" i="21"/>
  <c r="T104" i="21" s="1"/>
  <c r="L56" i="26"/>
  <c r="J92" i="34" s="1" a="1"/>
  <c r="J92" i="34" s="1"/>
  <c r="O92" i="34" s="1"/>
  <c r="O92" i="21"/>
  <c r="N92" i="21"/>
  <c r="E64" i="26"/>
  <c r="J64" i="26" s="1"/>
  <c r="K64" i="26"/>
  <c r="E63" i="26"/>
  <c r="J63" i="26" s="1"/>
  <c r="K63" i="26"/>
  <c r="H109" i="21"/>
  <c r="I109" i="21" s="1"/>
  <c r="J109" i="21"/>
  <c r="L105" i="21"/>
  <c r="Q105" i="21" s="1"/>
  <c r="D417" i="22" a="1"/>
  <c r="D417" i="22" s="1"/>
  <c r="F417" i="22" s="1"/>
  <c r="D414" i="22" a="1"/>
  <c r="D414" i="22" s="1"/>
  <c r="F414" i="22" s="1"/>
  <c r="C165" i="23" s="1"/>
  <c r="D165" i="24" s="1"/>
  <c r="D416" i="22" a="1"/>
  <c r="D416" i="22" s="1"/>
  <c r="F416" i="22" s="1"/>
  <c r="D415" i="22" a="1"/>
  <c r="D415" i="22" s="1"/>
  <c r="F415" i="22" s="1"/>
  <c r="J105" i="21"/>
  <c r="D418" i="22" a="1"/>
  <c r="D418" i="22" s="1"/>
  <c r="F418" i="22" s="1"/>
  <c r="C166" i="23" s="1"/>
  <c r="D166" i="24" s="1"/>
  <c r="D419" i="22" a="1"/>
  <c r="D419" i="22" s="1"/>
  <c r="F419" i="22" s="1"/>
  <c r="D420" i="22" a="1"/>
  <c r="D420" i="22" s="1"/>
  <c r="F420" i="22" s="1"/>
  <c r="D421" i="22" a="1"/>
  <c r="D421" i="22" s="1"/>
  <c r="F421" i="22" s="1"/>
  <c r="L106" i="21"/>
  <c r="Q106" i="21" s="1"/>
  <c r="L103" i="21"/>
  <c r="Q103" i="21" s="1"/>
  <c r="D408" i="22" a="1"/>
  <c r="D408" i="22" s="1"/>
  <c r="F408" i="22" s="1"/>
  <c r="D409" i="22" a="1"/>
  <c r="D409" i="22" s="1"/>
  <c r="F409" i="22" s="1"/>
  <c r="D406" i="22" a="1"/>
  <c r="D406" i="22" s="1"/>
  <c r="F406" i="22" s="1"/>
  <c r="C163" i="23" s="1"/>
  <c r="D163" i="24" s="1"/>
  <c r="D407" i="22" a="1"/>
  <c r="D407" i="22" s="1"/>
  <c r="F407" i="22" s="1"/>
  <c r="J103" i="21"/>
  <c r="Q92" i="34" l="1" a="1"/>
  <c r="Q92" i="34" s="1"/>
  <c r="P92" i="34" a="1"/>
  <c r="P92" i="34" s="1"/>
  <c r="R92" i="34" s="1" a="1"/>
  <c r="R92" i="34" s="1"/>
  <c r="L63" i="26"/>
  <c r="I103" i="34"/>
  <c r="I105" i="34"/>
  <c r="I104" i="34"/>
  <c r="I106" i="34"/>
  <c r="M92" i="34"/>
  <c r="N92" i="34" s="1"/>
  <c r="H104" i="34"/>
  <c r="H106" i="34"/>
  <c r="H103" i="34"/>
  <c r="H105" i="34"/>
  <c r="C97" i="21"/>
  <c r="E97" i="21" s="1"/>
  <c r="S92" i="21"/>
  <c r="T92" i="21" s="1"/>
  <c r="L64" i="26"/>
  <c r="H97" i="21"/>
  <c r="I97" i="21" s="1"/>
  <c r="J97" i="21" s="1"/>
  <c r="M106" i="21"/>
  <c r="P106" i="21"/>
  <c r="M105" i="21"/>
  <c r="P105" i="21"/>
  <c r="D432" i="22" a="1"/>
  <c r="D432" i="22" s="1"/>
  <c r="F432" i="22" s="1"/>
  <c r="D433" i="22" a="1"/>
  <c r="D433" i="22" s="1"/>
  <c r="F433" i="22" s="1"/>
  <c r="D430" i="22" a="1"/>
  <c r="D430" i="22" s="1"/>
  <c r="F430" i="22" s="1"/>
  <c r="C172" i="23" s="1"/>
  <c r="D172" i="24" s="1"/>
  <c r="D431" i="22" a="1"/>
  <c r="D431" i="22" s="1"/>
  <c r="F431" i="22" s="1"/>
  <c r="L109" i="21"/>
  <c r="E165" i="24"/>
  <c r="F165" i="24" s="1"/>
  <c r="H165" i="24" s="1"/>
  <c r="I165" i="24" s="1"/>
  <c r="J165" i="24" s="1"/>
  <c r="E163" i="24"/>
  <c r="F163" i="24" s="1"/>
  <c r="H163" i="24" s="1"/>
  <c r="I163" i="24" s="1"/>
  <c r="J163" i="24" s="1"/>
  <c r="M103" i="21"/>
  <c r="P103" i="21"/>
  <c r="E166" i="24"/>
  <c r="F166" i="24" s="1"/>
  <c r="H166" i="24" s="1"/>
  <c r="I166" i="24" s="1"/>
  <c r="J166" i="24" s="1"/>
  <c r="J104" i="34" l="1" a="1"/>
  <c r="J104" i="34" s="1"/>
  <c r="J106" i="34" a="1"/>
  <c r="J106" i="34" s="1"/>
  <c r="J103" i="34" a="1"/>
  <c r="J103" i="34" s="1"/>
  <c r="J105" i="34" a="1"/>
  <c r="J105" i="34" s="1"/>
  <c r="C59" i="26"/>
  <c r="D382" i="22" a="1"/>
  <c r="D382" i="22" s="1"/>
  <c r="F382" i="22" s="1"/>
  <c r="C154" i="23" s="1"/>
  <c r="D154" i="24" s="1"/>
  <c r="E154" i="24" s="1"/>
  <c r="F154" i="24" s="1"/>
  <c r="H154" i="24" s="1"/>
  <c r="I154" i="24" s="1"/>
  <c r="J154" i="24" s="1"/>
  <c r="D383" i="22" a="1"/>
  <c r="D383" i="22" s="1"/>
  <c r="F383" i="22" s="1"/>
  <c r="C159" i="23" s="1"/>
  <c r="D159" i="24" s="1"/>
  <c r="E159" i="24" s="1"/>
  <c r="D384" i="22" a="1"/>
  <c r="D384" i="22" s="1"/>
  <c r="F384" i="22" s="1"/>
  <c r="C160" i="23" s="1"/>
  <c r="D160" i="24" s="1"/>
  <c r="E160" i="24" s="1"/>
  <c r="F160" i="24" s="1"/>
  <c r="H160" i="24" s="1"/>
  <c r="I160" i="24" s="1"/>
  <c r="J160" i="24" s="1"/>
  <c r="D385" i="22" a="1"/>
  <c r="D385" i="22" s="1"/>
  <c r="F385" i="22" s="1"/>
  <c r="C161" i="23" s="1"/>
  <c r="D161" i="24" s="1"/>
  <c r="E161" i="24" s="1"/>
  <c r="F161" i="24" s="1"/>
  <c r="H161" i="24" s="1"/>
  <c r="I161" i="24" s="1"/>
  <c r="J161" i="24" s="1"/>
  <c r="L97" i="21"/>
  <c r="N103" i="21"/>
  <c r="O103" i="21"/>
  <c r="L163" i="24"/>
  <c r="C171" i="24" s="1"/>
  <c r="K163" i="24"/>
  <c r="L103" i="34" s="1"/>
  <c r="N105" i="21"/>
  <c r="O105" i="21"/>
  <c r="K165" i="24"/>
  <c r="L105" i="34" s="1"/>
  <c r="L165" i="24"/>
  <c r="C173" i="24" s="1"/>
  <c r="N106" i="21"/>
  <c r="O106" i="21"/>
  <c r="K166" i="24"/>
  <c r="L106" i="34" s="1"/>
  <c r="L166" i="24"/>
  <c r="C174" i="24" s="1"/>
  <c r="M109" i="21"/>
  <c r="P109" i="21"/>
  <c r="Q109" i="21"/>
  <c r="E172" i="24"/>
  <c r="F172" i="24" s="1"/>
  <c r="H172" i="24" s="1"/>
  <c r="I172" i="24" s="1"/>
  <c r="J172" i="24" s="1"/>
  <c r="M103" i="34" l="1"/>
  <c r="N103" i="34" s="1"/>
  <c r="O103" i="34"/>
  <c r="O106" i="34"/>
  <c r="M106" i="34"/>
  <c r="N106" i="34" s="1"/>
  <c r="O105" i="34"/>
  <c r="M105" i="34"/>
  <c r="N105" i="34" s="1"/>
  <c r="O104" i="34"/>
  <c r="M104" i="34"/>
  <c r="N104" i="34" s="1"/>
  <c r="C110" i="21"/>
  <c r="E110" i="21" s="1"/>
  <c r="S105" i="21"/>
  <c r="T105" i="21" s="1"/>
  <c r="C111" i="21"/>
  <c r="E111" i="21" s="1"/>
  <c r="S106" i="21"/>
  <c r="T106" i="21"/>
  <c r="C108" i="21"/>
  <c r="E108" i="21" s="1"/>
  <c r="S103" i="21"/>
  <c r="T103" i="21"/>
  <c r="L160" i="24"/>
  <c r="C168" i="24" s="1"/>
  <c r="K160" i="24"/>
  <c r="Q97" i="21"/>
  <c r="P97" i="21"/>
  <c r="M97" i="21"/>
  <c r="L154" i="24"/>
  <c r="C162" i="24" s="1"/>
  <c r="K154" i="24"/>
  <c r="L97" i="34" s="1"/>
  <c r="L161" i="24"/>
  <c r="C169" i="24" s="1"/>
  <c r="K161" i="24"/>
  <c r="K59" i="26"/>
  <c r="I97" i="34" s="1"/>
  <c r="E59" i="26"/>
  <c r="J59" i="26" s="1"/>
  <c r="H97" i="34" s="1"/>
  <c r="K172" i="24"/>
  <c r="L109" i="34" s="1"/>
  <c r="L172" i="24"/>
  <c r="C180" i="24" s="1"/>
  <c r="H110" i="21"/>
  <c r="I110" i="21" s="1"/>
  <c r="H108" i="21"/>
  <c r="I108" i="21" s="1"/>
  <c r="C66" i="26" s="1"/>
  <c r="H111" i="21"/>
  <c r="I111" i="21" s="1"/>
  <c r="C67" i="26" s="1"/>
  <c r="N109" i="21"/>
  <c r="O109" i="21"/>
  <c r="Q105" i="34" l="1" a="1"/>
  <c r="Q105" i="34" s="1"/>
  <c r="P105" i="34" a="1"/>
  <c r="P105" i="34" s="1"/>
  <c r="R105" i="34" s="1" a="1"/>
  <c r="R105" i="34" s="1"/>
  <c r="Q106" i="34" a="1"/>
  <c r="Q106" i="34" s="1"/>
  <c r="P106" i="34" a="1"/>
  <c r="P106" i="34" s="1"/>
  <c r="R106" i="34" s="1" a="1"/>
  <c r="R106" i="34" s="1"/>
  <c r="Q104" i="34" a="1"/>
  <c r="Q104" i="34" s="1"/>
  <c r="P104" i="34" a="1"/>
  <c r="P104" i="34" s="1"/>
  <c r="R104" i="34" s="1" a="1"/>
  <c r="R104" i="34" s="1"/>
  <c r="Q103" i="34" a="1"/>
  <c r="Q103" i="34" s="1"/>
  <c r="P103" i="34" a="1"/>
  <c r="P103" i="34" s="1"/>
  <c r="R103" i="34" s="1" a="1"/>
  <c r="R103" i="34" s="1"/>
  <c r="C114" i="21"/>
  <c r="E114" i="21" s="1"/>
  <c r="S109" i="21"/>
  <c r="T109" i="21" s="1"/>
  <c r="J108" i="21"/>
  <c r="J111" i="21"/>
  <c r="L59" i="26"/>
  <c r="J97" i="34" s="1" a="1"/>
  <c r="J97" i="34" s="1"/>
  <c r="O97" i="34" s="1"/>
  <c r="E67" i="26"/>
  <c r="J67" i="26" s="1"/>
  <c r="K67" i="26"/>
  <c r="N97" i="21"/>
  <c r="O97" i="21"/>
  <c r="E66" i="26"/>
  <c r="J66" i="26" s="1"/>
  <c r="K66" i="26"/>
  <c r="L110" i="21"/>
  <c r="Q110" i="21" s="1"/>
  <c r="D434" i="22" a="1"/>
  <c r="D434" i="22" s="1"/>
  <c r="F434" i="22" s="1"/>
  <c r="C173" i="23" s="1"/>
  <c r="D173" i="24" s="1"/>
  <c r="D436" i="22" a="1"/>
  <c r="D436" i="22" s="1"/>
  <c r="F436" i="22" s="1"/>
  <c r="D435" i="22" a="1"/>
  <c r="D435" i="22" s="1"/>
  <c r="F435" i="22" s="1"/>
  <c r="D437" i="22" a="1"/>
  <c r="D437" i="22" s="1"/>
  <c r="F437" i="22" s="1"/>
  <c r="H114" i="21"/>
  <c r="I114" i="21" s="1"/>
  <c r="D439" i="22" a="1"/>
  <c r="D439" i="22" s="1"/>
  <c r="F439" i="22" s="1"/>
  <c r="D440" i="22" a="1"/>
  <c r="D440" i="22" s="1"/>
  <c r="F440" i="22" s="1"/>
  <c r="D438" i="22" a="1"/>
  <c r="D438" i="22" s="1"/>
  <c r="F438" i="22" s="1"/>
  <c r="C174" i="23" s="1"/>
  <c r="D174" i="24" s="1"/>
  <c r="D441" i="22" a="1"/>
  <c r="D441" i="22" s="1"/>
  <c r="F441" i="22" s="1"/>
  <c r="L111" i="21"/>
  <c r="D426" i="22" a="1"/>
  <c r="D426" i="22" s="1"/>
  <c r="F426" i="22" s="1"/>
  <c r="C171" i="23" s="1"/>
  <c r="D171" i="24" s="1"/>
  <c r="D428" i="22" a="1"/>
  <c r="D428" i="22" s="1"/>
  <c r="F428" i="22" s="1"/>
  <c r="D429" i="22" a="1"/>
  <c r="D429" i="22" s="1"/>
  <c r="F429" i="22" s="1"/>
  <c r="D427" i="22" a="1"/>
  <c r="D427" i="22" s="1"/>
  <c r="F427" i="22" s="1"/>
  <c r="L108" i="21"/>
  <c r="Q108" i="21" s="1"/>
  <c r="J110" i="21"/>
  <c r="Q97" i="34" l="1" a="1"/>
  <c r="Q97" i="34" s="1"/>
  <c r="P97" i="34" a="1"/>
  <c r="P97" i="34" s="1"/>
  <c r="R97" i="34" s="1" a="1"/>
  <c r="R97" i="34" s="1"/>
  <c r="H108" i="34"/>
  <c r="H110" i="34"/>
  <c r="H111" i="34"/>
  <c r="H109" i="34"/>
  <c r="M97" i="34"/>
  <c r="N97" i="34" s="1"/>
  <c r="I109" i="34"/>
  <c r="I111" i="34"/>
  <c r="L66" i="26"/>
  <c r="I108" i="34"/>
  <c r="I110" i="34"/>
  <c r="C102" i="21"/>
  <c r="E102" i="21" s="1"/>
  <c r="S97" i="21"/>
  <c r="T97" i="21"/>
  <c r="H102" i="21"/>
  <c r="I102" i="21" s="1"/>
  <c r="J102" i="21"/>
  <c r="J114" i="21"/>
  <c r="L67" i="26"/>
  <c r="M108" i="21"/>
  <c r="P108" i="21"/>
  <c r="D451" i="22" a="1"/>
  <c r="D451" i="22" s="1"/>
  <c r="F451" i="22" s="1"/>
  <c r="D452" i="22" a="1"/>
  <c r="D452" i="22" s="1"/>
  <c r="F452" i="22" s="1"/>
  <c r="D453" i="22" a="1"/>
  <c r="D453" i="22" s="1"/>
  <c r="F453" i="22" s="1"/>
  <c r="D450" i="22" a="1"/>
  <c r="D450" i="22" s="1"/>
  <c r="F450" i="22" s="1"/>
  <c r="C180" i="23" s="1"/>
  <c r="D180" i="24" s="1"/>
  <c r="L114" i="21"/>
  <c r="Q114" i="21" s="1"/>
  <c r="E171" i="24"/>
  <c r="F171" i="24" s="1"/>
  <c r="H171" i="24" s="1"/>
  <c r="I171" i="24" s="1"/>
  <c r="J171" i="24" s="1"/>
  <c r="M111" i="21"/>
  <c r="P111" i="21"/>
  <c r="Q111" i="21"/>
  <c r="E173" i="24"/>
  <c r="F173" i="24" s="1"/>
  <c r="H173" i="24" s="1"/>
  <c r="I173" i="24" s="1"/>
  <c r="J173" i="24" s="1"/>
  <c r="E174" i="24"/>
  <c r="F174" i="24" s="1"/>
  <c r="H174" i="24" s="1"/>
  <c r="I174" i="24" s="1"/>
  <c r="J174" i="24" s="1"/>
  <c r="M110" i="21"/>
  <c r="P110" i="21"/>
  <c r="J110" i="34" l="1" a="1"/>
  <c r="J110" i="34" s="1"/>
  <c r="J108" i="34" a="1"/>
  <c r="J108" i="34" s="1"/>
  <c r="J109" i="34" a="1"/>
  <c r="J109" i="34" s="1"/>
  <c r="J111" i="34" a="1"/>
  <c r="J111" i="34" s="1"/>
  <c r="C62" i="26"/>
  <c r="D404" i="22" a="1"/>
  <c r="D404" i="22" s="1"/>
  <c r="F404" i="22" s="1"/>
  <c r="C168" i="23" s="1"/>
  <c r="D168" i="24" s="1"/>
  <c r="D402" i="22" a="1"/>
  <c r="D402" i="22" s="1"/>
  <c r="F402" i="22" s="1"/>
  <c r="C162" i="23" s="1"/>
  <c r="D162" i="24" s="1"/>
  <c r="E162" i="24" s="1"/>
  <c r="F162" i="24" s="1"/>
  <c r="H162" i="24" s="1"/>
  <c r="I162" i="24" s="1"/>
  <c r="J162" i="24" s="1"/>
  <c r="L102" i="21"/>
  <c r="D403" i="22" a="1"/>
  <c r="D403" i="22" s="1"/>
  <c r="F403" i="22" s="1"/>
  <c r="C167" i="23" s="1"/>
  <c r="D167" i="24" s="1"/>
  <c r="E167" i="24" s="1"/>
  <c r="D405" i="22" a="1"/>
  <c r="D405" i="22" s="1"/>
  <c r="F405" i="22" s="1"/>
  <c r="C169" i="23" s="1"/>
  <c r="D169" i="24" s="1"/>
  <c r="E169" i="24" s="1"/>
  <c r="F169" i="24" s="1"/>
  <c r="H169" i="24" s="1"/>
  <c r="I169" i="24" s="1"/>
  <c r="J169" i="24" s="1"/>
  <c r="Q102" i="21"/>
  <c r="K174" i="24"/>
  <c r="L111" i="34" s="1"/>
  <c r="L174" i="24"/>
  <c r="C182" i="24" s="1"/>
  <c r="K171" i="24"/>
  <c r="L108" i="34" s="1"/>
  <c r="L171" i="24"/>
  <c r="C179" i="24" s="1"/>
  <c r="N111" i="21"/>
  <c r="O111" i="21"/>
  <c r="E180" i="24"/>
  <c r="F180" i="24" s="1"/>
  <c r="H180" i="24" s="1"/>
  <c r="I180" i="24" s="1"/>
  <c r="J180" i="24" s="1"/>
  <c r="M114" i="21"/>
  <c r="P114" i="21"/>
  <c r="N110" i="21"/>
  <c r="O110" i="21"/>
  <c r="K173" i="24"/>
  <c r="L110" i="34" s="1"/>
  <c r="L173" i="24"/>
  <c r="C181" i="24" s="1"/>
  <c r="N108" i="21"/>
  <c r="O108" i="21"/>
  <c r="O110" i="34" l="1"/>
  <c r="M110" i="34"/>
  <c r="N110" i="34" s="1"/>
  <c r="M111" i="34"/>
  <c r="N111" i="34" s="1"/>
  <c r="O111" i="34"/>
  <c r="O109" i="34"/>
  <c r="M109" i="34"/>
  <c r="N109" i="34" s="1"/>
  <c r="O108" i="34"/>
  <c r="M108" i="34"/>
  <c r="N108" i="34" s="1"/>
  <c r="T111" i="21"/>
  <c r="C116" i="21"/>
  <c r="E116" i="21" s="1"/>
  <c r="S111" i="21"/>
  <c r="C113" i="21"/>
  <c r="E113" i="21" s="1"/>
  <c r="S108" i="21"/>
  <c r="T108" i="21" s="1"/>
  <c r="C115" i="21"/>
  <c r="E115" i="21" s="1"/>
  <c r="S110" i="21"/>
  <c r="T110" i="21"/>
  <c r="P102" i="21"/>
  <c r="M102" i="21"/>
  <c r="L162" i="24"/>
  <c r="C170" i="24" s="1"/>
  <c r="K162" i="24"/>
  <c r="L102" i="34" s="1"/>
  <c r="E168" i="24"/>
  <c r="F168" i="24" s="1"/>
  <c r="H168" i="24" s="1"/>
  <c r="I168" i="24" s="1"/>
  <c r="J168" i="24" s="1"/>
  <c r="L169" i="24"/>
  <c r="C177" i="24" s="1"/>
  <c r="K169" i="24"/>
  <c r="E62" i="26"/>
  <c r="J62" i="26" s="1"/>
  <c r="H102" i="34" s="1"/>
  <c r="K62" i="26"/>
  <c r="O114" i="21"/>
  <c r="N114" i="21"/>
  <c r="K180" i="24"/>
  <c r="L114" i="34" s="1"/>
  <c r="L180" i="24"/>
  <c r="C188" i="24" s="1"/>
  <c r="H115" i="21"/>
  <c r="I115" i="21" s="1"/>
  <c r="J115" i="21" s="1"/>
  <c r="H113" i="21"/>
  <c r="I113" i="21" s="1"/>
  <c r="C69" i="26" s="1"/>
  <c r="P108" i="34" l="1" a="1"/>
  <c r="P108" i="34" s="1"/>
  <c r="R108" i="34" s="1" a="1"/>
  <c r="R108" i="34" s="1"/>
  <c r="Q108" i="34" a="1"/>
  <c r="Q108" i="34" s="1"/>
  <c r="L62" i="26"/>
  <c r="J102" i="34" s="1" a="1"/>
  <c r="J102" i="34" s="1"/>
  <c r="I102" i="34"/>
  <c r="Q111" i="34" a="1"/>
  <c r="Q111" i="34" s="1"/>
  <c r="P111" i="34" a="1"/>
  <c r="P111" i="34" s="1"/>
  <c r="R111" i="34" s="1" a="1"/>
  <c r="R111" i="34" s="1"/>
  <c r="Q109" i="34" a="1"/>
  <c r="Q109" i="34" s="1"/>
  <c r="P109" i="34" a="1"/>
  <c r="P109" i="34" s="1"/>
  <c r="R109" i="34" s="1" a="1"/>
  <c r="R109" i="34" s="1"/>
  <c r="P110" i="34" a="1"/>
  <c r="P110" i="34" s="1"/>
  <c r="R110" i="34" s="1" a="1"/>
  <c r="R110" i="34" s="1"/>
  <c r="Q110" i="34" a="1"/>
  <c r="Q110" i="34" s="1"/>
  <c r="H116" i="21"/>
  <c r="I116" i="21" s="1"/>
  <c r="C70" i="26" s="1"/>
  <c r="K70" i="26" s="1"/>
  <c r="C119" i="21"/>
  <c r="E119" i="21" s="1"/>
  <c r="S114" i="21"/>
  <c r="T114" i="21" s="1"/>
  <c r="K69" i="26"/>
  <c r="E69" i="26"/>
  <c r="J69" i="26" s="1"/>
  <c r="L168" i="24"/>
  <c r="C176" i="24" s="1"/>
  <c r="K168" i="24"/>
  <c r="N102" i="21"/>
  <c r="O102" i="21"/>
  <c r="J113" i="21"/>
  <c r="L113" i="21"/>
  <c r="Q113" i="21" s="1"/>
  <c r="D446" i="22" a="1"/>
  <c r="D446" i="22" s="1"/>
  <c r="F446" i="22" s="1"/>
  <c r="C179" i="23" s="1"/>
  <c r="D179" i="24" s="1"/>
  <c r="D447" i="22" a="1"/>
  <c r="D447" i="22" s="1"/>
  <c r="F447" i="22" s="1"/>
  <c r="D448" i="22" a="1"/>
  <c r="D448" i="22" s="1"/>
  <c r="F448" i="22" s="1"/>
  <c r="D449" i="22" a="1"/>
  <c r="D449" i="22" s="1"/>
  <c r="F449" i="22" s="1"/>
  <c r="L115" i="21"/>
  <c r="D454" i="22" a="1"/>
  <c r="D454" i="22" s="1"/>
  <c r="F454" i="22" s="1"/>
  <c r="C181" i="23" s="1"/>
  <c r="D181" i="24" s="1"/>
  <c r="D455" i="22" a="1"/>
  <c r="D455" i="22" s="1"/>
  <c r="F455" i="22" s="1"/>
  <c r="D456" i="22" a="1"/>
  <c r="D456" i="22" s="1"/>
  <c r="F456" i="22" s="1"/>
  <c r="D457" i="22" a="1"/>
  <c r="D457" i="22" s="1"/>
  <c r="F457" i="22" s="1"/>
  <c r="D458" i="22" a="1"/>
  <c r="D458" i="22" s="1"/>
  <c r="F458" i="22" s="1"/>
  <c r="C182" i="23" s="1"/>
  <c r="D182" i="24" s="1"/>
  <c r="D460" i="22" a="1"/>
  <c r="D460" i="22" s="1"/>
  <c r="F460" i="22" s="1"/>
  <c r="D459" i="22" a="1"/>
  <c r="D459" i="22" s="1"/>
  <c r="F459" i="22" s="1"/>
  <c r="L116" i="21"/>
  <c r="H119" i="21"/>
  <c r="I119" i="21" s="1"/>
  <c r="N102" i="34" l="1"/>
  <c r="O102" i="34"/>
  <c r="I113" i="34"/>
  <c r="I115" i="34"/>
  <c r="M102" i="34"/>
  <c r="H113" i="34"/>
  <c r="H115" i="34"/>
  <c r="I116" i="34"/>
  <c r="I114" i="34"/>
  <c r="E70" i="26"/>
  <c r="J70" i="26" s="1"/>
  <c r="D461" i="22" a="1"/>
  <c r="D461" i="22" s="1"/>
  <c r="F461" i="22" s="1"/>
  <c r="C107" i="21"/>
  <c r="E107" i="21" s="1"/>
  <c r="H107" i="21" s="1"/>
  <c r="I107" i="21" s="1"/>
  <c r="J107" i="21" s="1"/>
  <c r="S102" i="21"/>
  <c r="T102" i="21" s="1"/>
  <c r="J116" i="21"/>
  <c r="L69" i="26"/>
  <c r="E181" i="24"/>
  <c r="F181" i="24" s="1"/>
  <c r="H181" i="24" s="1"/>
  <c r="I181" i="24" s="1"/>
  <c r="J181" i="24" s="1"/>
  <c r="M115" i="21"/>
  <c r="P115" i="21"/>
  <c r="E182" i="24"/>
  <c r="F182" i="24" s="1"/>
  <c r="H182" i="24" s="1"/>
  <c r="I182" i="24" s="1"/>
  <c r="J182" i="24" s="1"/>
  <c r="M113" i="21"/>
  <c r="P113" i="21"/>
  <c r="M116" i="21"/>
  <c r="P116" i="21"/>
  <c r="Q116" i="21"/>
  <c r="L119" i="21"/>
  <c r="Q119" i="21" s="1"/>
  <c r="D470" i="22" a="1"/>
  <c r="D470" i="22" s="1"/>
  <c r="F470" i="22" s="1"/>
  <c r="C188" i="23" s="1"/>
  <c r="D188" i="24" s="1"/>
  <c r="D473" i="22" a="1"/>
  <c r="D473" i="22" s="1"/>
  <c r="F473" i="22" s="1"/>
  <c r="D471" i="22" a="1"/>
  <c r="D471" i="22" s="1"/>
  <c r="F471" i="22" s="1"/>
  <c r="D472" i="22" a="1"/>
  <c r="D472" i="22" s="1"/>
  <c r="F472" i="22" s="1"/>
  <c r="E179" i="24"/>
  <c r="F179" i="24" s="1"/>
  <c r="H179" i="24" s="1"/>
  <c r="I179" i="24" s="1"/>
  <c r="J179" i="24" s="1"/>
  <c r="J119" i="21"/>
  <c r="Q115" i="21"/>
  <c r="H116" i="34" l="1"/>
  <c r="H114" i="34"/>
  <c r="J113" i="34" a="1"/>
  <c r="J113" i="34" s="1"/>
  <c r="J115" i="34" a="1"/>
  <c r="J115" i="34" s="1"/>
  <c r="P102" i="34" a="1"/>
  <c r="P102" i="34" s="1"/>
  <c r="R102" i="34" s="1" a="1"/>
  <c r="R102" i="34" s="1"/>
  <c r="Q102" i="34" a="1"/>
  <c r="Q102" i="34" s="1"/>
  <c r="L70" i="26"/>
  <c r="C65" i="26"/>
  <c r="D423" i="22" a="1"/>
  <c r="D423" i="22" s="1"/>
  <c r="F423" i="22" s="1"/>
  <c r="C175" i="23" s="1"/>
  <c r="D175" i="24" s="1"/>
  <c r="E175" i="24" s="1"/>
  <c r="L107" i="21"/>
  <c r="D425" i="22" a="1"/>
  <c r="D425" i="22" s="1"/>
  <c r="F425" i="22" s="1"/>
  <c r="C177" i="23" s="1"/>
  <c r="D177" i="24" s="1"/>
  <c r="E177" i="24" s="1"/>
  <c r="F177" i="24" s="1"/>
  <c r="H177" i="24" s="1"/>
  <c r="I177" i="24" s="1"/>
  <c r="J177" i="24" s="1"/>
  <c r="D422" i="22" a="1"/>
  <c r="D422" i="22" s="1"/>
  <c r="F422" i="22" s="1"/>
  <c r="C170" i="23" s="1"/>
  <c r="D170" i="24" s="1"/>
  <c r="D424" i="22" a="1"/>
  <c r="D424" i="22" s="1"/>
  <c r="F424" i="22" s="1"/>
  <c r="C176" i="23" s="1"/>
  <c r="D176" i="24" s="1"/>
  <c r="E176" i="24" s="1"/>
  <c r="F176" i="24" s="1"/>
  <c r="H176" i="24" s="1"/>
  <c r="I176" i="24" s="1"/>
  <c r="J176" i="24" s="1"/>
  <c r="Q107" i="21"/>
  <c r="O113" i="21"/>
  <c r="N113" i="21"/>
  <c r="E188" i="24"/>
  <c r="F188" i="24" s="1"/>
  <c r="H188" i="24" s="1"/>
  <c r="I188" i="24" s="1"/>
  <c r="J188" i="24" s="1"/>
  <c r="M119" i="21"/>
  <c r="P119" i="21"/>
  <c r="L179" i="24"/>
  <c r="C187" i="24" s="1"/>
  <c r="K179" i="24"/>
  <c r="L113" i="34" s="1"/>
  <c r="L182" i="24"/>
  <c r="C190" i="24" s="1"/>
  <c r="K182" i="24"/>
  <c r="L116" i="34" s="1"/>
  <c r="N115" i="21"/>
  <c r="O115" i="21"/>
  <c r="L181" i="24"/>
  <c r="C189" i="24" s="1"/>
  <c r="K181" i="24"/>
  <c r="L115" i="34" s="1"/>
  <c r="O116" i="21"/>
  <c r="N116" i="21"/>
  <c r="J116" i="34" l="1" a="1"/>
  <c r="J116" i="34" s="1"/>
  <c r="O116" i="34" s="1"/>
  <c r="J114" i="34" a="1"/>
  <c r="J114" i="34" s="1"/>
  <c r="O113" i="34"/>
  <c r="M113" i="34"/>
  <c r="N113" i="34" s="1"/>
  <c r="M115" i="34"/>
  <c r="N115" i="34" s="1"/>
  <c r="O115" i="34"/>
  <c r="C121" i="21"/>
  <c r="E121" i="21" s="1"/>
  <c r="S116" i="21"/>
  <c r="T116" i="21" s="1"/>
  <c r="C120" i="21"/>
  <c r="E120" i="21" s="1"/>
  <c r="H120" i="21" s="1"/>
  <c r="I120" i="21" s="1"/>
  <c r="J120" i="21" s="1"/>
  <c r="S115" i="21"/>
  <c r="T115" i="21"/>
  <c r="C118" i="21"/>
  <c r="E118" i="21" s="1"/>
  <c r="H118" i="21" s="1"/>
  <c r="I118" i="21" s="1"/>
  <c r="C72" i="26" s="1"/>
  <c r="S113" i="21"/>
  <c r="T113" i="21" s="1"/>
  <c r="K176" i="24"/>
  <c r="L176" i="24"/>
  <c r="C184" i="24" s="1"/>
  <c r="L177" i="24"/>
  <c r="C185" i="24" s="1"/>
  <c r="K177" i="24"/>
  <c r="E65" i="26"/>
  <c r="J65" i="26" s="1"/>
  <c r="H107" i="34" s="1"/>
  <c r="K65" i="26"/>
  <c r="E170" i="24"/>
  <c r="F170" i="24" s="1"/>
  <c r="H170" i="24" s="1"/>
  <c r="I170" i="24" s="1"/>
  <c r="J170" i="24" s="1"/>
  <c r="P107" i="21"/>
  <c r="M107" i="21"/>
  <c r="L188" i="24"/>
  <c r="C196" i="24" s="1"/>
  <c r="K188" i="24"/>
  <c r="L119" i="34" s="1"/>
  <c r="H121" i="21"/>
  <c r="I121" i="21" s="1"/>
  <c r="N119" i="21"/>
  <c r="O119" i="21"/>
  <c r="Q116" i="34" l="1" a="1"/>
  <c r="Q116" i="34" s="1"/>
  <c r="P116" i="34" a="1"/>
  <c r="P116" i="34" s="1"/>
  <c r="R116" i="34" s="1" a="1"/>
  <c r="R116" i="34" s="1"/>
  <c r="M116" i="34"/>
  <c r="L65" i="26"/>
  <c r="J107" i="34" s="1" a="1"/>
  <c r="J107" i="34" s="1"/>
  <c r="I107" i="34"/>
  <c r="P113" i="34" a="1"/>
  <c r="P113" i="34" s="1"/>
  <c r="R113" i="34" s="1" a="1"/>
  <c r="R113" i="34" s="1"/>
  <c r="Q113" i="34" a="1"/>
  <c r="Q113" i="34" s="1"/>
  <c r="M114" i="34"/>
  <c r="O114" i="34"/>
  <c r="N114" i="34"/>
  <c r="N116" i="34"/>
  <c r="P115" i="34" a="1"/>
  <c r="P115" i="34" s="1"/>
  <c r="R115" i="34" s="1" a="1"/>
  <c r="R115" i="34" s="1"/>
  <c r="Q115" i="34" a="1"/>
  <c r="Q115" i="34" s="1"/>
  <c r="C124" i="21"/>
  <c r="E124" i="21" s="1"/>
  <c r="S119" i="21"/>
  <c r="T119" i="21"/>
  <c r="J118" i="21"/>
  <c r="K170" i="24"/>
  <c r="L107" i="34" s="1"/>
  <c r="L170" i="24"/>
  <c r="C178" i="24" s="1"/>
  <c r="K72" i="26"/>
  <c r="E72" i="26"/>
  <c r="J72" i="26" s="1"/>
  <c r="N107" i="21"/>
  <c r="O107" i="21"/>
  <c r="J121" i="21"/>
  <c r="C73" i="26"/>
  <c r="L118" i="21"/>
  <c r="Q118" i="21" s="1"/>
  <c r="D469" i="22" a="1"/>
  <c r="D469" i="22" s="1"/>
  <c r="F469" i="22" s="1"/>
  <c r="D466" i="22" a="1"/>
  <c r="D466" i="22" s="1"/>
  <c r="F466" i="22" s="1"/>
  <c r="C187" i="23" s="1"/>
  <c r="D187" i="24" s="1"/>
  <c r="D468" i="22" a="1"/>
  <c r="D468" i="22" s="1"/>
  <c r="F468" i="22" s="1"/>
  <c r="D467" i="22" a="1"/>
  <c r="D467" i="22" s="1"/>
  <c r="F467" i="22" s="1"/>
  <c r="D478" i="22" a="1"/>
  <c r="D478" i="22" s="1"/>
  <c r="F478" i="22" s="1"/>
  <c r="C190" i="23" s="1"/>
  <c r="D190" i="24" s="1"/>
  <c r="D479" i="22" a="1"/>
  <c r="D479" i="22" s="1"/>
  <c r="F479" i="22" s="1"/>
  <c r="D480" i="22" a="1"/>
  <c r="D480" i="22" s="1"/>
  <c r="F480" i="22" s="1"/>
  <c r="D481" i="22" a="1"/>
  <c r="D481" i="22" s="1"/>
  <c r="F481" i="22" s="1"/>
  <c r="L121" i="21"/>
  <c r="Q121" i="21" s="1"/>
  <c r="H124" i="21"/>
  <c r="I124" i="21" s="1"/>
  <c r="L120" i="21"/>
  <c r="D476" i="22" a="1"/>
  <c r="D476" i="22" s="1"/>
  <c r="F476" i="22" s="1"/>
  <c r="D477" i="22" a="1"/>
  <c r="D477" i="22" s="1"/>
  <c r="F477" i="22" s="1"/>
  <c r="D474" i="22" a="1"/>
  <c r="D474" i="22" s="1"/>
  <c r="F474" i="22" s="1"/>
  <c r="C189" i="23" s="1"/>
  <c r="D189" i="24" s="1"/>
  <c r="D475" i="22" a="1"/>
  <c r="D475" i="22" s="1"/>
  <c r="F475" i="22" s="1"/>
  <c r="O107" i="34" l="1"/>
  <c r="M107" i="34"/>
  <c r="N107" i="34" s="1"/>
  <c r="P114" i="34" a="1"/>
  <c r="P114" i="34" s="1"/>
  <c r="R114" i="34" s="1" a="1"/>
  <c r="R114" i="34" s="1"/>
  <c r="Q114" i="34" a="1"/>
  <c r="Q114" i="34" s="1"/>
  <c r="H120" i="34"/>
  <c r="H118" i="34"/>
  <c r="I120" i="34"/>
  <c r="I118" i="34"/>
  <c r="C112" i="21"/>
  <c r="E112" i="21" s="1"/>
  <c r="S107" i="21"/>
  <c r="T107" i="21"/>
  <c r="H112" i="21"/>
  <c r="I112" i="21" s="1"/>
  <c r="J112" i="21"/>
  <c r="L72" i="26"/>
  <c r="K73" i="26"/>
  <c r="E73" i="26"/>
  <c r="J73" i="26" s="1"/>
  <c r="J124" i="21"/>
  <c r="M120" i="21"/>
  <c r="P120" i="21"/>
  <c r="E190" i="24"/>
  <c r="F190" i="24" s="1"/>
  <c r="H190" i="24" s="1"/>
  <c r="I190" i="24" s="1"/>
  <c r="J190" i="24" s="1"/>
  <c r="L124" i="21"/>
  <c r="D491" i="22" a="1"/>
  <c r="D491" i="22" s="1"/>
  <c r="F491" i="22" s="1"/>
  <c r="D492" i="22" a="1"/>
  <c r="D492" i="22" s="1"/>
  <c r="F492" i="22" s="1"/>
  <c r="D490" i="22" a="1"/>
  <c r="D490" i="22" s="1"/>
  <c r="F490" i="22" s="1"/>
  <c r="C196" i="23" s="1"/>
  <c r="D196" i="24" s="1"/>
  <c r="D493" i="22" a="1"/>
  <c r="D493" i="22" s="1"/>
  <c r="F493" i="22" s="1"/>
  <c r="E187" i="24"/>
  <c r="F187" i="24" s="1"/>
  <c r="H187" i="24" s="1"/>
  <c r="I187" i="24" s="1"/>
  <c r="J187" i="24" s="1"/>
  <c r="M121" i="21"/>
  <c r="P121" i="21"/>
  <c r="M118" i="21"/>
  <c r="P118" i="21"/>
  <c r="E189" i="24"/>
  <c r="F189" i="24" s="1"/>
  <c r="H189" i="24" s="1"/>
  <c r="I189" i="24" s="1"/>
  <c r="J189" i="24" s="1"/>
  <c r="Q120" i="21"/>
  <c r="Q107" i="34" l="1" a="1"/>
  <c r="Q107" i="34" s="1"/>
  <c r="P107" i="34" a="1"/>
  <c r="P107" i="34" s="1"/>
  <c r="R107" i="34" s="1" a="1"/>
  <c r="R107" i="34" s="1"/>
  <c r="H121" i="34"/>
  <c r="H119" i="34"/>
  <c r="J118" i="34" a="1"/>
  <c r="J118" i="34" s="1"/>
  <c r="J120" i="34" a="1"/>
  <c r="J120" i="34" s="1"/>
  <c r="I119" i="34"/>
  <c r="I121" i="34"/>
  <c r="L73" i="26"/>
  <c r="C68" i="26"/>
  <c r="D444" i="22" a="1"/>
  <c r="D444" i="22" s="1"/>
  <c r="F444" i="22" s="1"/>
  <c r="C184" i="23" s="1"/>
  <c r="D184" i="24" s="1"/>
  <c r="E184" i="24" s="1"/>
  <c r="F184" i="24" s="1"/>
  <c r="H184" i="24" s="1"/>
  <c r="I184" i="24" s="1"/>
  <c r="J184" i="24" s="1"/>
  <c r="D445" i="22" a="1"/>
  <c r="D445" i="22" s="1"/>
  <c r="F445" i="22" s="1"/>
  <c r="C185" i="23" s="1"/>
  <c r="D185" i="24" s="1"/>
  <c r="E185" i="24" s="1"/>
  <c r="F185" i="24" s="1"/>
  <c r="H185" i="24" s="1"/>
  <c r="I185" i="24" s="1"/>
  <c r="J185" i="24" s="1"/>
  <c r="D443" i="22" a="1"/>
  <c r="D443" i="22" s="1"/>
  <c r="F443" i="22" s="1"/>
  <c r="C183" i="23" s="1"/>
  <c r="D183" i="24" s="1"/>
  <c r="E183" i="24" s="1"/>
  <c r="L112" i="21"/>
  <c r="D442" i="22" a="1"/>
  <c r="D442" i="22" s="1"/>
  <c r="F442" i="22" s="1"/>
  <c r="C178" i="23" s="1"/>
  <c r="D178" i="24" s="1"/>
  <c r="E178" i="24" s="1"/>
  <c r="F178" i="24" s="1"/>
  <c r="H178" i="24" s="1"/>
  <c r="I178" i="24" s="1"/>
  <c r="J178" i="24" s="1"/>
  <c r="Q112" i="21"/>
  <c r="K189" i="24"/>
  <c r="L120" i="34" s="1"/>
  <c r="L189" i="24"/>
  <c r="C197" i="24" s="1"/>
  <c r="E196" i="24"/>
  <c r="F196" i="24" s="1"/>
  <c r="H196" i="24" s="1"/>
  <c r="I196" i="24" s="1"/>
  <c r="J196" i="24" s="1"/>
  <c r="M124" i="21"/>
  <c r="P124" i="21"/>
  <c r="L190" i="24"/>
  <c r="C198" i="24" s="1"/>
  <c r="K190" i="24"/>
  <c r="L121" i="34" s="1"/>
  <c r="N118" i="21"/>
  <c r="O118" i="21"/>
  <c r="O121" i="21"/>
  <c r="N121" i="21"/>
  <c r="N120" i="21"/>
  <c r="O120" i="21"/>
  <c r="L187" i="24"/>
  <c r="C195" i="24" s="1"/>
  <c r="K187" i="24"/>
  <c r="L118" i="34" s="1"/>
  <c r="Q124" i="21"/>
  <c r="J119" i="34" l="1" a="1"/>
  <c r="J119" i="34" s="1"/>
  <c r="J121" i="34" a="1"/>
  <c r="J121" i="34" s="1"/>
  <c r="O121" i="34" s="1"/>
  <c r="O118" i="34"/>
  <c r="M118" i="34"/>
  <c r="N118" i="34" s="1"/>
  <c r="O120" i="34"/>
  <c r="M120" i="34"/>
  <c r="N120" i="34" s="1"/>
  <c r="C125" i="21"/>
  <c r="E125" i="21" s="1"/>
  <c r="S120" i="21"/>
  <c r="T120" i="21"/>
  <c r="C126" i="21"/>
  <c r="E126" i="21" s="1"/>
  <c r="S121" i="21"/>
  <c r="T121" i="21" s="1"/>
  <c r="C123" i="21"/>
  <c r="E123" i="21" s="1"/>
  <c r="H123" i="21" s="1"/>
  <c r="I123" i="21" s="1"/>
  <c r="C75" i="26" s="1"/>
  <c r="S118" i="21"/>
  <c r="T118" i="21" s="1"/>
  <c r="L185" i="24"/>
  <c r="C193" i="24" s="1"/>
  <c r="K185" i="24"/>
  <c r="L184" i="24"/>
  <c r="C192" i="24" s="1"/>
  <c r="K184" i="24"/>
  <c r="K178" i="24"/>
  <c r="L112" i="34" s="1"/>
  <c r="L178" i="24"/>
  <c r="C186" i="24" s="1"/>
  <c r="P112" i="21"/>
  <c r="M112" i="21"/>
  <c r="K68" i="26"/>
  <c r="I112" i="34" s="1"/>
  <c r="E68" i="26"/>
  <c r="J68" i="26" s="1"/>
  <c r="H112" i="34" s="1"/>
  <c r="H125" i="21"/>
  <c r="I125" i="21" s="1"/>
  <c r="J125" i="21" s="1"/>
  <c r="N124" i="21"/>
  <c r="O124" i="21"/>
  <c r="H126" i="21"/>
  <c r="I126" i="21" s="1"/>
  <c r="C76" i="26" s="1"/>
  <c r="L196" i="24"/>
  <c r="C204" i="24" s="1"/>
  <c r="K196" i="24"/>
  <c r="L124" i="34" s="1"/>
  <c r="Q121" i="34" l="1" a="1"/>
  <c r="Q121" i="34" s="1"/>
  <c r="P121" i="34" a="1"/>
  <c r="P121" i="34" s="1"/>
  <c r="R121" i="34" s="1" a="1"/>
  <c r="R121" i="34" s="1"/>
  <c r="P120" i="34" a="1"/>
  <c r="P120" i="34" s="1"/>
  <c r="R120" i="34" s="1" a="1"/>
  <c r="R120" i="34" s="1"/>
  <c r="Q120" i="34" a="1"/>
  <c r="Q120" i="34" s="1"/>
  <c r="O119" i="34"/>
  <c r="M119" i="34"/>
  <c r="N119" i="34" s="1"/>
  <c r="M121" i="34"/>
  <c r="N121" i="34"/>
  <c r="P118" i="34" a="1"/>
  <c r="P118" i="34" s="1"/>
  <c r="R118" i="34" s="1" a="1"/>
  <c r="R118" i="34" s="1"/>
  <c r="Q118" i="34" a="1"/>
  <c r="Q118" i="34" s="1"/>
  <c r="C129" i="21"/>
  <c r="E129" i="21" s="1"/>
  <c r="S124" i="21"/>
  <c r="T124" i="21" s="1"/>
  <c r="J126" i="21"/>
  <c r="N112" i="21"/>
  <c r="O112" i="21"/>
  <c r="E76" i="26"/>
  <c r="J76" i="26" s="1"/>
  <c r="K76" i="26"/>
  <c r="L68" i="26"/>
  <c r="J112" i="34" s="1" a="1"/>
  <c r="J112" i="34" s="1"/>
  <c r="M112" i="34" s="1"/>
  <c r="E75" i="26"/>
  <c r="J75" i="26" s="1"/>
  <c r="K75" i="26"/>
  <c r="L126" i="21"/>
  <c r="Q126" i="21" s="1"/>
  <c r="D498" i="22" a="1"/>
  <c r="D498" i="22" s="1"/>
  <c r="F498" i="22" s="1"/>
  <c r="C198" i="23" s="1"/>
  <c r="D198" i="24" s="1"/>
  <c r="D499" i="22" a="1"/>
  <c r="D499" i="22" s="1"/>
  <c r="F499" i="22" s="1"/>
  <c r="D500" i="22" a="1"/>
  <c r="D500" i="22" s="1"/>
  <c r="F500" i="22" s="1"/>
  <c r="D501" i="22" a="1"/>
  <c r="D501" i="22" s="1"/>
  <c r="F501" i="22" s="1"/>
  <c r="H129" i="21"/>
  <c r="I129" i="21" s="1"/>
  <c r="J129" i="21" s="1"/>
  <c r="L125" i="21"/>
  <c r="D495" i="22" a="1"/>
  <c r="D495" i="22" s="1"/>
  <c r="F495" i="22" s="1"/>
  <c r="D496" i="22" a="1"/>
  <c r="D496" i="22" s="1"/>
  <c r="F496" i="22" s="1"/>
  <c r="D497" i="22" a="1"/>
  <c r="D497" i="22" s="1"/>
  <c r="F497" i="22" s="1"/>
  <c r="D494" i="22" a="1"/>
  <c r="D494" i="22" s="1"/>
  <c r="F494" i="22" s="1"/>
  <c r="C197" i="23" s="1"/>
  <c r="D197" i="24" s="1"/>
  <c r="L123" i="21"/>
  <c r="Q123" i="21" s="1"/>
  <c r="D486" i="22" a="1"/>
  <c r="D486" i="22" s="1"/>
  <c r="F486" i="22" s="1"/>
  <c r="C195" i="23" s="1"/>
  <c r="D195" i="24" s="1"/>
  <c r="D487" i="22" a="1"/>
  <c r="D487" i="22" s="1"/>
  <c r="F487" i="22" s="1"/>
  <c r="D488" i="22" a="1"/>
  <c r="D488" i="22" s="1"/>
  <c r="F488" i="22" s="1"/>
  <c r="D489" i="22" a="1"/>
  <c r="D489" i="22" s="1"/>
  <c r="F489" i="22" s="1"/>
  <c r="J123" i="21"/>
  <c r="O112" i="34" l="1"/>
  <c r="L76" i="26"/>
  <c r="I124" i="34"/>
  <c r="I126" i="34"/>
  <c r="Q119" i="34" a="1"/>
  <c r="Q119" i="34" s="1"/>
  <c r="P119" i="34" a="1"/>
  <c r="P119" i="34" s="1"/>
  <c r="R119" i="34" s="1" a="1"/>
  <c r="R119" i="34" s="1"/>
  <c r="H126" i="34"/>
  <c r="H124" i="34"/>
  <c r="L75" i="26"/>
  <c r="I123" i="34"/>
  <c r="I125" i="34"/>
  <c r="N112" i="34"/>
  <c r="H123" i="34"/>
  <c r="H125" i="34"/>
  <c r="C117" i="21"/>
  <c r="E117" i="21" s="1"/>
  <c r="S112" i="21"/>
  <c r="T112" i="21"/>
  <c r="H117" i="21"/>
  <c r="I117" i="21" s="1"/>
  <c r="J117" i="21"/>
  <c r="E197" i="24"/>
  <c r="F197" i="24" s="1"/>
  <c r="H197" i="24" s="1"/>
  <c r="I197" i="24" s="1"/>
  <c r="J197" i="24" s="1"/>
  <c r="E195" i="24"/>
  <c r="F195" i="24" s="1"/>
  <c r="H195" i="24" s="1"/>
  <c r="I195" i="24" s="1"/>
  <c r="J195" i="24" s="1"/>
  <c r="M123" i="21"/>
  <c r="P123" i="21"/>
  <c r="M125" i="21"/>
  <c r="P125" i="21"/>
  <c r="L129" i="21"/>
  <c r="Q129" i="21" s="1"/>
  <c r="D513" i="22" a="1"/>
  <c r="D513" i="22" s="1"/>
  <c r="F513" i="22" s="1"/>
  <c r="D510" i="22" a="1"/>
  <c r="D510" i="22" s="1"/>
  <c r="F510" i="22" s="1"/>
  <c r="C204" i="23" s="1"/>
  <c r="D204" i="24" s="1"/>
  <c r="D511" i="22" a="1"/>
  <c r="D511" i="22" s="1"/>
  <c r="F511" i="22" s="1"/>
  <c r="D512" i="22" a="1"/>
  <c r="D512" i="22" s="1"/>
  <c r="F512" i="22" s="1"/>
  <c r="E198" i="24"/>
  <c r="F198" i="24" s="1"/>
  <c r="H198" i="24" s="1"/>
  <c r="I198" i="24" s="1"/>
  <c r="J198" i="24" s="1"/>
  <c r="Q125" i="21"/>
  <c r="M126" i="21"/>
  <c r="P126" i="21"/>
  <c r="Q112" i="34" l="1" a="1"/>
  <c r="Q112" i="34" s="1"/>
  <c r="P112" i="34" a="1"/>
  <c r="P112" i="34" s="1"/>
  <c r="R112" i="34" s="1" a="1"/>
  <c r="R112" i="34" s="1"/>
  <c r="J123" i="34" a="1"/>
  <c r="J123" i="34" s="1"/>
  <c r="J125" i="34" a="1"/>
  <c r="J125" i="34" s="1"/>
  <c r="J124" i="34" a="1"/>
  <c r="J124" i="34" s="1"/>
  <c r="J126" i="34" a="1"/>
  <c r="J126" i="34" s="1"/>
  <c r="C71" i="26"/>
  <c r="D464" i="22" a="1"/>
  <c r="D464" i="22" s="1"/>
  <c r="F464" i="22" s="1"/>
  <c r="C192" i="23" s="1"/>
  <c r="D192" i="24" s="1"/>
  <c r="E192" i="24" s="1"/>
  <c r="F192" i="24" s="1"/>
  <c r="H192" i="24" s="1"/>
  <c r="I192" i="24" s="1"/>
  <c r="J192" i="24" s="1"/>
  <c r="L117" i="21"/>
  <c r="D462" i="22" a="1"/>
  <c r="D462" i="22" s="1"/>
  <c r="F462" i="22" s="1"/>
  <c r="C186" i="23" s="1"/>
  <c r="D186" i="24" s="1"/>
  <c r="E186" i="24" s="1"/>
  <c r="F186" i="24" s="1"/>
  <c r="H186" i="24" s="1"/>
  <c r="I186" i="24" s="1"/>
  <c r="J186" i="24" s="1"/>
  <c r="D463" i="22" a="1"/>
  <c r="D463" i="22" s="1"/>
  <c r="F463" i="22" s="1"/>
  <c r="C191" i="23" s="1"/>
  <c r="D191" i="24" s="1"/>
  <c r="E191" i="24" s="1"/>
  <c r="D465" i="22" a="1"/>
  <c r="D465" i="22" s="1"/>
  <c r="F465" i="22" s="1"/>
  <c r="C193" i="23" s="1"/>
  <c r="D193" i="24" s="1"/>
  <c r="E193" i="24" s="1"/>
  <c r="F193" i="24" s="1"/>
  <c r="H193" i="24" s="1"/>
  <c r="I193" i="24" s="1"/>
  <c r="J193" i="24" s="1"/>
  <c r="Q117" i="21"/>
  <c r="L197" i="24"/>
  <c r="C205" i="24" s="1"/>
  <c r="K197" i="24"/>
  <c r="L125" i="34" s="1"/>
  <c r="N123" i="21"/>
  <c r="O123" i="21"/>
  <c r="L198" i="24"/>
  <c r="C206" i="24" s="1"/>
  <c r="K198" i="24"/>
  <c r="L126" i="34" s="1"/>
  <c r="K195" i="24"/>
  <c r="L123" i="34" s="1"/>
  <c r="L195" i="24"/>
  <c r="C203" i="24" s="1"/>
  <c r="M129" i="21"/>
  <c r="P129" i="21"/>
  <c r="E204" i="24"/>
  <c r="F204" i="24" s="1"/>
  <c r="H204" i="24" s="1"/>
  <c r="I204" i="24" s="1"/>
  <c r="J204" i="24" s="1"/>
  <c r="N126" i="21"/>
  <c r="O126" i="21"/>
  <c r="N125" i="21"/>
  <c r="O125" i="21"/>
  <c r="O123" i="34" l="1"/>
  <c r="M123" i="34"/>
  <c r="N123" i="34" s="1"/>
  <c r="M126" i="34"/>
  <c r="N126" i="34" s="1"/>
  <c r="O126" i="34"/>
  <c r="O124" i="34"/>
  <c r="M124" i="34"/>
  <c r="N124" i="34" s="1"/>
  <c r="O125" i="34"/>
  <c r="M125" i="34"/>
  <c r="N125" i="34" s="1"/>
  <c r="C131" i="21"/>
  <c r="E131" i="21" s="1"/>
  <c r="S126" i="21"/>
  <c r="T126" i="21"/>
  <c r="C128" i="21"/>
  <c r="E128" i="21" s="1"/>
  <c r="H128" i="21" s="1"/>
  <c r="I128" i="21" s="1"/>
  <c r="S123" i="21"/>
  <c r="T123" i="21" s="1"/>
  <c r="C130" i="21"/>
  <c r="E130" i="21" s="1"/>
  <c r="S125" i="21"/>
  <c r="T125" i="21" s="1"/>
  <c r="K193" i="24"/>
  <c r="L193" i="24"/>
  <c r="C201" i="24" s="1"/>
  <c r="L186" i="24"/>
  <c r="C194" i="24" s="1"/>
  <c r="K186" i="24"/>
  <c r="L117" i="34" s="1"/>
  <c r="P117" i="21"/>
  <c r="M117" i="21"/>
  <c r="K192" i="24"/>
  <c r="L192" i="24"/>
  <c r="C200" i="24" s="1"/>
  <c r="K71" i="26"/>
  <c r="I117" i="34" s="1"/>
  <c r="E71" i="26"/>
  <c r="J71" i="26" s="1"/>
  <c r="H117" i="34" s="1"/>
  <c r="L204" i="24"/>
  <c r="C212" i="24" s="1"/>
  <c r="K204" i="24"/>
  <c r="L129" i="34" s="1"/>
  <c r="H131" i="21"/>
  <c r="I131" i="21" s="1"/>
  <c r="H130" i="21"/>
  <c r="I130" i="21" s="1"/>
  <c r="J130" i="21" s="1"/>
  <c r="N129" i="21"/>
  <c r="O129" i="21"/>
  <c r="Q124" i="34" l="1" a="1"/>
  <c r="Q124" i="34" s="1"/>
  <c r="P124" i="34" a="1"/>
  <c r="P124" i="34" s="1"/>
  <c r="R124" i="34" s="1" a="1"/>
  <c r="R124" i="34" s="1"/>
  <c r="Q126" i="34" a="1"/>
  <c r="Q126" i="34" s="1"/>
  <c r="P126" i="34" a="1"/>
  <c r="P126" i="34" s="1"/>
  <c r="R126" i="34" s="1" a="1"/>
  <c r="R126" i="34" s="1"/>
  <c r="Q125" i="34" a="1"/>
  <c r="Q125" i="34" s="1"/>
  <c r="P125" i="34" a="1"/>
  <c r="P125" i="34" s="1"/>
  <c r="R125" i="34" s="1" a="1"/>
  <c r="R125" i="34" s="1"/>
  <c r="Q123" i="34" a="1"/>
  <c r="Q123" i="34" s="1"/>
  <c r="P123" i="34" a="1"/>
  <c r="P123" i="34" s="1"/>
  <c r="R123" i="34" s="1" a="1"/>
  <c r="R123" i="34" s="1"/>
  <c r="C134" i="21"/>
  <c r="E134" i="21" s="1"/>
  <c r="S129" i="21"/>
  <c r="T129" i="21"/>
  <c r="L71" i="26"/>
  <c r="J117" i="34" s="1" a="1"/>
  <c r="J117" i="34" s="1"/>
  <c r="O117" i="34" s="1"/>
  <c r="J128" i="21"/>
  <c r="C78" i="26"/>
  <c r="J131" i="21"/>
  <c r="C79" i="26"/>
  <c r="O117" i="21"/>
  <c r="N117" i="21"/>
  <c r="H134" i="21"/>
  <c r="I134" i="21" s="1"/>
  <c r="J134" i="21" s="1"/>
  <c r="L130" i="21"/>
  <c r="D514" i="22" a="1"/>
  <c r="D514" i="22" s="1"/>
  <c r="F514" i="22" s="1"/>
  <c r="C205" i="23" s="1"/>
  <c r="D205" i="24" s="1"/>
  <c r="D516" i="22" a="1"/>
  <c r="D516" i="22" s="1"/>
  <c r="F516" i="22" s="1"/>
  <c r="D517" i="22" a="1"/>
  <c r="D517" i="22" s="1"/>
  <c r="F517" i="22" s="1"/>
  <c r="D515" i="22" a="1"/>
  <c r="D515" i="22" s="1"/>
  <c r="F515" i="22" s="1"/>
  <c r="L131" i="21"/>
  <c r="D520" i="22" a="1"/>
  <c r="D520" i="22" s="1"/>
  <c r="F520" i="22" s="1"/>
  <c r="D521" i="22" a="1"/>
  <c r="D521" i="22" s="1"/>
  <c r="F521" i="22" s="1"/>
  <c r="D518" i="22" a="1"/>
  <c r="D518" i="22" s="1"/>
  <c r="F518" i="22" s="1"/>
  <c r="C206" i="23" s="1"/>
  <c r="D206" i="24" s="1"/>
  <c r="D519" i="22" a="1"/>
  <c r="D519" i="22" s="1"/>
  <c r="F519" i="22" s="1"/>
  <c r="Q131" i="21"/>
  <c r="D506" i="22" a="1"/>
  <c r="D506" i="22" s="1"/>
  <c r="F506" i="22" s="1"/>
  <c r="C203" i="23" s="1"/>
  <c r="D203" i="24" s="1"/>
  <c r="D507" i="22" a="1"/>
  <c r="D507" i="22" s="1"/>
  <c r="F507" i="22" s="1"/>
  <c r="D508" i="22" a="1"/>
  <c r="D508" i="22" s="1"/>
  <c r="F508" i="22" s="1"/>
  <c r="D509" i="22" a="1"/>
  <c r="D509" i="22" s="1"/>
  <c r="F509" i="22" s="1"/>
  <c r="L128" i="21"/>
  <c r="Q117" i="34" l="1" a="1"/>
  <c r="Q117" i="34" s="1"/>
  <c r="P117" i="34" a="1"/>
  <c r="P117" i="34" s="1"/>
  <c r="R117" i="34" s="1" a="1"/>
  <c r="R117" i="34" s="1"/>
  <c r="M117" i="34"/>
  <c r="N117" i="34" s="1"/>
  <c r="C122" i="21"/>
  <c r="E122" i="21" s="1"/>
  <c r="S117" i="21"/>
  <c r="T117" i="21" s="1"/>
  <c r="E79" i="26"/>
  <c r="J79" i="26" s="1"/>
  <c r="K79" i="26"/>
  <c r="E78" i="26"/>
  <c r="J78" i="26" s="1"/>
  <c r="K78" i="26"/>
  <c r="H122" i="21"/>
  <c r="I122" i="21" s="1"/>
  <c r="J122" i="21"/>
  <c r="E205" i="24"/>
  <c r="F205" i="24"/>
  <c r="H205" i="24" s="1"/>
  <c r="I205" i="24" s="1"/>
  <c r="J205" i="24" s="1"/>
  <c r="E203" i="24"/>
  <c r="F203" i="24" s="1"/>
  <c r="H203" i="24" s="1"/>
  <c r="I203" i="24" s="1"/>
  <c r="J203" i="24" s="1"/>
  <c r="M130" i="21"/>
  <c r="P130" i="21"/>
  <c r="D533" i="22" a="1"/>
  <c r="D533" i="22" s="1"/>
  <c r="F533" i="22" s="1"/>
  <c r="D530" i="22" a="1"/>
  <c r="D530" i="22" s="1"/>
  <c r="F530" i="22" s="1"/>
  <c r="C212" i="23" s="1"/>
  <c r="D212" i="24" s="1"/>
  <c r="D531" i="22" a="1"/>
  <c r="D531" i="22" s="1"/>
  <c r="F531" i="22" s="1"/>
  <c r="D532" i="22" a="1"/>
  <c r="D532" i="22" s="1"/>
  <c r="F532" i="22" s="1"/>
  <c r="L134" i="21"/>
  <c r="Q134" i="21" s="1"/>
  <c r="M131" i="21"/>
  <c r="P131" i="21"/>
  <c r="M128" i="21"/>
  <c r="P128" i="21"/>
  <c r="Q128" i="21"/>
  <c r="E206" i="24"/>
  <c r="F206" i="24" s="1"/>
  <c r="H206" i="24" s="1"/>
  <c r="I206" i="24" s="1"/>
  <c r="J206" i="24" s="1"/>
  <c r="Q130" i="21"/>
  <c r="H131" i="34" l="1"/>
  <c r="H129" i="34"/>
  <c r="I128" i="34"/>
  <c r="I130" i="34"/>
  <c r="L79" i="26"/>
  <c r="I131" i="34"/>
  <c r="I129" i="34"/>
  <c r="H130" i="34"/>
  <c r="H128" i="34"/>
  <c r="L78" i="26"/>
  <c r="C74" i="26"/>
  <c r="D484" i="22" a="1"/>
  <c r="D484" i="22" s="1"/>
  <c r="F484" i="22" s="1"/>
  <c r="C200" i="23" s="1"/>
  <c r="D200" i="24" s="1"/>
  <c r="D485" i="22" a="1"/>
  <c r="D485" i="22" s="1"/>
  <c r="F485" i="22" s="1"/>
  <c r="C201" i="23" s="1"/>
  <c r="D201" i="24" s="1"/>
  <c r="E201" i="24" s="1"/>
  <c r="F201" i="24" s="1"/>
  <c r="H201" i="24" s="1"/>
  <c r="I201" i="24" s="1"/>
  <c r="J201" i="24" s="1"/>
  <c r="L122" i="21"/>
  <c r="D482" i="22" a="1"/>
  <c r="D482" i="22" s="1"/>
  <c r="F482" i="22" s="1"/>
  <c r="C194" i="23" s="1"/>
  <c r="D194" i="24" s="1"/>
  <c r="E194" i="24" s="1"/>
  <c r="F194" i="24" s="1"/>
  <c r="H194" i="24" s="1"/>
  <c r="I194" i="24" s="1"/>
  <c r="J194" i="24" s="1"/>
  <c r="D483" i="22" a="1"/>
  <c r="D483" i="22" s="1"/>
  <c r="F483" i="22" s="1"/>
  <c r="C199" i="23" s="1"/>
  <c r="D199" i="24" s="1"/>
  <c r="E199" i="24" s="1"/>
  <c r="E212" i="24"/>
  <c r="F212" i="24" s="1"/>
  <c r="H212" i="24" s="1"/>
  <c r="I212" i="24" s="1"/>
  <c r="J212" i="24" s="1"/>
  <c r="O130" i="21"/>
  <c r="N130" i="21"/>
  <c r="N131" i="21"/>
  <c r="O131" i="21"/>
  <c r="K205" i="24"/>
  <c r="L130" i="34" s="1"/>
  <c r="L205" i="24"/>
  <c r="C213" i="24" s="1"/>
  <c r="L203" i="24"/>
  <c r="C211" i="24" s="1"/>
  <c r="K203" i="24"/>
  <c r="L128" i="34" s="1"/>
  <c r="N128" i="21"/>
  <c r="O128" i="21"/>
  <c r="M134" i="21"/>
  <c r="P134" i="21"/>
  <c r="K206" i="24"/>
  <c r="L131" i="34" s="1"/>
  <c r="L206" i="24"/>
  <c r="C214" i="24" s="1"/>
  <c r="J130" i="34" l="1" a="1"/>
  <c r="J130" i="34" s="1"/>
  <c r="O130" i="34" s="1"/>
  <c r="J128" i="34" a="1"/>
  <c r="J128" i="34" s="1"/>
  <c r="M128" i="34" s="1"/>
  <c r="J129" i="34" a="1"/>
  <c r="J129" i="34" s="1"/>
  <c r="J131" i="34" a="1"/>
  <c r="J131" i="34" s="1"/>
  <c r="O131" i="34" s="1"/>
  <c r="C136" i="21"/>
  <c r="E136" i="21" s="1"/>
  <c r="S131" i="21"/>
  <c r="T131" i="21"/>
  <c r="C135" i="21"/>
  <c r="E135" i="21" s="1"/>
  <c r="H135" i="21" s="1"/>
  <c r="I135" i="21" s="1"/>
  <c r="J135" i="21" s="1"/>
  <c r="S130" i="21"/>
  <c r="T130" i="21" s="1"/>
  <c r="T128" i="21"/>
  <c r="C133" i="21"/>
  <c r="E133" i="21" s="1"/>
  <c r="H133" i="21" s="1"/>
  <c r="I133" i="21" s="1"/>
  <c r="S128" i="21"/>
  <c r="K194" i="24"/>
  <c r="L122" i="34" s="1"/>
  <c r="L194" i="24"/>
  <c r="C202" i="24" s="1"/>
  <c r="P122" i="21"/>
  <c r="M122" i="21"/>
  <c r="Q122" i="21"/>
  <c r="K201" i="24"/>
  <c r="L201" i="24"/>
  <c r="C209" i="24" s="1"/>
  <c r="E200" i="24"/>
  <c r="F200" i="24" s="1"/>
  <c r="H200" i="24" s="1"/>
  <c r="I200" i="24" s="1"/>
  <c r="J200" i="24" s="1"/>
  <c r="E74" i="26"/>
  <c r="J74" i="26" s="1"/>
  <c r="H122" i="34" s="1"/>
  <c r="K74" i="26"/>
  <c r="L212" i="24"/>
  <c r="C220" i="24" s="1"/>
  <c r="K212" i="24"/>
  <c r="L134" i="34" s="1"/>
  <c r="O134" i="21"/>
  <c r="N134" i="21"/>
  <c r="H136" i="21"/>
  <c r="I136" i="21" s="1"/>
  <c r="C82" i="26" s="1"/>
  <c r="P131" i="34" l="1" a="1"/>
  <c r="P131" i="34" s="1"/>
  <c r="R131" i="34" s="1" a="1"/>
  <c r="R131" i="34" s="1"/>
  <c r="Q131" i="34" a="1"/>
  <c r="Q131" i="34" s="1"/>
  <c r="Q130" i="34" a="1"/>
  <c r="Q130" i="34" s="1"/>
  <c r="P130" i="34" a="1"/>
  <c r="P130" i="34" s="1"/>
  <c r="R130" i="34" s="1" a="1"/>
  <c r="R130" i="34" s="1"/>
  <c r="M131" i="34"/>
  <c r="N131" i="34"/>
  <c r="N130" i="34"/>
  <c r="O129" i="34"/>
  <c r="M129" i="34"/>
  <c r="N129" i="34" s="1"/>
  <c r="M130" i="34"/>
  <c r="N128" i="34"/>
  <c r="L74" i="26"/>
  <c r="J122" i="34" s="1" a="1"/>
  <c r="J122" i="34" s="1"/>
  <c r="I122" i="34"/>
  <c r="O128" i="34"/>
  <c r="C139" i="21"/>
  <c r="E139" i="21" s="1"/>
  <c r="S134" i="21"/>
  <c r="T134" i="21" s="1"/>
  <c r="K200" i="24"/>
  <c r="L200" i="24"/>
  <c r="C208" i="24" s="1"/>
  <c r="J133" i="21"/>
  <c r="C81" i="26"/>
  <c r="K82" i="26"/>
  <c r="E82" i="26"/>
  <c r="J82" i="26" s="1"/>
  <c r="O122" i="21"/>
  <c r="N122" i="21"/>
  <c r="L136" i="21"/>
  <c r="Q136" i="21" s="1"/>
  <c r="D538" i="22" a="1"/>
  <c r="D538" i="22" s="1"/>
  <c r="F538" i="22" s="1"/>
  <c r="C214" i="23" s="1"/>
  <c r="D214" i="24" s="1"/>
  <c r="D540" i="22" a="1"/>
  <c r="D540" i="22" s="1"/>
  <c r="F540" i="22" s="1"/>
  <c r="D539" i="22" a="1"/>
  <c r="D539" i="22" s="1"/>
  <c r="F539" i="22" s="1"/>
  <c r="D541" i="22" a="1"/>
  <c r="D541" i="22" s="1"/>
  <c r="F541" i="22" s="1"/>
  <c r="J136" i="21"/>
  <c r="H139" i="21"/>
  <c r="I139" i="21" s="1"/>
  <c r="L135" i="21"/>
  <c r="Q135" i="21" s="1"/>
  <c r="D535" i="22" a="1"/>
  <c r="D535" i="22" s="1"/>
  <c r="F535" i="22" s="1"/>
  <c r="D534" i="22" a="1"/>
  <c r="D534" i="22" s="1"/>
  <c r="F534" i="22" s="1"/>
  <c r="C213" i="23" s="1"/>
  <c r="D213" i="24" s="1"/>
  <c r="D536" i="22" a="1"/>
  <c r="D536" i="22" s="1"/>
  <c r="F536" i="22" s="1"/>
  <c r="D537" i="22" a="1"/>
  <c r="D537" i="22" s="1"/>
  <c r="F537" i="22" s="1"/>
  <c r="D528" i="22" a="1"/>
  <c r="D528" i="22" s="1"/>
  <c r="F528" i="22" s="1"/>
  <c r="D526" i="22" a="1"/>
  <c r="D526" i="22" s="1"/>
  <c r="F526" i="22" s="1"/>
  <c r="C211" i="23" s="1"/>
  <c r="D211" i="24" s="1"/>
  <c r="D529" i="22" a="1"/>
  <c r="D529" i="22" s="1"/>
  <c r="F529" i="22" s="1"/>
  <c r="D527" i="22" a="1"/>
  <c r="D527" i="22" s="1"/>
  <c r="F527" i="22" s="1"/>
  <c r="L133" i="21"/>
  <c r="M122" i="34" l="1"/>
  <c r="N122" i="34" s="1"/>
  <c r="O122" i="34"/>
  <c r="H136" i="34"/>
  <c r="H134" i="34"/>
  <c r="I134" i="34"/>
  <c r="I136" i="34"/>
  <c r="P129" i="34" a="1"/>
  <c r="P129" i="34" s="1"/>
  <c r="R129" i="34" s="1" a="1"/>
  <c r="R129" i="34" s="1"/>
  <c r="Q129" i="34" a="1"/>
  <c r="Q129" i="34" s="1"/>
  <c r="Q128" i="34" a="1"/>
  <c r="Q128" i="34" s="1"/>
  <c r="P128" i="34" a="1"/>
  <c r="P128" i="34" s="1"/>
  <c r="R128" i="34" s="1" a="1"/>
  <c r="R128" i="34" s="1"/>
  <c r="C127" i="21"/>
  <c r="E127" i="21" s="1"/>
  <c r="S122" i="21"/>
  <c r="T122" i="21"/>
  <c r="L82" i="26"/>
  <c r="H127" i="21"/>
  <c r="I127" i="21" s="1"/>
  <c r="J127" i="21"/>
  <c r="K81" i="26"/>
  <c r="E81" i="26"/>
  <c r="J81" i="26" s="1"/>
  <c r="L139" i="21"/>
  <c r="Q139" i="21" s="1"/>
  <c r="D550" i="22" a="1"/>
  <c r="D550" i="22" s="1"/>
  <c r="F550" i="22" s="1"/>
  <c r="C220" i="23" s="1"/>
  <c r="D220" i="24" s="1"/>
  <c r="D553" i="22" a="1"/>
  <c r="D553" i="22" s="1"/>
  <c r="F553" i="22" s="1"/>
  <c r="D551" i="22" a="1"/>
  <c r="D551" i="22" s="1"/>
  <c r="F551" i="22" s="1"/>
  <c r="D552" i="22" a="1"/>
  <c r="D552" i="22" s="1"/>
  <c r="F552" i="22" s="1"/>
  <c r="E211" i="24"/>
  <c r="F211" i="24" s="1"/>
  <c r="H211" i="24" s="1"/>
  <c r="I211" i="24" s="1"/>
  <c r="J211" i="24" s="1"/>
  <c r="E213" i="24"/>
  <c r="F213" i="24" s="1"/>
  <c r="H213" i="24" s="1"/>
  <c r="I213" i="24" s="1"/>
  <c r="J213" i="24" s="1"/>
  <c r="E214" i="24"/>
  <c r="F214" i="24" s="1"/>
  <c r="H214" i="24" s="1"/>
  <c r="I214" i="24" s="1"/>
  <c r="J214" i="24" s="1"/>
  <c r="M133" i="21"/>
  <c r="P133" i="21"/>
  <c r="Q133" i="21"/>
  <c r="M135" i="21"/>
  <c r="P135" i="21"/>
  <c r="J139" i="21"/>
  <c r="M136" i="21"/>
  <c r="P136" i="21"/>
  <c r="H135" i="34" l="1"/>
  <c r="H133" i="34"/>
  <c r="Q122" i="34" a="1"/>
  <c r="Q122" i="34" s="1"/>
  <c r="P122" i="34" a="1"/>
  <c r="P122" i="34" s="1"/>
  <c r="R122" i="34" s="1" a="1"/>
  <c r="R122" i="34" s="1"/>
  <c r="I133" i="34"/>
  <c r="I135" i="34"/>
  <c r="J136" i="34" a="1"/>
  <c r="J136" i="34" s="1"/>
  <c r="J134" i="34" a="1"/>
  <c r="J134" i="34" s="1"/>
  <c r="L81" i="26"/>
  <c r="C77" i="26"/>
  <c r="L127" i="21"/>
  <c r="Q127" i="21" s="1"/>
  <c r="D502" i="22" a="1"/>
  <c r="D502" i="22" s="1"/>
  <c r="F502" i="22" s="1"/>
  <c r="C202" i="23" s="1"/>
  <c r="D202" i="24" s="1"/>
  <c r="E202" i="24" s="1"/>
  <c r="F202" i="24" s="1"/>
  <c r="H202" i="24" s="1"/>
  <c r="I202" i="24" s="1"/>
  <c r="J202" i="24" s="1"/>
  <c r="D505" i="22" a="1"/>
  <c r="D505" i="22" s="1"/>
  <c r="F505" i="22" s="1"/>
  <c r="C209" i="23" s="1"/>
  <c r="D209" i="24" s="1"/>
  <c r="D504" i="22" a="1"/>
  <c r="D504" i="22" s="1"/>
  <c r="F504" i="22" s="1"/>
  <c r="C208" i="23" s="1"/>
  <c r="D208" i="24" s="1"/>
  <c r="D503" i="22" a="1"/>
  <c r="D503" i="22" s="1"/>
  <c r="F503" i="22" s="1"/>
  <c r="N133" i="21"/>
  <c r="O133" i="21"/>
  <c r="N136" i="21"/>
  <c r="O136" i="21"/>
  <c r="E220" i="24"/>
  <c r="F220" i="24" s="1"/>
  <c r="H220" i="24" s="1"/>
  <c r="I220" i="24" s="1"/>
  <c r="J220" i="24" s="1"/>
  <c r="M139" i="21"/>
  <c r="P139" i="21"/>
  <c r="L214" i="24"/>
  <c r="C222" i="24" s="1"/>
  <c r="K214" i="24"/>
  <c r="L136" i="34" s="1"/>
  <c r="K213" i="24"/>
  <c r="L135" i="34" s="1"/>
  <c r="L213" i="24"/>
  <c r="C221" i="24" s="1"/>
  <c r="O135" i="21"/>
  <c r="N135" i="21"/>
  <c r="K211" i="24"/>
  <c r="L133" i="34" s="1"/>
  <c r="L211" i="24"/>
  <c r="C219" i="24" s="1"/>
  <c r="M136" i="34" l="1"/>
  <c r="O136" i="34"/>
  <c r="N136" i="34"/>
  <c r="J135" i="34" a="1"/>
  <c r="J135" i="34" s="1"/>
  <c r="J133" i="34" a="1"/>
  <c r="J133" i="34" s="1"/>
  <c r="M133" i="34" s="1"/>
  <c r="N134" i="34"/>
  <c r="O134" i="34"/>
  <c r="M134" i="34"/>
  <c r="C141" i="21"/>
  <c r="E141" i="21" s="1"/>
  <c r="S136" i="21"/>
  <c r="T136" i="21"/>
  <c r="C138" i="21"/>
  <c r="E138" i="21" s="1"/>
  <c r="S133" i="21"/>
  <c r="C140" i="21"/>
  <c r="E140" i="21" s="1"/>
  <c r="S135" i="21"/>
  <c r="T133" i="21"/>
  <c r="T135" i="21"/>
  <c r="E208" i="24"/>
  <c r="F208" i="24" s="1"/>
  <c r="H208" i="24" s="1"/>
  <c r="I208" i="24" s="1"/>
  <c r="J208" i="24" s="1"/>
  <c r="K202" i="24"/>
  <c r="L127" i="34" s="1"/>
  <c r="L202" i="24"/>
  <c r="C210" i="24" s="1"/>
  <c r="E209" i="24"/>
  <c r="F209" i="24" s="1"/>
  <c r="H209" i="24" s="1"/>
  <c r="I209" i="24" s="1"/>
  <c r="J209" i="24" s="1"/>
  <c r="P127" i="21"/>
  <c r="M127" i="21"/>
  <c r="E77" i="26"/>
  <c r="J77" i="26" s="1"/>
  <c r="H127" i="34" s="1"/>
  <c r="K77" i="26"/>
  <c r="O139" i="21"/>
  <c r="N139" i="21"/>
  <c r="H140" i="21"/>
  <c r="I140" i="21" s="1"/>
  <c r="J140" i="21" s="1"/>
  <c r="K220" i="24"/>
  <c r="L139" i="34" s="1"/>
  <c r="L220" i="24"/>
  <c r="C228" i="24" s="1"/>
  <c r="H141" i="21"/>
  <c r="I141" i="21" s="1"/>
  <c r="C85" i="26" s="1"/>
  <c r="J141" i="21"/>
  <c r="H138" i="21"/>
  <c r="I138" i="21" s="1"/>
  <c r="O133" i="34" l="1"/>
  <c r="N133" i="34"/>
  <c r="L77" i="26"/>
  <c r="J127" i="34" s="1" a="1"/>
  <c r="J127" i="34" s="1"/>
  <c r="I127" i="34"/>
  <c r="Q136" i="34" a="1"/>
  <c r="Q136" i="34" s="1"/>
  <c r="P136" i="34" a="1"/>
  <c r="P136" i="34" s="1"/>
  <c r="R136" i="34" s="1" a="1"/>
  <c r="R136" i="34" s="1"/>
  <c r="M135" i="34"/>
  <c r="N135" i="34" s="1"/>
  <c r="O135" i="34"/>
  <c r="Q134" i="34" a="1"/>
  <c r="Q134" i="34" s="1"/>
  <c r="P134" i="34" a="1"/>
  <c r="P134" i="34" s="1"/>
  <c r="R134" i="34" s="1" a="1"/>
  <c r="R134" i="34" s="1"/>
  <c r="C144" i="21"/>
  <c r="E144" i="21" s="1"/>
  <c r="S139" i="21"/>
  <c r="T139" i="21" s="1"/>
  <c r="K85" i="26"/>
  <c r="E85" i="26"/>
  <c r="J85" i="26" s="1"/>
  <c r="K209" i="24"/>
  <c r="L209" i="24"/>
  <c r="C217" i="24" s="1"/>
  <c r="K208" i="24"/>
  <c r="L208" i="24"/>
  <c r="C216" i="24" s="1"/>
  <c r="O127" i="21"/>
  <c r="N127" i="21"/>
  <c r="J138" i="21"/>
  <c r="C84" i="26"/>
  <c r="L140" i="21"/>
  <c r="Q140" i="21" s="1"/>
  <c r="D556" i="22" a="1"/>
  <c r="D556" i="22" s="1"/>
  <c r="F556" i="22" s="1"/>
  <c r="D557" i="22" a="1"/>
  <c r="D557" i="22" s="1"/>
  <c r="F557" i="22" s="1"/>
  <c r="D554" i="22" a="1"/>
  <c r="D554" i="22" s="1"/>
  <c r="F554" i="22" s="1"/>
  <c r="C221" i="23" s="1"/>
  <c r="D221" i="24" s="1"/>
  <c r="D555" i="22" a="1"/>
  <c r="D555" i="22" s="1"/>
  <c r="F555" i="22" s="1"/>
  <c r="D549" i="22" a="1"/>
  <c r="D549" i="22" s="1"/>
  <c r="F549" i="22" s="1"/>
  <c r="D547" i="22" a="1"/>
  <c r="D547" i="22" s="1"/>
  <c r="F547" i="22" s="1"/>
  <c r="D548" i="22" a="1"/>
  <c r="D548" i="22" s="1"/>
  <c r="F548" i="22" s="1"/>
  <c r="D546" i="22" a="1"/>
  <c r="D546" i="22" s="1"/>
  <c r="F546" i="22" s="1"/>
  <c r="C219" i="23" s="1"/>
  <c r="D219" i="24" s="1"/>
  <c r="L138" i="21"/>
  <c r="L141" i="21"/>
  <c r="D559" i="22" a="1"/>
  <c r="D559" i="22" s="1"/>
  <c r="F559" i="22" s="1"/>
  <c r="D558" i="22" a="1"/>
  <c r="D558" i="22" s="1"/>
  <c r="F558" i="22" s="1"/>
  <c r="C222" i="23" s="1"/>
  <c r="D222" i="24" s="1"/>
  <c r="D560" i="22" a="1"/>
  <c r="D560" i="22" s="1"/>
  <c r="F560" i="22" s="1"/>
  <c r="D561" i="22" a="1"/>
  <c r="D561" i="22" s="1"/>
  <c r="F561" i="22" s="1"/>
  <c r="H144" i="21"/>
  <c r="I144" i="21" s="1"/>
  <c r="Q135" i="34" l="1" a="1"/>
  <c r="Q135" i="34" s="1"/>
  <c r="P135" i="34" a="1"/>
  <c r="P135" i="34" s="1"/>
  <c r="R135" i="34" s="1" a="1"/>
  <c r="R135" i="34" s="1"/>
  <c r="O127" i="34"/>
  <c r="M127" i="34"/>
  <c r="N127" i="34" s="1"/>
  <c r="H141" i="34"/>
  <c r="H139" i="34"/>
  <c r="I139" i="34"/>
  <c r="I141" i="34"/>
  <c r="P133" i="34" a="1"/>
  <c r="P133" i="34" s="1"/>
  <c r="R133" i="34" s="1" a="1"/>
  <c r="R133" i="34" s="1"/>
  <c r="Q133" i="34" a="1"/>
  <c r="Q133" i="34" s="1"/>
  <c r="C132" i="21"/>
  <c r="E132" i="21" s="1"/>
  <c r="S127" i="21"/>
  <c r="T127" i="21" s="1"/>
  <c r="H132" i="21"/>
  <c r="I132" i="21" s="1"/>
  <c r="J132" i="21"/>
  <c r="K84" i="26"/>
  <c r="E84" i="26"/>
  <c r="J84" i="26" s="1"/>
  <c r="J144" i="21"/>
  <c r="L85" i="26"/>
  <c r="E221" i="24"/>
  <c r="F221" i="24" s="1"/>
  <c r="H221" i="24" s="1"/>
  <c r="I221" i="24" s="1"/>
  <c r="J221" i="24" s="1"/>
  <c r="E222" i="24"/>
  <c r="F222" i="24"/>
  <c r="H222" i="24" s="1"/>
  <c r="I222" i="24" s="1"/>
  <c r="J222" i="24" s="1"/>
  <c r="M141" i="21"/>
  <c r="P141" i="21"/>
  <c r="M138" i="21"/>
  <c r="P138" i="21"/>
  <c r="L144" i="21"/>
  <c r="Q144" i="21" s="1"/>
  <c r="D570" i="22" a="1"/>
  <c r="D570" i="22" s="1"/>
  <c r="F570" i="22" s="1"/>
  <c r="C228" i="23" s="1"/>
  <c r="D228" i="24" s="1"/>
  <c r="D571" i="22" a="1"/>
  <c r="D571" i="22" s="1"/>
  <c r="F571" i="22" s="1"/>
  <c r="D572" i="22" a="1"/>
  <c r="D572" i="22" s="1"/>
  <c r="F572" i="22" s="1"/>
  <c r="D573" i="22" a="1"/>
  <c r="D573" i="22" s="1"/>
  <c r="F573" i="22" s="1"/>
  <c r="Q138" i="21"/>
  <c r="Q141" i="21"/>
  <c r="E219" i="24"/>
  <c r="F219" i="24" s="1"/>
  <c r="H219" i="24" s="1"/>
  <c r="I219" i="24" s="1"/>
  <c r="J219" i="24" s="1"/>
  <c r="M140" i="21"/>
  <c r="P140" i="21"/>
  <c r="I140" i="34" l="1"/>
  <c r="I138" i="34"/>
  <c r="Q127" i="34" a="1"/>
  <c r="Q127" i="34" s="1"/>
  <c r="P127" i="34" a="1"/>
  <c r="P127" i="34" s="1"/>
  <c r="R127" i="34" s="1" a="1"/>
  <c r="R127" i="34" s="1"/>
  <c r="J139" i="34" a="1"/>
  <c r="J139" i="34" s="1"/>
  <c r="J141" i="34" a="1"/>
  <c r="J141" i="34" s="1"/>
  <c r="H140" i="34"/>
  <c r="H138" i="34"/>
  <c r="L84" i="26"/>
  <c r="C80" i="26"/>
  <c r="D524" i="22" a="1"/>
  <c r="D524" i="22" s="1"/>
  <c r="F524" i="22" s="1"/>
  <c r="C216" i="23" s="1"/>
  <c r="D216" i="24" s="1"/>
  <c r="D522" i="22" a="1"/>
  <c r="D522" i="22" s="1"/>
  <c r="F522" i="22" s="1"/>
  <c r="C210" i="23" s="1"/>
  <c r="D210" i="24" s="1"/>
  <c r="E210" i="24" s="1"/>
  <c r="F210" i="24" s="1"/>
  <c r="H210" i="24" s="1"/>
  <c r="I210" i="24" s="1"/>
  <c r="J210" i="24" s="1"/>
  <c r="D523" i="22" a="1"/>
  <c r="D523" i="22" s="1"/>
  <c r="F523" i="22" s="1"/>
  <c r="C215" i="23" s="1"/>
  <c r="D215" i="24" s="1"/>
  <c r="E215" i="24" s="1"/>
  <c r="L132" i="21"/>
  <c r="D525" i="22" a="1"/>
  <c r="D525" i="22" s="1"/>
  <c r="F525" i="22" s="1"/>
  <c r="C217" i="23" s="1"/>
  <c r="D217" i="24" s="1"/>
  <c r="E217" i="24" s="1"/>
  <c r="F217" i="24" s="1"/>
  <c r="H217" i="24" s="1"/>
  <c r="I217" i="24" s="1"/>
  <c r="J217" i="24" s="1"/>
  <c r="Q132" i="21"/>
  <c r="E228" i="24"/>
  <c r="F228" i="24"/>
  <c r="H228" i="24" s="1"/>
  <c r="I228" i="24" s="1"/>
  <c r="J228" i="24" s="1"/>
  <c r="K221" i="24"/>
  <c r="L140" i="34" s="1"/>
  <c r="L221" i="24"/>
  <c r="C229" i="24" s="1"/>
  <c r="L222" i="24"/>
  <c r="C230" i="24" s="1"/>
  <c r="K222" i="24"/>
  <c r="L141" i="34" s="1"/>
  <c r="N138" i="21"/>
  <c r="O138" i="21"/>
  <c r="N141" i="21"/>
  <c r="O141" i="21"/>
  <c r="N140" i="21"/>
  <c r="O140" i="21"/>
  <c r="M144" i="21"/>
  <c r="P144" i="21"/>
  <c r="L219" i="24"/>
  <c r="C227" i="24" s="1"/>
  <c r="K219" i="24"/>
  <c r="L138" i="34" s="1"/>
  <c r="O141" i="34" l="1"/>
  <c r="M141" i="34"/>
  <c r="N141" i="34" s="1"/>
  <c r="J138" i="34" a="1"/>
  <c r="J138" i="34" s="1"/>
  <c r="M138" i="34" s="1"/>
  <c r="J140" i="34" a="1"/>
  <c r="J140" i="34" s="1"/>
  <c r="M140" i="34" s="1"/>
  <c r="O139" i="34"/>
  <c r="M139" i="34"/>
  <c r="N139" i="34" s="1"/>
  <c r="C145" i="21"/>
  <c r="E145" i="21" s="1"/>
  <c r="S140" i="21"/>
  <c r="T140" i="21"/>
  <c r="C146" i="21"/>
  <c r="E146" i="21" s="1"/>
  <c r="H146" i="21" s="1"/>
  <c r="I146" i="21" s="1"/>
  <c r="C88" i="26" s="1"/>
  <c r="S141" i="21"/>
  <c r="T141" i="21"/>
  <c r="C143" i="21"/>
  <c r="E143" i="21" s="1"/>
  <c r="S138" i="21"/>
  <c r="T138" i="21" s="1"/>
  <c r="K210" i="24"/>
  <c r="L132" i="34" s="1"/>
  <c r="L210" i="24"/>
  <c r="C218" i="24" s="1"/>
  <c r="E216" i="24"/>
  <c r="F216" i="24" s="1"/>
  <c r="H216" i="24" s="1"/>
  <c r="I216" i="24" s="1"/>
  <c r="J216" i="24" s="1"/>
  <c r="L217" i="24"/>
  <c r="C225" i="24" s="1"/>
  <c r="K217" i="24"/>
  <c r="P132" i="21"/>
  <c r="M132" i="21"/>
  <c r="K80" i="26"/>
  <c r="I132" i="34" s="1"/>
  <c r="E80" i="26"/>
  <c r="J80" i="26" s="1"/>
  <c r="H132" i="34" s="1"/>
  <c r="H145" i="21"/>
  <c r="I145" i="21" s="1"/>
  <c r="H143" i="21"/>
  <c r="I143" i="21" s="1"/>
  <c r="C87" i="26" s="1"/>
  <c r="O144" i="21"/>
  <c r="N144" i="21"/>
  <c r="L228" i="24"/>
  <c r="C236" i="24" s="1"/>
  <c r="K228" i="24"/>
  <c r="L144" i="34" s="1"/>
  <c r="N138" i="34" l="1"/>
  <c r="N140" i="34"/>
  <c r="O140" i="34"/>
  <c r="P139" i="34" a="1"/>
  <c r="P139" i="34" s="1"/>
  <c r="R139" i="34" s="1" a="1"/>
  <c r="R139" i="34" s="1"/>
  <c r="Q139" i="34" a="1"/>
  <c r="Q139" i="34" s="1"/>
  <c r="O138" i="34"/>
  <c r="Q141" i="34" a="1"/>
  <c r="Q141" i="34" s="1"/>
  <c r="P141" i="34" a="1"/>
  <c r="P141" i="34" s="1"/>
  <c r="R141" i="34" s="1" a="1"/>
  <c r="R141" i="34" s="1"/>
  <c r="C149" i="21"/>
  <c r="E149" i="21" s="1"/>
  <c r="S144" i="21"/>
  <c r="T144" i="21" s="1"/>
  <c r="J146" i="21"/>
  <c r="J143" i="21"/>
  <c r="L216" i="24"/>
  <c r="C224" i="24" s="1"/>
  <c r="K216" i="24"/>
  <c r="L80" i="26"/>
  <c r="J132" i="34" s="1" a="1"/>
  <c r="J132" i="34" s="1"/>
  <c r="N132" i="21"/>
  <c r="O132" i="21"/>
  <c r="E87" i="26"/>
  <c r="J87" i="26" s="1"/>
  <c r="K87" i="26"/>
  <c r="E88" i="26"/>
  <c r="J88" i="26" s="1"/>
  <c r="K88" i="26"/>
  <c r="H149" i="21"/>
  <c r="I149" i="21" s="1"/>
  <c r="J149" i="21" s="1"/>
  <c r="D568" i="22" a="1"/>
  <c r="D568" i="22" s="1"/>
  <c r="F568" i="22" s="1"/>
  <c r="D569" i="22" a="1"/>
  <c r="D569" i="22" s="1"/>
  <c r="F569" i="22" s="1"/>
  <c r="D566" i="22" a="1"/>
  <c r="D566" i="22" s="1"/>
  <c r="F566" i="22" s="1"/>
  <c r="C227" i="23" s="1"/>
  <c r="D227" i="24" s="1"/>
  <c r="D567" i="22" a="1"/>
  <c r="D567" i="22" s="1"/>
  <c r="F567" i="22" s="1"/>
  <c r="L143" i="21"/>
  <c r="L145" i="21"/>
  <c r="Q145" i="21" s="1"/>
  <c r="D577" i="22" a="1"/>
  <c r="D577" i="22" s="1"/>
  <c r="F577" i="22" s="1"/>
  <c r="D574" i="22" a="1"/>
  <c r="D574" i="22" s="1"/>
  <c r="F574" i="22" s="1"/>
  <c r="C229" i="23" s="1"/>
  <c r="D229" i="24" s="1"/>
  <c r="D575" i="22" a="1"/>
  <c r="D575" i="22" s="1"/>
  <c r="F575" i="22" s="1"/>
  <c r="D576" i="22" a="1"/>
  <c r="D576" i="22" s="1"/>
  <c r="F576" i="22" s="1"/>
  <c r="J145" i="21"/>
  <c r="L146" i="21"/>
  <c r="D578" i="22" a="1"/>
  <c r="D578" i="22" s="1"/>
  <c r="F578" i="22" s="1"/>
  <c r="C230" i="23" s="1"/>
  <c r="D230" i="24" s="1"/>
  <c r="D579" i="22" a="1"/>
  <c r="D579" i="22" s="1"/>
  <c r="F579" i="22" s="1"/>
  <c r="D580" i="22" a="1"/>
  <c r="D580" i="22" s="1"/>
  <c r="F580" i="22" s="1"/>
  <c r="D581" i="22" a="1"/>
  <c r="D581" i="22" s="1"/>
  <c r="F581" i="22" s="1"/>
  <c r="P138" i="34" l="1" a="1"/>
  <c r="P138" i="34" s="1"/>
  <c r="R138" i="34" s="1" a="1"/>
  <c r="R138" i="34" s="1"/>
  <c r="Q138" i="34" a="1"/>
  <c r="Q138" i="34" s="1"/>
  <c r="Q140" i="34" a="1"/>
  <c r="Q140" i="34" s="1"/>
  <c r="P140" i="34" a="1"/>
  <c r="P140" i="34" s="1"/>
  <c r="R140" i="34" s="1" a="1"/>
  <c r="R140" i="34" s="1"/>
  <c r="O132" i="34"/>
  <c r="M132" i="34"/>
  <c r="N132" i="34" s="1"/>
  <c r="L88" i="26"/>
  <c r="I144" i="34"/>
  <c r="I146" i="34"/>
  <c r="H143" i="34"/>
  <c r="H145" i="34"/>
  <c r="H144" i="34"/>
  <c r="H146" i="34"/>
  <c r="I143" i="34"/>
  <c r="I145" i="34"/>
  <c r="C137" i="21"/>
  <c r="E137" i="21" s="1"/>
  <c r="S132" i="21"/>
  <c r="T132" i="21"/>
  <c r="L87" i="26"/>
  <c r="H137" i="21"/>
  <c r="I137" i="21" s="1"/>
  <c r="M143" i="21"/>
  <c r="P143" i="21"/>
  <c r="M146" i="21"/>
  <c r="P146" i="21"/>
  <c r="E227" i="24"/>
  <c r="F227" i="24" s="1"/>
  <c r="H227" i="24" s="1"/>
  <c r="I227" i="24" s="1"/>
  <c r="J227" i="24" s="1"/>
  <c r="L149" i="21"/>
  <c r="D591" i="22" a="1"/>
  <c r="D591" i="22" s="1"/>
  <c r="F591" i="22" s="1"/>
  <c r="D592" i="22" a="1"/>
  <c r="D592" i="22" s="1"/>
  <c r="F592" i="22" s="1"/>
  <c r="D590" i="22" a="1"/>
  <c r="D590" i="22" s="1"/>
  <c r="F590" i="22" s="1"/>
  <c r="C236" i="23" s="1"/>
  <c r="D236" i="24" s="1"/>
  <c r="D593" i="22" a="1"/>
  <c r="D593" i="22" s="1"/>
  <c r="F593" i="22" s="1"/>
  <c r="E229" i="24"/>
  <c r="F229" i="24"/>
  <c r="H229" i="24" s="1"/>
  <c r="I229" i="24" s="1"/>
  <c r="J229" i="24" s="1"/>
  <c r="E230" i="24"/>
  <c r="F230" i="24" s="1"/>
  <c r="H230" i="24" s="1"/>
  <c r="I230" i="24" s="1"/>
  <c r="J230" i="24" s="1"/>
  <c r="Q143" i="21"/>
  <c r="Q146" i="21"/>
  <c r="M145" i="21"/>
  <c r="P145" i="21"/>
  <c r="J143" i="34" l="1" a="1"/>
  <c r="J143" i="34" s="1"/>
  <c r="J145" i="34" a="1"/>
  <c r="J145" i="34" s="1"/>
  <c r="Q132" i="34" a="1"/>
  <c r="Q132" i="34" s="1"/>
  <c r="P132" i="34" a="1"/>
  <c r="P132" i="34" s="1"/>
  <c r="R132" i="34" s="1" a="1"/>
  <c r="R132" i="34" s="1"/>
  <c r="J144" i="34" a="1"/>
  <c r="J144" i="34" s="1"/>
  <c r="J146" i="34" a="1"/>
  <c r="J146" i="34" s="1"/>
  <c r="J137" i="21"/>
  <c r="C83" i="26"/>
  <c r="L137" i="21"/>
  <c r="D542" i="22" a="1"/>
  <c r="D542" i="22" s="1"/>
  <c r="F542" i="22" s="1"/>
  <c r="C218" i="23" s="1"/>
  <c r="D218" i="24" s="1"/>
  <c r="D544" i="22" a="1"/>
  <c r="D544" i="22" s="1"/>
  <c r="F544" i="22" s="1"/>
  <c r="C224" i="23" s="1"/>
  <c r="D224" i="24" s="1"/>
  <c r="D545" i="22" a="1"/>
  <c r="D545" i="22" s="1"/>
  <c r="F545" i="22" s="1"/>
  <c r="C225" i="23" s="1"/>
  <c r="D225" i="24" s="1"/>
  <c r="E225" i="24" s="1"/>
  <c r="F225" i="24" s="1"/>
  <c r="H225" i="24" s="1"/>
  <c r="I225" i="24" s="1"/>
  <c r="J225" i="24" s="1"/>
  <c r="D543" i="22" a="1"/>
  <c r="D543" i="22" s="1"/>
  <c r="F543" i="22" s="1"/>
  <c r="C223" i="23" s="1"/>
  <c r="D223" i="24" s="1"/>
  <c r="E223" i="24" s="1"/>
  <c r="Q137" i="21"/>
  <c r="L230" i="24"/>
  <c r="C238" i="24" s="1"/>
  <c r="K230" i="24"/>
  <c r="L146" i="34" s="1"/>
  <c r="M149" i="21"/>
  <c r="P149" i="21"/>
  <c r="K227" i="24"/>
  <c r="L143" i="34" s="1"/>
  <c r="L227" i="24"/>
  <c r="C235" i="24" s="1"/>
  <c r="E236" i="24"/>
  <c r="F236" i="24"/>
  <c r="H236" i="24" s="1"/>
  <c r="I236" i="24" s="1"/>
  <c r="J236" i="24" s="1"/>
  <c r="K229" i="24"/>
  <c r="L145" i="34" s="1"/>
  <c r="L229" i="24"/>
  <c r="C237" i="24" s="1"/>
  <c r="O145" i="21"/>
  <c r="N145" i="21"/>
  <c r="N146" i="21"/>
  <c r="O146" i="21"/>
  <c r="N143" i="21"/>
  <c r="O143" i="21"/>
  <c r="Q149" i="21"/>
  <c r="M145" i="34" l="1"/>
  <c r="O145" i="34"/>
  <c r="N145" i="34"/>
  <c r="O143" i="34"/>
  <c r="M143" i="34"/>
  <c r="N143" i="34" s="1"/>
  <c r="O144" i="34"/>
  <c r="M144" i="34"/>
  <c r="N144" i="34" s="1"/>
  <c r="O146" i="34"/>
  <c r="M146" i="34"/>
  <c r="N146" i="34"/>
  <c r="C151" i="21"/>
  <c r="E151" i="21" s="1"/>
  <c r="S146" i="21"/>
  <c r="T146" i="21"/>
  <c r="C150" i="21"/>
  <c r="E150" i="21" s="1"/>
  <c r="S145" i="21"/>
  <c r="T145" i="21" s="1"/>
  <c r="C148" i="21"/>
  <c r="E148" i="21" s="1"/>
  <c r="S143" i="21"/>
  <c r="T143" i="21" s="1"/>
  <c r="K225" i="24"/>
  <c r="L225" i="24"/>
  <c r="C233" i="24" s="1"/>
  <c r="E224" i="24"/>
  <c r="F224" i="24" s="1"/>
  <c r="H224" i="24" s="1"/>
  <c r="I224" i="24" s="1"/>
  <c r="J224" i="24" s="1"/>
  <c r="K83" i="26"/>
  <c r="I137" i="34" s="1"/>
  <c r="E83" i="26"/>
  <c r="J83" i="26" s="1"/>
  <c r="H137" i="34" s="1"/>
  <c r="E218" i="24"/>
  <c r="F218" i="24" s="1"/>
  <c r="H218" i="24" s="1"/>
  <c r="I218" i="24" s="1"/>
  <c r="J218" i="24" s="1"/>
  <c r="P137" i="21"/>
  <c r="M137" i="21"/>
  <c r="K236" i="24"/>
  <c r="L149" i="34" s="1"/>
  <c r="L236" i="24"/>
  <c r="C244" i="24" s="1"/>
  <c r="H148" i="21"/>
  <c r="I148" i="21" s="1"/>
  <c r="H151" i="21"/>
  <c r="I151" i="21" s="1"/>
  <c r="C91" i="26" s="1"/>
  <c r="N149" i="21"/>
  <c r="O149" i="21"/>
  <c r="H150" i="21"/>
  <c r="I150" i="21" s="1"/>
  <c r="J150" i="21" s="1"/>
  <c r="Q144" i="34" l="1" a="1"/>
  <c r="Q144" i="34" s="1"/>
  <c r="P144" i="34" a="1"/>
  <c r="P144" i="34" s="1"/>
  <c r="R144" i="34" s="1" a="1"/>
  <c r="R144" i="34" s="1"/>
  <c r="Q143" i="34" a="1"/>
  <c r="Q143" i="34" s="1"/>
  <c r="P143" i="34" a="1"/>
  <c r="P143" i="34" s="1"/>
  <c r="R143" i="34" s="1" a="1"/>
  <c r="R143" i="34" s="1"/>
  <c r="Q146" i="34" a="1"/>
  <c r="Q146" i="34" s="1"/>
  <c r="P146" i="34" a="1"/>
  <c r="P146" i="34" s="1"/>
  <c r="R146" i="34" s="1" a="1"/>
  <c r="R146" i="34" s="1"/>
  <c r="Q145" i="34" a="1"/>
  <c r="Q145" i="34" s="1"/>
  <c r="P145" i="34" a="1"/>
  <c r="P145" i="34" s="1"/>
  <c r="R145" i="34" s="1" a="1"/>
  <c r="R145" i="34" s="1"/>
  <c r="C154" i="21"/>
  <c r="E154" i="21" s="1"/>
  <c r="S149" i="21"/>
  <c r="T149" i="21"/>
  <c r="J151" i="21"/>
  <c r="K218" i="24"/>
  <c r="L137" i="34" s="1"/>
  <c r="L218" i="24"/>
  <c r="C226" i="24" s="1"/>
  <c r="N137" i="21"/>
  <c r="O137" i="21"/>
  <c r="L83" i="26"/>
  <c r="J137" i="34" s="1" a="1"/>
  <c r="J137" i="34" s="1"/>
  <c r="L224" i="24"/>
  <c r="C232" i="24" s="1"/>
  <c r="K224" i="24"/>
  <c r="E91" i="26"/>
  <c r="J91" i="26" s="1"/>
  <c r="K91" i="26"/>
  <c r="C90" i="26"/>
  <c r="L150" i="21"/>
  <c r="Q150" i="21" s="1"/>
  <c r="D596" i="22" a="1"/>
  <c r="D596" i="22" s="1"/>
  <c r="F596" i="22" s="1"/>
  <c r="D594" i="22" a="1"/>
  <c r="D594" i="22" s="1"/>
  <c r="F594" i="22" s="1"/>
  <c r="C237" i="23" s="1"/>
  <c r="D237" i="24" s="1"/>
  <c r="D595" i="22" a="1"/>
  <c r="D595" i="22" s="1"/>
  <c r="F595" i="22" s="1"/>
  <c r="D597" i="22" a="1"/>
  <c r="D597" i="22" s="1"/>
  <c r="F597" i="22" s="1"/>
  <c r="L151" i="21"/>
  <c r="Q151" i="21" s="1"/>
  <c r="D598" i="22" a="1"/>
  <c r="D598" i="22" s="1"/>
  <c r="F598" i="22" s="1"/>
  <c r="C238" i="23" s="1"/>
  <c r="D238" i="24" s="1"/>
  <c r="D599" i="22" a="1"/>
  <c r="D599" i="22" s="1"/>
  <c r="F599" i="22" s="1"/>
  <c r="D601" i="22" a="1"/>
  <c r="D601" i="22" s="1"/>
  <c r="F601" i="22" s="1"/>
  <c r="D600" i="22" a="1"/>
  <c r="D600" i="22" s="1"/>
  <c r="F600" i="22" s="1"/>
  <c r="L148" i="21"/>
  <c r="D586" i="22" a="1"/>
  <c r="D586" i="22" s="1"/>
  <c r="F586" i="22" s="1"/>
  <c r="C235" i="23" s="1"/>
  <c r="D235" i="24" s="1"/>
  <c r="D587" i="22" a="1"/>
  <c r="D587" i="22" s="1"/>
  <c r="F587" i="22" s="1"/>
  <c r="D588" i="22" a="1"/>
  <c r="D588" i="22" s="1"/>
  <c r="F588" i="22" s="1"/>
  <c r="D589" i="22" a="1"/>
  <c r="D589" i="22" s="1"/>
  <c r="F589" i="22" s="1"/>
  <c r="H154" i="21"/>
  <c r="I154" i="21" s="1"/>
  <c r="J154" i="21"/>
  <c r="J148" i="21"/>
  <c r="I149" i="34" l="1"/>
  <c r="I151" i="34"/>
  <c r="H149" i="34"/>
  <c r="H151" i="34"/>
  <c r="O137" i="34"/>
  <c r="M137" i="34"/>
  <c r="N137" i="34" s="1"/>
  <c r="C142" i="21"/>
  <c r="E142" i="21" s="1"/>
  <c r="S137" i="21"/>
  <c r="T137" i="21"/>
  <c r="L91" i="26"/>
  <c r="E90" i="26"/>
  <c r="J90" i="26" s="1"/>
  <c r="K90" i="26"/>
  <c r="H142" i="21"/>
  <c r="I142" i="21" s="1"/>
  <c r="J142" i="21" s="1"/>
  <c r="E237" i="24"/>
  <c r="F237" i="24" s="1"/>
  <c r="H237" i="24" s="1"/>
  <c r="I237" i="24" s="1"/>
  <c r="J237" i="24" s="1"/>
  <c r="M148" i="21"/>
  <c r="P148" i="21"/>
  <c r="E235" i="24"/>
  <c r="F235" i="24" s="1"/>
  <c r="H235" i="24" s="1"/>
  <c r="I235" i="24" s="1"/>
  <c r="J235" i="24" s="1"/>
  <c r="M150" i="21"/>
  <c r="P150" i="21"/>
  <c r="E238" i="24"/>
  <c r="F238" i="24" s="1"/>
  <c r="H238" i="24" s="1"/>
  <c r="I238" i="24" s="1"/>
  <c r="J238" i="24" s="1"/>
  <c r="L154" i="21"/>
  <c r="D612" i="22" a="1"/>
  <c r="D612" i="22" s="1"/>
  <c r="F612" i="22" s="1"/>
  <c r="D613" i="22" a="1"/>
  <c r="D613" i="22" s="1"/>
  <c r="F613" i="22" s="1"/>
  <c r="D610" i="22" a="1"/>
  <c r="D610" i="22" s="1"/>
  <c r="F610" i="22" s="1"/>
  <c r="C244" i="23" s="1"/>
  <c r="D244" i="24" s="1"/>
  <c r="D611" i="22" a="1"/>
  <c r="D611" i="22" s="1"/>
  <c r="F611" i="22" s="1"/>
  <c r="M151" i="21"/>
  <c r="P151" i="21"/>
  <c r="Q148" i="21"/>
  <c r="J149" i="34" l="1" a="1"/>
  <c r="J149" i="34" s="1"/>
  <c r="J151" i="34" a="1"/>
  <c r="J151" i="34" s="1"/>
  <c r="H148" i="34"/>
  <c r="H150" i="34"/>
  <c r="P137" i="34" a="1"/>
  <c r="P137" i="34" s="1"/>
  <c r="R137" i="34" s="1" a="1"/>
  <c r="R137" i="34" s="1"/>
  <c r="Q137" i="34" a="1"/>
  <c r="Q137" i="34" s="1"/>
  <c r="L90" i="26"/>
  <c r="I148" i="34"/>
  <c r="I150" i="34"/>
  <c r="C86" i="26"/>
  <c r="D564" i="22" a="1"/>
  <c r="D564" i="22" s="1"/>
  <c r="F564" i="22" s="1"/>
  <c r="C232" i="23" s="1"/>
  <c r="D232" i="24" s="1"/>
  <c r="E232" i="24" s="1"/>
  <c r="F232" i="24" s="1"/>
  <c r="H232" i="24" s="1"/>
  <c r="I232" i="24" s="1"/>
  <c r="J232" i="24" s="1"/>
  <c r="D562" i="22" a="1"/>
  <c r="D562" i="22" s="1"/>
  <c r="F562" i="22" s="1"/>
  <c r="C226" i="23" s="1"/>
  <c r="D226" i="24" s="1"/>
  <c r="D565" i="22" a="1"/>
  <c r="D565" i="22" s="1"/>
  <c r="F565" i="22" s="1"/>
  <c r="C233" i="23" s="1"/>
  <c r="D233" i="24" s="1"/>
  <c r="L142" i="21"/>
  <c r="Q142" i="21" s="1"/>
  <c r="D563" i="22" a="1"/>
  <c r="D563" i="22" s="1"/>
  <c r="F563" i="22" s="1"/>
  <c r="C231" i="23" s="1"/>
  <c r="D231" i="24" s="1"/>
  <c r="E231" i="24" s="1"/>
  <c r="K237" i="24"/>
  <c r="L150" i="34" s="1"/>
  <c r="L237" i="24"/>
  <c r="C245" i="24" s="1"/>
  <c r="E244" i="24"/>
  <c r="F244" i="24"/>
  <c r="H244" i="24" s="1"/>
  <c r="I244" i="24" s="1"/>
  <c r="J244" i="24" s="1"/>
  <c r="M154" i="21"/>
  <c r="P154" i="21"/>
  <c r="N148" i="21"/>
  <c r="O148" i="21"/>
  <c r="K235" i="24"/>
  <c r="L148" i="34" s="1"/>
  <c r="L235" i="24"/>
  <c r="C243" i="24" s="1"/>
  <c r="L238" i="24"/>
  <c r="C246" i="24" s="1"/>
  <c r="K238" i="24"/>
  <c r="L151" i="34" s="1"/>
  <c r="N151" i="21"/>
  <c r="O151" i="21"/>
  <c r="O150" i="21"/>
  <c r="N150" i="21"/>
  <c r="Q154" i="21"/>
  <c r="J150" i="34" l="1" a="1"/>
  <c r="J150" i="34" s="1"/>
  <c r="M150" i="34" s="1"/>
  <c r="J148" i="34" a="1"/>
  <c r="J148" i="34" s="1"/>
  <c r="M151" i="34"/>
  <c r="O151" i="34"/>
  <c r="N151" i="34"/>
  <c r="M149" i="34"/>
  <c r="N149" i="34" s="1"/>
  <c r="O149" i="34"/>
  <c r="C155" i="21"/>
  <c r="E155" i="21" s="1"/>
  <c r="S150" i="21"/>
  <c r="T150" i="21" s="1"/>
  <c r="C156" i="21"/>
  <c r="E156" i="21" s="1"/>
  <c r="S151" i="21"/>
  <c r="T151" i="21"/>
  <c r="C153" i="21"/>
  <c r="E153" i="21" s="1"/>
  <c r="J153" i="21" s="1"/>
  <c r="S148" i="21"/>
  <c r="T148" i="21" s="1"/>
  <c r="E233" i="24"/>
  <c r="F233" i="24" s="1"/>
  <c r="H233" i="24" s="1"/>
  <c r="I233" i="24" s="1"/>
  <c r="J233" i="24" s="1"/>
  <c r="E226" i="24"/>
  <c r="F226" i="24" s="1"/>
  <c r="H226" i="24" s="1"/>
  <c r="I226" i="24" s="1"/>
  <c r="J226" i="24" s="1"/>
  <c r="L232" i="24"/>
  <c r="C240" i="24" s="1"/>
  <c r="K232" i="24"/>
  <c r="P142" i="21"/>
  <c r="M142" i="21"/>
  <c r="E86" i="26"/>
  <c r="J86" i="26" s="1"/>
  <c r="H142" i="34" s="1"/>
  <c r="K86" i="26"/>
  <c r="I142" i="34" s="1"/>
  <c r="H153" i="21"/>
  <c r="I153" i="21" s="1"/>
  <c r="C93" i="26" s="1"/>
  <c r="H156" i="21"/>
  <c r="I156" i="21" s="1"/>
  <c r="H155" i="21"/>
  <c r="I155" i="21" s="1"/>
  <c r="J155" i="21" s="1"/>
  <c r="N154" i="21"/>
  <c r="O154" i="21"/>
  <c r="K244" i="24"/>
  <c r="L154" i="34" s="1"/>
  <c r="L244" i="24"/>
  <c r="C252" i="24" s="1"/>
  <c r="M148" i="34" l="1"/>
  <c r="N148" i="34" s="1"/>
  <c r="O148" i="34"/>
  <c r="P149" i="34" a="1"/>
  <c r="P149" i="34" s="1"/>
  <c r="R149" i="34" s="1" a="1"/>
  <c r="R149" i="34" s="1"/>
  <c r="Q149" i="34" a="1"/>
  <c r="Q149" i="34" s="1"/>
  <c r="Q151" i="34" a="1"/>
  <c r="Q151" i="34" s="1"/>
  <c r="P151" i="34" a="1"/>
  <c r="P151" i="34" s="1"/>
  <c r="R151" i="34" s="1" a="1"/>
  <c r="R151" i="34" s="1"/>
  <c r="N150" i="34"/>
  <c r="O150" i="34"/>
  <c r="C159" i="21"/>
  <c r="E159" i="21" s="1"/>
  <c r="S154" i="21"/>
  <c r="T154" i="21" s="1"/>
  <c r="L226" i="24"/>
  <c r="C234" i="24" s="1"/>
  <c r="K226" i="24"/>
  <c r="L142" i="34" s="1"/>
  <c r="L86" i="26"/>
  <c r="J142" i="34" s="1" a="1"/>
  <c r="J142" i="34" s="1"/>
  <c r="K233" i="24"/>
  <c r="L233" i="24"/>
  <c r="C241" i="24" s="1"/>
  <c r="K93" i="26"/>
  <c r="E93" i="26"/>
  <c r="J93" i="26" s="1"/>
  <c r="N142" i="21"/>
  <c r="O142" i="21"/>
  <c r="J156" i="21"/>
  <c r="C94" i="26"/>
  <c r="H159" i="21"/>
  <c r="I159" i="21" s="1"/>
  <c r="L155" i="21"/>
  <c r="D615" i="22" a="1"/>
  <c r="D615" i="22" s="1"/>
  <c r="F615" i="22" s="1"/>
  <c r="D614" i="22" a="1"/>
  <c r="D614" i="22" s="1"/>
  <c r="F614" i="22" s="1"/>
  <c r="C245" i="23" s="1"/>
  <c r="D245" i="24" s="1"/>
  <c r="D616" i="22" a="1"/>
  <c r="D616" i="22" s="1"/>
  <c r="F616" i="22" s="1"/>
  <c r="D617" i="22" a="1"/>
  <c r="D617" i="22" s="1"/>
  <c r="F617" i="22" s="1"/>
  <c r="Q155" i="21"/>
  <c r="L156" i="21"/>
  <c r="Q156" i="21" s="1"/>
  <c r="D619" i="22" a="1"/>
  <c r="D619" i="22" s="1"/>
  <c r="F619" i="22" s="1"/>
  <c r="D618" i="22" a="1"/>
  <c r="D618" i="22" s="1"/>
  <c r="F618" i="22" s="1"/>
  <c r="C246" i="23" s="1"/>
  <c r="D246" i="24" s="1"/>
  <c r="D620" i="22" a="1"/>
  <c r="D620" i="22" s="1"/>
  <c r="F620" i="22" s="1"/>
  <c r="D621" i="22" a="1"/>
  <c r="D621" i="22" s="1"/>
  <c r="F621" i="22" s="1"/>
  <c r="L153" i="21"/>
  <c r="D606" i="22" a="1"/>
  <c r="D606" i="22" s="1"/>
  <c r="F606" i="22" s="1"/>
  <c r="C243" i="23" s="1"/>
  <c r="D243" i="24" s="1"/>
  <c r="D609" i="22" a="1"/>
  <c r="D609" i="22" s="1"/>
  <c r="F609" i="22" s="1"/>
  <c r="D607" i="22" a="1"/>
  <c r="D607" i="22" s="1"/>
  <c r="F607" i="22" s="1"/>
  <c r="D608" i="22" a="1"/>
  <c r="D608" i="22" s="1"/>
  <c r="F608" i="22" s="1"/>
  <c r="P150" i="34" l="1" a="1"/>
  <c r="P150" i="34" s="1"/>
  <c r="R150" i="34" s="1" a="1"/>
  <c r="R150" i="34" s="1"/>
  <c r="Q150" i="34" a="1"/>
  <c r="Q150" i="34" s="1"/>
  <c r="H155" i="34"/>
  <c r="H153" i="34"/>
  <c r="I155" i="34"/>
  <c r="I153" i="34"/>
  <c r="O142" i="34"/>
  <c r="M142" i="34"/>
  <c r="N142" i="34" s="1"/>
  <c r="Q148" i="34" a="1"/>
  <c r="Q148" i="34" s="1"/>
  <c r="P148" i="34" a="1"/>
  <c r="P148" i="34" s="1"/>
  <c r="R148" i="34" s="1" a="1"/>
  <c r="R148" i="34" s="1"/>
  <c r="C147" i="21"/>
  <c r="E147" i="21" s="1"/>
  <c r="S142" i="21"/>
  <c r="T142" i="21" s="1"/>
  <c r="J159" i="21"/>
  <c r="L93" i="26"/>
  <c r="K94" i="26"/>
  <c r="E94" i="26"/>
  <c r="J94" i="26" s="1"/>
  <c r="H147" i="21"/>
  <c r="I147" i="21" s="1"/>
  <c r="J147" i="21" s="1"/>
  <c r="E243" i="24"/>
  <c r="F243" i="24"/>
  <c r="H243" i="24" s="1"/>
  <c r="I243" i="24" s="1"/>
  <c r="J243" i="24" s="1"/>
  <c r="M153" i="21"/>
  <c r="P153" i="21"/>
  <c r="E246" i="24"/>
  <c r="F246" i="24"/>
  <c r="H246" i="24" s="1"/>
  <c r="I246" i="24" s="1"/>
  <c r="J246" i="24" s="1"/>
  <c r="M155" i="21"/>
  <c r="P155" i="21"/>
  <c r="Q153" i="21"/>
  <c r="M156" i="21"/>
  <c r="P156" i="21"/>
  <c r="L159" i="21"/>
  <c r="D632" i="22" a="1"/>
  <c r="D632" i="22" s="1"/>
  <c r="F632" i="22" s="1"/>
  <c r="D633" i="22" a="1"/>
  <c r="D633" i="22" s="1"/>
  <c r="F633" i="22" s="1"/>
  <c r="D630" i="22" a="1"/>
  <c r="D630" i="22" s="1"/>
  <c r="F630" i="22" s="1"/>
  <c r="C252" i="23" s="1"/>
  <c r="D252" i="24" s="1"/>
  <c r="D631" i="22" a="1"/>
  <c r="D631" i="22" s="1"/>
  <c r="F631" i="22" s="1"/>
  <c r="E245" i="24"/>
  <c r="F245" i="24" s="1"/>
  <c r="H245" i="24" s="1"/>
  <c r="I245" i="24" s="1"/>
  <c r="J245" i="24" s="1"/>
  <c r="Q142" i="34" l="1" a="1"/>
  <c r="Q142" i="34" s="1"/>
  <c r="P142" i="34" a="1"/>
  <c r="P142" i="34" s="1"/>
  <c r="R142" i="34" s="1" a="1"/>
  <c r="R142" i="34" s="1"/>
  <c r="I156" i="34"/>
  <c r="I154" i="34"/>
  <c r="J155" i="34" a="1"/>
  <c r="J155" i="34" s="1"/>
  <c r="J153" i="34" a="1"/>
  <c r="J153" i="34" s="1"/>
  <c r="H154" i="34"/>
  <c r="H156" i="34"/>
  <c r="C89" i="26"/>
  <c r="L147" i="21"/>
  <c r="D585" i="22" a="1"/>
  <c r="D585" i="22" s="1"/>
  <c r="F585" i="22" s="1"/>
  <c r="C241" i="23" s="1"/>
  <c r="D241" i="24" s="1"/>
  <c r="D582" i="22" a="1"/>
  <c r="D582" i="22" s="1"/>
  <c r="F582" i="22" s="1"/>
  <c r="C234" i="23" s="1"/>
  <c r="D234" i="24" s="1"/>
  <c r="D583" i="22" a="1"/>
  <c r="D583" i="22" s="1"/>
  <c r="F583" i="22" s="1"/>
  <c r="C239" i="23" s="1"/>
  <c r="D239" i="24" s="1"/>
  <c r="E239" i="24" s="1"/>
  <c r="D584" i="22" a="1"/>
  <c r="D584" i="22" s="1"/>
  <c r="F584" i="22" s="1"/>
  <c r="C240" i="23" s="1"/>
  <c r="D240" i="24" s="1"/>
  <c r="Q147" i="21"/>
  <c r="L94" i="26"/>
  <c r="L245" i="24"/>
  <c r="C253" i="24" s="1"/>
  <c r="K245" i="24"/>
  <c r="L155" i="34" s="1"/>
  <c r="L246" i="24"/>
  <c r="C254" i="24" s="1"/>
  <c r="K246" i="24"/>
  <c r="L156" i="34" s="1"/>
  <c r="O153" i="21"/>
  <c r="N153" i="21"/>
  <c r="E252" i="24"/>
  <c r="F252" i="24"/>
  <c r="H252" i="24" s="1"/>
  <c r="I252" i="24" s="1"/>
  <c r="J252" i="24" s="1"/>
  <c r="N155" i="21"/>
  <c r="O155" i="21"/>
  <c r="M159" i="21"/>
  <c r="P159" i="21"/>
  <c r="N156" i="21"/>
  <c r="O156" i="21"/>
  <c r="L243" i="24"/>
  <c r="C251" i="24" s="1"/>
  <c r="K243" i="24"/>
  <c r="L153" i="34" s="1"/>
  <c r="Q159" i="21"/>
  <c r="M153" i="34" l="1"/>
  <c r="N153" i="34" s="1"/>
  <c r="O153" i="34"/>
  <c r="O155" i="34"/>
  <c r="M155" i="34"/>
  <c r="N155" i="34" s="1"/>
  <c r="J156" i="34" a="1"/>
  <c r="J156" i="34" s="1"/>
  <c r="J154" i="34" a="1"/>
  <c r="J154" i="34" s="1"/>
  <c r="C160" i="21"/>
  <c r="E160" i="21" s="1"/>
  <c r="S155" i="21"/>
  <c r="T155" i="21"/>
  <c r="C161" i="21"/>
  <c r="E161" i="21" s="1"/>
  <c r="J161" i="21" s="1"/>
  <c r="S156" i="21"/>
  <c r="T156" i="21"/>
  <c r="C158" i="21"/>
  <c r="E158" i="21" s="1"/>
  <c r="S153" i="21"/>
  <c r="T153" i="21" s="1"/>
  <c r="E241" i="24"/>
  <c r="F241" i="24" s="1"/>
  <c r="H241" i="24" s="1"/>
  <c r="I241" i="24" s="1"/>
  <c r="J241" i="24" s="1"/>
  <c r="E234" i="24"/>
  <c r="F234" i="24" s="1"/>
  <c r="H234" i="24" s="1"/>
  <c r="I234" i="24" s="1"/>
  <c r="J234" i="24" s="1"/>
  <c r="P147" i="21"/>
  <c r="M147" i="21"/>
  <c r="E240" i="24"/>
  <c r="F240" i="24" s="1"/>
  <c r="H240" i="24" s="1"/>
  <c r="I240" i="24" s="1"/>
  <c r="J240" i="24" s="1"/>
  <c r="E89" i="26"/>
  <c r="J89" i="26" s="1"/>
  <c r="H147" i="34" s="1"/>
  <c r="K89" i="26"/>
  <c r="I147" i="34" s="1"/>
  <c r="L252" i="24"/>
  <c r="C260" i="24" s="1"/>
  <c r="K252" i="24"/>
  <c r="L159" i="34" s="1"/>
  <c r="N159" i="21"/>
  <c r="O159" i="21"/>
  <c r="H160" i="21"/>
  <c r="I160" i="21" s="1"/>
  <c r="J160" i="21"/>
  <c r="H158" i="21"/>
  <c r="I158" i="21" s="1"/>
  <c r="C96" i="26" s="1"/>
  <c r="H161" i="21"/>
  <c r="I161" i="21" s="1"/>
  <c r="C97" i="26" s="1"/>
  <c r="O154" i="34" l="1"/>
  <c r="M154" i="34"/>
  <c r="N154" i="34" s="1"/>
  <c r="Q155" i="34" a="1"/>
  <c r="Q155" i="34" s="1"/>
  <c r="P155" i="34" a="1"/>
  <c r="P155" i="34" s="1"/>
  <c r="R155" i="34" s="1" a="1"/>
  <c r="R155" i="34" s="1"/>
  <c r="M156" i="34"/>
  <c r="N156" i="34" s="1"/>
  <c r="Q153" i="34" a="1"/>
  <c r="Q153" i="34" s="1"/>
  <c r="P153" i="34" a="1"/>
  <c r="P153" i="34" s="1"/>
  <c r="R153" i="34" s="1" a="1"/>
  <c r="R153" i="34" s="1"/>
  <c r="O156" i="34"/>
  <c r="C164" i="21"/>
  <c r="E164" i="21" s="1"/>
  <c r="S159" i="21"/>
  <c r="T159" i="21"/>
  <c r="J158" i="21"/>
  <c r="L240" i="24"/>
  <c r="C248" i="24" s="1"/>
  <c r="K240" i="24"/>
  <c r="O147" i="21"/>
  <c r="N147" i="21"/>
  <c r="K96" i="26"/>
  <c r="E96" i="26"/>
  <c r="J96" i="26" s="1"/>
  <c r="L89" i="26"/>
  <c r="J147" i="34" s="1" a="1"/>
  <c r="J147" i="34" s="1"/>
  <c r="K234" i="24"/>
  <c r="L147" i="34" s="1"/>
  <c r="L234" i="24"/>
  <c r="C242" i="24" s="1"/>
  <c r="L241" i="24"/>
  <c r="C249" i="24" s="1"/>
  <c r="K241" i="24"/>
  <c r="K97" i="26"/>
  <c r="E97" i="26"/>
  <c r="J97" i="26" s="1"/>
  <c r="L160" i="21"/>
  <c r="D636" i="22" a="1"/>
  <c r="D636" i="22" s="1"/>
  <c r="F636" i="22" s="1"/>
  <c r="D637" i="22" a="1"/>
  <c r="D637" i="22" s="1"/>
  <c r="F637" i="22" s="1"/>
  <c r="D634" i="22" a="1"/>
  <c r="D634" i="22" s="1"/>
  <c r="F634" i="22" s="1"/>
  <c r="C253" i="23" s="1"/>
  <c r="D253" i="24" s="1"/>
  <c r="D635" i="22" a="1"/>
  <c r="D635" i="22" s="1"/>
  <c r="F635" i="22" s="1"/>
  <c r="L161" i="21"/>
  <c r="Q161" i="21" s="1"/>
  <c r="D639" i="22" a="1"/>
  <c r="D639" i="22" s="1"/>
  <c r="F639" i="22" s="1"/>
  <c r="D640" i="22" a="1"/>
  <c r="D640" i="22" s="1"/>
  <c r="F640" i="22" s="1"/>
  <c r="D638" i="22" a="1"/>
  <c r="D638" i="22" s="1"/>
  <c r="F638" i="22" s="1"/>
  <c r="C254" i="23" s="1"/>
  <c r="D254" i="24" s="1"/>
  <c r="D641" i="22" a="1"/>
  <c r="D641" i="22" s="1"/>
  <c r="F641" i="22" s="1"/>
  <c r="H164" i="21"/>
  <c r="I164" i="21" s="1"/>
  <c r="J164" i="21"/>
  <c r="D626" i="22" a="1"/>
  <c r="D626" i="22" s="1"/>
  <c r="F626" i="22" s="1"/>
  <c r="C251" i="23" s="1"/>
  <c r="D251" i="24" s="1"/>
  <c r="D628" i="22" a="1"/>
  <c r="D628" i="22" s="1"/>
  <c r="F628" i="22" s="1"/>
  <c r="D629" i="22" a="1"/>
  <c r="D629" i="22" s="1"/>
  <c r="F629" i="22" s="1"/>
  <c r="D627" i="22" a="1"/>
  <c r="D627" i="22" s="1"/>
  <c r="F627" i="22" s="1"/>
  <c r="L158" i="21"/>
  <c r="H160" i="34" l="1"/>
  <c r="H158" i="34"/>
  <c r="I158" i="34"/>
  <c r="I160" i="34"/>
  <c r="H159" i="34"/>
  <c r="H161" i="34"/>
  <c r="I159" i="34"/>
  <c r="I161" i="34"/>
  <c r="Q154" i="34" a="1"/>
  <c r="Q154" i="34" s="1"/>
  <c r="P154" i="34" a="1"/>
  <c r="P154" i="34" s="1"/>
  <c r="R154" i="34" s="1" a="1"/>
  <c r="R154" i="34" s="1"/>
  <c r="M147" i="34"/>
  <c r="N147" i="34" s="1"/>
  <c r="O147" i="34"/>
  <c r="P156" i="34" a="1"/>
  <c r="P156" i="34" s="1"/>
  <c r="R156" i="34" s="1" a="1"/>
  <c r="R156" i="34" s="1"/>
  <c r="Q156" i="34" a="1"/>
  <c r="Q156" i="34" s="1"/>
  <c r="C152" i="21"/>
  <c r="E152" i="21" s="1"/>
  <c r="S147" i="21"/>
  <c r="T147" i="21" s="1"/>
  <c r="L97" i="26"/>
  <c r="L96" i="26"/>
  <c r="H152" i="21"/>
  <c r="I152" i="21" s="1"/>
  <c r="J152" i="21" s="1"/>
  <c r="E254" i="24"/>
  <c r="F254" i="24" s="1"/>
  <c r="H254" i="24" s="1"/>
  <c r="I254" i="24" s="1"/>
  <c r="J254" i="24" s="1"/>
  <c r="E253" i="24"/>
  <c r="F253" i="24" s="1"/>
  <c r="H253" i="24" s="1"/>
  <c r="I253" i="24" s="1"/>
  <c r="J253" i="24" s="1"/>
  <c r="E251" i="24"/>
  <c r="F251" i="24" s="1"/>
  <c r="H251" i="24" s="1"/>
  <c r="I251" i="24" s="1"/>
  <c r="J251" i="24" s="1"/>
  <c r="L164" i="21"/>
  <c r="Q164" i="21" s="1"/>
  <c r="D652" i="22" a="1"/>
  <c r="D652" i="22" s="1"/>
  <c r="F652" i="22" s="1"/>
  <c r="D650" i="22" a="1"/>
  <c r="D650" i="22" s="1"/>
  <c r="F650" i="22" s="1"/>
  <c r="C260" i="23" s="1"/>
  <c r="D260" i="24" s="1"/>
  <c r="D651" i="22" a="1"/>
  <c r="D651" i="22" s="1"/>
  <c r="F651" i="22" s="1"/>
  <c r="D653" i="22" a="1"/>
  <c r="D653" i="22" s="1"/>
  <c r="F653" i="22" s="1"/>
  <c r="M160" i="21"/>
  <c r="P160" i="21"/>
  <c r="M158" i="21"/>
  <c r="P158" i="21"/>
  <c r="M161" i="21"/>
  <c r="P161" i="21"/>
  <c r="Q158" i="21"/>
  <c r="Q160" i="21"/>
  <c r="J158" i="34" l="1" a="1"/>
  <c r="J158" i="34" s="1"/>
  <c r="J160" i="34" a="1"/>
  <c r="J160" i="34" s="1"/>
  <c r="J159" i="34" a="1"/>
  <c r="J159" i="34" s="1"/>
  <c r="J161" i="34" a="1"/>
  <c r="J161" i="34" s="1"/>
  <c r="Q147" i="34" a="1"/>
  <c r="Q147" i="34" s="1"/>
  <c r="P147" i="34" a="1"/>
  <c r="P147" i="34" s="1"/>
  <c r="R147" i="34" s="1" a="1"/>
  <c r="R147" i="34" s="1"/>
  <c r="C92" i="26"/>
  <c r="L152" i="21"/>
  <c r="D602" i="22" a="1"/>
  <c r="D602" i="22" s="1"/>
  <c r="F602" i="22" s="1"/>
  <c r="C242" i="23" s="1"/>
  <c r="D242" i="24" s="1"/>
  <c r="E242" i="24" s="1"/>
  <c r="F242" i="24" s="1"/>
  <c r="H242" i="24" s="1"/>
  <c r="I242" i="24" s="1"/>
  <c r="J242" i="24" s="1"/>
  <c r="D604" i="22" a="1"/>
  <c r="D604" i="22" s="1"/>
  <c r="F604" i="22" s="1"/>
  <c r="C248" i="23" s="1"/>
  <c r="D248" i="24" s="1"/>
  <c r="D605" i="22" a="1"/>
  <c r="D605" i="22" s="1"/>
  <c r="F605" i="22" s="1"/>
  <c r="D603" i="22" a="1"/>
  <c r="D603" i="22" s="1"/>
  <c r="F603" i="22" s="1"/>
  <c r="C247" i="23" s="1"/>
  <c r="D247" i="24" s="1"/>
  <c r="E247" i="24" s="1"/>
  <c r="Q152" i="21"/>
  <c r="K254" i="24"/>
  <c r="L161" i="34" s="1"/>
  <c r="L254" i="24"/>
  <c r="C262" i="24" s="1"/>
  <c r="E260" i="24"/>
  <c r="F260" i="24"/>
  <c r="H260" i="24" s="1"/>
  <c r="I260" i="24" s="1"/>
  <c r="J260" i="24" s="1"/>
  <c r="O160" i="21"/>
  <c r="N160" i="21"/>
  <c r="K253" i="24"/>
  <c r="L160" i="34" s="1"/>
  <c r="L253" i="24"/>
  <c r="C261" i="24" s="1"/>
  <c r="N161" i="21"/>
  <c r="O161" i="21"/>
  <c r="M164" i="21"/>
  <c r="P164" i="21"/>
  <c r="L251" i="24"/>
  <c r="C259" i="24" s="1"/>
  <c r="K251" i="24"/>
  <c r="L158" i="34" s="1"/>
  <c r="N158" i="21"/>
  <c r="O158" i="21"/>
  <c r="O160" i="34" l="1"/>
  <c r="M160" i="34"/>
  <c r="N160" i="34" s="1"/>
  <c r="M161" i="34"/>
  <c r="N161" i="34" s="1"/>
  <c r="O161" i="34"/>
  <c r="M159" i="34"/>
  <c r="N159" i="34" s="1"/>
  <c r="O159" i="34"/>
  <c r="M158" i="34"/>
  <c r="O158" i="34"/>
  <c r="N158" i="34"/>
  <c r="C165" i="21"/>
  <c r="E165" i="21" s="1"/>
  <c r="S160" i="21"/>
  <c r="T160" i="21" s="1"/>
  <c r="C163" i="21"/>
  <c r="E163" i="21" s="1"/>
  <c r="S158" i="21"/>
  <c r="C166" i="21"/>
  <c r="E166" i="21" s="1"/>
  <c r="S161" i="21"/>
  <c r="T158" i="21"/>
  <c r="T161" i="21"/>
  <c r="K242" i="24"/>
  <c r="L152" i="34" s="1"/>
  <c r="L242" i="24"/>
  <c r="C250" i="24" s="1"/>
  <c r="E248" i="24"/>
  <c r="F248" i="24" s="1"/>
  <c r="H248" i="24" s="1"/>
  <c r="I248" i="24" s="1"/>
  <c r="J248" i="24" s="1"/>
  <c r="P152" i="21"/>
  <c r="M152" i="21"/>
  <c r="K92" i="26"/>
  <c r="I152" i="34" s="1"/>
  <c r="E92" i="26"/>
  <c r="J92" i="26" s="1"/>
  <c r="H152" i="34" s="1"/>
  <c r="L260" i="24"/>
  <c r="C268" i="24" s="1"/>
  <c r="K260" i="24"/>
  <c r="L164" i="34" s="1"/>
  <c r="H163" i="21"/>
  <c r="I163" i="21" s="1"/>
  <c r="C99" i="26" s="1"/>
  <c r="H165" i="21"/>
  <c r="I165" i="21" s="1"/>
  <c r="J165" i="21" s="1"/>
  <c r="O164" i="21"/>
  <c r="N164" i="21"/>
  <c r="H166" i="21"/>
  <c r="I166" i="21" s="1"/>
  <c r="C100" i="26" s="1"/>
  <c r="P159" i="34" l="1" a="1"/>
  <c r="P159" i="34" s="1"/>
  <c r="R159" i="34" s="1" a="1"/>
  <c r="R159" i="34" s="1"/>
  <c r="Q159" i="34" a="1"/>
  <c r="Q159" i="34" s="1"/>
  <c r="P161" i="34" a="1"/>
  <c r="P161" i="34" s="1"/>
  <c r="R161" i="34" s="1" a="1"/>
  <c r="R161" i="34" s="1"/>
  <c r="Q161" i="34" a="1"/>
  <c r="Q161" i="34" s="1"/>
  <c r="Q158" i="34" a="1"/>
  <c r="Q158" i="34" s="1"/>
  <c r="P158" i="34" a="1"/>
  <c r="P158" i="34" s="1"/>
  <c r="R158" i="34" s="1" a="1"/>
  <c r="R158" i="34" s="1"/>
  <c r="P160" i="34" a="1"/>
  <c r="P160" i="34" s="1"/>
  <c r="R160" i="34" s="1" a="1"/>
  <c r="R160" i="34" s="1"/>
  <c r="Q160" i="34" a="1"/>
  <c r="Q160" i="34" s="1"/>
  <c r="C169" i="21"/>
  <c r="E169" i="21" s="1"/>
  <c r="S164" i="21"/>
  <c r="T164" i="21" s="1"/>
  <c r="E100" i="26"/>
  <c r="J100" i="26" s="1"/>
  <c r="K100" i="26"/>
  <c r="J166" i="21"/>
  <c r="J163" i="21"/>
  <c r="L92" i="26"/>
  <c r="J152" i="34" s="1" a="1"/>
  <c r="J152" i="34" s="1"/>
  <c r="M152" i="34" s="1"/>
  <c r="K248" i="24"/>
  <c r="L248" i="24"/>
  <c r="C256" i="24" s="1"/>
  <c r="E99" i="26"/>
  <c r="J99" i="26" s="1"/>
  <c r="K99" i="26"/>
  <c r="N152" i="21"/>
  <c r="O152" i="21"/>
  <c r="L165" i="21"/>
  <c r="Q165" i="21" s="1"/>
  <c r="D654" i="22" a="1"/>
  <c r="D654" i="22" s="1"/>
  <c r="F654" i="22" s="1"/>
  <c r="C261" i="23" s="1"/>
  <c r="D261" i="24" s="1"/>
  <c r="D656" i="22" a="1"/>
  <c r="D656" i="22" s="1"/>
  <c r="F656" i="22" s="1"/>
  <c r="D657" i="22" a="1"/>
  <c r="D657" i="22" s="1"/>
  <c r="F657" i="22" s="1"/>
  <c r="D655" i="22" a="1"/>
  <c r="D655" i="22" s="1"/>
  <c r="F655" i="22" s="1"/>
  <c r="L166" i="21"/>
  <c r="Q166" i="21" s="1"/>
  <c r="D660" i="22" a="1"/>
  <c r="D660" i="22" s="1"/>
  <c r="F660" i="22" s="1"/>
  <c r="D661" i="22" a="1"/>
  <c r="D661" i="22" s="1"/>
  <c r="F661" i="22" s="1"/>
  <c r="D658" i="22" a="1"/>
  <c r="D658" i="22" s="1"/>
  <c r="F658" i="22" s="1"/>
  <c r="C262" i="23" s="1"/>
  <c r="D262" i="24" s="1"/>
  <c r="D659" i="22" a="1"/>
  <c r="D659" i="22" s="1"/>
  <c r="F659" i="22" s="1"/>
  <c r="D647" i="22" a="1"/>
  <c r="D647" i="22" s="1"/>
  <c r="F647" i="22" s="1"/>
  <c r="D646" i="22" a="1"/>
  <c r="D646" i="22" s="1"/>
  <c r="F646" i="22" s="1"/>
  <c r="C259" i="23" s="1"/>
  <c r="D259" i="24" s="1"/>
  <c r="D648" i="22" a="1"/>
  <c r="D648" i="22" s="1"/>
  <c r="F648" i="22" s="1"/>
  <c r="D649" i="22" a="1"/>
  <c r="D649" i="22" s="1"/>
  <c r="F649" i="22" s="1"/>
  <c r="L163" i="21"/>
  <c r="Q163" i="21" s="1"/>
  <c r="H169" i="21"/>
  <c r="I169" i="21" s="1"/>
  <c r="H163" i="34" l="1"/>
  <c r="H165" i="34"/>
  <c r="H164" i="34"/>
  <c r="H166" i="34"/>
  <c r="N152" i="34"/>
  <c r="L100" i="26"/>
  <c r="I164" i="34"/>
  <c r="I166" i="34"/>
  <c r="O152" i="34"/>
  <c r="I163" i="34"/>
  <c r="I165" i="34"/>
  <c r="C157" i="21"/>
  <c r="E157" i="21" s="1"/>
  <c r="S152" i="21"/>
  <c r="T152" i="21"/>
  <c r="L99" i="26"/>
  <c r="H157" i="21"/>
  <c r="I157" i="21" s="1"/>
  <c r="J157" i="21" s="1"/>
  <c r="J169" i="21"/>
  <c r="E262" i="24"/>
  <c r="F262" i="24"/>
  <c r="H262" i="24" s="1"/>
  <c r="I262" i="24" s="1"/>
  <c r="J262" i="24" s="1"/>
  <c r="E259" i="24"/>
  <c r="F259" i="24" s="1"/>
  <c r="H259" i="24" s="1"/>
  <c r="I259" i="24" s="1"/>
  <c r="J259" i="24" s="1"/>
  <c r="L169" i="21"/>
  <c r="D673" i="22" a="1"/>
  <c r="D673" i="22" s="1"/>
  <c r="F673" i="22" s="1"/>
  <c r="D671" i="22" a="1"/>
  <c r="D671" i="22" s="1"/>
  <c r="F671" i="22" s="1"/>
  <c r="D670" i="22" a="1"/>
  <c r="D670" i="22" s="1"/>
  <c r="F670" i="22" s="1"/>
  <c r="C268" i="23" s="1"/>
  <c r="D268" i="24" s="1"/>
  <c r="D672" i="22" a="1"/>
  <c r="D672" i="22" s="1"/>
  <c r="F672" i="22" s="1"/>
  <c r="M166" i="21"/>
  <c r="P166" i="21"/>
  <c r="E261" i="24"/>
  <c r="F261" i="24" s="1"/>
  <c r="H261" i="24" s="1"/>
  <c r="I261" i="24" s="1"/>
  <c r="J261" i="24" s="1"/>
  <c r="M163" i="21"/>
  <c r="P163" i="21"/>
  <c r="M165" i="21"/>
  <c r="P165" i="21"/>
  <c r="J164" i="34" l="1" a="1"/>
  <c r="J164" i="34" s="1"/>
  <c r="J166" i="34" a="1"/>
  <c r="J166" i="34" s="1"/>
  <c r="P152" i="34" a="1"/>
  <c r="P152" i="34" s="1"/>
  <c r="R152" i="34" s="1" a="1"/>
  <c r="R152" i="34" s="1"/>
  <c r="Q152" i="34" a="1"/>
  <c r="Q152" i="34" s="1"/>
  <c r="J163" i="34" a="1"/>
  <c r="J163" i="34" s="1"/>
  <c r="J165" i="34" a="1"/>
  <c r="J165" i="34" s="1"/>
  <c r="C95" i="26"/>
  <c r="L157" i="21"/>
  <c r="Q157" i="21" s="1"/>
  <c r="D622" i="22" a="1"/>
  <c r="D622" i="22" s="1"/>
  <c r="F622" i="22" s="1"/>
  <c r="C250" i="23" s="1"/>
  <c r="D250" i="24" s="1"/>
  <c r="E250" i="24" s="1"/>
  <c r="F250" i="24" s="1"/>
  <c r="H250" i="24" s="1"/>
  <c r="I250" i="24" s="1"/>
  <c r="J250" i="24" s="1"/>
  <c r="D624" i="22" a="1"/>
  <c r="D624" i="22" s="1"/>
  <c r="F624" i="22" s="1"/>
  <c r="C256" i="23" s="1"/>
  <c r="D256" i="24" s="1"/>
  <c r="D623" i="22" a="1"/>
  <c r="D623" i="22" s="1"/>
  <c r="F623" i="22" s="1"/>
  <c r="C255" i="23" s="1"/>
  <c r="D255" i="24" s="1"/>
  <c r="E255" i="24" s="1"/>
  <c r="D625" i="22" a="1"/>
  <c r="D625" i="22" s="1"/>
  <c r="F625" i="22" s="1"/>
  <c r="C257" i="23" s="1"/>
  <c r="D257" i="24" s="1"/>
  <c r="E257" i="24" s="1"/>
  <c r="L261" i="24"/>
  <c r="C269" i="24" s="1"/>
  <c r="K261" i="24"/>
  <c r="L165" i="34" s="1"/>
  <c r="M169" i="21"/>
  <c r="P169" i="21"/>
  <c r="K259" i="24"/>
  <c r="L163" i="34" s="1"/>
  <c r="L259" i="24"/>
  <c r="C267" i="24" s="1"/>
  <c r="N166" i="21"/>
  <c r="O166" i="21"/>
  <c r="L262" i="24"/>
  <c r="C270" i="24" s="1"/>
  <c r="K262" i="24"/>
  <c r="L166" i="34" s="1"/>
  <c r="Q169" i="21"/>
  <c r="N165" i="21"/>
  <c r="O165" i="21"/>
  <c r="E268" i="24"/>
  <c r="F268" i="24" s="1"/>
  <c r="H268" i="24" s="1"/>
  <c r="I268" i="24" s="1"/>
  <c r="J268" i="24" s="1"/>
  <c r="O163" i="21"/>
  <c r="N163" i="21"/>
  <c r="M166" i="34" l="1"/>
  <c r="O166" i="34"/>
  <c r="N166" i="34"/>
  <c r="M163" i="34"/>
  <c r="N163" i="34" s="1"/>
  <c r="O163" i="34"/>
  <c r="O165" i="34"/>
  <c r="M165" i="34"/>
  <c r="N165" i="34" s="1"/>
  <c r="M164" i="34"/>
  <c r="N164" i="34" s="1"/>
  <c r="O164" i="34"/>
  <c r="C170" i="21"/>
  <c r="E170" i="21" s="1"/>
  <c r="S165" i="21"/>
  <c r="T165" i="21"/>
  <c r="C171" i="21"/>
  <c r="E171" i="21" s="1"/>
  <c r="S166" i="21"/>
  <c r="C168" i="21"/>
  <c r="E168" i="21" s="1"/>
  <c r="S163" i="21"/>
  <c r="T163" i="21" s="1"/>
  <c r="T166" i="21"/>
  <c r="K95" i="26"/>
  <c r="I157" i="34" s="1"/>
  <c r="E95" i="26"/>
  <c r="J95" i="26" s="1"/>
  <c r="H157" i="34" s="1"/>
  <c r="P157" i="21"/>
  <c r="M157" i="21"/>
  <c r="E256" i="24"/>
  <c r="F256" i="24" s="1"/>
  <c r="H256" i="24" s="1"/>
  <c r="I256" i="24" s="1"/>
  <c r="J256" i="24" s="1"/>
  <c r="K250" i="24"/>
  <c r="L157" i="34" s="1"/>
  <c r="L250" i="24"/>
  <c r="C258" i="24" s="1"/>
  <c r="K268" i="24"/>
  <c r="L169" i="34" s="1"/>
  <c r="L268" i="24"/>
  <c r="C276" i="24" s="1"/>
  <c r="H171" i="21"/>
  <c r="I171" i="21" s="1"/>
  <c r="C103" i="26" s="1"/>
  <c r="N169" i="21"/>
  <c r="O169" i="21"/>
  <c r="H168" i="21"/>
  <c r="I168" i="21" s="1"/>
  <c r="H170" i="21"/>
  <c r="I170" i="21" s="1"/>
  <c r="J170" i="21" s="1"/>
  <c r="Q164" i="34" l="1" a="1"/>
  <c r="Q164" i="34" s="1"/>
  <c r="P164" i="34" a="1"/>
  <c r="P164" i="34" s="1"/>
  <c r="R164" i="34" s="1" a="1"/>
  <c r="R164" i="34" s="1"/>
  <c r="Q165" i="34" a="1"/>
  <c r="Q165" i="34" s="1"/>
  <c r="P165" i="34" a="1"/>
  <c r="P165" i="34" s="1"/>
  <c r="R165" i="34" s="1" a="1"/>
  <c r="R165" i="34" s="1"/>
  <c r="P163" i="34" a="1"/>
  <c r="P163" i="34" s="1"/>
  <c r="R163" i="34" s="1" a="1"/>
  <c r="R163" i="34" s="1"/>
  <c r="Q163" i="34" a="1"/>
  <c r="Q163" i="34" s="1"/>
  <c r="Q166" i="34" a="1"/>
  <c r="Q166" i="34" s="1"/>
  <c r="P166" i="34" a="1"/>
  <c r="P166" i="34" s="1"/>
  <c r="R166" i="34" s="1" a="1"/>
  <c r="R166" i="34" s="1"/>
  <c r="C174" i="21"/>
  <c r="E174" i="21" s="1"/>
  <c r="S169" i="21"/>
  <c r="T169" i="21" s="1"/>
  <c r="K256" i="24"/>
  <c r="L256" i="24"/>
  <c r="C264" i="24" s="1"/>
  <c r="J171" i="21"/>
  <c r="J168" i="21"/>
  <c r="C102" i="26"/>
  <c r="E103" i="26"/>
  <c r="J103" i="26" s="1"/>
  <c r="K103" i="26"/>
  <c r="N157" i="21"/>
  <c r="O157" i="21"/>
  <c r="L95" i="26"/>
  <c r="J157" i="34" s="1" a="1"/>
  <c r="J157" i="34" s="1"/>
  <c r="H174" i="21"/>
  <c r="I174" i="21" s="1"/>
  <c r="L168" i="21"/>
  <c r="D667" i="22" a="1"/>
  <c r="D667" i="22" s="1"/>
  <c r="F667" i="22" s="1"/>
  <c r="D668" i="22" a="1"/>
  <c r="D668" i="22" s="1"/>
  <c r="F668" i="22" s="1"/>
  <c r="D666" i="22" a="1"/>
  <c r="D666" i="22" s="1"/>
  <c r="F666" i="22" s="1"/>
  <c r="C267" i="23" s="1"/>
  <c r="D267" i="24" s="1"/>
  <c r="D669" i="22" a="1"/>
  <c r="D669" i="22" s="1"/>
  <c r="F669" i="22" s="1"/>
  <c r="L170" i="21"/>
  <c r="Q170" i="21" s="1"/>
  <c r="D674" i="22" a="1"/>
  <c r="D674" i="22" s="1"/>
  <c r="F674" i="22" s="1"/>
  <c r="C269" i="23" s="1"/>
  <c r="D269" i="24" s="1"/>
  <c r="D675" i="22" a="1"/>
  <c r="D675" i="22" s="1"/>
  <c r="F675" i="22" s="1"/>
  <c r="D676" i="22" a="1"/>
  <c r="D676" i="22" s="1"/>
  <c r="F676" i="22" s="1"/>
  <c r="D677" i="22" a="1"/>
  <c r="D677" i="22" s="1"/>
  <c r="F677" i="22" s="1"/>
  <c r="L171" i="21"/>
  <c r="D681" i="22" a="1"/>
  <c r="D681" i="22" s="1"/>
  <c r="F681" i="22" s="1"/>
  <c r="D678" i="22" a="1"/>
  <c r="D678" i="22" s="1"/>
  <c r="F678" i="22" s="1"/>
  <c r="C270" i="23" s="1"/>
  <c r="D270" i="24" s="1"/>
  <c r="D679" i="22" a="1"/>
  <c r="D679" i="22" s="1"/>
  <c r="F679" i="22" s="1"/>
  <c r="D680" i="22" a="1"/>
  <c r="D680" i="22" s="1"/>
  <c r="F680" i="22" s="1"/>
  <c r="H171" i="34" l="1"/>
  <c r="H169" i="34"/>
  <c r="M157" i="34"/>
  <c r="N157" i="34" s="1"/>
  <c r="L103" i="26"/>
  <c r="I169" i="34"/>
  <c r="I171" i="34"/>
  <c r="O157" i="34"/>
  <c r="C162" i="21"/>
  <c r="E162" i="21" s="1"/>
  <c r="S157" i="21"/>
  <c r="T157" i="21"/>
  <c r="J174" i="21"/>
  <c r="H162" i="21"/>
  <c r="I162" i="21" s="1"/>
  <c r="J162" i="21"/>
  <c r="E102" i="26"/>
  <c r="J102" i="26" s="1"/>
  <c r="K102" i="26"/>
  <c r="E267" i="24"/>
  <c r="F267" i="24" s="1"/>
  <c r="H267" i="24" s="1"/>
  <c r="I267" i="24" s="1"/>
  <c r="J267" i="24" s="1"/>
  <c r="M168" i="21"/>
  <c r="P168" i="21"/>
  <c r="M170" i="21"/>
  <c r="P170" i="21"/>
  <c r="E269" i="24"/>
  <c r="F269" i="24"/>
  <c r="H269" i="24" s="1"/>
  <c r="I269" i="24" s="1"/>
  <c r="J269" i="24" s="1"/>
  <c r="Q168" i="21"/>
  <c r="L174" i="21"/>
  <c r="Q174" i="21" s="1"/>
  <c r="D693" i="22" a="1"/>
  <c r="D693" i="22" s="1"/>
  <c r="F693" i="22" s="1"/>
  <c r="D691" i="22" a="1"/>
  <c r="D691" i="22" s="1"/>
  <c r="F691" i="22" s="1"/>
  <c r="D692" i="22" a="1"/>
  <c r="D692" i="22" s="1"/>
  <c r="F692" i="22" s="1"/>
  <c r="D690" i="22" a="1"/>
  <c r="D690" i="22" s="1"/>
  <c r="F690" i="22" s="1"/>
  <c r="C276" i="23" s="1"/>
  <c r="D276" i="24" s="1"/>
  <c r="E270" i="24"/>
  <c r="F270" i="24" s="1"/>
  <c r="H270" i="24" s="1"/>
  <c r="I270" i="24" s="1"/>
  <c r="J270" i="24" s="1"/>
  <c r="M171" i="21"/>
  <c r="P171" i="21"/>
  <c r="Q171" i="21"/>
  <c r="P157" i="34" l="1" a="1"/>
  <c r="P157" i="34" s="1"/>
  <c r="R157" i="34" s="1" a="1"/>
  <c r="R157" i="34" s="1"/>
  <c r="Q157" i="34" a="1"/>
  <c r="Q157" i="34" s="1"/>
  <c r="J169" i="34" a="1"/>
  <c r="J169" i="34" s="1"/>
  <c r="J171" i="34" a="1"/>
  <c r="J171" i="34" s="1"/>
  <c r="L102" i="26"/>
  <c r="I168" i="34"/>
  <c r="I170" i="34"/>
  <c r="H170" i="34"/>
  <c r="H168" i="34"/>
  <c r="C98" i="26"/>
  <c r="L162" i="21"/>
  <c r="Q162" i="21" s="1"/>
  <c r="D642" i="22" a="1"/>
  <c r="D642" i="22" s="1"/>
  <c r="F642" i="22" s="1"/>
  <c r="C258" i="23" s="1"/>
  <c r="D258" i="24" s="1"/>
  <c r="E258" i="24" s="1"/>
  <c r="F258" i="24" s="1"/>
  <c r="H258" i="24" s="1"/>
  <c r="I258" i="24" s="1"/>
  <c r="J258" i="24" s="1"/>
  <c r="D644" i="22" a="1"/>
  <c r="D644" i="22" s="1"/>
  <c r="F644" i="22" s="1"/>
  <c r="C264" i="23" s="1"/>
  <c r="D264" i="24" s="1"/>
  <c r="E264" i="24" s="1"/>
  <c r="F264" i="24" s="1"/>
  <c r="H264" i="24" s="1"/>
  <c r="I264" i="24" s="1"/>
  <c r="J264" i="24" s="1"/>
  <c r="D645" i="22" a="1"/>
  <c r="D645" i="22" s="1"/>
  <c r="F645" i="22" s="1"/>
  <c r="C265" i="23" s="1"/>
  <c r="D265" i="24" s="1"/>
  <c r="E265" i="24" s="1"/>
  <c r="D643" i="22" a="1"/>
  <c r="D643" i="22" s="1"/>
  <c r="F643" i="22" s="1"/>
  <c r="C263" i="23" s="1"/>
  <c r="D263" i="24" s="1"/>
  <c r="E263" i="24" s="1"/>
  <c r="L267" i="24"/>
  <c r="C275" i="24" s="1"/>
  <c r="K267" i="24"/>
  <c r="L168" i="34" s="1"/>
  <c r="O171" i="21"/>
  <c r="N171" i="21"/>
  <c r="M174" i="21"/>
  <c r="P174" i="21"/>
  <c r="K269" i="24"/>
  <c r="L170" i="34" s="1"/>
  <c r="L269" i="24"/>
  <c r="C277" i="24" s="1"/>
  <c r="K270" i="24"/>
  <c r="L171" i="34" s="1"/>
  <c r="L270" i="24"/>
  <c r="C278" i="24" s="1"/>
  <c r="N170" i="21"/>
  <c r="O170" i="21"/>
  <c r="O168" i="21"/>
  <c r="N168" i="21"/>
  <c r="E276" i="24"/>
  <c r="F276" i="24" s="1"/>
  <c r="H276" i="24" s="1"/>
  <c r="I276" i="24" s="1"/>
  <c r="J276" i="24" s="1"/>
  <c r="M171" i="34" l="1"/>
  <c r="N171" i="34" s="1"/>
  <c r="O171" i="34"/>
  <c r="J168" i="34" a="1"/>
  <c r="J168" i="34" s="1"/>
  <c r="M168" i="34" s="1"/>
  <c r="J170" i="34" a="1"/>
  <c r="J170" i="34" s="1"/>
  <c r="M169" i="34"/>
  <c r="N169" i="34" s="1"/>
  <c r="O169" i="34"/>
  <c r="C176" i="21"/>
  <c r="E176" i="21" s="1"/>
  <c r="S171" i="21"/>
  <c r="C173" i="21"/>
  <c r="E173" i="21" s="1"/>
  <c r="S168" i="21"/>
  <c r="T168" i="21" s="1"/>
  <c r="C175" i="21"/>
  <c r="E175" i="21" s="1"/>
  <c r="S170" i="21"/>
  <c r="T170" i="21"/>
  <c r="T171" i="21"/>
  <c r="L264" i="24"/>
  <c r="C272" i="24" s="1"/>
  <c r="K264" i="24"/>
  <c r="L258" i="24"/>
  <c r="C266" i="24" s="1"/>
  <c r="K258" i="24"/>
  <c r="L162" i="34" s="1"/>
  <c r="P162" i="21"/>
  <c r="M162" i="21"/>
  <c r="E98" i="26"/>
  <c r="J98" i="26" s="1"/>
  <c r="H162" i="34" s="1"/>
  <c r="K98" i="26"/>
  <c r="L276" i="24"/>
  <c r="C284" i="24" s="1"/>
  <c r="K276" i="24"/>
  <c r="L174" i="34" s="1"/>
  <c r="O174" i="21"/>
  <c r="N174" i="21"/>
  <c r="H176" i="21"/>
  <c r="I176" i="21" s="1"/>
  <c r="C106" i="26" s="1"/>
  <c r="H173" i="21"/>
  <c r="I173" i="21" s="1"/>
  <c r="C105" i="26" s="1"/>
  <c r="H175" i="21"/>
  <c r="I175" i="21" s="1"/>
  <c r="J175" i="21" s="1"/>
  <c r="N168" i="34" l="1"/>
  <c r="O168" i="34"/>
  <c r="L98" i="26"/>
  <c r="J162" i="34" s="1" a="1"/>
  <c r="J162" i="34" s="1"/>
  <c r="M162" i="34" s="1"/>
  <c r="I162" i="34"/>
  <c r="Q171" i="34" a="1"/>
  <c r="Q171" i="34" s="1"/>
  <c r="P171" i="34" a="1"/>
  <c r="P171" i="34" s="1"/>
  <c r="R171" i="34" s="1" a="1"/>
  <c r="R171" i="34" s="1"/>
  <c r="O170" i="34"/>
  <c r="M170" i="34"/>
  <c r="N170" i="34" s="1"/>
  <c r="Q169" i="34" a="1"/>
  <c r="Q169" i="34" s="1"/>
  <c r="P169" i="34" a="1"/>
  <c r="P169" i="34" s="1"/>
  <c r="R169" i="34" s="1" a="1"/>
  <c r="R169" i="34" s="1"/>
  <c r="C179" i="21"/>
  <c r="E179" i="21" s="1"/>
  <c r="S174" i="21"/>
  <c r="T174" i="21" s="1"/>
  <c r="J173" i="21"/>
  <c r="J176" i="21"/>
  <c r="K105" i="26"/>
  <c r="E105" i="26"/>
  <c r="J105" i="26" s="1"/>
  <c r="O162" i="21"/>
  <c r="N162" i="21"/>
  <c r="K106" i="26"/>
  <c r="E106" i="26"/>
  <c r="J106" i="26" s="1"/>
  <c r="L176" i="21"/>
  <c r="Q176" i="21" s="1"/>
  <c r="D700" i="22" a="1"/>
  <c r="D700" i="22" s="1"/>
  <c r="F700" i="22" s="1"/>
  <c r="D701" i="22" a="1"/>
  <c r="D701" i="22" s="1"/>
  <c r="F701" i="22" s="1"/>
  <c r="D698" i="22" a="1"/>
  <c r="D698" i="22" s="1"/>
  <c r="F698" i="22" s="1"/>
  <c r="C278" i="23" s="1"/>
  <c r="D278" i="24" s="1"/>
  <c r="D699" i="22" a="1"/>
  <c r="D699" i="22" s="1"/>
  <c r="F699" i="22" s="1"/>
  <c r="L175" i="21"/>
  <c r="D696" i="22" a="1"/>
  <c r="D696" i="22" s="1"/>
  <c r="F696" i="22" s="1"/>
  <c r="D697" i="22" a="1"/>
  <c r="D697" i="22" s="1"/>
  <c r="F697" i="22" s="1"/>
  <c r="D694" i="22" a="1"/>
  <c r="D694" i="22" s="1"/>
  <c r="F694" i="22" s="1"/>
  <c r="C277" i="23" s="1"/>
  <c r="D277" i="24" s="1"/>
  <c r="D695" i="22" a="1"/>
  <c r="D695" i="22" s="1"/>
  <c r="F695" i="22" s="1"/>
  <c r="Q175" i="21"/>
  <c r="H179" i="21"/>
  <c r="I179" i="21" s="1"/>
  <c r="J179" i="21" s="1"/>
  <c r="D689" i="22" a="1"/>
  <c r="D689" i="22" s="1"/>
  <c r="F689" i="22" s="1"/>
  <c r="D686" i="22" a="1"/>
  <c r="D686" i="22" s="1"/>
  <c r="F686" i="22" s="1"/>
  <c r="C275" i="23" s="1"/>
  <c r="D275" i="24" s="1"/>
  <c r="D687" i="22" a="1"/>
  <c r="D687" i="22" s="1"/>
  <c r="F687" i="22" s="1"/>
  <c r="D688" i="22" a="1"/>
  <c r="D688" i="22" s="1"/>
  <c r="F688" i="22" s="1"/>
  <c r="L173" i="21"/>
  <c r="Q170" i="34" l="1" a="1"/>
  <c r="Q170" i="34" s="1"/>
  <c r="P170" i="34" a="1"/>
  <c r="P170" i="34" s="1"/>
  <c r="R170" i="34" s="1" a="1"/>
  <c r="R170" i="34" s="1"/>
  <c r="H175" i="34"/>
  <c r="H173" i="34"/>
  <c r="H174" i="34"/>
  <c r="H176" i="34"/>
  <c r="N162" i="34"/>
  <c r="Q168" i="34" a="1"/>
  <c r="Q168" i="34" s="1"/>
  <c r="P168" i="34" a="1"/>
  <c r="P168" i="34" s="1"/>
  <c r="R168" i="34" s="1" a="1"/>
  <c r="R168" i="34" s="1"/>
  <c r="I173" i="34"/>
  <c r="I175" i="34"/>
  <c r="I176" i="34"/>
  <c r="I174" i="34"/>
  <c r="O162" i="34"/>
  <c r="C167" i="21"/>
  <c r="E167" i="21" s="1"/>
  <c r="S162" i="21"/>
  <c r="T162" i="21" s="1"/>
  <c r="H167" i="21"/>
  <c r="I167" i="21" s="1"/>
  <c r="J167" i="21" s="1"/>
  <c r="L106" i="26"/>
  <c r="L105" i="26"/>
  <c r="E277" i="24"/>
  <c r="F277" i="24" s="1"/>
  <c r="H277" i="24" s="1"/>
  <c r="I277" i="24" s="1"/>
  <c r="J277" i="24" s="1"/>
  <c r="E275" i="24"/>
  <c r="F275" i="24" s="1"/>
  <c r="H275" i="24" s="1"/>
  <c r="I275" i="24" s="1"/>
  <c r="J275" i="24" s="1"/>
  <c r="E278" i="24"/>
  <c r="F278" i="24" s="1"/>
  <c r="H278" i="24" s="1"/>
  <c r="I278" i="24" s="1"/>
  <c r="J278" i="24" s="1"/>
  <c r="L179" i="21"/>
  <c r="Q179" i="21" s="1"/>
  <c r="D710" i="22" a="1"/>
  <c r="D710" i="22" s="1"/>
  <c r="F710" i="22" s="1"/>
  <c r="C284" i="23" s="1"/>
  <c r="D284" i="24" s="1"/>
  <c r="D711" i="22" a="1"/>
  <c r="D711" i="22" s="1"/>
  <c r="F711" i="22" s="1"/>
  <c r="D713" i="22" a="1"/>
  <c r="D713" i="22" s="1"/>
  <c r="F713" i="22" s="1"/>
  <c r="D712" i="22" a="1"/>
  <c r="D712" i="22" s="1"/>
  <c r="F712" i="22" s="1"/>
  <c r="M176" i="21"/>
  <c r="P176" i="21"/>
  <c r="M173" i="21"/>
  <c r="P173" i="21"/>
  <c r="Q173" i="21"/>
  <c r="M175" i="21"/>
  <c r="P175" i="21"/>
  <c r="J175" i="34" l="1" a="1"/>
  <c r="J175" i="34" s="1"/>
  <c r="J173" i="34" a="1"/>
  <c r="J173" i="34" s="1"/>
  <c r="Q162" i="34" a="1"/>
  <c r="Q162" i="34" s="1"/>
  <c r="P162" i="34" a="1"/>
  <c r="P162" i="34" s="1"/>
  <c r="R162" i="34" s="1" a="1"/>
  <c r="R162" i="34" s="1"/>
  <c r="J176" i="34" a="1"/>
  <c r="J176" i="34" s="1"/>
  <c r="J174" i="34" a="1"/>
  <c r="J174" i="34" s="1"/>
  <c r="C101" i="26"/>
  <c r="L167" i="21"/>
  <c r="D665" i="22" a="1"/>
  <c r="D665" i="22" s="1"/>
  <c r="F665" i="22" s="1"/>
  <c r="C273" i="23" s="1"/>
  <c r="D273" i="24" s="1"/>
  <c r="E273" i="24" s="1"/>
  <c r="D664" i="22" a="1"/>
  <c r="D664" i="22" s="1"/>
  <c r="F664" i="22" s="1"/>
  <c r="C272" i="23" s="1"/>
  <c r="D272" i="24" s="1"/>
  <c r="D662" i="22" a="1"/>
  <c r="D662" i="22" s="1"/>
  <c r="F662" i="22" s="1"/>
  <c r="C266" i="23" s="1"/>
  <c r="D266" i="24" s="1"/>
  <c r="E266" i="24" s="1"/>
  <c r="F266" i="24" s="1"/>
  <c r="H266" i="24" s="1"/>
  <c r="I266" i="24" s="1"/>
  <c r="J266" i="24" s="1"/>
  <c r="D663" i="22" a="1"/>
  <c r="D663" i="22" s="1"/>
  <c r="F663" i="22" s="1"/>
  <c r="C271" i="23" s="1"/>
  <c r="D271" i="24" s="1"/>
  <c r="E271" i="24" s="1"/>
  <c r="Q167" i="21"/>
  <c r="K277" i="24"/>
  <c r="L175" i="34" s="1"/>
  <c r="L277" i="24"/>
  <c r="C285" i="24" s="1"/>
  <c r="E284" i="24"/>
  <c r="F284" i="24" s="1"/>
  <c r="H284" i="24" s="1"/>
  <c r="I284" i="24" s="1"/>
  <c r="J284" i="24" s="1"/>
  <c r="N176" i="21"/>
  <c r="O176" i="21"/>
  <c r="L275" i="24"/>
  <c r="C283" i="24" s="1"/>
  <c r="K275" i="24"/>
  <c r="L173" i="34" s="1"/>
  <c r="O175" i="21"/>
  <c r="N175" i="21"/>
  <c r="M179" i="21"/>
  <c r="P179" i="21"/>
  <c r="K278" i="24"/>
  <c r="L176" i="34" s="1"/>
  <c r="L278" i="24"/>
  <c r="C286" i="24" s="1"/>
  <c r="N173" i="21"/>
  <c r="O173" i="21"/>
  <c r="M173" i="34" l="1"/>
  <c r="N173" i="34" s="1"/>
  <c r="O173" i="34"/>
  <c r="O176" i="34"/>
  <c r="M176" i="34"/>
  <c r="N176" i="34" s="1"/>
  <c r="M174" i="34"/>
  <c r="O174" i="34"/>
  <c r="N174" i="34"/>
  <c r="M175" i="34"/>
  <c r="N175" i="34" s="1"/>
  <c r="O175" i="34"/>
  <c r="C178" i="21"/>
  <c r="E178" i="21" s="1"/>
  <c r="S173" i="21"/>
  <c r="T173" i="21"/>
  <c r="C180" i="21"/>
  <c r="E180" i="21" s="1"/>
  <c r="H180" i="21" s="1"/>
  <c r="I180" i="21" s="1"/>
  <c r="S175" i="21"/>
  <c r="T175" i="21" s="1"/>
  <c r="C181" i="21"/>
  <c r="E181" i="21" s="1"/>
  <c r="H181" i="21" s="1"/>
  <c r="I181" i="21" s="1"/>
  <c r="C109" i="26" s="1"/>
  <c r="S176" i="21"/>
  <c r="T176" i="21" s="1"/>
  <c r="K266" i="24"/>
  <c r="L167" i="34" s="1"/>
  <c r="L266" i="24"/>
  <c r="C274" i="24" s="1"/>
  <c r="E272" i="24"/>
  <c r="F272" i="24" s="1"/>
  <c r="H272" i="24" s="1"/>
  <c r="I272" i="24" s="1"/>
  <c r="J272" i="24" s="1"/>
  <c r="P167" i="21"/>
  <c r="M167" i="21"/>
  <c r="E101" i="26"/>
  <c r="J101" i="26" s="1"/>
  <c r="H167" i="34" s="1"/>
  <c r="K101" i="26"/>
  <c r="H178" i="21"/>
  <c r="I178" i="21" s="1"/>
  <c r="J178" i="21" s="1"/>
  <c r="K284" i="24"/>
  <c r="L179" i="34" s="1"/>
  <c r="L284" i="24"/>
  <c r="C292" i="24" s="1"/>
  <c r="N179" i="21"/>
  <c r="O179" i="21"/>
  <c r="Q174" i="34" l="1" a="1"/>
  <c r="Q174" i="34" s="1"/>
  <c r="P174" i="34" a="1"/>
  <c r="P174" i="34" s="1"/>
  <c r="R174" i="34" s="1" a="1"/>
  <c r="R174" i="34" s="1"/>
  <c r="Q176" i="34" a="1"/>
  <c r="Q176" i="34" s="1"/>
  <c r="P176" i="34" a="1"/>
  <c r="P176" i="34" s="1"/>
  <c r="R176" i="34" s="1" a="1"/>
  <c r="R176" i="34" s="1"/>
  <c r="Q173" i="34" a="1"/>
  <c r="Q173" i="34" s="1"/>
  <c r="P173" i="34" a="1"/>
  <c r="P173" i="34" s="1"/>
  <c r="R173" i="34" s="1" a="1"/>
  <c r="R173" i="34" s="1"/>
  <c r="Q175" i="34" a="1"/>
  <c r="Q175" i="34" s="1"/>
  <c r="P175" i="34" a="1"/>
  <c r="P175" i="34" s="1"/>
  <c r="R175" i="34" s="1" a="1"/>
  <c r="R175" i="34" s="1"/>
  <c r="L101" i="26"/>
  <c r="J167" i="34" s="1" a="1"/>
  <c r="J167" i="34" s="1"/>
  <c r="I167" i="34"/>
  <c r="C108" i="26"/>
  <c r="K108" i="26" s="1"/>
  <c r="J181" i="21"/>
  <c r="J180" i="21"/>
  <c r="C184" i="21"/>
  <c r="E184" i="21" s="1"/>
  <c r="S179" i="21"/>
  <c r="T179" i="21" s="1"/>
  <c r="N167" i="21"/>
  <c r="O167" i="21"/>
  <c r="K109" i="26"/>
  <c r="E109" i="26"/>
  <c r="J109" i="26" s="1"/>
  <c r="K272" i="24"/>
  <c r="L272" i="24"/>
  <c r="C280" i="24" s="1"/>
  <c r="L180" i="21"/>
  <c r="D717" i="22" a="1"/>
  <c r="D717" i="22" s="1"/>
  <c r="F717" i="22" s="1"/>
  <c r="D714" i="22" a="1"/>
  <c r="D714" i="22" s="1"/>
  <c r="F714" i="22" s="1"/>
  <c r="C285" i="23" s="1"/>
  <c r="D285" i="24" s="1"/>
  <c r="D715" i="22" a="1"/>
  <c r="D715" i="22" s="1"/>
  <c r="F715" i="22" s="1"/>
  <c r="D716" i="22" a="1"/>
  <c r="D716" i="22" s="1"/>
  <c r="F716" i="22" s="1"/>
  <c r="H184" i="21"/>
  <c r="I184" i="21" s="1"/>
  <c r="L178" i="21"/>
  <c r="Q178" i="21" s="1"/>
  <c r="D706" i="22" a="1"/>
  <c r="D706" i="22" s="1"/>
  <c r="F706" i="22" s="1"/>
  <c r="C283" i="23" s="1"/>
  <c r="D283" i="24" s="1"/>
  <c r="D709" i="22" a="1"/>
  <c r="D709" i="22" s="1"/>
  <c r="F709" i="22" s="1"/>
  <c r="D707" i="22" a="1"/>
  <c r="D707" i="22" s="1"/>
  <c r="F707" i="22" s="1"/>
  <c r="D708" i="22" a="1"/>
  <c r="D708" i="22" s="1"/>
  <c r="F708" i="22" s="1"/>
  <c r="L181" i="21"/>
  <c r="D718" i="22" a="1"/>
  <c r="D718" i="22" s="1"/>
  <c r="F718" i="22" s="1"/>
  <c r="C286" i="23" s="1"/>
  <c r="D286" i="24" s="1"/>
  <c r="D721" i="22" a="1"/>
  <c r="D721" i="22" s="1"/>
  <c r="F721" i="22" s="1"/>
  <c r="D719" i="22" a="1"/>
  <c r="D719" i="22" s="1"/>
  <c r="F719" i="22" s="1"/>
  <c r="D720" i="22" a="1"/>
  <c r="D720" i="22" s="1"/>
  <c r="F720" i="22" s="1"/>
  <c r="I179" i="34" l="1"/>
  <c r="I181" i="34"/>
  <c r="I180" i="34"/>
  <c r="I178" i="34"/>
  <c r="M167" i="34"/>
  <c r="N167" i="34" s="1"/>
  <c r="O167" i="34"/>
  <c r="H181" i="34"/>
  <c r="H179" i="34"/>
  <c r="C172" i="21"/>
  <c r="E172" i="21" s="1"/>
  <c r="S167" i="21"/>
  <c r="E108" i="26"/>
  <c r="J108" i="26" s="1"/>
  <c r="T167" i="21"/>
  <c r="J184" i="21"/>
  <c r="L109" i="26"/>
  <c r="H172" i="21"/>
  <c r="I172" i="21" s="1"/>
  <c r="J172" i="21" s="1"/>
  <c r="E286" i="24"/>
  <c r="F286" i="24" s="1"/>
  <c r="H286" i="24" s="1"/>
  <c r="I286" i="24" s="1"/>
  <c r="J286" i="24" s="1"/>
  <c r="M181" i="21"/>
  <c r="P181" i="21"/>
  <c r="M180" i="21"/>
  <c r="P180" i="21"/>
  <c r="M178" i="21"/>
  <c r="P178" i="21"/>
  <c r="E283" i="24"/>
  <c r="F283" i="24" s="1"/>
  <c r="H283" i="24" s="1"/>
  <c r="I283" i="24" s="1"/>
  <c r="J283" i="24" s="1"/>
  <c r="Q181" i="21"/>
  <c r="E285" i="24"/>
  <c r="F285" i="24" s="1"/>
  <c r="H285" i="24" s="1"/>
  <c r="I285" i="24" s="1"/>
  <c r="J285" i="24" s="1"/>
  <c r="L184" i="21"/>
  <c r="Q184" i="21" s="1"/>
  <c r="D731" i="22" a="1"/>
  <c r="D731" i="22" s="1"/>
  <c r="F731" i="22" s="1"/>
  <c r="D732" i="22" a="1"/>
  <c r="D732" i="22" s="1"/>
  <c r="F732" i="22" s="1"/>
  <c r="D730" i="22" a="1"/>
  <c r="D730" i="22" s="1"/>
  <c r="F730" i="22" s="1"/>
  <c r="C292" i="23" s="1"/>
  <c r="D292" i="24" s="1"/>
  <c r="D733" i="22" a="1"/>
  <c r="D733" i="22" s="1"/>
  <c r="F733" i="22" s="1"/>
  <c r="Q180" i="21"/>
  <c r="H178" i="34" l="1"/>
  <c r="H180" i="34"/>
  <c r="Q167" i="34" a="1"/>
  <c r="Q167" i="34" s="1"/>
  <c r="P167" i="34" a="1"/>
  <c r="P167" i="34" s="1"/>
  <c r="R167" i="34" s="1" a="1"/>
  <c r="R167" i="34" s="1"/>
  <c r="J181" i="34" a="1"/>
  <c r="J181" i="34" s="1"/>
  <c r="J179" i="34" a="1"/>
  <c r="J179" i="34" s="1"/>
  <c r="L108" i="26"/>
  <c r="C104" i="26"/>
  <c r="L172" i="21"/>
  <c r="D682" i="22" a="1"/>
  <c r="D682" i="22" s="1"/>
  <c r="F682" i="22" s="1"/>
  <c r="C274" i="23" s="1"/>
  <c r="D274" i="24" s="1"/>
  <c r="E274" i="24" s="1"/>
  <c r="F274" i="24" s="1"/>
  <c r="H274" i="24" s="1"/>
  <c r="I274" i="24" s="1"/>
  <c r="J274" i="24" s="1"/>
  <c r="D685" i="22" a="1"/>
  <c r="D685" i="22" s="1"/>
  <c r="F685" i="22" s="1"/>
  <c r="C281" i="23" s="1"/>
  <c r="D281" i="24" s="1"/>
  <c r="E281" i="24" s="1"/>
  <c r="D683" i="22" a="1"/>
  <c r="D683" i="22" s="1"/>
  <c r="F683" i="22" s="1"/>
  <c r="C279" i="23" s="1"/>
  <c r="D279" i="24" s="1"/>
  <c r="E279" i="24" s="1"/>
  <c r="D684" i="22" a="1"/>
  <c r="D684" i="22" s="1"/>
  <c r="F684" i="22" s="1"/>
  <c r="C280" i="23" s="1"/>
  <c r="D280" i="24" s="1"/>
  <c r="E280" i="24" s="1"/>
  <c r="F280" i="24" s="1"/>
  <c r="H280" i="24" s="1"/>
  <c r="I280" i="24" s="1"/>
  <c r="J280" i="24" s="1"/>
  <c r="Q172" i="21"/>
  <c r="L286" i="24"/>
  <c r="C294" i="24" s="1"/>
  <c r="K286" i="24"/>
  <c r="L181" i="34" s="1"/>
  <c r="L285" i="24"/>
  <c r="C293" i="24" s="1"/>
  <c r="K285" i="24"/>
  <c r="L180" i="34" s="1"/>
  <c r="O181" i="21"/>
  <c r="N181" i="21"/>
  <c r="M184" i="21"/>
  <c r="P184" i="21"/>
  <c r="O180" i="21"/>
  <c r="N180" i="21"/>
  <c r="K283" i="24"/>
  <c r="L178" i="34" s="1"/>
  <c r="L283" i="24"/>
  <c r="C291" i="24" s="1"/>
  <c r="E292" i="24"/>
  <c r="F292" i="24"/>
  <c r="H292" i="24" s="1"/>
  <c r="I292" i="24" s="1"/>
  <c r="J292" i="24" s="1"/>
  <c r="O178" i="21"/>
  <c r="N178" i="21"/>
  <c r="J178" i="34" l="1" a="1"/>
  <c r="J178" i="34" s="1"/>
  <c r="O178" i="34" s="1"/>
  <c r="J180" i="34" a="1"/>
  <c r="J180" i="34" s="1"/>
  <c r="O180" i="34" s="1"/>
  <c r="O179" i="34"/>
  <c r="M179" i="34"/>
  <c r="N179" i="34" s="1"/>
  <c r="O181" i="34"/>
  <c r="M181" i="34"/>
  <c r="N181" i="34"/>
  <c r="C186" i="21"/>
  <c r="E186" i="21" s="1"/>
  <c r="S181" i="21"/>
  <c r="C183" i="21"/>
  <c r="E183" i="21" s="1"/>
  <c r="S178" i="21"/>
  <c r="T178" i="21" s="1"/>
  <c r="C185" i="21"/>
  <c r="E185" i="21" s="1"/>
  <c r="H185" i="21" s="1"/>
  <c r="I185" i="21" s="1"/>
  <c r="S180" i="21"/>
  <c r="T180" i="21" s="1"/>
  <c r="T181" i="21"/>
  <c r="L274" i="24"/>
  <c r="C282" i="24" s="1"/>
  <c r="K274" i="24"/>
  <c r="L172" i="34" s="1"/>
  <c r="P172" i="21"/>
  <c r="M172" i="21"/>
  <c r="L280" i="24"/>
  <c r="C288" i="24" s="1"/>
  <c r="K280" i="24"/>
  <c r="K104" i="26"/>
  <c r="I172" i="34" s="1"/>
  <c r="E104" i="26"/>
  <c r="J104" i="26" s="1"/>
  <c r="H172" i="34" s="1"/>
  <c r="N184" i="21"/>
  <c r="O184" i="21"/>
  <c r="H183" i="21"/>
  <c r="I183" i="21" s="1"/>
  <c r="H186" i="21"/>
  <c r="I186" i="21" s="1"/>
  <c r="C112" i="26" s="1"/>
  <c r="K292" i="24"/>
  <c r="L184" i="34" s="1"/>
  <c r="L292" i="24"/>
  <c r="C300" i="24" s="1"/>
  <c r="Q180" i="34" l="1" a="1"/>
  <c r="Q180" i="34" s="1"/>
  <c r="P180" i="34" a="1"/>
  <c r="P180" i="34" s="1"/>
  <c r="R180" i="34" s="1" a="1"/>
  <c r="R180" i="34" s="1"/>
  <c r="Q178" i="34" a="1"/>
  <c r="Q178" i="34" s="1"/>
  <c r="P178" i="34" a="1"/>
  <c r="P178" i="34" s="1"/>
  <c r="R178" i="34" s="1" a="1"/>
  <c r="R178" i="34" s="1"/>
  <c r="M178" i="34"/>
  <c r="N178" i="34" s="1"/>
  <c r="Q181" i="34" a="1"/>
  <c r="Q181" i="34" s="1"/>
  <c r="P181" i="34" a="1"/>
  <c r="P181" i="34" s="1"/>
  <c r="R181" i="34" s="1" a="1"/>
  <c r="R181" i="34" s="1"/>
  <c r="P179" i="34" a="1"/>
  <c r="P179" i="34" s="1"/>
  <c r="R179" i="34" s="1" a="1"/>
  <c r="R179" i="34" s="1"/>
  <c r="Q179" i="34" a="1"/>
  <c r="Q179" i="34" s="1"/>
  <c r="M180" i="34"/>
  <c r="N180" i="34" s="1"/>
  <c r="C111" i="26"/>
  <c r="K111" i="26" s="1"/>
  <c r="T184" i="21"/>
  <c r="C189" i="21"/>
  <c r="E189" i="21" s="1"/>
  <c r="S184" i="21"/>
  <c r="L104" i="26"/>
  <c r="J172" i="34" s="1" a="1"/>
  <c r="J172" i="34" s="1"/>
  <c r="M172" i="34" s="1"/>
  <c r="O172" i="21"/>
  <c r="N172" i="21"/>
  <c r="E112" i="26"/>
  <c r="J112" i="26" s="1"/>
  <c r="K112" i="26"/>
  <c r="L183" i="21"/>
  <c r="Q183" i="21" s="1"/>
  <c r="D726" i="22" a="1"/>
  <c r="D726" i="22" s="1"/>
  <c r="F726" i="22" s="1"/>
  <c r="C291" i="23" s="1"/>
  <c r="D291" i="24" s="1"/>
  <c r="D727" i="22" a="1"/>
  <c r="D727" i="22" s="1"/>
  <c r="F727" i="22" s="1"/>
  <c r="D728" i="22" a="1"/>
  <c r="D728" i="22" s="1"/>
  <c r="F728" i="22" s="1"/>
  <c r="D729" i="22" a="1"/>
  <c r="D729" i="22" s="1"/>
  <c r="F729" i="22" s="1"/>
  <c r="J183" i="21"/>
  <c r="H189" i="21"/>
  <c r="I189" i="21" s="1"/>
  <c r="L186" i="21"/>
  <c r="Q186" i="21" s="1"/>
  <c r="D738" i="22" a="1"/>
  <c r="D738" i="22" s="1"/>
  <c r="F738" i="22" s="1"/>
  <c r="C294" i="23" s="1"/>
  <c r="D294" i="24" s="1"/>
  <c r="D739" i="22" a="1"/>
  <c r="D739" i="22" s="1"/>
  <c r="F739" i="22" s="1"/>
  <c r="D740" i="22" a="1"/>
  <c r="D740" i="22" s="1"/>
  <c r="F740" i="22" s="1"/>
  <c r="D741" i="22" a="1"/>
  <c r="D741" i="22" s="1"/>
  <c r="F741" i="22" s="1"/>
  <c r="L185" i="21"/>
  <c r="D734" i="22" a="1"/>
  <c r="D734" i="22" s="1"/>
  <c r="F734" i="22" s="1"/>
  <c r="C293" i="23" s="1"/>
  <c r="D293" i="24" s="1"/>
  <c r="D735" i="22" a="1"/>
  <c r="D735" i="22" s="1"/>
  <c r="F735" i="22" s="1"/>
  <c r="D736" i="22" a="1"/>
  <c r="D736" i="22" s="1"/>
  <c r="F736" i="22" s="1"/>
  <c r="D737" i="22" a="1"/>
  <c r="D737" i="22" s="1"/>
  <c r="F737" i="22" s="1"/>
  <c r="J186" i="21"/>
  <c r="J185" i="21"/>
  <c r="I183" i="34" l="1"/>
  <c r="I185" i="34"/>
  <c r="N172" i="34"/>
  <c r="O172" i="34"/>
  <c r="H186" i="34"/>
  <c r="H184" i="34"/>
  <c r="I184" i="34"/>
  <c r="I186" i="34"/>
  <c r="E111" i="26"/>
  <c r="J111" i="26" s="1"/>
  <c r="C177" i="21"/>
  <c r="E177" i="21" s="1"/>
  <c r="S172" i="21"/>
  <c r="T172" i="21" s="1"/>
  <c r="L112" i="26"/>
  <c r="J189" i="21"/>
  <c r="H177" i="21"/>
  <c r="I177" i="21" s="1"/>
  <c r="E294" i="24"/>
  <c r="F294" i="24"/>
  <c r="H294" i="24" s="1"/>
  <c r="I294" i="24" s="1"/>
  <c r="J294" i="24" s="1"/>
  <c r="M186" i="21"/>
  <c r="P186" i="21"/>
  <c r="E293" i="24"/>
  <c r="F293" i="24" s="1"/>
  <c r="H293" i="24" s="1"/>
  <c r="I293" i="24" s="1"/>
  <c r="J293" i="24" s="1"/>
  <c r="M185" i="21"/>
  <c r="P185" i="21"/>
  <c r="Q185" i="21"/>
  <c r="L189" i="21"/>
  <c r="Q189" i="21" s="1"/>
  <c r="D752" i="22" a="1"/>
  <c r="D752" i="22" s="1"/>
  <c r="F752" i="22" s="1"/>
  <c r="D753" i="22" a="1"/>
  <c r="D753" i="22" s="1"/>
  <c r="F753" i="22" s="1"/>
  <c r="D750" i="22" a="1"/>
  <c r="D750" i="22" s="1"/>
  <c r="F750" i="22" s="1"/>
  <c r="C300" i="23" s="1"/>
  <c r="D300" i="24" s="1"/>
  <c r="D751" i="22" a="1"/>
  <c r="D751" i="22" s="1"/>
  <c r="F751" i="22" s="1"/>
  <c r="E291" i="24"/>
  <c r="F291" i="24" s="1"/>
  <c r="H291" i="24" s="1"/>
  <c r="I291" i="24" s="1"/>
  <c r="J291" i="24" s="1"/>
  <c r="M183" i="21"/>
  <c r="P183" i="21"/>
  <c r="L111" i="26" l="1"/>
  <c r="H183" i="34"/>
  <c r="H185" i="34"/>
  <c r="J184" i="34" a="1"/>
  <c r="J184" i="34" s="1"/>
  <c r="J186" i="34" a="1"/>
  <c r="J186" i="34" s="1"/>
  <c r="Q172" i="34" a="1"/>
  <c r="Q172" i="34" s="1"/>
  <c r="P172" i="34" a="1"/>
  <c r="P172" i="34" s="1"/>
  <c r="R172" i="34" s="1" a="1"/>
  <c r="R172" i="34" s="1"/>
  <c r="C107" i="26"/>
  <c r="L177" i="21"/>
  <c r="D705" i="22" a="1"/>
  <c r="D705" i="22" s="1"/>
  <c r="F705" i="22" s="1"/>
  <c r="C289" i="23" s="1"/>
  <c r="D289" i="24" s="1"/>
  <c r="E289" i="24" s="1"/>
  <c r="D703" i="22" a="1"/>
  <c r="D703" i="22" s="1"/>
  <c r="F703" i="22" s="1"/>
  <c r="C287" i="23" s="1"/>
  <c r="D287" i="24" s="1"/>
  <c r="E287" i="24" s="1"/>
  <c r="D704" i="22" a="1"/>
  <c r="D704" i="22" s="1"/>
  <c r="F704" i="22" s="1"/>
  <c r="C288" i="23" s="1"/>
  <c r="D288" i="24" s="1"/>
  <c r="E288" i="24" s="1"/>
  <c r="F288" i="24" s="1"/>
  <c r="H288" i="24" s="1"/>
  <c r="I288" i="24" s="1"/>
  <c r="J288" i="24" s="1"/>
  <c r="D702" i="22" a="1"/>
  <c r="D702" i="22" s="1"/>
  <c r="F702" i="22" s="1"/>
  <c r="C282" i="23" s="1"/>
  <c r="D282" i="24" s="1"/>
  <c r="E282" i="24" s="1"/>
  <c r="F282" i="24" s="1"/>
  <c r="H282" i="24" s="1"/>
  <c r="I282" i="24" s="1"/>
  <c r="J282" i="24" s="1"/>
  <c r="Q177" i="21"/>
  <c r="J177" i="21"/>
  <c r="N186" i="21"/>
  <c r="O186" i="21"/>
  <c r="E300" i="24"/>
  <c r="F300" i="24" s="1"/>
  <c r="H300" i="24" s="1"/>
  <c r="I300" i="24" s="1"/>
  <c r="J300" i="24" s="1"/>
  <c r="M189" i="21"/>
  <c r="P189" i="21"/>
  <c r="K293" i="24"/>
  <c r="L185" i="34" s="1"/>
  <c r="L293" i="24"/>
  <c r="C301" i="24" s="1"/>
  <c r="N183" i="21"/>
  <c r="O183" i="21"/>
  <c r="L294" i="24"/>
  <c r="C302" i="24" s="1"/>
  <c r="K294" i="24"/>
  <c r="L186" i="34" s="1"/>
  <c r="K291" i="24"/>
  <c r="L183" i="34" s="1"/>
  <c r="L291" i="24"/>
  <c r="C299" i="24" s="1"/>
  <c r="N185" i="21"/>
  <c r="O185" i="21"/>
  <c r="O184" i="34" l="1"/>
  <c r="N184" i="34"/>
  <c r="M184" i="34"/>
  <c r="O183" i="34"/>
  <c r="M186" i="34"/>
  <c r="N186" i="34" s="1"/>
  <c r="O186" i="34"/>
  <c r="J183" i="34" a="1"/>
  <c r="J183" i="34" s="1"/>
  <c r="J185" i="34" a="1"/>
  <c r="J185" i="34" s="1"/>
  <c r="M185" i="34" s="1"/>
  <c r="C191" i="21"/>
  <c r="E191" i="21" s="1"/>
  <c r="S186" i="21"/>
  <c r="T186" i="21"/>
  <c r="C188" i="21"/>
  <c r="E188" i="21" s="1"/>
  <c r="S183" i="21"/>
  <c r="T183" i="21" s="1"/>
  <c r="C190" i="21"/>
  <c r="E190" i="21" s="1"/>
  <c r="S185" i="21"/>
  <c r="T185" i="21" s="1"/>
  <c r="L288" i="24"/>
  <c r="C296" i="24" s="1"/>
  <c r="K288" i="24"/>
  <c r="P177" i="21"/>
  <c r="M177" i="21"/>
  <c r="K282" i="24"/>
  <c r="L177" i="34" s="1"/>
  <c r="L282" i="24"/>
  <c r="C290" i="24" s="1"/>
  <c r="K107" i="26"/>
  <c r="I177" i="34" s="1"/>
  <c r="E107" i="26"/>
  <c r="J107" i="26" s="1"/>
  <c r="H177" i="34" s="1"/>
  <c r="L300" i="24"/>
  <c r="C308" i="24" s="1"/>
  <c r="K300" i="24"/>
  <c r="L189" i="34" s="1"/>
  <c r="H190" i="21"/>
  <c r="I190" i="21" s="1"/>
  <c r="J190" i="21" s="1"/>
  <c r="N189" i="21"/>
  <c r="O189" i="21"/>
  <c r="H191" i="21"/>
  <c r="I191" i="21" s="1"/>
  <c r="C115" i="26" s="1"/>
  <c r="H188" i="21"/>
  <c r="I188" i="21" s="1"/>
  <c r="C114" i="26" s="1"/>
  <c r="N185" i="34" l="1"/>
  <c r="Q186" i="34" a="1"/>
  <c r="Q186" i="34" s="1"/>
  <c r="P186" i="34" a="1"/>
  <c r="P186" i="34" s="1"/>
  <c r="R186" i="34" s="1" a="1"/>
  <c r="R186" i="34" s="1"/>
  <c r="Q183" i="34" a="1"/>
  <c r="Q183" i="34" s="1"/>
  <c r="P183" i="34" a="1"/>
  <c r="P183" i="34" s="1"/>
  <c r="R183" i="34" s="1" a="1"/>
  <c r="R183" i="34" s="1"/>
  <c r="M183" i="34"/>
  <c r="N183" i="34" s="1"/>
  <c r="P184" i="34" a="1"/>
  <c r="P184" i="34" s="1"/>
  <c r="R184" i="34" s="1" a="1"/>
  <c r="R184" i="34" s="1"/>
  <c r="Q184" i="34" a="1"/>
  <c r="Q184" i="34" s="1"/>
  <c r="O185" i="34"/>
  <c r="C194" i="21"/>
  <c r="E194" i="21" s="1"/>
  <c r="S189" i="21"/>
  <c r="T189" i="21"/>
  <c r="J191" i="21"/>
  <c r="E115" i="26"/>
  <c r="J115" i="26" s="1"/>
  <c r="K115" i="26"/>
  <c r="L107" i="26"/>
  <c r="J177" i="34" s="1" a="1"/>
  <c r="J177" i="34" s="1"/>
  <c r="E114" i="26"/>
  <c r="J114" i="26" s="1"/>
  <c r="K114" i="26"/>
  <c r="O177" i="21"/>
  <c r="N177" i="21"/>
  <c r="J188" i="21"/>
  <c r="L190" i="21"/>
  <c r="Q190" i="21" s="1"/>
  <c r="D754" i="22" a="1"/>
  <c r="D754" i="22" s="1"/>
  <c r="F754" i="22" s="1"/>
  <c r="C301" i="23" s="1"/>
  <c r="D301" i="24" s="1"/>
  <c r="D756" i="22" a="1"/>
  <c r="D756" i="22" s="1"/>
  <c r="F756" i="22" s="1"/>
  <c r="D757" i="22" a="1"/>
  <c r="D757" i="22" s="1"/>
  <c r="F757" i="22" s="1"/>
  <c r="D755" i="22" a="1"/>
  <c r="D755" i="22" s="1"/>
  <c r="F755" i="22" s="1"/>
  <c r="L188" i="21"/>
  <c r="D746" i="22" a="1"/>
  <c r="D746" i="22" s="1"/>
  <c r="F746" i="22" s="1"/>
  <c r="C299" i="23" s="1"/>
  <c r="D299" i="24" s="1"/>
  <c r="D749" i="22" a="1"/>
  <c r="D749" i="22" s="1"/>
  <c r="F749" i="22" s="1"/>
  <c r="D748" i="22" a="1"/>
  <c r="D748" i="22" s="1"/>
  <c r="F748" i="22" s="1"/>
  <c r="D747" i="22" a="1"/>
  <c r="D747" i="22" s="1"/>
  <c r="F747" i="22" s="1"/>
  <c r="L191" i="21"/>
  <c r="Q191" i="21" s="1"/>
  <c r="D759" i="22" a="1"/>
  <c r="D759" i="22" s="1"/>
  <c r="F759" i="22" s="1"/>
  <c r="D760" i="22" a="1"/>
  <c r="D760" i="22" s="1"/>
  <c r="F760" i="22" s="1"/>
  <c r="D758" i="22" a="1"/>
  <c r="D758" i="22" s="1"/>
  <c r="F758" i="22" s="1"/>
  <c r="C302" i="23" s="1"/>
  <c r="D302" i="24" s="1"/>
  <c r="D761" i="22" a="1"/>
  <c r="D761" i="22" s="1"/>
  <c r="F761" i="22" s="1"/>
  <c r="H194" i="21"/>
  <c r="I194" i="21" s="1"/>
  <c r="L115" i="26" l="1"/>
  <c r="I191" i="34"/>
  <c r="I189" i="34"/>
  <c r="H190" i="34"/>
  <c r="H188" i="34"/>
  <c r="O177" i="34"/>
  <c r="M177" i="34"/>
  <c r="N177" i="34" s="1"/>
  <c r="P185" i="34" a="1"/>
  <c r="P185" i="34" s="1"/>
  <c r="R185" i="34" s="1" a="1"/>
  <c r="R185" i="34" s="1"/>
  <c r="Q185" i="34" a="1"/>
  <c r="Q185" i="34" s="1"/>
  <c r="H189" i="34"/>
  <c r="H191" i="34"/>
  <c r="L114" i="26"/>
  <c r="I188" i="34"/>
  <c r="I190" i="34"/>
  <c r="C182" i="21"/>
  <c r="E182" i="21" s="1"/>
  <c r="S177" i="21"/>
  <c r="T177" i="21" s="1"/>
  <c r="H182" i="21"/>
  <c r="I182" i="21" s="1"/>
  <c r="J182" i="21"/>
  <c r="L194" i="21"/>
  <c r="D770" i="22" a="1"/>
  <c r="D770" i="22" s="1"/>
  <c r="F770" i="22" s="1"/>
  <c r="C308" i="23" s="1"/>
  <c r="D308" i="24" s="1"/>
  <c r="D772" i="22" a="1"/>
  <c r="D772" i="22" s="1"/>
  <c r="F772" i="22" s="1"/>
  <c r="D771" i="22" a="1"/>
  <c r="D771" i="22" s="1"/>
  <c r="F771" i="22" s="1"/>
  <c r="Q194" i="21"/>
  <c r="D773" i="22" a="1"/>
  <c r="D773" i="22" s="1"/>
  <c r="F773" i="22" s="1"/>
  <c r="E301" i="24"/>
  <c r="F301" i="24" s="1"/>
  <c r="H301" i="24" s="1"/>
  <c r="I301" i="24" s="1"/>
  <c r="J301" i="24" s="1"/>
  <c r="M191" i="21"/>
  <c r="P191" i="21"/>
  <c r="M190" i="21"/>
  <c r="P190" i="21"/>
  <c r="E299" i="24"/>
  <c r="F299" i="24" s="1"/>
  <c r="H299" i="24" s="1"/>
  <c r="I299" i="24" s="1"/>
  <c r="J299" i="24" s="1"/>
  <c r="M188" i="21"/>
  <c r="P188" i="21"/>
  <c r="Q188" i="21"/>
  <c r="E302" i="24"/>
  <c r="F302" i="24" s="1"/>
  <c r="H302" i="24" s="1"/>
  <c r="I302" i="24" s="1"/>
  <c r="J302" i="24" s="1"/>
  <c r="J194" i="21"/>
  <c r="P177" i="34" l="1" a="1"/>
  <c r="P177" i="34" s="1"/>
  <c r="R177" i="34" s="1" a="1"/>
  <c r="R177" i="34" s="1"/>
  <c r="Q177" i="34" a="1"/>
  <c r="Q177" i="34" s="1"/>
  <c r="J189" i="34" a="1"/>
  <c r="J189" i="34" s="1"/>
  <c r="J191" i="34" a="1"/>
  <c r="J191" i="34" s="1"/>
  <c r="J188" i="34" a="1"/>
  <c r="J188" i="34" s="1"/>
  <c r="J190" i="34" a="1"/>
  <c r="J190" i="34" s="1"/>
  <c r="C110" i="26"/>
  <c r="D725" i="22" a="1"/>
  <c r="D725" i="22" s="1"/>
  <c r="F725" i="22" s="1"/>
  <c r="C297" i="23" s="1"/>
  <c r="D297" i="24" s="1"/>
  <c r="E297" i="24" s="1"/>
  <c r="D723" i="22" a="1"/>
  <c r="D723" i="22" s="1"/>
  <c r="F723" i="22" s="1"/>
  <c r="C295" i="23" s="1"/>
  <c r="D295" i="24" s="1"/>
  <c r="E295" i="24" s="1"/>
  <c r="D722" i="22" a="1"/>
  <c r="D722" i="22" s="1"/>
  <c r="F722" i="22" s="1"/>
  <c r="C290" i="23" s="1"/>
  <c r="D290" i="24" s="1"/>
  <c r="E290" i="24" s="1"/>
  <c r="F290" i="24" s="1"/>
  <c r="H290" i="24" s="1"/>
  <c r="I290" i="24" s="1"/>
  <c r="J290" i="24" s="1"/>
  <c r="D724" i="22" a="1"/>
  <c r="D724" i="22" s="1"/>
  <c r="F724" i="22" s="1"/>
  <c r="C296" i="23" s="1"/>
  <c r="D296" i="24" s="1"/>
  <c r="L182" i="21"/>
  <c r="N191" i="21"/>
  <c r="O191" i="21"/>
  <c r="K299" i="24"/>
  <c r="L188" i="34" s="1"/>
  <c r="L299" i="24"/>
  <c r="C307" i="24" s="1"/>
  <c r="E308" i="24"/>
  <c r="F308" i="24"/>
  <c r="H308" i="24" s="1"/>
  <c r="I308" i="24" s="1"/>
  <c r="J308" i="24" s="1"/>
  <c r="K301" i="24"/>
  <c r="L190" i="34" s="1"/>
  <c r="L301" i="24"/>
  <c r="C309" i="24" s="1"/>
  <c r="O188" i="21"/>
  <c r="N188" i="21"/>
  <c r="K302" i="24"/>
  <c r="L191" i="34" s="1"/>
  <c r="L302" i="24"/>
  <c r="C310" i="24" s="1"/>
  <c r="M194" i="21"/>
  <c r="P194" i="21"/>
  <c r="O190" i="21"/>
  <c r="N190" i="21"/>
  <c r="O190" i="34" l="1"/>
  <c r="M190" i="34"/>
  <c r="N190" i="34" s="1"/>
  <c r="M188" i="34"/>
  <c r="N188" i="34" s="1"/>
  <c r="O188" i="34"/>
  <c r="O191" i="34"/>
  <c r="M191" i="34"/>
  <c r="N191" i="34" s="1"/>
  <c r="M189" i="34"/>
  <c r="N189" i="34"/>
  <c r="O189" i="34"/>
  <c r="C195" i="21"/>
  <c r="E195" i="21" s="1"/>
  <c r="S190" i="21"/>
  <c r="T190" i="21" s="1"/>
  <c r="C196" i="21"/>
  <c r="E196" i="21" s="1"/>
  <c r="S191" i="21"/>
  <c r="T191" i="21"/>
  <c r="C193" i="21"/>
  <c r="E193" i="21" s="1"/>
  <c r="S188" i="21"/>
  <c r="T188" i="21" s="1"/>
  <c r="K290" i="24"/>
  <c r="L182" i="34" s="1"/>
  <c r="L290" i="24"/>
  <c r="C298" i="24" s="1"/>
  <c r="P182" i="21"/>
  <c r="M182" i="21"/>
  <c r="Q182" i="21"/>
  <c r="E296" i="24"/>
  <c r="F296" i="24" s="1"/>
  <c r="H296" i="24" s="1"/>
  <c r="I296" i="24" s="1"/>
  <c r="J296" i="24" s="1"/>
  <c r="E110" i="26"/>
  <c r="J110" i="26" s="1"/>
  <c r="H182" i="34" s="1"/>
  <c r="K110" i="26"/>
  <c r="L308" i="24"/>
  <c r="C316" i="24" s="1"/>
  <c r="K308" i="24"/>
  <c r="L194" i="34" s="1"/>
  <c r="H195" i="21"/>
  <c r="I195" i="21" s="1"/>
  <c r="O194" i="21"/>
  <c r="N194" i="21"/>
  <c r="H196" i="21"/>
  <c r="I196" i="21" s="1"/>
  <c r="C118" i="26" s="1"/>
  <c r="H193" i="21"/>
  <c r="I193" i="21" s="1"/>
  <c r="C117" i="26" s="1"/>
  <c r="Q189" i="34" l="1" a="1"/>
  <c r="Q189" i="34" s="1"/>
  <c r="P189" i="34" a="1"/>
  <c r="P189" i="34" s="1"/>
  <c r="R189" i="34" s="1" a="1"/>
  <c r="R189" i="34" s="1"/>
  <c r="Q191" i="34" a="1"/>
  <c r="Q191" i="34" s="1"/>
  <c r="P191" i="34" a="1"/>
  <c r="P191" i="34" s="1"/>
  <c r="R191" i="34" s="1" a="1"/>
  <c r="R191" i="34" s="1"/>
  <c r="P188" i="34" a="1"/>
  <c r="P188" i="34" s="1"/>
  <c r="R188" i="34" s="1" a="1"/>
  <c r="R188" i="34" s="1"/>
  <c r="Q188" i="34" a="1"/>
  <c r="Q188" i="34" s="1"/>
  <c r="L110" i="26"/>
  <c r="J182" i="34" s="1" a="1"/>
  <c r="J182" i="34" s="1"/>
  <c r="I182" i="34"/>
  <c r="P190" i="34" a="1"/>
  <c r="P190" i="34" s="1"/>
  <c r="R190" i="34" s="1" a="1"/>
  <c r="R190" i="34" s="1"/>
  <c r="Q190" i="34" a="1"/>
  <c r="Q190" i="34" s="1"/>
  <c r="C199" i="21"/>
  <c r="E199" i="21" s="1"/>
  <c r="H199" i="21" s="1"/>
  <c r="I199" i="21" s="1"/>
  <c r="J199" i="21" s="1"/>
  <c r="S194" i="21"/>
  <c r="T194" i="21" s="1"/>
  <c r="J193" i="21"/>
  <c r="K296" i="24"/>
  <c r="L296" i="24"/>
  <c r="C304" i="24" s="1"/>
  <c r="K118" i="26"/>
  <c r="E118" i="26"/>
  <c r="J118" i="26" s="1"/>
  <c r="N182" i="21"/>
  <c r="O182" i="21"/>
  <c r="K117" i="26"/>
  <c r="E117" i="26"/>
  <c r="J117" i="26" s="1"/>
  <c r="L195" i="21"/>
  <c r="D774" i="22" a="1"/>
  <c r="D774" i="22" s="1"/>
  <c r="F774" i="22" s="1"/>
  <c r="C309" i="23" s="1"/>
  <c r="D309" i="24" s="1"/>
  <c r="D777" i="22" a="1"/>
  <c r="D777" i="22" s="1"/>
  <c r="F777" i="22" s="1"/>
  <c r="D776" i="22" a="1"/>
  <c r="D776" i="22" s="1"/>
  <c r="F776" i="22" s="1"/>
  <c r="D775" i="22" a="1"/>
  <c r="D775" i="22" s="1"/>
  <c r="F775" i="22" s="1"/>
  <c r="D767" i="22" a="1"/>
  <c r="D767" i="22" s="1"/>
  <c r="F767" i="22" s="1"/>
  <c r="D769" i="22" a="1"/>
  <c r="D769" i="22" s="1"/>
  <c r="F769" i="22" s="1"/>
  <c r="D766" i="22" a="1"/>
  <c r="D766" i="22" s="1"/>
  <c r="F766" i="22" s="1"/>
  <c r="C307" i="23" s="1"/>
  <c r="D307" i="24" s="1"/>
  <c r="D768" i="22" a="1"/>
  <c r="D768" i="22" s="1"/>
  <c r="F768" i="22" s="1"/>
  <c r="L193" i="21"/>
  <c r="Q193" i="21" s="1"/>
  <c r="J195" i="21"/>
  <c r="L196" i="21"/>
  <c r="D780" i="22" a="1"/>
  <c r="D780" i="22" s="1"/>
  <c r="F780" i="22" s="1"/>
  <c r="D781" i="22" a="1"/>
  <c r="D781" i="22" s="1"/>
  <c r="F781" i="22" s="1"/>
  <c r="D778" i="22" a="1"/>
  <c r="D778" i="22" s="1"/>
  <c r="F778" i="22" s="1"/>
  <c r="C310" i="23" s="1"/>
  <c r="D310" i="24" s="1"/>
  <c r="D779" i="22" a="1"/>
  <c r="D779" i="22" s="1"/>
  <c r="F779" i="22" s="1"/>
  <c r="J196" i="21"/>
  <c r="H196" i="34" l="1"/>
  <c r="H194" i="34"/>
  <c r="H195" i="34"/>
  <c r="H193" i="34"/>
  <c r="I193" i="34"/>
  <c r="I195" i="34"/>
  <c r="I194" i="34"/>
  <c r="I196" i="34"/>
  <c r="O182" i="34"/>
  <c r="M182" i="34"/>
  <c r="N182" i="34" s="1"/>
  <c r="C187" i="21"/>
  <c r="E187" i="21" s="1"/>
  <c r="S182" i="21"/>
  <c r="T182" i="21"/>
  <c r="L117" i="26"/>
  <c r="L118" i="26"/>
  <c r="H187" i="21"/>
  <c r="I187" i="21" s="1"/>
  <c r="J187" i="21" s="1"/>
  <c r="M196" i="21"/>
  <c r="P196" i="21"/>
  <c r="M195" i="21"/>
  <c r="P195" i="21"/>
  <c r="E309" i="24"/>
  <c r="F309" i="24" s="1"/>
  <c r="H309" i="24" s="1"/>
  <c r="I309" i="24" s="1"/>
  <c r="J309" i="24" s="1"/>
  <c r="M193" i="21"/>
  <c r="P193" i="21"/>
  <c r="L199" i="21"/>
  <c r="Q199" i="21" s="1"/>
  <c r="D790" i="22" a="1"/>
  <c r="D790" i="22" s="1"/>
  <c r="F790" i="22" s="1"/>
  <c r="C316" i="23" s="1"/>
  <c r="D316" i="24" s="1"/>
  <c r="D791" i="22" a="1"/>
  <c r="D791" i="22" s="1"/>
  <c r="F791" i="22" s="1"/>
  <c r="D792" i="22" a="1"/>
  <c r="D792" i="22" s="1"/>
  <c r="F792" i="22" s="1"/>
  <c r="D793" i="22" a="1"/>
  <c r="D793" i="22" s="1"/>
  <c r="F793" i="22" s="1"/>
  <c r="E310" i="24"/>
  <c r="F310" i="24" s="1"/>
  <c r="H310" i="24" s="1"/>
  <c r="I310" i="24" s="1"/>
  <c r="J310" i="24" s="1"/>
  <c r="Q195" i="21"/>
  <c r="E307" i="24"/>
  <c r="F307" i="24" s="1"/>
  <c r="H307" i="24" s="1"/>
  <c r="I307" i="24" s="1"/>
  <c r="J307" i="24" s="1"/>
  <c r="Q196" i="21"/>
  <c r="Q182" i="34" l="1" a="1"/>
  <c r="Q182" i="34" s="1"/>
  <c r="P182" i="34" a="1"/>
  <c r="P182" i="34" s="1"/>
  <c r="R182" i="34" s="1" a="1"/>
  <c r="R182" i="34" s="1"/>
  <c r="J194" i="34" a="1"/>
  <c r="J194" i="34" s="1"/>
  <c r="J196" i="34" a="1"/>
  <c r="J196" i="34" s="1"/>
  <c r="J195" i="34" a="1"/>
  <c r="J195" i="34" s="1"/>
  <c r="J193" i="34" a="1"/>
  <c r="J193" i="34" s="1"/>
  <c r="C113" i="26"/>
  <c r="D743" i="22" a="1"/>
  <c r="D743" i="22" s="1"/>
  <c r="F743" i="22" s="1"/>
  <c r="C303" i="23" s="1"/>
  <c r="D303" i="24" s="1"/>
  <c r="E303" i="24" s="1"/>
  <c r="D745" i="22" a="1"/>
  <c r="D745" i="22" s="1"/>
  <c r="F745" i="22" s="1"/>
  <c r="C305" i="23" s="1"/>
  <c r="D305" i="24" s="1"/>
  <c r="E305" i="24" s="1"/>
  <c r="D742" i="22" a="1"/>
  <c r="D742" i="22" s="1"/>
  <c r="F742" i="22" s="1"/>
  <c r="C298" i="23" s="1"/>
  <c r="D298" i="24" s="1"/>
  <c r="D744" i="22" a="1"/>
  <c r="D744" i="22" s="1"/>
  <c r="F744" i="22" s="1"/>
  <c r="C304" i="23" s="1"/>
  <c r="D304" i="24" s="1"/>
  <c r="E304" i="24" s="1"/>
  <c r="F304" i="24" s="1"/>
  <c r="H304" i="24" s="1"/>
  <c r="I304" i="24" s="1"/>
  <c r="J304" i="24" s="1"/>
  <c r="L187" i="21"/>
  <c r="L307" i="24"/>
  <c r="C315" i="24" s="1"/>
  <c r="K307" i="24"/>
  <c r="L193" i="34" s="1"/>
  <c r="L310" i="24"/>
  <c r="C318" i="24" s="1"/>
  <c r="K310" i="24"/>
  <c r="L196" i="34" s="1"/>
  <c r="E316" i="24"/>
  <c r="F316" i="24" s="1"/>
  <c r="H316" i="24" s="1"/>
  <c r="I316" i="24" s="1"/>
  <c r="J316" i="24" s="1"/>
  <c r="N196" i="21"/>
  <c r="O196" i="21"/>
  <c r="N195" i="21"/>
  <c r="O195" i="21"/>
  <c r="M199" i="21"/>
  <c r="P199" i="21"/>
  <c r="O193" i="21"/>
  <c r="N193" i="21"/>
  <c r="K309" i="24"/>
  <c r="L195" i="34" s="1"/>
  <c r="L309" i="24"/>
  <c r="C317" i="24" s="1"/>
  <c r="O196" i="34" l="1"/>
  <c r="M196" i="34"/>
  <c r="N196" i="34" s="1"/>
  <c r="M194" i="34"/>
  <c r="N194" i="34" s="1"/>
  <c r="O194" i="34"/>
  <c r="O193" i="34"/>
  <c r="M193" i="34"/>
  <c r="N193" i="34" s="1"/>
  <c r="O195" i="34"/>
  <c r="M195" i="34"/>
  <c r="N195" i="34" s="1"/>
  <c r="C198" i="21"/>
  <c r="E198" i="21" s="1"/>
  <c r="S193" i="21"/>
  <c r="T193" i="21" s="1"/>
  <c r="C200" i="21"/>
  <c r="E200" i="21" s="1"/>
  <c r="S195" i="21"/>
  <c r="T195" i="21"/>
  <c r="C201" i="21"/>
  <c r="E201" i="21" s="1"/>
  <c r="S196" i="21"/>
  <c r="T196" i="21" s="1"/>
  <c r="E298" i="24"/>
  <c r="F298" i="24" s="1"/>
  <c r="H298" i="24" s="1"/>
  <c r="I298" i="24" s="1"/>
  <c r="J298" i="24" s="1"/>
  <c r="L304" i="24"/>
  <c r="C312" i="24" s="1"/>
  <c r="K304" i="24"/>
  <c r="P187" i="21"/>
  <c r="M187" i="21"/>
  <c r="Q187" i="21"/>
  <c r="E113" i="26"/>
  <c r="J113" i="26" s="1"/>
  <c r="H187" i="34" s="1"/>
  <c r="K113" i="26"/>
  <c r="K316" i="24"/>
  <c r="L199" i="34" s="1"/>
  <c r="L316" i="24"/>
  <c r="C324" i="24" s="1"/>
  <c r="N199" i="21"/>
  <c r="O199" i="21"/>
  <c r="H200" i="21"/>
  <c r="I200" i="21" s="1"/>
  <c r="J200" i="21" s="1"/>
  <c r="H201" i="21"/>
  <c r="I201" i="21" s="1"/>
  <c r="C121" i="26" s="1"/>
  <c r="H198" i="21"/>
  <c r="I198" i="21" s="1"/>
  <c r="C120" i="26" s="1"/>
  <c r="Q195" i="34" l="1" a="1"/>
  <c r="Q195" i="34" s="1"/>
  <c r="P195" i="34" a="1"/>
  <c r="P195" i="34" s="1"/>
  <c r="R195" i="34" s="1" a="1"/>
  <c r="R195" i="34" s="1"/>
  <c r="Q193" i="34" a="1"/>
  <c r="Q193" i="34" s="1"/>
  <c r="P193" i="34" a="1"/>
  <c r="P193" i="34" s="1"/>
  <c r="R193" i="34" s="1" a="1"/>
  <c r="R193" i="34" s="1"/>
  <c r="Q194" i="34" a="1"/>
  <c r="Q194" i="34" s="1"/>
  <c r="P194" i="34" a="1"/>
  <c r="P194" i="34" s="1"/>
  <c r="R194" i="34" s="1" a="1"/>
  <c r="R194" i="34" s="1"/>
  <c r="L113" i="26"/>
  <c r="J187" i="34" s="1" a="1"/>
  <c r="J187" i="34" s="1"/>
  <c r="I187" i="34"/>
  <c r="Q196" i="34" a="1"/>
  <c r="Q196" i="34" s="1"/>
  <c r="P196" i="34" a="1"/>
  <c r="P196" i="34" s="1"/>
  <c r="R196" i="34" s="1" a="1"/>
  <c r="R196" i="34" s="1"/>
  <c r="C204" i="21"/>
  <c r="E204" i="21" s="1"/>
  <c r="S199" i="21"/>
  <c r="T199" i="21" s="1"/>
  <c r="J201" i="21"/>
  <c r="K120" i="26"/>
  <c r="E120" i="26"/>
  <c r="J120" i="26" s="1"/>
  <c r="J198" i="21"/>
  <c r="O187" i="21"/>
  <c r="N187" i="21"/>
  <c r="K298" i="24"/>
  <c r="L187" i="34" s="1"/>
  <c r="L298" i="24"/>
  <c r="C306" i="24" s="1"/>
  <c r="K121" i="26"/>
  <c r="E121" i="26"/>
  <c r="J121" i="26" s="1"/>
  <c r="D787" i="22" a="1"/>
  <c r="D787" i="22" s="1"/>
  <c r="F787" i="22" s="1"/>
  <c r="D788" i="22" a="1"/>
  <c r="D788" i="22" s="1"/>
  <c r="F788" i="22" s="1"/>
  <c r="D786" i="22" a="1"/>
  <c r="D786" i="22" s="1"/>
  <c r="F786" i="22" s="1"/>
  <c r="C315" i="23" s="1"/>
  <c r="D315" i="24" s="1"/>
  <c r="D789" i="22" a="1"/>
  <c r="D789" i="22" s="1"/>
  <c r="F789" i="22" s="1"/>
  <c r="L198" i="21"/>
  <c r="L201" i="21"/>
  <c r="Q201" i="21" s="1"/>
  <c r="D801" i="22" a="1"/>
  <c r="D801" i="22" s="1"/>
  <c r="F801" i="22" s="1"/>
  <c r="D798" i="22" a="1"/>
  <c r="D798" i="22" s="1"/>
  <c r="F798" i="22" s="1"/>
  <c r="C318" i="23" s="1"/>
  <c r="D318" i="24" s="1"/>
  <c r="D799" i="22" a="1"/>
  <c r="D799" i="22" s="1"/>
  <c r="F799" i="22" s="1"/>
  <c r="D800" i="22" a="1"/>
  <c r="D800" i="22" s="1"/>
  <c r="F800" i="22" s="1"/>
  <c r="L200" i="21"/>
  <c r="Q200" i="21" s="1"/>
  <c r="D794" i="22" a="1"/>
  <c r="D794" i="22" s="1"/>
  <c r="F794" i="22" s="1"/>
  <c r="C317" i="23" s="1"/>
  <c r="D317" i="24" s="1"/>
  <c r="D795" i="22" a="1"/>
  <c r="D795" i="22" s="1"/>
  <c r="F795" i="22" s="1"/>
  <c r="D796" i="22" a="1"/>
  <c r="D796" i="22" s="1"/>
  <c r="F796" i="22" s="1"/>
  <c r="D797" i="22" a="1"/>
  <c r="D797" i="22" s="1"/>
  <c r="F797" i="22" s="1"/>
  <c r="H204" i="21"/>
  <c r="I204" i="21" s="1"/>
  <c r="J204" i="21" s="1"/>
  <c r="I199" i="34" l="1"/>
  <c r="I201" i="34"/>
  <c r="M187" i="34"/>
  <c r="N187" i="34" s="1"/>
  <c r="O187" i="34"/>
  <c r="H198" i="34"/>
  <c r="H200" i="34"/>
  <c r="I200" i="34"/>
  <c r="I198" i="34"/>
  <c r="H199" i="34"/>
  <c r="H201" i="34"/>
  <c r="C192" i="21"/>
  <c r="E192" i="21" s="1"/>
  <c r="S187" i="21"/>
  <c r="T187" i="21"/>
  <c r="H192" i="21"/>
  <c r="I192" i="21" s="1"/>
  <c r="L121" i="26"/>
  <c r="L120" i="26"/>
  <c r="E315" i="24"/>
  <c r="F315" i="24" s="1"/>
  <c r="H315" i="24" s="1"/>
  <c r="I315" i="24" s="1"/>
  <c r="J315" i="24" s="1"/>
  <c r="E317" i="24"/>
  <c r="F317" i="24" s="1"/>
  <c r="H317" i="24" s="1"/>
  <c r="I317" i="24" s="1"/>
  <c r="J317" i="24" s="1"/>
  <c r="M200" i="21"/>
  <c r="P200" i="21"/>
  <c r="E318" i="24"/>
  <c r="F318" i="24" s="1"/>
  <c r="H318" i="24" s="1"/>
  <c r="I318" i="24" s="1"/>
  <c r="J318" i="24" s="1"/>
  <c r="L204" i="21"/>
  <c r="Q204" i="21" s="1"/>
  <c r="D810" i="22" a="1"/>
  <c r="D810" i="22" s="1"/>
  <c r="F810" i="22" s="1"/>
  <c r="C324" i="23" s="1"/>
  <c r="D324" i="24" s="1"/>
  <c r="D812" i="22" a="1"/>
  <c r="D812" i="22" s="1"/>
  <c r="F812" i="22" s="1"/>
  <c r="D813" i="22" a="1"/>
  <c r="D813" i="22" s="1"/>
  <c r="F813" i="22" s="1"/>
  <c r="D811" i="22" a="1"/>
  <c r="D811" i="22" s="1"/>
  <c r="F811" i="22" s="1"/>
  <c r="M201" i="21"/>
  <c r="P201" i="21"/>
  <c r="M198" i="21"/>
  <c r="P198" i="21"/>
  <c r="Q198" i="21"/>
  <c r="J198" i="34" l="1" a="1"/>
  <c r="J198" i="34" s="1"/>
  <c r="J200" i="34" a="1"/>
  <c r="J200" i="34" s="1"/>
  <c r="J201" i="34" a="1"/>
  <c r="J201" i="34" s="1"/>
  <c r="J199" i="34" a="1"/>
  <c r="J199" i="34" s="1"/>
  <c r="P187" i="34" a="1"/>
  <c r="P187" i="34" s="1"/>
  <c r="R187" i="34" s="1" a="1"/>
  <c r="R187" i="34" s="1"/>
  <c r="Q187" i="34" a="1"/>
  <c r="Q187" i="34" s="1"/>
  <c r="C116" i="26"/>
  <c r="L192" i="21"/>
  <c r="D763" i="22" a="1"/>
  <c r="D763" i="22" s="1"/>
  <c r="F763" i="22" s="1"/>
  <c r="C311" i="23" s="1"/>
  <c r="D311" i="24" s="1"/>
  <c r="E311" i="24" s="1"/>
  <c r="D762" i="22" a="1"/>
  <c r="D762" i="22" s="1"/>
  <c r="F762" i="22" s="1"/>
  <c r="C306" i="23" s="1"/>
  <c r="D306" i="24" s="1"/>
  <c r="E306" i="24" s="1"/>
  <c r="F306" i="24" s="1"/>
  <c r="H306" i="24" s="1"/>
  <c r="I306" i="24" s="1"/>
  <c r="J306" i="24" s="1"/>
  <c r="Q192" i="21"/>
  <c r="D764" i="22" a="1"/>
  <c r="D764" i="22" s="1"/>
  <c r="F764" i="22" s="1"/>
  <c r="C312" i="23" s="1"/>
  <c r="D312" i="24" s="1"/>
  <c r="D765" i="22" a="1"/>
  <c r="D765" i="22" s="1"/>
  <c r="F765" i="22" s="1"/>
  <c r="C313" i="23" s="1"/>
  <c r="D313" i="24" s="1"/>
  <c r="E313" i="24" s="1"/>
  <c r="J192" i="21"/>
  <c r="L317" i="24"/>
  <c r="C325" i="24" s="1"/>
  <c r="K317" i="24"/>
  <c r="L200" i="34" s="1"/>
  <c r="N201" i="21"/>
  <c r="O201" i="21"/>
  <c r="E324" i="24"/>
  <c r="F324" i="24" s="1"/>
  <c r="H324" i="24" s="1"/>
  <c r="I324" i="24" s="1"/>
  <c r="J324" i="24" s="1"/>
  <c r="K315" i="24"/>
  <c r="L198" i="34" s="1"/>
  <c r="L315" i="24"/>
  <c r="C323" i="24" s="1"/>
  <c r="M204" i="21"/>
  <c r="P204" i="21"/>
  <c r="K318" i="24"/>
  <c r="L201" i="34" s="1"/>
  <c r="L318" i="24"/>
  <c r="C326" i="24" s="1"/>
  <c r="N198" i="21"/>
  <c r="O198" i="21"/>
  <c r="N200" i="21"/>
  <c r="O200" i="21"/>
  <c r="M198" i="34" l="1"/>
  <c r="O198" i="34"/>
  <c r="N198" i="34"/>
  <c r="O200" i="34"/>
  <c r="M200" i="34"/>
  <c r="N200" i="34" s="1"/>
  <c r="M201" i="34"/>
  <c r="N201" i="34" s="1"/>
  <c r="O201" i="34"/>
  <c r="M199" i="34"/>
  <c r="N199" i="34" s="1"/>
  <c r="O199" i="34"/>
  <c r="C206" i="21"/>
  <c r="E206" i="21" s="1"/>
  <c r="S201" i="21"/>
  <c r="C205" i="21"/>
  <c r="E205" i="21" s="1"/>
  <c r="S200" i="21"/>
  <c r="T201" i="21"/>
  <c r="T200" i="21"/>
  <c r="C203" i="21"/>
  <c r="E203" i="21" s="1"/>
  <c r="H203" i="21" s="1"/>
  <c r="I203" i="21" s="1"/>
  <c r="S198" i="21"/>
  <c r="T198" i="21" s="1"/>
  <c r="E312" i="24"/>
  <c r="F312" i="24" s="1"/>
  <c r="H312" i="24" s="1"/>
  <c r="I312" i="24" s="1"/>
  <c r="J312" i="24" s="1"/>
  <c r="L306" i="24"/>
  <c r="C314" i="24" s="1"/>
  <c r="K306" i="24"/>
  <c r="L192" i="34" s="1"/>
  <c r="P192" i="21"/>
  <c r="M192" i="21"/>
  <c r="K116" i="26"/>
  <c r="I192" i="34" s="1"/>
  <c r="E116" i="26"/>
  <c r="J116" i="26" s="1"/>
  <c r="H192" i="34" s="1"/>
  <c r="N204" i="21"/>
  <c r="O204" i="21"/>
  <c r="H205" i="21"/>
  <c r="I205" i="21" s="1"/>
  <c r="J205" i="21" s="1"/>
  <c r="L324" i="24"/>
  <c r="C332" i="24" s="1"/>
  <c r="K324" i="24"/>
  <c r="L204" i="34" s="1"/>
  <c r="H206" i="21"/>
  <c r="I206" i="21" s="1"/>
  <c r="C124" i="26" s="1"/>
  <c r="Q201" i="34" l="1" a="1"/>
  <c r="Q201" i="34" s="1"/>
  <c r="P201" i="34" a="1"/>
  <c r="P201" i="34" s="1"/>
  <c r="R201" i="34" s="1" a="1"/>
  <c r="R201" i="34" s="1"/>
  <c r="P200" i="34" a="1"/>
  <c r="P200" i="34" s="1"/>
  <c r="R200" i="34" s="1" a="1"/>
  <c r="R200" i="34" s="1"/>
  <c r="Q200" i="34" a="1"/>
  <c r="Q200" i="34" s="1"/>
  <c r="Q199" i="34" a="1"/>
  <c r="Q199" i="34" s="1"/>
  <c r="P199" i="34" a="1"/>
  <c r="P199" i="34" s="1"/>
  <c r="R199" i="34" s="1" a="1"/>
  <c r="R199" i="34" s="1"/>
  <c r="Q198" i="34" a="1"/>
  <c r="Q198" i="34" s="1"/>
  <c r="P198" i="34" a="1"/>
  <c r="P198" i="34" s="1"/>
  <c r="R198" i="34" s="1" a="1"/>
  <c r="R198" i="34" s="1"/>
  <c r="C123" i="26"/>
  <c r="E123" i="26" s="1"/>
  <c r="J123" i="26" s="1"/>
  <c r="J203" i="21"/>
  <c r="C209" i="21"/>
  <c r="E209" i="21" s="1"/>
  <c r="S204" i="21"/>
  <c r="T204" i="21" s="1"/>
  <c r="J206" i="21"/>
  <c r="O192" i="21"/>
  <c r="N192" i="21"/>
  <c r="E124" i="26"/>
  <c r="J124" i="26" s="1"/>
  <c r="K124" i="26"/>
  <c r="L116" i="26"/>
  <c r="J192" i="34" s="1" a="1"/>
  <c r="J192" i="34" s="1"/>
  <c r="O192" i="34" s="1"/>
  <c r="L312" i="24"/>
  <c r="C320" i="24" s="1"/>
  <c r="K312" i="24"/>
  <c r="L205" i="21"/>
  <c r="Q205" i="21" s="1"/>
  <c r="D815" i="22" a="1"/>
  <c r="D815" i="22" s="1"/>
  <c r="F815" i="22" s="1"/>
  <c r="D816" i="22" a="1"/>
  <c r="D816" i="22" s="1"/>
  <c r="F816" i="22" s="1"/>
  <c r="D814" i="22" a="1"/>
  <c r="D814" i="22" s="1"/>
  <c r="F814" i="22" s="1"/>
  <c r="C325" i="23" s="1"/>
  <c r="D325" i="24" s="1"/>
  <c r="D817" i="22" a="1"/>
  <c r="D817" i="22" s="1"/>
  <c r="F817" i="22" s="1"/>
  <c r="H209" i="21"/>
  <c r="I209" i="21" s="1"/>
  <c r="J209" i="21"/>
  <c r="L206" i="21"/>
  <c r="Q206" i="21" s="1"/>
  <c r="D818" i="22" a="1"/>
  <c r="D818" i="22" s="1"/>
  <c r="F818" i="22" s="1"/>
  <c r="C326" i="23" s="1"/>
  <c r="D326" i="24" s="1"/>
  <c r="D819" i="22" a="1"/>
  <c r="D819" i="22" s="1"/>
  <c r="F819" i="22" s="1"/>
  <c r="D821" i="22" a="1"/>
  <c r="D821" i="22" s="1"/>
  <c r="F821" i="22" s="1"/>
  <c r="D820" i="22" a="1"/>
  <c r="D820" i="22" s="1"/>
  <c r="F820" i="22" s="1"/>
  <c r="D808" i="22" a="1"/>
  <c r="D808" i="22" s="1"/>
  <c r="F808" i="22" s="1"/>
  <c r="D809" i="22" a="1"/>
  <c r="D809" i="22" s="1"/>
  <c r="F809" i="22" s="1"/>
  <c r="D806" i="22" a="1"/>
  <c r="D806" i="22" s="1"/>
  <c r="F806" i="22" s="1"/>
  <c r="C323" i="23" s="1"/>
  <c r="D323" i="24" s="1"/>
  <c r="D807" i="22" a="1"/>
  <c r="D807" i="22" s="1"/>
  <c r="F807" i="22" s="1"/>
  <c r="L203" i="21"/>
  <c r="Q203" i="21" s="1"/>
  <c r="H203" i="34" l="1"/>
  <c r="H205" i="34"/>
  <c r="Q192" i="34" a="1"/>
  <c r="Q192" i="34" s="1"/>
  <c r="P192" i="34" a="1"/>
  <c r="P192" i="34" s="1"/>
  <c r="R192" i="34" s="1" a="1"/>
  <c r="R192" i="34" s="1"/>
  <c r="L124" i="26"/>
  <c r="I204" i="34"/>
  <c r="I206" i="34"/>
  <c r="H204" i="34"/>
  <c r="H206" i="34"/>
  <c r="M192" i="34"/>
  <c r="N192" i="34" s="1"/>
  <c r="K123" i="26"/>
  <c r="C197" i="21"/>
  <c r="E197" i="21" s="1"/>
  <c r="S192" i="21"/>
  <c r="T192" i="21"/>
  <c r="H197" i="21"/>
  <c r="I197" i="21" s="1"/>
  <c r="J197" i="21" s="1"/>
  <c r="E325" i="24"/>
  <c r="F325" i="24" s="1"/>
  <c r="H325" i="24" s="1"/>
  <c r="I325" i="24" s="1"/>
  <c r="J325" i="24" s="1"/>
  <c r="M206" i="21"/>
  <c r="P206" i="21"/>
  <c r="L209" i="21"/>
  <c r="D832" i="22" a="1"/>
  <c r="D832" i="22" s="1"/>
  <c r="F832" i="22" s="1"/>
  <c r="D833" i="22" a="1"/>
  <c r="D833" i="22" s="1"/>
  <c r="F833" i="22" s="1"/>
  <c r="D830" i="22" a="1"/>
  <c r="D830" i="22" s="1"/>
  <c r="F830" i="22" s="1"/>
  <c r="C332" i="23" s="1"/>
  <c r="D332" i="24" s="1"/>
  <c r="Q209" i="21"/>
  <c r="D831" i="22" a="1"/>
  <c r="D831" i="22" s="1"/>
  <c r="F831" i="22" s="1"/>
  <c r="E326" i="24"/>
  <c r="F326" i="24" s="1"/>
  <c r="H326" i="24" s="1"/>
  <c r="I326" i="24" s="1"/>
  <c r="J326" i="24" s="1"/>
  <c r="M203" i="21"/>
  <c r="P203" i="21"/>
  <c r="E323" i="24"/>
  <c r="F323" i="24" s="1"/>
  <c r="H323" i="24" s="1"/>
  <c r="I323" i="24" s="1"/>
  <c r="J323" i="24" s="1"/>
  <c r="M205" i="21"/>
  <c r="P205" i="21"/>
  <c r="L123" i="26" l="1"/>
  <c r="I203" i="34"/>
  <c r="I205" i="34"/>
  <c r="J204" i="34" a="1"/>
  <c r="J204" i="34" s="1"/>
  <c r="J206" i="34" a="1"/>
  <c r="J206" i="34" s="1"/>
  <c r="C119" i="26"/>
  <c r="L197" i="21"/>
  <c r="D783" i="22" a="1"/>
  <c r="D783" i="22" s="1"/>
  <c r="F783" i="22" s="1"/>
  <c r="C319" i="23" s="1"/>
  <c r="D319" i="24" s="1"/>
  <c r="E319" i="24" s="1"/>
  <c r="D782" i="22" a="1"/>
  <c r="D782" i="22" s="1"/>
  <c r="F782" i="22" s="1"/>
  <c r="C314" i="23" s="1"/>
  <c r="D314" i="24" s="1"/>
  <c r="E314" i="24" s="1"/>
  <c r="F314" i="24" s="1"/>
  <c r="H314" i="24" s="1"/>
  <c r="I314" i="24" s="1"/>
  <c r="J314" i="24" s="1"/>
  <c r="D784" i="22" a="1"/>
  <c r="D784" i="22" s="1"/>
  <c r="F784" i="22" s="1"/>
  <c r="C320" i="23" s="1"/>
  <c r="D320" i="24" s="1"/>
  <c r="D785" i="22" a="1"/>
  <c r="D785" i="22" s="1"/>
  <c r="F785" i="22" s="1"/>
  <c r="C321" i="23" s="1"/>
  <c r="D321" i="24" s="1"/>
  <c r="E321" i="24" s="1"/>
  <c r="Q197" i="21"/>
  <c r="L325" i="24"/>
  <c r="C333" i="24" s="1"/>
  <c r="K325" i="24"/>
  <c r="L205" i="34" s="1"/>
  <c r="K326" i="24"/>
  <c r="L206" i="34" s="1"/>
  <c r="L326" i="24"/>
  <c r="C334" i="24" s="1"/>
  <c r="N203" i="21"/>
  <c r="O203" i="21"/>
  <c r="E332" i="24"/>
  <c r="F332" i="24" s="1"/>
  <c r="H332" i="24" s="1"/>
  <c r="I332" i="24" s="1"/>
  <c r="J332" i="24" s="1"/>
  <c r="N205" i="21"/>
  <c r="O205" i="21"/>
  <c r="M209" i="21"/>
  <c r="P209" i="21"/>
  <c r="L323" i="24"/>
  <c r="C331" i="24" s="1"/>
  <c r="K323" i="24"/>
  <c r="L203" i="34" s="1"/>
  <c r="O206" i="21"/>
  <c r="N206" i="21"/>
  <c r="M204" i="34" l="1"/>
  <c r="N204" i="34" s="1"/>
  <c r="O204" i="34"/>
  <c r="N206" i="34"/>
  <c r="M206" i="34"/>
  <c r="O206" i="34"/>
  <c r="J203" i="34" a="1"/>
  <c r="J203" i="34" s="1"/>
  <c r="M203" i="34" s="1"/>
  <c r="J205" i="34" a="1"/>
  <c r="J205" i="34" s="1"/>
  <c r="O205" i="34" s="1"/>
  <c r="C211" i="21"/>
  <c r="E211" i="21" s="1"/>
  <c r="S206" i="21"/>
  <c r="T206" i="21" s="1"/>
  <c r="C210" i="21"/>
  <c r="E210" i="21" s="1"/>
  <c r="S205" i="21"/>
  <c r="T205" i="21"/>
  <c r="C208" i="21"/>
  <c r="E208" i="21" s="1"/>
  <c r="H208" i="21" s="1"/>
  <c r="I208" i="21" s="1"/>
  <c r="C126" i="26" s="1"/>
  <c r="S203" i="21"/>
  <c r="T203" i="21" s="1"/>
  <c r="E320" i="24"/>
  <c r="F320" i="24" s="1"/>
  <c r="H320" i="24" s="1"/>
  <c r="I320" i="24" s="1"/>
  <c r="J320" i="24" s="1"/>
  <c r="L314" i="24"/>
  <c r="C322" i="24" s="1"/>
  <c r="K314" i="24"/>
  <c r="L197" i="34" s="1"/>
  <c r="P197" i="21"/>
  <c r="M197" i="21"/>
  <c r="K119" i="26"/>
  <c r="I197" i="34" s="1"/>
  <c r="E119" i="26"/>
  <c r="J119" i="26" s="1"/>
  <c r="H197" i="34" s="1"/>
  <c r="L332" i="24"/>
  <c r="C340" i="24" s="1"/>
  <c r="K332" i="24"/>
  <c r="L209" i="34" s="1"/>
  <c r="H211" i="21"/>
  <c r="I211" i="21" s="1"/>
  <c r="C127" i="26" s="1"/>
  <c r="N209" i="21"/>
  <c r="O209" i="21"/>
  <c r="H210" i="21"/>
  <c r="I210" i="21" s="1"/>
  <c r="J210" i="21" s="1"/>
  <c r="Q205" i="34" l="1" a="1"/>
  <c r="Q205" i="34" s="1"/>
  <c r="P205" i="34" a="1"/>
  <c r="P205" i="34" s="1"/>
  <c r="R205" i="34" s="1" a="1"/>
  <c r="R205" i="34" s="1"/>
  <c r="Q206" i="34" a="1"/>
  <c r="Q206" i="34" s="1"/>
  <c r="P206" i="34" a="1"/>
  <c r="P206" i="34" s="1"/>
  <c r="R206" i="34" s="1" a="1"/>
  <c r="R206" i="34" s="1"/>
  <c r="M205" i="34"/>
  <c r="N205" i="34"/>
  <c r="P204" i="34" a="1"/>
  <c r="P204" i="34" s="1"/>
  <c r="R204" i="34" s="1" a="1"/>
  <c r="R204" i="34" s="1"/>
  <c r="Q204" i="34" a="1"/>
  <c r="Q204" i="34" s="1"/>
  <c r="N203" i="34"/>
  <c r="O203" i="34"/>
  <c r="C214" i="21"/>
  <c r="E214" i="21" s="1"/>
  <c r="H214" i="21" s="1"/>
  <c r="I214" i="21" s="1"/>
  <c r="S209" i="21"/>
  <c r="T209" i="21" s="1"/>
  <c r="E126" i="26"/>
  <c r="J126" i="26" s="1"/>
  <c r="K126" i="26"/>
  <c r="J208" i="21"/>
  <c r="L119" i="26"/>
  <c r="J197" i="34" s="1" a="1"/>
  <c r="J197" i="34" s="1"/>
  <c r="M197" i="34" s="1"/>
  <c r="N197" i="21"/>
  <c r="O197" i="21"/>
  <c r="L320" i="24"/>
  <c r="C328" i="24" s="1"/>
  <c r="K320" i="24"/>
  <c r="E127" i="26"/>
  <c r="J127" i="26" s="1"/>
  <c r="K127" i="26"/>
  <c r="L211" i="21"/>
  <c r="Q211" i="21" s="1"/>
  <c r="D841" i="22" a="1"/>
  <c r="D841" i="22" s="1"/>
  <c r="F841" i="22" s="1"/>
  <c r="D840" i="22" a="1"/>
  <c r="D840" i="22" s="1"/>
  <c r="F840" i="22" s="1"/>
  <c r="D838" i="22" a="1"/>
  <c r="D838" i="22" s="1"/>
  <c r="F838" i="22" s="1"/>
  <c r="C334" i="23" s="1"/>
  <c r="D334" i="24" s="1"/>
  <c r="D839" i="22" a="1"/>
  <c r="D839" i="22" s="1"/>
  <c r="F839" i="22" s="1"/>
  <c r="L210" i="21"/>
  <c r="Q210" i="21" s="1"/>
  <c r="D835" i="22" a="1"/>
  <c r="D835" i="22" s="1"/>
  <c r="F835" i="22" s="1"/>
  <c r="D836" i="22" a="1"/>
  <c r="D836" i="22" s="1"/>
  <c r="F836" i="22" s="1"/>
  <c r="D834" i="22" a="1"/>
  <c r="D834" i="22" s="1"/>
  <c r="F834" i="22" s="1"/>
  <c r="C333" i="23" s="1"/>
  <c r="D333" i="24" s="1"/>
  <c r="D837" i="22" a="1"/>
  <c r="D837" i="22" s="1"/>
  <c r="F837" i="22" s="1"/>
  <c r="J211" i="21"/>
  <c r="L208" i="21"/>
  <c r="D828" i="22" a="1"/>
  <c r="D828" i="22" s="1"/>
  <c r="F828" i="22" s="1"/>
  <c r="D829" i="22" a="1"/>
  <c r="D829" i="22" s="1"/>
  <c r="F829" i="22" s="1"/>
  <c r="D826" i="22" a="1"/>
  <c r="D826" i="22" s="1"/>
  <c r="F826" i="22" s="1"/>
  <c r="C331" i="23" s="1"/>
  <c r="D331" i="24" s="1"/>
  <c r="D827" i="22" a="1"/>
  <c r="D827" i="22" s="1"/>
  <c r="F827" i="22" s="1"/>
  <c r="L126" i="26" l="1"/>
  <c r="I208" i="34"/>
  <c r="I210" i="34"/>
  <c r="H208" i="34"/>
  <c r="H210" i="34"/>
  <c r="N197" i="34"/>
  <c r="I209" i="34"/>
  <c r="I211" i="34"/>
  <c r="Q203" i="34" a="1"/>
  <c r="Q203" i="34" s="1"/>
  <c r="P203" i="34" a="1"/>
  <c r="P203" i="34" s="1"/>
  <c r="R203" i="34" s="1" a="1"/>
  <c r="R203" i="34" s="1"/>
  <c r="O197" i="34"/>
  <c r="H209" i="34"/>
  <c r="H211" i="34"/>
  <c r="C202" i="21"/>
  <c r="E202" i="21" s="1"/>
  <c r="S197" i="21"/>
  <c r="T197" i="21"/>
  <c r="L127" i="26"/>
  <c r="H202" i="21"/>
  <c r="I202" i="21" s="1"/>
  <c r="E334" i="24"/>
  <c r="F334" i="24" s="1"/>
  <c r="H334" i="24" s="1"/>
  <c r="I334" i="24" s="1"/>
  <c r="J334" i="24" s="1"/>
  <c r="L214" i="21"/>
  <c r="Q214" i="21" s="1"/>
  <c r="D850" i="22" a="1"/>
  <c r="D850" i="22" s="1"/>
  <c r="F850" i="22" s="1"/>
  <c r="C340" i="23" s="1"/>
  <c r="D340" i="24" s="1"/>
  <c r="D851" i="22" a="1"/>
  <c r="D851" i="22" s="1"/>
  <c r="F851" i="22" s="1"/>
  <c r="D853" i="22" a="1"/>
  <c r="D853" i="22" s="1"/>
  <c r="F853" i="22" s="1"/>
  <c r="D852" i="22" a="1"/>
  <c r="D852" i="22" s="1"/>
  <c r="F852" i="22" s="1"/>
  <c r="M211" i="21"/>
  <c r="P211" i="21"/>
  <c r="M208" i="21"/>
  <c r="P208" i="21"/>
  <c r="J214" i="21"/>
  <c r="Q208" i="21"/>
  <c r="E331" i="24"/>
  <c r="F331" i="24" s="1"/>
  <c r="H331" i="24" s="1"/>
  <c r="I331" i="24" s="1"/>
  <c r="J331" i="24" s="1"/>
  <c r="M210" i="21"/>
  <c r="P210" i="21"/>
  <c r="E333" i="24"/>
  <c r="F333" i="24" s="1"/>
  <c r="H333" i="24" s="1"/>
  <c r="I333" i="24" s="1"/>
  <c r="J333" i="24" s="1"/>
  <c r="Q197" i="34" l="1" a="1"/>
  <c r="Q197" i="34" s="1"/>
  <c r="P197" i="34" a="1"/>
  <c r="P197" i="34" s="1"/>
  <c r="R197" i="34" s="1" a="1"/>
  <c r="R197" i="34" s="1"/>
  <c r="J209" i="34" a="1"/>
  <c r="J209" i="34" s="1"/>
  <c r="J211" i="34" a="1"/>
  <c r="J211" i="34" s="1"/>
  <c r="J208" i="34" a="1"/>
  <c r="J208" i="34" s="1"/>
  <c r="J210" i="34" a="1"/>
  <c r="J210" i="34" s="1"/>
  <c r="C122" i="26"/>
  <c r="L202" i="21"/>
  <c r="Q202" i="21" s="1"/>
  <c r="D805" i="22" a="1"/>
  <c r="D805" i="22" s="1"/>
  <c r="F805" i="22" s="1"/>
  <c r="C329" i="23" s="1"/>
  <c r="D329" i="24" s="1"/>
  <c r="E329" i="24" s="1"/>
  <c r="D804" i="22" a="1"/>
  <c r="D804" i="22" s="1"/>
  <c r="F804" i="22" s="1"/>
  <c r="C328" i="23" s="1"/>
  <c r="D328" i="24" s="1"/>
  <c r="E328" i="24" s="1"/>
  <c r="F328" i="24" s="1"/>
  <c r="H328" i="24" s="1"/>
  <c r="I328" i="24" s="1"/>
  <c r="J328" i="24" s="1"/>
  <c r="D802" i="22" a="1"/>
  <c r="D802" i="22" s="1"/>
  <c r="F802" i="22" s="1"/>
  <c r="C322" i="23" s="1"/>
  <c r="D322" i="24" s="1"/>
  <c r="E322" i="24" s="1"/>
  <c r="F322" i="24" s="1"/>
  <c r="H322" i="24" s="1"/>
  <c r="I322" i="24" s="1"/>
  <c r="J322" i="24" s="1"/>
  <c r="D803" i="22" a="1"/>
  <c r="D803" i="22" s="1"/>
  <c r="F803" i="22" s="1"/>
  <c r="C327" i="23" s="1"/>
  <c r="D327" i="24" s="1"/>
  <c r="E327" i="24" s="1"/>
  <c r="J202" i="21"/>
  <c r="M214" i="21"/>
  <c r="P214" i="21"/>
  <c r="L334" i="24"/>
  <c r="C342" i="24" s="1"/>
  <c r="K334" i="24"/>
  <c r="L211" i="34" s="1"/>
  <c r="E340" i="24"/>
  <c r="F340" i="24" s="1"/>
  <c r="H340" i="24" s="1"/>
  <c r="I340" i="24" s="1"/>
  <c r="J340" i="24" s="1"/>
  <c r="K333" i="24"/>
  <c r="L210" i="34" s="1"/>
  <c r="L333" i="24"/>
  <c r="C341" i="24" s="1"/>
  <c r="N210" i="21"/>
  <c r="O210" i="21"/>
  <c r="N208" i="21"/>
  <c r="O208" i="21"/>
  <c r="L331" i="24"/>
  <c r="C339" i="24" s="1"/>
  <c r="K331" i="24"/>
  <c r="L208" i="34" s="1"/>
  <c r="O211" i="21"/>
  <c r="N211" i="21"/>
  <c r="M210" i="34" l="1"/>
  <c r="O210" i="34"/>
  <c r="N210" i="34"/>
  <c r="M209" i="34"/>
  <c r="N209" i="34" s="1"/>
  <c r="O209" i="34"/>
  <c r="M211" i="34"/>
  <c r="O211" i="34"/>
  <c r="N211" i="34"/>
  <c r="M208" i="34"/>
  <c r="O208" i="34"/>
  <c r="N208" i="34"/>
  <c r="C216" i="21"/>
  <c r="E216" i="21" s="1"/>
  <c r="S211" i="21"/>
  <c r="T211" i="21" s="1"/>
  <c r="C213" i="21"/>
  <c r="E213" i="21" s="1"/>
  <c r="S208" i="21"/>
  <c r="T208" i="21"/>
  <c r="C215" i="21"/>
  <c r="E215" i="21" s="1"/>
  <c r="S210" i="21"/>
  <c r="T210" i="21"/>
  <c r="K322" i="24"/>
  <c r="L202" i="34" s="1"/>
  <c r="L322" i="24"/>
  <c r="C330" i="24" s="1"/>
  <c r="L328" i="24"/>
  <c r="C336" i="24" s="1"/>
  <c r="K328" i="24"/>
  <c r="P202" i="21"/>
  <c r="M202" i="21"/>
  <c r="E122" i="26"/>
  <c r="J122" i="26" s="1"/>
  <c r="H202" i="34" s="1"/>
  <c r="K122" i="26"/>
  <c r="I202" i="34" s="1"/>
  <c r="K340" i="24"/>
  <c r="L214" i="34" s="1"/>
  <c r="L340" i="24"/>
  <c r="C348" i="24" s="1"/>
  <c r="H216" i="21"/>
  <c r="I216" i="21" s="1"/>
  <c r="N214" i="21"/>
  <c r="O214" i="21"/>
  <c r="H213" i="21"/>
  <c r="I213" i="21" s="1"/>
  <c r="H215" i="21"/>
  <c r="I215" i="21" s="1"/>
  <c r="J215" i="21" s="1"/>
  <c r="Q208" i="34" l="1" a="1"/>
  <c r="Q208" i="34" s="1"/>
  <c r="P208" i="34" a="1"/>
  <c r="P208" i="34" s="1"/>
  <c r="R208" i="34" s="1" a="1"/>
  <c r="R208" i="34" s="1"/>
  <c r="P211" i="34" a="1"/>
  <c r="P211" i="34" s="1"/>
  <c r="R211" i="34" s="1" a="1"/>
  <c r="R211" i="34" s="1"/>
  <c r="Q211" i="34" a="1"/>
  <c r="Q211" i="34" s="1"/>
  <c r="Q209" i="34" a="1"/>
  <c r="Q209" i="34" s="1"/>
  <c r="P209" i="34" a="1"/>
  <c r="P209" i="34" s="1"/>
  <c r="R209" i="34" s="1" a="1"/>
  <c r="R209" i="34" s="1"/>
  <c r="P210" i="34" a="1"/>
  <c r="P210" i="34" s="1"/>
  <c r="R210" i="34" s="1" a="1"/>
  <c r="R210" i="34" s="1"/>
  <c r="Q210" i="34" a="1"/>
  <c r="Q210" i="34" s="1"/>
  <c r="C219" i="21"/>
  <c r="E219" i="21" s="1"/>
  <c r="S214" i="21"/>
  <c r="T214" i="21" s="1"/>
  <c r="L122" i="26"/>
  <c r="J202" i="34" s="1" a="1"/>
  <c r="J202" i="34" s="1"/>
  <c r="M202" i="34" s="1"/>
  <c r="J216" i="21"/>
  <c r="C130" i="26"/>
  <c r="N202" i="21"/>
  <c r="O202" i="21"/>
  <c r="J213" i="21"/>
  <c r="C129" i="26"/>
  <c r="H219" i="21"/>
  <c r="I219" i="21" s="1"/>
  <c r="L215" i="21"/>
  <c r="Q215" i="21" s="1"/>
  <c r="D854" i="22" a="1"/>
  <c r="D854" i="22" s="1"/>
  <c r="F854" i="22" s="1"/>
  <c r="C341" i="23" s="1"/>
  <c r="D341" i="24" s="1"/>
  <c r="D855" i="22" a="1"/>
  <c r="D855" i="22" s="1"/>
  <c r="F855" i="22" s="1"/>
  <c r="D857" i="22" a="1"/>
  <c r="D857" i="22" s="1"/>
  <c r="F857" i="22" s="1"/>
  <c r="D856" i="22" a="1"/>
  <c r="D856" i="22" s="1"/>
  <c r="F856" i="22" s="1"/>
  <c r="L216" i="21"/>
  <c r="D861" i="22" a="1"/>
  <c r="D861" i="22" s="1"/>
  <c r="F861" i="22" s="1"/>
  <c r="D858" i="22" a="1"/>
  <c r="D858" i="22" s="1"/>
  <c r="F858" i="22" s="1"/>
  <c r="C342" i="23" s="1"/>
  <c r="D342" i="24" s="1"/>
  <c r="D859" i="22" a="1"/>
  <c r="D859" i="22" s="1"/>
  <c r="F859" i="22" s="1"/>
  <c r="D860" i="22" a="1"/>
  <c r="D860" i="22" s="1"/>
  <c r="F860" i="22" s="1"/>
  <c r="Q216" i="21"/>
  <c r="D848" i="22" a="1"/>
  <c r="D848" i="22" s="1"/>
  <c r="F848" i="22" s="1"/>
  <c r="D846" i="22" a="1"/>
  <c r="D846" i="22" s="1"/>
  <c r="F846" i="22" s="1"/>
  <c r="C339" i="23" s="1"/>
  <c r="D339" i="24" s="1"/>
  <c r="D847" i="22" a="1"/>
  <c r="D847" i="22" s="1"/>
  <c r="F847" i="22" s="1"/>
  <c r="D849" i="22" a="1"/>
  <c r="D849" i="22" s="1"/>
  <c r="F849" i="22" s="1"/>
  <c r="L213" i="21"/>
  <c r="Q213" i="21" s="1"/>
  <c r="O202" i="34" l="1"/>
  <c r="N202" i="34"/>
  <c r="C207" i="21"/>
  <c r="E207" i="21" s="1"/>
  <c r="S202" i="21"/>
  <c r="T202" i="21"/>
  <c r="K129" i="26"/>
  <c r="E129" i="26"/>
  <c r="J129" i="26" s="1"/>
  <c r="H207" i="21"/>
  <c r="I207" i="21" s="1"/>
  <c r="J219" i="21"/>
  <c r="K130" i="26"/>
  <c r="E130" i="26"/>
  <c r="J130" i="26" s="1"/>
  <c r="E339" i="24"/>
  <c r="F339" i="24" s="1"/>
  <c r="H339" i="24" s="1"/>
  <c r="I339" i="24" s="1"/>
  <c r="J339" i="24" s="1"/>
  <c r="E341" i="24"/>
  <c r="F341" i="24" s="1"/>
  <c r="H341" i="24" s="1"/>
  <c r="I341" i="24" s="1"/>
  <c r="J341" i="24" s="1"/>
  <c r="M215" i="21"/>
  <c r="P215" i="21"/>
  <c r="E342" i="24"/>
  <c r="F342" i="24" s="1"/>
  <c r="H342" i="24" s="1"/>
  <c r="I342" i="24" s="1"/>
  <c r="J342" i="24" s="1"/>
  <c r="M213" i="21"/>
  <c r="P213" i="21"/>
  <c r="M216" i="21"/>
  <c r="P216" i="21"/>
  <c r="L219" i="21"/>
  <c r="D872" i="22" a="1"/>
  <c r="D872" i="22" s="1"/>
  <c r="F872" i="22" s="1"/>
  <c r="D873" i="22" a="1"/>
  <c r="D873" i="22" s="1"/>
  <c r="F873" i="22" s="1"/>
  <c r="D870" i="22" a="1"/>
  <c r="D870" i="22" s="1"/>
  <c r="F870" i="22" s="1"/>
  <c r="C348" i="23" s="1"/>
  <c r="D348" i="24" s="1"/>
  <c r="D871" i="22" a="1"/>
  <c r="D871" i="22" s="1"/>
  <c r="F871" i="22" s="1"/>
  <c r="H214" i="34" l="1"/>
  <c r="H216" i="34"/>
  <c r="H215" i="34"/>
  <c r="H213" i="34"/>
  <c r="I215" i="34"/>
  <c r="I213" i="34"/>
  <c r="I216" i="34"/>
  <c r="I214" i="34"/>
  <c r="Q202" i="34" a="1"/>
  <c r="Q202" i="34" s="1"/>
  <c r="P202" i="34" a="1"/>
  <c r="P202" i="34" s="1"/>
  <c r="R202" i="34" s="1" a="1"/>
  <c r="R202" i="34" s="1"/>
  <c r="L130" i="26"/>
  <c r="C125" i="26"/>
  <c r="L207" i="21"/>
  <c r="D822" i="22" a="1"/>
  <c r="D822" i="22" s="1"/>
  <c r="F822" i="22" s="1"/>
  <c r="C330" i="23" s="1"/>
  <c r="D330" i="24" s="1"/>
  <c r="E330" i="24" s="1"/>
  <c r="F330" i="24" s="1"/>
  <c r="H330" i="24" s="1"/>
  <c r="I330" i="24" s="1"/>
  <c r="J330" i="24" s="1"/>
  <c r="D825" i="22" a="1"/>
  <c r="D825" i="22" s="1"/>
  <c r="F825" i="22" s="1"/>
  <c r="C337" i="23" s="1"/>
  <c r="D337" i="24" s="1"/>
  <c r="E337" i="24" s="1"/>
  <c r="D824" i="22" a="1"/>
  <c r="D824" i="22" s="1"/>
  <c r="F824" i="22" s="1"/>
  <c r="C336" i="23" s="1"/>
  <c r="D336" i="24" s="1"/>
  <c r="D823" i="22" a="1"/>
  <c r="D823" i="22" s="1"/>
  <c r="F823" i="22" s="1"/>
  <c r="C335" i="23" s="1"/>
  <c r="D335" i="24" s="1"/>
  <c r="E335" i="24" s="1"/>
  <c r="Q207" i="21"/>
  <c r="J207" i="21"/>
  <c r="L129" i="26"/>
  <c r="K341" i="24"/>
  <c r="L215" i="34" s="1"/>
  <c r="L341" i="24"/>
  <c r="C349" i="24" s="1"/>
  <c r="M219" i="21"/>
  <c r="P219" i="21"/>
  <c r="O215" i="21"/>
  <c r="N215" i="21"/>
  <c r="Q219" i="21"/>
  <c r="L339" i="24"/>
  <c r="C347" i="24" s="1"/>
  <c r="K339" i="24"/>
  <c r="L213" i="34" s="1"/>
  <c r="O216" i="21"/>
  <c r="N216" i="21"/>
  <c r="O213" i="21"/>
  <c r="N213" i="21"/>
  <c r="E348" i="24"/>
  <c r="F348" i="24" s="1"/>
  <c r="H348" i="24" s="1"/>
  <c r="I348" i="24" s="1"/>
  <c r="J348" i="24" s="1"/>
  <c r="K342" i="24"/>
  <c r="L216" i="34" s="1"/>
  <c r="L342" i="24"/>
  <c r="C350" i="24" s="1"/>
  <c r="J215" i="34" l="1" a="1"/>
  <c r="J215" i="34" s="1"/>
  <c r="O215" i="34" s="1"/>
  <c r="J213" i="34" a="1"/>
  <c r="J213" i="34" s="1"/>
  <c r="J214" i="34" a="1"/>
  <c r="J214" i="34" s="1"/>
  <c r="J216" i="34" a="1"/>
  <c r="J216" i="34" s="1"/>
  <c r="T215" i="21"/>
  <c r="C220" i="21"/>
  <c r="E220" i="21" s="1"/>
  <c r="S215" i="21"/>
  <c r="C218" i="21"/>
  <c r="E218" i="21" s="1"/>
  <c r="B10" i="28" s="1"/>
  <c r="S213" i="21"/>
  <c r="T213" i="21" s="1"/>
  <c r="C221" i="21"/>
  <c r="E221" i="21" s="1"/>
  <c r="S216" i="21"/>
  <c r="T216" i="21" s="1"/>
  <c r="E336" i="24"/>
  <c r="F336" i="24" s="1"/>
  <c r="H336" i="24" s="1"/>
  <c r="I336" i="24" s="1"/>
  <c r="J336" i="24" s="1"/>
  <c r="L330" i="24"/>
  <c r="C338" i="24" s="1"/>
  <c r="K330" i="24"/>
  <c r="L207" i="34" s="1"/>
  <c r="P207" i="21"/>
  <c r="M207" i="21"/>
  <c r="E125" i="26"/>
  <c r="J125" i="26" s="1"/>
  <c r="H207" i="34" s="1"/>
  <c r="K125" i="26"/>
  <c r="I207" i="34" s="1"/>
  <c r="K348" i="24"/>
  <c r="L219" i="34" s="1"/>
  <c r="L348" i="24"/>
  <c r="C356" i="24" s="1"/>
  <c r="H220" i="21"/>
  <c r="I220" i="21" s="1"/>
  <c r="N219" i="21"/>
  <c r="O219" i="21"/>
  <c r="H218" i="21"/>
  <c r="H221" i="21"/>
  <c r="I221" i="21" s="1"/>
  <c r="C133" i="26" s="1"/>
  <c r="Q215" i="34" l="1" a="1"/>
  <c r="Q215" i="34" s="1"/>
  <c r="P215" i="34" a="1"/>
  <c r="P215" i="34" s="1"/>
  <c r="R215" i="34" s="1" a="1"/>
  <c r="R215" i="34" s="1"/>
  <c r="O214" i="34"/>
  <c r="M214" i="34"/>
  <c r="N214" i="34" s="1"/>
  <c r="M215" i="34"/>
  <c r="N215" i="34"/>
  <c r="M216" i="34"/>
  <c r="N216" i="34" s="1"/>
  <c r="O213" i="34"/>
  <c r="M213" i="34"/>
  <c r="N213" i="34" s="1"/>
  <c r="O216" i="34"/>
  <c r="C224" i="21"/>
  <c r="E224" i="21" s="1"/>
  <c r="J224" i="21" s="1"/>
  <c r="S219" i="21"/>
  <c r="T219" i="21" s="1"/>
  <c r="J221" i="21"/>
  <c r="I218" i="21"/>
  <c r="D867" i="22" s="1" a="1"/>
  <c r="D867" i="22" s="1"/>
  <c r="F867" i="22" s="1"/>
  <c r="B12" i="28"/>
  <c r="L336" i="24"/>
  <c r="C344" i="24" s="1"/>
  <c r="K336" i="24"/>
  <c r="K133" i="26"/>
  <c r="E133" i="26"/>
  <c r="J133" i="26" s="1"/>
  <c r="L125" i="26"/>
  <c r="J207" i="34" s="1" a="1"/>
  <c r="J207" i="34" s="1"/>
  <c r="O207" i="21"/>
  <c r="N207" i="21"/>
  <c r="H224" i="21"/>
  <c r="I224" i="21" s="1"/>
  <c r="L220" i="21"/>
  <c r="D874" i="22" a="1"/>
  <c r="D874" i="22" s="1"/>
  <c r="F874" i="22" s="1"/>
  <c r="C349" i="23" s="1"/>
  <c r="D349" i="24" s="1"/>
  <c r="D875" i="22" a="1"/>
  <c r="D875" i="22" s="1"/>
  <c r="F875" i="22" s="1"/>
  <c r="D876" i="22" a="1"/>
  <c r="D876" i="22" s="1"/>
  <c r="F876" i="22" s="1"/>
  <c r="D877" i="22" a="1"/>
  <c r="D877" i="22" s="1"/>
  <c r="F877" i="22" s="1"/>
  <c r="Q220" i="21"/>
  <c r="L221" i="21"/>
  <c r="Q221" i="21" s="1"/>
  <c r="D880" i="22" a="1"/>
  <c r="D880" i="22" s="1"/>
  <c r="F880" i="22" s="1"/>
  <c r="D879" i="22" a="1"/>
  <c r="D879" i="22" s="1"/>
  <c r="F879" i="22" s="1"/>
  <c r="D881" i="22" a="1"/>
  <c r="D881" i="22" s="1"/>
  <c r="F881" i="22" s="1"/>
  <c r="D878" i="22" a="1"/>
  <c r="D878" i="22" s="1"/>
  <c r="F878" i="22" s="1"/>
  <c r="C350" i="23" s="1"/>
  <c r="D350" i="24" s="1"/>
  <c r="J220" i="21"/>
  <c r="D868" i="22" a="1"/>
  <c r="D868" i="22" s="1"/>
  <c r="F868" i="22" s="1"/>
  <c r="D866" i="22" a="1"/>
  <c r="D866" i="22" s="1"/>
  <c r="F866" i="22" s="1"/>
  <c r="D869" i="22" a="1"/>
  <c r="D869" i="22" s="1"/>
  <c r="F869" i="22" s="1"/>
  <c r="L218" i="21"/>
  <c r="B14" i="28" s="1"/>
  <c r="M207" i="34" l="1"/>
  <c r="N207" i="34" s="1"/>
  <c r="O207" i="34"/>
  <c r="Q216" i="34" a="1"/>
  <c r="Q216" i="34" s="1"/>
  <c r="P216" i="34" a="1"/>
  <c r="P216" i="34" s="1"/>
  <c r="R216" i="34" s="1" a="1"/>
  <c r="R216" i="34" s="1"/>
  <c r="P214" i="34" a="1"/>
  <c r="P214" i="34" s="1"/>
  <c r="R214" i="34" s="1" a="1"/>
  <c r="R214" i="34" s="1"/>
  <c r="Q214" i="34" a="1"/>
  <c r="Q214" i="34" s="1"/>
  <c r="I219" i="34"/>
  <c r="I221" i="34"/>
  <c r="H219" i="34"/>
  <c r="H221" i="34"/>
  <c r="Q213" i="34" a="1"/>
  <c r="Q213" i="34" s="1"/>
  <c r="P213" i="34" a="1"/>
  <c r="P213" i="34" s="1"/>
  <c r="R213" i="34" s="1" a="1"/>
  <c r="R213" i="34" s="1"/>
  <c r="C212" i="21"/>
  <c r="E212" i="21" s="1"/>
  <c r="S207" i="21"/>
  <c r="T207" i="21" s="1"/>
  <c r="L133" i="26"/>
  <c r="C347" i="23"/>
  <c r="D347" i="24" s="1"/>
  <c r="E347" i="24" s="1"/>
  <c r="E8" i="28"/>
  <c r="H212" i="21"/>
  <c r="I212" i="21" s="1"/>
  <c r="J212" i="21" s="1"/>
  <c r="B13" i="28"/>
  <c r="C132" i="26"/>
  <c r="J218" i="21"/>
  <c r="E349" i="24"/>
  <c r="F349" i="24" s="1"/>
  <c r="H349" i="24" s="1"/>
  <c r="I349" i="24" s="1"/>
  <c r="J349" i="24" s="1"/>
  <c r="M220" i="21"/>
  <c r="P220" i="21"/>
  <c r="E350" i="24"/>
  <c r="F350" i="24"/>
  <c r="H350" i="24" s="1"/>
  <c r="I350" i="24" s="1"/>
  <c r="J350" i="24" s="1"/>
  <c r="M218" i="21"/>
  <c r="P218" i="21"/>
  <c r="B15" i="28" s="1"/>
  <c r="M221" i="21"/>
  <c r="P221" i="21"/>
  <c r="Q218" i="21"/>
  <c r="B16" i="28" s="1"/>
  <c r="L224" i="21"/>
  <c r="D891" i="22" a="1"/>
  <c r="D891" i="22" s="1"/>
  <c r="F891" i="22" s="1"/>
  <c r="D892" i="22" a="1"/>
  <c r="D892" i="22" s="1"/>
  <c r="F892" i="22" s="1"/>
  <c r="D890" i="22" a="1"/>
  <c r="D890" i="22" s="1"/>
  <c r="F890" i="22" s="1"/>
  <c r="C356" i="23" s="1"/>
  <c r="D356" i="24" s="1"/>
  <c r="D893" i="22" a="1"/>
  <c r="D893" i="22" s="1"/>
  <c r="F893" i="22" s="1"/>
  <c r="J221" i="34" l="1" a="1"/>
  <c r="J221" i="34" s="1"/>
  <c r="J219" i="34" a="1"/>
  <c r="J219" i="34" s="1"/>
  <c r="Q207" i="34" a="1"/>
  <c r="Q207" i="34" s="1"/>
  <c r="P207" i="34" a="1"/>
  <c r="P207" i="34" s="1"/>
  <c r="R207" i="34" s="1" a="1"/>
  <c r="R207" i="34" s="1"/>
  <c r="F347" i="24"/>
  <c r="H347" i="24" s="1"/>
  <c r="I347" i="24" s="1"/>
  <c r="J347" i="24" s="1"/>
  <c r="C128" i="26"/>
  <c r="D842" i="22" a="1"/>
  <c r="D842" i="22" s="1"/>
  <c r="F842" i="22" s="1"/>
  <c r="C338" i="23" s="1"/>
  <c r="D338" i="24" s="1"/>
  <c r="E338" i="24" s="1"/>
  <c r="F338" i="24" s="1"/>
  <c r="H338" i="24" s="1"/>
  <c r="I338" i="24" s="1"/>
  <c r="J338" i="24" s="1"/>
  <c r="D845" i="22" a="1"/>
  <c r="D845" i="22" s="1"/>
  <c r="F845" i="22" s="1"/>
  <c r="C345" i="23" s="1"/>
  <c r="D345" i="24" s="1"/>
  <c r="E345" i="24" s="1"/>
  <c r="D844" i="22" a="1"/>
  <c r="D844" i="22" s="1"/>
  <c r="F844" i="22" s="1"/>
  <c r="C344" i="23" s="1"/>
  <c r="D344" i="24" s="1"/>
  <c r="E344" i="24" s="1"/>
  <c r="F344" i="24" s="1"/>
  <c r="H344" i="24" s="1"/>
  <c r="I344" i="24" s="1"/>
  <c r="J344" i="24" s="1"/>
  <c r="L212" i="21"/>
  <c r="D843" i="22" a="1"/>
  <c r="D843" i="22" s="1"/>
  <c r="F843" i="22" s="1"/>
  <c r="C343" i="23" s="1"/>
  <c r="D343" i="24" s="1"/>
  <c r="E343" i="24" s="1"/>
  <c r="Q212" i="21"/>
  <c r="K132" i="26"/>
  <c r="E132" i="26"/>
  <c r="J132" i="26" s="1"/>
  <c r="K350" i="24"/>
  <c r="L221" i="34" s="1"/>
  <c r="L350" i="24"/>
  <c r="C358" i="24" s="1"/>
  <c r="K347" i="24"/>
  <c r="L347" i="24"/>
  <c r="C355" i="24" s="1"/>
  <c r="O220" i="21"/>
  <c r="N220" i="21"/>
  <c r="M224" i="21"/>
  <c r="P224" i="21"/>
  <c r="N221" i="21"/>
  <c r="O221" i="21"/>
  <c r="N218" i="21"/>
  <c r="O218" i="21"/>
  <c r="S218" i="21" s="1"/>
  <c r="Q224" i="21"/>
  <c r="E356" i="24"/>
  <c r="F356" i="24" s="1"/>
  <c r="H356" i="24" s="1"/>
  <c r="I356" i="24" s="1"/>
  <c r="J356" i="24" s="1"/>
  <c r="K349" i="24"/>
  <c r="L220" i="34" s="1"/>
  <c r="L349" i="24"/>
  <c r="C357" i="24" s="1"/>
  <c r="E9" i="28" l="1"/>
  <c r="E10" i="28" s="1"/>
  <c r="L218" i="34"/>
  <c r="M221" i="34"/>
  <c r="N221" i="34" s="1"/>
  <c r="O221" i="34"/>
  <c r="O219" i="34"/>
  <c r="M219" i="34"/>
  <c r="N219" i="34" s="1"/>
  <c r="E11" i="28"/>
  <c r="H220" i="34"/>
  <c r="H218" i="34"/>
  <c r="I218" i="34"/>
  <c r="I220" i="34"/>
  <c r="B18" i="28"/>
  <c r="T218" i="21"/>
  <c r="C226" i="21"/>
  <c r="E226" i="21" s="1"/>
  <c r="S221" i="21"/>
  <c r="T221" i="21" s="1"/>
  <c r="C225" i="21"/>
  <c r="E225" i="21" s="1"/>
  <c r="S220" i="21"/>
  <c r="T220" i="21" s="1"/>
  <c r="L344" i="24"/>
  <c r="C352" i="24" s="1"/>
  <c r="K344" i="24"/>
  <c r="C223" i="21"/>
  <c r="E223" i="21" s="1"/>
  <c r="H223" i="21" s="1"/>
  <c r="I223" i="21" s="1"/>
  <c r="B17" i="28"/>
  <c r="L132" i="26"/>
  <c r="E12" i="28"/>
  <c r="L338" i="24"/>
  <c r="C346" i="24" s="1"/>
  <c r="K338" i="24"/>
  <c r="L212" i="34" s="1"/>
  <c r="P212" i="21"/>
  <c r="M212" i="21"/>
  <c r="K128" i="26"/>
  <c r="I212" i="34" s="1"/>
  <c r="E128" i="26"/>
  <c r="J128" i="26" s="1"/>
  <c r="H212" i="34" s="1"/>
  <c r="H225" i="21"/>
  <c r="I225" i="21" s="1"/>
  <c r="J225" i="21"/>
  <c r="L356" i="24"/>
  <c r="C364" i="24" s="1"/>
  <c r="K356" i="24"/>
  <c r="L224" i="34" s="1"/>
  <c r="O224" i="21"/>
  <c r="N224" i="21"/>
  <c r="H226" i="21"/>
  <c r="I226" i="21" s="1"/>
  <c r="C136" i="26" s="1"/>
  <c r="E13" i="28" l="1" a="1"/>
  <c r="E13" i="28" s="1"/>
  <c r="E18" i="28" s="1"/>
  <c r="E19" i="28" s="1"/>
  <c r="J218" i="34" a="1"/>
  <c r="J218" i="34" s="1"/>
  <c r="M218" i="34" s="1"/>
  <c r="J220" i="34" a="1"/>
  <c r="J220" i="34" s="1"/>
  <c r="Q219" i="34" a="1"/>
  <c r="Q219" i="34" s="1"/>
  <c r="P219" i="34" a="1"/>
  <c r="P219" i="34" s="1"/>
  <c r="R219" i="34" s="1" a="1"/>
  <c r="R219" i="34" s="1"/>
  <c r="Q221" i="34" a="1"/>
  <c r="Q221" i="34" s="1"/>
  <c r="P221" i="34" a="1"/>
  <c r="P221" i="34" s="1"/>
  <c r="R221" i="34" s="1" a="1"/>
  <c r="R221" i="34" s="1"/>
  <c r="L128" i="26"/>
  <c r="J212" i="34" s="1" a="1"/>
  <c r="J212" i="34" s="1"/>
  <c r="O212" i="34" s="1"/>
  <c r="T224" i="21"/>
  <c r="C229" i="21"/>
  <c r="E229" i="21" s="1"/>
  <c r="S224" i="21"/>
  <c r="J226" i="21"/>
  <c r="C135" i="26"/>
  <c r="J223" i="21"/>
  <c r="E136" i="26"/>
  <c r="J136" i="26" s="1"/>
  <c r="K136" i="26"/>
  <c r="O212" i="21"/>
  <c r="N212" i="21"/>
  <c r="H229" i="21"/>
  <c r="I229" i="21" s="1"/>
  <c r="J229" i="21" s="1"/>
  <c r="L226" i="21"/>
  <c r="D901" i="22" a="1"/>
  <c r="D901" i="22" s="1"/>
  <c r="F901" i="22" s="1"/>
  <c r="D898" i="22" a="1"/>
  <c r="D898" i="22" s="1"/>
  <c r="F898" i="22" s="1"/>
  <c r="C358" i="23" s="1"/>
  <c r="D358" i="24" s="1"/>
  <c r="D899" i="22" a="1"/>
  <c r="D899" i="22" s="1"/>
  <c r="F899" i="22" s="1"/>
  <c r="D900" i="22" a="1"/>
  <c r="D900" i="22" s="1"/>
  <c r="F900" i="22" s="1"/>
  <c r="L223" i="21"/>
  <c r="D888" i="22" a="1"/>
  <c r="D888" i="22" s="1"/>
  <c r="F888" i="22" s="1"/>
  <c r="D886" i="22" a="1"/>
  <c r="D886" i="22" s="1"/>
  <c r="F886" i="22" s="1"/>
  <c r="C355" i="23" s="1"/>
  <c r="D355" i="24" s="1"/>
  <c r="D887" i="22" a="1"/>
  <c r="D887" i="22" s="1"/>
  <c r="F887" i="22" s="1"/>
  <c r="D889" i="22" a="1"/>
  <c r="D889" i="22" s="1"/>
  <c r="F889" i="22" s="1"/>
  <c r="Q223" i="21"/>
  <c r="L225" i="21"/>
  <c r="Q225" i="21" s="1"/>
  <c r="D897" i="22" a="1"/>
  <c r="D897" i="22" s="1"/>
  <c r="F897" i="22" s="1"/>
  <c r="D895" i="22" a="1"/>
  <c r="D895" i="22" s="1"/>
  <c r="F895" i="22" s="1"/>
  <c r="D896" i="22" a="1"/>
  <c r="D896" i="22" s="1"/>
  <c r="F896" i="22" s="1"/>
  <c r="D894" i="22" a="1"/>
  <c r="D894" i="22" s="1"/>
  <c r="F894" i="22" s="1"/>
  <c r="C357" i="23" s="1"/>
  <c r="D357" i="24" s="1"/>
  <c r="Q212" i="34" l="1" a="1"/>
  <c r="Q212" i="34" s="1"/>
  <c r="P212" i="34" a="1"/>
  <c r="P212" i="34" s="1"/>
  <c r="R212" i="34" s="1" a="1"/>
  <c r="R212" i="34" s="1"/>
  <c r="H224" i="34"/>
  <c r="H226" i="34"/>
  <c r="O218" i="34"/>
  <c r="N218" i="34"/>
  <c r="M212" i="34"/>
  <c r="N212" i="34" s="1"/>
  <c r="O220" i="34"/>
  <c r="M220" i="34"/>
  <c r="N220" i="34" s="1"/>
  <c r="I224" i="34"/>
  <c r="I226" i="34"/>
  <c r="C217" i="21"/>
  <c r="E217" i="21" s="1"/>
  <c r="S212" i="21"/>
  <c r="T212" i="21" s="1"/>
  <c r="L136" i="26"/>
  <c r="H217" i="21"/>
  <c r="I217" i="21" s="1"/>
  <c r="J217" i="21" s="1"/>
  <c r="E135" i="26"/>
  <c r="J135" i="26" s="1"/>
  <c r="K135" i="26"/>
  <c r="E358" i="24"/>
  <c r="F358" i="24" s="1"/>
  <c r="H358" i="24" s="1"/>
  <c r="I358" i="24" s="1"/>
  <c r="J358" i="24" s="1"/>
  <c r="M225" i="21"/>
  <c r="P225" i="21"/>
  <c r="M226" i="21"/>
  <c r="P226" i="21"/>
  <c r="L229" i="21"/>
  <c r="D912" i="22" a="1"/>
  <c r="D912" i="22" s="1"/>
  <c r="F912" i="22" s="1"/>
  <c r="D913" i="22" a="1"/>
  <c r="D913" i="22" s="1"/>
  <c r="F913" i="22" s="1"/>
  <c r="D910" i="22" a="1"/>
  <c r="D910" i="22" s="1"/>
  <c r="F910" i="22" s="1"/>
  <c r="C364" i="23" s="1"/>
  <c r="D364" i="24" s="1"/>
  <c r="D911" i="22" a="1"/>
  <c r="D911" i="22" s="1"/>
  <c r="F911" i="22" s="1"/>
  <c r="E355" i="24"/>
  <c r="F355" i="24" s="1"/>
  <c r="H355" i="24" s="1"/>
  <c r="I355" i="24" s="1"/>
  <c r="J355" i="24" s="1"/>
  <c r="E357" i="24"/>
  <c r="F357" i="24" s="1"/>
  <c r="H357" i="24" s="1"/>
  <c r="I357" i="24" s="1"/>
  <c r="J357" i="24" s="1"/>
  <c r="Q226" i="21"/>
  <c r="M223" i="21"/>
  <c r="P223" i="21"/>
  <c r="Q220" i="34" l="1" a="1"/>
  <c r="Q220" i="34" s="1"/>
  <c r="P220" i="34" a="1"/>
  <c r="P220" i="34" s="1"/>
  <c r="R220" i="34" s="1" a="1"/>
  <c r="R220" i="34" s="1"/>
  <c r="J224" i="34" a="1"/>
  <c r="J224" i="34" s="1"/>
  <c r="J226" i="34" a="1"/>
  <c r="J226" i="34" s="1"/>
  <c r="H223" i="34"/>
  <c r="H225" i="34"/>
  <c r="Q218" i="34" a="1"/>
  <c r="Q218" i="34" s="1"/>
  <c r="P218" i="34" a="1"/>
  <c r="P218" i="34" s="1"/>
  <c r="R218" i="34" s="1" a="1"/>
  <c r="R218" i="34" s="1"/>
  <c r="I223" i="34"/>
  <c r="I225" i="34"/>
  <c r="L135" i="26"/>
  <c r="C131" i="26"/>
  <c r="D862" i="22" a="1"/>
  <c r="D862" i="22" s="1"/>
  <c r="F862" i="22" s="1"/>
  <c r="C346" i="23" s="1"/>
  <c r="D346" i="24" s="1"/>
  <c r="E346" i="24" s="1"/>
  <c r="F346" i="24" s="1"/>
  <c r="H346" i="24" s="1"/>
  <c r="I346" i="24" s="1"/>
  <c r="J346" i="24" s="1"/>
  <c r="D863" i="22" a="1"/>
  <c r="D863" i="22" s="1"/>
  <c r="F863" i="22" s="1"/>
  <c r="C351" i="23" s="1"/>
  <c r="D351" i="24" s="1"/>
  <c r="E351" i="24" s="1"/>
  <c r="D865" i="22" a="1"/>
  <c r="D865" i="22" s="1"/>
  <c r="F865" i="22" s="1"/>
  <c r="C353" i="23" s="1"/>
  <c r="D353" i="24" s="1"/>
  <c r="E353" i="24" s="1"/>
  <c r="L217" i="21"/>
  <c r="D864" i="22" a="1"/>
  <c r="D864" i="22" s="1"/>
  <c r="F864" i="22" s="1"/>
  <c r="C352" i="23" s="1"/>
  <c r="D352" i="24" s="1"/>
  <c r="E352" i="24" s="1"/>
  <c r="F352" i="24" s="1"/>
  <c r="H352" i="24" s="1"/>
  <c r="I352" i="24" s="1"/>
  <c r="J352" i="24" s="1"/>
  <c r="Q217" i="21"/>
  <c r="H10" i="28" s="1"/>
  <c r="M229" i="21"/>
  <c r="P229" i="21"/>
  <c r="N225" i="21"/>
  <c r="O225" i="21"/>
  <c r="K355" i="24"/>
  <c r="L223" i="34" s="1"/>
  <c r="L355" i="24"/>
  <c r="C363" i="24" s="1"/>
  <c r="E364" i="24"/>
  <c r="F364" i="24" s="1"/>
  <c r="H364" i="24" s="1"/>
  <c r="I364" i="24" s="1"/>
  <c r="J364" i="24" s="1"/>
  <c r="N226" i="21"/>
  <c r="O226" i="21"/>
  <c r="K358" i="24"/>
  <c r="L226" i="34" s="1"/>
  <c r="L358" i="24"/>
  <c r="C366" i="24" s="1"/>
  <c r="N223" i="21"/>
  <c r="O223" i="21"/>
  <c r="Q229" i="21"/>
  <c r="K357" i="24"/>
  <c r="L225" i="34" s="1"/>
  <c r="L357" i="24"/>
  <c r="C365" i="24" s="1"/>
  <c r="O226" i="34" l="1"/>
  <c r="M226" i="34"/>
  <c r="N226" i="34" s="1"/>
  <c r="J223" i="34" a="1"/>
  <c r="J223" i="34" s="1"/>
  <c r="O223" i="34" s="1"/>
  <c r="J225" i="34" a="1"/>
  <c r="J225" i="34" s="1"/>
  <c r="O225" i="34" s="1"/>
  <c r="M224" i="34"/>
  <c r="N224" i="34" s="1"/>
  <c r="O224" i="34"/>
  <c r="C231" i="21"/>
  <c r="E231" i="21" s="1"/>
  <c r="H231" i="21" s="1"/>
  <c r="I231" i="21" s="1"/>
  <c r="S226" i="21"/>
  <c r="T226" i="21"/>
  <c r="C230" i="21"/>
  <c r="E230" i="21" s="1"/>
  <c r="H230" i="21" s="1"/>
  <c r="I230" i="21" s="1"/>
  <c r="J230" i="21" s="1"/>
  <c r="S225" i="21"/>
  <c r="T225" i="21"/>
  <c r="C228" i="21"/>
  <c r="E228" i="21" s="1"/>
  <c r="S223" i="21"/>
  <c r="T223" i="21"/>
  <c r="L352" i="24"/>
  <c r="C360" i="24" s="1"/>
  <c r="K352" i="24"/>
  <c r="P217" i="21"/>
  <c r="M217" i="21"/>
  <c r="K346" i="24"/>
  <c r="L217" i="34" s="1"/>
  <c r="L346" i="24"/>
  <c r="C354" i="24" s="1"/>
  <c r="K131" i="26"/>
  <c r="I217" i="34" s="1"/>
  <c r="E131" i="26"/>
  <c r="J131" i="26" s="1"/>
  <c r="H217" i="34" s="1"/>
  <c r="L364" i="24"/>
  <c r="C372" i="24" s="1"/>
  <c r="K364" i="24"/>
  <c r="L229" i="34" s="1"/>
  <c r="H228" i="21"/>
  <c r="I228" i="21" s="1"/>
  <c r="N229" i="21"/>
  <c r="O229" i="21"/>
  <c r="Q223" i="34" l="1" a="1"/>
  <c r="Q223" i="34" s="1"/>
  <c r="P223" i="34" a="1"/>
  <c r="P223" i="34" s="1"/>
  <c r="R223" i="34" s="1" a="1"/>
  <c r="R223" i="34" s="1"/>
  <c r="P225" i="34" a="1"/>
  <c r="P225" i="34" s="1"/>
  <c r="R225" i="34" s="1" a="1"/>
  <c r="R225" i="34" s="1"/>
  <c r="Q225" i="34" a="1"/>
  <c r="Q225" i="34" s="1"/>
  <c r="Q226" i="34" a="1"/>
  <c r="Q226" i="34" s="1"/>
  <c r="P226" i="34" a="1"/>
  <c r="P226" i="34" s="1"/>
  <c r="R226" i="34" s="1" a="1"/>
  <c r="R226" i="34" s="1"/>
  <c r="M223" i="34"/>
  <c r="N223" i="34"/>
  <c r="Q224" i="34" a="1"/>
  <c r="Q224" i="34" s="1"/>
  <c r="P224" i="34" a="1"/>
  <c r="P224" i="34" s="1"/>
  <c r="R224" i="34" s="1" a="1"/>
  <c r="R224" i="34" s="1"/>
  <c r="M225" i="34"/>
  <c r="N225" i="34"/>
  <c r="C139" i="26"/>
  <c r="E139" i="26" s="1"/>
  <c r="J139" i="26" s="1"/>
  <c r="J231" i="21"/>
  <c r="C234" i="21"/>
  <c r="E234" i="21" s="1"/>
  <c r="S229" i="21"/>
  <c r="T229" i="21"/>
  <c r="C138" i="26"/>
  <c r="E138" i="26" s="1"/>
  <c r="J138" i="26" s="1"/>
  <c r="J228" i="21"/>
  <c r="L131" i="26"/>
  <c r="H11" i="28"/>
  <c r="O217" i="21"/>
  <c r="N217" i="21"/>
  <c r="L230" i="21"/>
  <c r="D914" i="22" a="1"/>
  <c r="D914" i="22" s="1"/>
  <c r="F914" i="22" s="1"/>
  <c r="C365" i="23" s="1"/>
  <c r="D365" i="24" s="1"/>
  <c r="D915" i="22" a="1"/>
  <c r="D915" i="22" s="1"/>
  <c r="F915" i="22" s="1"/>
  <c r="D916" i="22" a="1"/>
  <c r="D916" i="22" s="1"/>
  <c r="F916" i="22" s="1"/>
  <c r="D917" i="22" a="1"/>
  <c r="D917" i="22" s="1"/>
  <c r="F917" i="22" s="1"/>
  <c r="L231" i="21"/>
  <c r="Q231" i="21" s="1"/>
  <c r="D919" i="22" a="1"/>
  <c r="D919" i="22" s="1"/>
  <c r="F919" i="22" s="1"/>
  <c r="D920" i="22" a="1"/>
  <c r="D920" i="22" s="1"/>
  <c r="F920" i="22" s="1"/>
  <c r="D921" i="22" a="1"/>
  <c r="D921" i="22" s="1"/>
  <c r="F921" i="22" s="1"/>
  <c r="D918" i="22" a="1"/>
  <c r="D918" i="22" s="1"/>
  <c r="F918" i="22" s="1"/>
  <c r="C366" i="23" s="1"/>
  <c r="D366" i="24" s="1"/>
  <c r="H234" i="21"/>
  <c r="I234" i="21" s="1"/>
  <c r="L228" i="21"/>
  <c r="D906" i="22" a="1"/>
  <c r="D906" i="22" s="1"/>
  <c r="F906" i="22" s="1"/>
  <c r="C363" i="23" s="1"/>
  <c r="D363" i="24" s="1"/>
  <c r="D908" i="22" a="1"/>
  <c r="D908" i="22" s="1"/>
  <c r="F908" i="22" s="1"/>
  <c r="D907" i="22" a="1"/>
  <c r="D907" i="22" s="1"/>
  <c r="F907" i="22" s="1"/>
  <c r="D909" i="22" a="1"/>
  <c r="D909" i="22" s="1"/>
  <c r="F909" i="22" s="1"/>
  <c r="H231" i="34" l="1"/>
  <c r="H229" i="34"/>
  <c r="H230" i="34"/>
  <c r="H228" i="34"/>
  <c r="K139" i="26"/>
  <c r="H9" i="28"/>
  <c r="J217" i="34" a="1"/>
  <c r="J217" i="34" s="1"/>
  <c r="K138" i="26"/>
  <c r="H7" i="28"/>
  <c r="C222" i="21"/>
  <c r="E222" i="21" s="1"/>
  <c r="S217" i="21"/>
  <c r="T217" i="21" s="1"/>
  <c r="L139" i="26"/>
  <c r="H222" i="21"/>
  <c r="I222" i="21" s="1"/>
  <c r="J222" i="21"/>
  <c r="E363" i="24"/>
  <c r="F363" i="24" s="1"/>
  <c r="H363" i="24" s="1"/>
  <c r="I363" i="24" s="1"/>
  <c r="J363" i="24" s="1"/>
  <c r="M228" i="21"/>
  <c r="P228" i="21"/>
  <c r="E365" i="24"/>
  <c r="F365" i="24" s="1"/>
  <c r="H365" i="24" s="1"/>
  <c r="I365" i="24" s="1"/>
  <c r="J365" i="24" s="1"/>
  <c r="L234" i="21"/>
  <c r="D933" i="22" a="1"/>
  <c r="D933" i="22" s="1"/>
  <c r="F933" i="22" s="1"/>
  <c r="D931" i="22" a="1"/>
  <c r="D931" i="22" s="1"/>
  <c r="F931" i="22" s="1"/>
  <c r="D930" i="22" a="1"/>
  <c r="D930" i="22" s="1"/>
  <c r="F930" i="22" s="1"/>
  <c r="C372" i="23" s="1"/>
  <c r="D372" i="24" s="1"/>
  <c r="D932" i="22" a="1"/>
  <c r="D932" i="22" s="1"/>
  <c r="F932" i="22" s="1"/>
  <c r="M230" i="21"/>
  <c r="P230" i="21"/>
  <c r="J234" i="21"/>
  <c r="E366" i="24"/>
  <c r="F366" i="24" s="1"/>
  <c r="H366" i="24" s="1"/>
  <c r="I366" i="24" s="1"/>
  <c r="J366" i="24" s="1"/>
  <c r="Q228" i="21"/>
  <c r="M231" i="21"/>
  <c r="P231" i="21"/>
  <c r="Q230" i="21"/>
  <c r="M217" i="34" l="1"/>
  <c r="N217" i="34"/>
  <c r="O217" i="34"/>
  <c r="L138" i="26"/>
  <c r="I228" i="34"/>
  <c r="I230" i="34"/>
  <c r="I229" i="34"/>
  <c r="I231" i="34"/>
  <c r="J229" i="34" a="1"/>
  <c r="J229" i="34" s="1"/>
  <c r="J231" i="34" a="1"/>
  <c r="J231" i="34" s="1"/>
  <c r="C134" i="26"/>
  <c r="D883" i="22" a="1"/>
  <c r="D883" i="22" s="1"/>
  <c r="F883" i="22" s="1"/>
  <c r="C359" i="23" s="1"/>
  <c r="D359" i="24" s="1"/>
  <c r="E359" i="24" s="1"/>
  <c r="L222" i="21"/>
  <c r="Q222" i="21" s="1"/>
  <c r="D884" i="22" a="1"/>
  <c r="D884" i="22" s="1"/>
  <c r="F884" i="22" s="1"/>
  <c r="C360" i="23" s="1"/>
  <c r="D360" i="24" s="1"/>
  <c r="E360" i="24" s="1"/>
  <c r="F360" i="24" s="1"/>
  <c r="H360" i="24" s="1"/>
  <c r="I360" i="24" s="1"/>
  <c r="J360" i="24" s="1"/>
  <c r="D882" i="22" a="1"/>
  <c r="D882" i="22" s="1"/>
  <c r="F882" i="22" s="1"/>
  <c r="C354" i="23" s="1"/>
  <c r="D354" i="24" s="1"/>
  <c r="E354" i="24" s="1"/>
  <c r="F354" i="24" s="1"/>
  <c r="H354" i="24" s="1"/>
  <c r="I354" i="24" s="1"/>
  <c r="J354" i="24" s="1"/>
  <c r="D885" i="22" a="1"/>
  <c r="D885" i="22" s="1"/>
  <c r="F885" i="22" s="1"/>
  <c r="C361" i="23" s="1"/>
  <c r="D361" i="24" s="1"/>
  <c r="E361" i="24" s="1"/>
  <c r="K365" i="24"/>
  <c r="L230" i="34" s="1"/>
  <c r="L365" i="24"/>
  <c r="C373" i="24" s="1"/>
  <c r="K366" i="24"/>
  <c r="L231" i="34" s="1"/>
  <c r="L366" i="24"/>
  <c r="C374" i="24" s="1"/>
  <c r="E372" i="24"/>
  <c r="F372" i="24" s="1"/>
  <c r="H372" i="24" s="1"/>
  <c r="I372" i="24" s="1"/>
  <c r="J372" i="24" s="1"/>
  <c r="M234" i="21"/>
  <c r="P234" i="21"/>
  <c r="O230" i="21"/>
  <c r="N230" i="21"/>
  <c r="O231" i="21"/>
  <c r="N231" i="21"/>
  <c r="N228" i="21"/>
  <c r="O228" i="21"/>
  <c r="K363" i="24"/>
  <c r="L228" i="34" s="1"/>
  <c r="L363" i="24"/>
  <c r="C371" i="24" s="1"/>
  <c r="Q234" i="21"/>
  <c r="Q217" i="34" l="1" a="1"/>
  <c r="Q217" i="34" s="1"/>
  <c r="P217" i="34" a="1"/>
  <c r="P217" i="34" s="1"/>
  <c r="R217" i="34" s="1" a="1"/>
  <c r="R217" i="34" s="1"/>
  <c r="O229" i="34"/>
  <c r="M229" i="34"/>
  <c r="N229" i="34" s="1"/>
  <c r="M231" i="34"/>
  <c r="N231" i="34" s="1"/>
  <c r="O231" i="34"/>
  <c r="J228" i="34" a="1"/>
  <c r="J228" i="34" s="1"/>
  <c r="J230" i="34" a="1"/>
  <c r="J230" i="34" s="1"/>
  <c r="C233" i="21"/>
  <c r="E233" i="21" s="1"/>
  <c r="S228" i="21"/>
  <c r="T228" i="21"/>
  <c r="C236" i="21"/>
  <c r="E236" i="21" s="1"/>
  <c r="H236" i="21" s="1"/>
  <c r="I236" i="21" s="1"/>
  <c r="C142" i="26" s="1"/>
  <c r="S231" i="21"/>
  <c r="T231" i="21" s="1"/>
  <c r="C235" i="21"/>
  <c r="E235" i="21" s="1"/>
  <c r="H235" i="21" s="1"/>
  <c r="I235" i="21" s="1"/>
  <c r="S230" i="21"/>
  <c r="T230" i="21" s="1"/>
  <c r="L354" i="24"/>
  <c r="C362" i="24" s="1"/>
  <c r="K354" i="24"/>
  <c r="L222" i="34" s="1"/>
  <c r="L360" i="24"/>
  <c r="C368" i="24" s="1"/>
  <c r="K360" i="24"/>
  <c r="P222" i="21"/>
  <c r="M222" i="21"/>
  <c r="E134" i="26"/>
  <c r="J134" i="26" s="1"/>
  <c r="H222" i="34" s="1"/>
  <c r="K134" i="26"/>
  <c r="L372" i="24"/>
  <c r="C380" i="24" s="1"/>
  <c r="K372" i="24"/>
  <c r="L234" i="34" s="1"/>
  <c r="N234" i="21"/>
  <c r="O234" i="21"/>
  <c r="H233" i="21"/>
  <c r="I233" i="21" s="1"/>
  <c r="Q231" i="34" l="1" a="1"/>
  <c r="Q231" i="34" s="1"/>
  <c r="P231" i="34" a="1"/>
  <c r="P231" i="34" s="1"/>
  <c r="R231" i="34" s="1" a="1"/>
  <c r="R231" i="34" s="1"/>
  <c r="P229" i="34" a="1"/>
  <c r="P229" i="34" s="1"/>
  <c r="R229" i="34" s="1" a="1"/>
  <c r="R229" i="34" s="1"/>
  <c r="Q229" i="34" a="1"/>
  <c r="Q229" i="34" s="1"/>
  <c r="O228" i="34"/>
  <c r="L134" i="26"/>
  <c r="J222" i="34" s="1" a="1"/>
  <c r="J222" i="34" s="1"/>
  <c r="M222" i="34" s="1"/>
  <c r="I222" i="34"/>
  <c r="O230" i="34"/>
  <c r="M228" i="34"/>
  <c r="N228" i="34" s="1"/>
  <c r="M230" i="34"/>
  <c r="N230" i="34" s="1"/>
  <c r="C141" i="26"/>
  <c r="K141" i="26" s="1"/>
  <c r="C239" i="21"/>
  <c r="E239" i="21" s="1"/>
  <c r="S234" i="21"/>
  <c r="T234" i="21" s="1"/>
  <c r="J233" i="21"/>
  <c r="J236" i="21"/>
  <c r="K142" i="26"/>
  <c r="E142" i="26"/>
  <c r="J142" i="26" s="1"/>
  <c r="O222" i="21"/>
  <c r="N222" i="21"/>
  <c r="L235" i="21"/>
  <c r="Q235" i="21" s="1"/>
  <c r="D934" i="22" a="1"/>
  <c r="D934" i="22" s="1"/>
  <c r="F934" i="22" s="1"/>
  <c r="C373" i="23" s="1"/>
  <c r="D373" i="24" s="1"/>
  <c r="D935" i="22" a="1"/>
  <c r="D935" i="22" s="1"/>
  <c r="F935" i="22" s="1"/>
  <c r="D936" i="22" a="1"/>
  <c r="D936" i="22" s="1"/>
  <c r="F936" i="22" s="1"/>
  <c r="D937" i="22" a="1"/>
  <c r="D937" i="22" s="1"/>
  <c r="F937" i="22" s="1"/>
  <c r="H239" i="21"/>
  <c r="I239" i="21" s="1"/>
  <c r="J235" i="21"/>
  <c r="L236" i="21"/>
  <c r="D940" i="22" a="1"/>
  <c r="D940" i="22" s="1"/>
  <c r="F940" i="22" s="1"/>
  <c r="D941" i="22" a="1"/>
  <c r="D941" i="22" s="1"/>
  <c r="F941" i="22" s="1"/>
  <c r="D938" i="22" a="1"/>
  <c r="D938" i="22" s="1"/>
  <c r="F938" i="22" s="1"/>
  <c r="C374" i="23" s="1"/>
  <c r="D374" i="24" s="1"/>
  <c r="D939" i="22" a="1"/>
  <c r="D939" i="22" s="1"/>
  <c r="F939" i="22" s="1"/>
  <c r="Q236" i="21"/>
  <c r="L233" i="21"/>
  <c r="D927" i="22" a="1"/>
  <c r="D927" i="22" s="1"/>
  <c r="F927" i="22" s="1"/>
  <c r="D926" i="22" a="1"/>
  <c r="D926" i="22" s="1"/>
  <c r="F926" i="22" s="1"/>
  <c r="C371" i="23" s="1"/>
  <c r="D371" i="24" s="1"/>
  <c r="D928" i="22" a="1"/>
  <c r="D928" i="22" s="1"/>
  <c r="F928" i="22" s="1"/>
  <c r="D929" i="22" a="1"/>
  <c r="D929" i="22" s="1"/>
  <c r="F929" i="22" s="1"/>
  <c r="I233" i="34" l="1"/>
  <c r="I235" i="34"/>
  <c r="Q228" i="34" a="1"/>
  <c r="Q228" i="34" s="1"/>
  <c r="P228" i="34" a="1"/>
  <c r="P228" i="34" s="1"/>
  <c r="R228" i="34" s="1" a="1"/>
  <c r="R228" i="34" s="1"/>
  <c r="N222" i="34"/>
  <c r="O222" i="34"/>
  <c r="I236" i="34"/>
  <c r="I234" i="34"/>
  <c r="H234" i="34"/>
  <c r="H236" i="34"/>
  <c r="Q230" i="34" a="1"/>
  <c r="Q230" i="34" s="1"/>
  <c r="P230" i="34" a="1"/>
  <c r="P230" i="34" s="1"/>
  <c r="R230" i="34" s="1" a="1"/>
  <c r="R230" i="34" s="1"/>
  <c r="E141" i="26"/>
  <c r="J141" i="26" s="1"/>
  <c r="C227" i="21"/>
  <c r="E227" i="21" s="1"/>
  <c r="S222" i="21"/>
  <c r="T222" i="21" s="1"/>
  <c r="L141" i="26"/>
  <c r="H227" i="21"/>
  <c r="I227" i="21" s="1"/>
  <c r="J227" i="21"/>
  <c r="J239" i="21"/>
  <c r="L142" i="26"/>
  <c r="M233" i="21"/>
  <c r="P233" i="21"/>
  <c r="L239" i="21"/>
  <c r="Q239" i="21" s="1"/>
  <c r="D950" i="22" a="1"/>
  <c r="D950" i="22" s="1"/>
  <c r="F950" i="22" s="1"/>
  <c r="C380" i="23" s="1"/>
  <c r="D380" i="24" s="1"/>
  <c r="D951" i="22" a="1"/>
  <c r="D951" i="22" s="1"/>
  <c r="F951" i="22" s="1"/>
  <c r="D952" i="22" a="1"/>
  <c r="D952" i="22" s="1"/>
  <c r="F952" i="22" s="1"/>
  <c r="D953" i="22" a="1"/>
  <c r="D953" i="22" s="1"/>
  <c r="F953" i="22" s="1"/>
  <c r="E374" i="24"/>
  <c r="F374" i="24" s="1"/>
  <c r="H374" i="24" s="1"/>
  <c r="I374" i="24" s="1"/>
  <c r="J374" i="24" s="1"/>
  <c r="Q233" i="21"/>
  <c r="M236" i="21"/>
  <c r="P236" i="21"/>
  <c r="E373" i="24"/>
  <c r="F373" i="24" s="1"/>
  <c r="H373" i="24" s="1"/>
  <c r="I373" i="24" s="1"/>
  <c r="J373" i="24" s="1"/>
  <c r="E371" i="24"/>
  <c r="F371" i="24" s="1"/>
  <c r="H371" i="24" s="1"/>
  <c r="I371" i="24" s="1"/>
  <c r="J371" i="24" s="1"/>
  <c r="M235" i="21"/>
  <c r="P235" i="21"/>
  <c r="J234" i="34" l="1" a="1"/>
  <c r="J234" i="34" s="1"/>
  <c r="J236" i="34" a="1"/>
  <c r="J236" i="34" s="1"/>
  <c r="Q222" i="34" a="1"/>
  <c r="Q222" i="34" s="1"/>
  <c r="P222" i="34" a="1"/>
  <c r="P222" i="34" s="1"/>
  <c r="R222" i="34" s="1" a="1"/>
  <c r="R222" i="34" s="1"/>
  <c r="J235" i="34" a="1"/>
  <c r="J235" i="34" s="1"/>
  <c r="J233" i="34" a="1"/>
  <c r="J233" i="34" s="1"/>
  <c r="H235" i="34"/>
  <c r="H233" i="34"/>
  <c r="C137" i="26"/>
  <c r="L227" i="21"/>
  <c r="D905" i="22" a="1"/>
  <c r="D905" i="22" s="1"/>
  <c r="F905" i="22" s="1"/>
  <c r="C369" i="23" s="1"/>
  <c r="D369" i="24" s="1"/>
  <c r="E369" i="24" s="1"/>
  <c r="D903" i="22" a="1"/>
  <c r="D903" i="22" s="1"/>
  <c r="F903" i="22" s="1"/>
  <c r="C367" i="23" s="1"/>
  <c r="D367" i="24" s="1"/>
  <c r="E367" i="24" s="1"/>
  <c r="D902" i="22" a="1"/>
  <c r="D902" i="22" s="1"/>
  <c r="F902" i="22" s="1"/>
  <c r="C362" i="23" s="1"/>
  <c r="D362" i="24" s="1"/>
  <c r="D904" i="22" a="1"/>
  <c r="D904" i="22" s="1"/>
  <c r="F904" i="22" s="1"/>
  <c r="C368" i="23" s="1"/>
  <c r="D368" i="24" s="1"/>
  <c r="Q227" i="21"/>
  <c r="K373" i="24"/>
  <c r="L235" i="34" s="1"/>
  <c r="L373" i="24"/>
  <c r="C381" i="24" s="1"/>
  <c r="N233" i="21"/>
  <c r="O233" i="21"/>
  <c r="E380" i="24"/>
  <c r="F380" i="24" s="1"/>
  <c r="H380" i="24" s="1"/>
  <c r="I380" i="24" s="1"/>
  <c r="J380" i="24" s="1"/>
  <c r="M239" i="21"/>
  <c r="P239" i="21"/>
  <c r="N236" i="21"/>
  <c r="O236" i="21"/>
  <c r="K374" i="24"/>
  <c r="L236" i="34" s="1"/>
  <c r="L374" i="24"/>
  <c r="C382" i="24" s="1"/>
  <c r="O235" i="21"/>
  <c r="N235" i="21"/>
  <c r="L371" i="24"/>
  <c r="C379" i="24" s="1"/>
  <c r="K371" i="24"/>
  <c r="L233" i="34" s="1"/>
  <c r="M233" i="34" l="1"/>
  <c r="N233" i="34" s="1"/>
  <c r="O233" i="34"/>
  <c r="M235" i="34"/>
  <c r="O235" i="34"/>
  <c r="N235" i="34"/>
  <c r="M236" i="34"/>
  <c r="N236" i="34"/>
  <c r="O236" i="34"/>
  <c r="O234" i="34"/>
  <c r="M234" i="34"/>
  <c r="N234" i="34" s="1"/>
  <c r="C238" i="21"/>
  <c r="E238" i="21" s="1"/>
  <c r="S233" i="21"/>
  <c r="T233" i="21"/>
  <c r="C240" i="21"/>
  <c r="E240" i="21" s="1"/>
  <c r="S235" i="21"/>
  <c r="T235" i="21" s="1"/>
  <c r="C241" i="21"/>
  <c r="E241" i="21" s="1"/>
  <c r="S236" i="21"/>
  <c r="T236" i="21"/>
  <c r="E362" i="24"/>
  <c r="F362" i="24" s="1"/>
  <c r="H362" i="24" s="1"/>
  <c r="I362" i="24" s="1"/>
  <c r="J362" i="24" s="1"/>
  <c r="P227" i="21"/>
  <c r="M227" i="21"/>
  <c r="E368" i="24"/>
  <c r="F368" i="24"/>
  <c r="H368" i="24" s="1"/>
  <c r="I368" i="24" s="1"/>
  <c r="J368" i="24" s="1"/>
  <c r="E137" i="26"/>
  <c r="J137" i="26" s="1"/>
  <c r="H227" i="34" s="1"/>
  <c r="K137" i="26"/>
  <c r="N239" i="21"/>
  <c r="O239" i="21"/>
  <c r="K380" i="24"/>
  <c r="L239" i="34" s="1"/>
  <c r="L380" i="24"/>
  <c r="C388" i="24" s="1"/>
  <c r="H238" i="21"/>
  <c r="I238" i="21" s="1"/>
  <c r="C144" i="26" s="1"/>
  <c r="H240" i="21"/>
  <c r="I240" i="21" s="1"/>
  <c r="H241" i="21"/>
  <c r="I241" i="21" s="1"/>
  <c r="P234" i="34" l="1" a="1"/>
  <c r="P234" i="34" s="1"/>
  <c r="R234" i="34" s="1" a="1"/>
  <c r="R234" i="34" s="1"/>
  <c r="Q234" i="34" a="1"/>
  <c r="Q234" i="34" s="1"/>
  <c r="L137" i="26"/>
  <c r="J227" i="34" s="1" a="1"/>
  <c r="J227" i="34" s="1"/>
  <c r="I227" i="34"/>
  <c r="Q236" i="34" a="1"/>
  <c r="Q236" i="34" s="1"/>
  <c r="P236" i="34" a="1"/>
  <c r="P236" i="34" s="1"/>
  <c r="R236" i="34" s="1" a="1"/>
  <c r="R236" i="34" s="1"/>
  <c r="P235" i="34" a="1"/>
  <c r="P235" i="34" s="1"/>
  <c r="R235" i="34" s="1" a="1"/>
  <c r="R235" i="34" s="1"/>
  <c r="Q235" i="34" a="1"/>
  <c r="Q235" i="34" s="1"/>
  <c r="Q233" i="34" a="1"/>
  <c r="Q233" i="34" s="1"/>
  <c r="P233" i="34" a="1"/>
  <c r="P233" i="34" s="1"/>
  <c r="R233" i="34" s="1" a="1"/>
  <c r="R233" i="34" s="1"/>
  <c r="C244" i="21"/>
  <c r="E244" i="21" s="1"/>
  <c r="S239" i="21"/>
  <c r="T239" i="21" s="1"/>
  <c r="J241" i="21"/>
  <c r="C145" i="26"/>
  <c r="K368" i="24"/>
  <c r="L368" i="24"/>
  <c r="C376" i="24" s="1"/>
  <c r="N227" i="21"/>
  <c r="O227" i="21"/>
  <c r="L362" i="24"/>
  <c r="C370" i="24" s="1"/>
  <c r="K362" i="24"/>
  <c r="L227" i="34" s="1"/>
  <c r="K144" i="26"/>
  <c r="E144" i="26"/>
  <c r="J144" i="26" s="1"/>
  <c r="L240" i="21"/>
  <c r="Q240" i="21" s="1"/>
  <c r="D955" i="22" a="1"/>
  <c r="D955" i="22" s="1"/>
  <c r="F955" i="22" s="1"/>
  <c r="D956" i="22" a="1"/>
  <c r="D956" i="22" s="1"/>
  <c r="F956" i="22" s="1"/>
  <c r="D954" i="22" a="1"/>
  <c r="D954" i="22" s="1"/>
  <c r="F954" i="22" s="1"/>
  <c r="C381" i="23" s="1"/>
  <c r="D381" i="24" s="1"/>
  <c r="D957" i="22" a="1"/>
  <c r="D957" i="22" s="1"/>
  <c r="F957" i="22" s="1"/>
  <c r="L238" i="21"/>
  <c r="D947" i="22" a="1"/>
  <c r="D947" i="22" s="1"/>
  <c r="F947" i="22" s="1"/>
  <c r="D948" i="22" a="1"/>
  <c r="D948" i="22" s="1"/>
  <c r="F948" i="22" s="1"/>
  <c r="D949" i="22" a="1"/>
  <c r="D949" i="22" s="1"/>
  <c r="F949" i="22" s="1"/>
  <c r="D946" i="22" a="1"/>
  <c r="D946" i="22" s="1"/>
  <c r="F946" i="22" s="1"/>
  <c r="C379" i="23" s="1"/>
  <c r="D379" i="24" s="1"/>
  <c r="L241" i="21"/>
  <c r="Q241" i="21" s="1"/>
  <c r="D960" i="22" a="1"/>
  <c r="D960" i="22" s="1"/>
  <c r="F960" i="22" s="1"/>
  <c r="D961" i="22" a="1"/>
  <c r="D961" i="22" s="1"/>
  <c r="F961" i="22" s="1"/>
  <c r="D958" i="22" a="1"/>
  <c r="D958" i="22" s="1"/>
  <c r="F958" i="22" s="1"/>
  <c r="C382" i="23" s="1"/>
  <c r="D382" i="24" s="1"/>
  <c r="D959" i="22" a="1"/>
  <c r="D959" i="22" s="1"/>
  <c r="F959" i="22" s="1"/>
  <c r="J240" i="21"/>
  <c r="J238" i="21"/>
  <c r="H244" i="21"/>
  <c r="I244" i="21" s="1"/>
  <c r="O227" i="34" l="1"/>
  <c r="M227" i="34"/>
  <c r="N227" i="34"/>
  <c r="I240" i="34"/>
  <c r="I238" i="34"/>
  <c r="H240" i="34"/>
  <c r="H238" i="34"/>
  <c r="C232" i="21"/>
  <c r="E232" i="21" s="1"/>
  <c r="S227" i="21"/>
  <c r="T227" i="21" s="1"/>
  <c r="L144" i="26"/>
  <c r="K145" i="26"/>
  <c r="E145" i="26"/>
  <c r="J145" i="26" s="1"/>
  <c r="H232" i="21"/>
  <c r="I232" i="21" s="1"/>
  <c r="J232" i="21" s="1"/>
  <c r="M238" i="21"/>
  <c r="P238" i="21"/>
  <c r="E381" i="24"/>
  <c r="F381" i="24" s="1"/>
  <c r="H381" i="24" s="1"/>
  <c r="I381" i="24" s="1"/>
  <c r="J381" i="24" s="1"/>
  <c r="L244" i="21"/>
  <c r="D973" i="22" a="1"/>
  <c r="D973" i="22" s="1"/>
  <c r="F973" i="22" s="1"/>
  <c r="D970" i="22" a="1"/>
  <c r="D970" i="22" s="1"/>
  <c r="F970" i="22" s="1"/>
  <c r="C388" i="23" s="1"/>
  <c r="D388" i="24" s="1"/>
  <c r="D971" i="22" a="1"/>
  <c r="D971" i="22" s="1"/>
  <c r="F971" i="22" s="1"/>
  <c r="D972" i="22" a="1"/>
  <c r="D972" i="22" s="1"/>
  <c r="F972" i="22" s="1"/>
  <c r="E382" i="24"/>
  <c r="F382" i="24"/>
  <c r="H382" i="24" s="1"/>
  <c r="I382" i="24" s="1"/>
  <c r="J382" i="24" s="1"/>
  <c r="M241" i="21"/>
  <c r="P241" i="21"/>
  <c r="J244" i="21"/>
  <c r="Q238" i="21"/>
  <c r="M240" i="21"/>
  <c r="P240" i="21"/>
  <c r="E379" i="24"/>
  <c r="F379" i="24" s="1"/>
  <c r="H379" i="24" s="1"/>
  <c r="I379" i="24" s="1"/>
  <c r="J379" i="24" s="1"/>
  <c r="H239" i="34" l="1"/>
  <c r="H241" i="34"/>
  <c r="J240" i="34" a="1"/>
  <c r="J240" i="34" s="1"/>
  <c r="J238" i="34" a="1"/>
  <c r="J238" i="34" s="1"/>
  <c r="I239" i="34"/>
  <c r="I241" i="34"/>
  <c r="Q227" i="34" a="1"/>
  <c r="Q227" i="34" s="1"/>
  <c r="P227" i="34" a="1"/>
  <c r="P227" i="34" s="1"/>
  <c r="R227" i="34" s="1" a="1"/>
  <c r="R227" i="34" s="1"/>
  <c r="C140" i="26"/>
  <c r="D924" i="22" a="1"/>
  <c r="D924" i="22" s="1"/>
  <c r="F924" i="22" s="1"/>
  <c r="C376" i="23" s="1"/>
  <c r="D376" i="24" s="1"/>
  <c r="D925" i="22" a="1"/>
  <c r="D925" i="22" s="1"/>
  <c r="F925" i="22" s="1"/>
  <c r="C377" i="23" s="1"/>
  <c r="D377" i="24" s="1"/>
  <c r="E377" i="24" s="1"/>
  <c r="L232" i="21"/>
  <c r="D922" i="22" a="1"/>
  <c r="D922" i="22" s="1"/>
  <c r="F922" i="22" s="1"/>
  <c r="C370" i="23" s="1"/>
  <c r="D370" i="24" s="1"/>
  <c r="E370" i="24" s="1"/>
  <c r="F370" i="24" s="1"/>
  <c r="H370" i="24" s="1"/>
  <c r="I370" i="24" s="1"/>
  <c r="J370" i="24" s="1"/>
  <c r="D923" i="22" a="1"/>
  <c r="D923" i="22" s="1"/>
  <c r="F923" i="22" s="1"/>
  <c r="C375" i="23" s="1"/>
  <c r="D375" i="24" s="1"/>
  <c r="E375" i="24" s="1"/>
  <c r="L145" i="26"/>
  <c r="K381" i="24"/>
  <c r="L240" i="34" s="1"/>
  <c r="L381" i="24"/>
  <c r="C389" i="24" s="1"/>
  <c r="K379" i="24"/>
  <c r="L238" i="34" s="1"/>
  <c r="L379" i="24"/>
  <c r="C387" i="24" s="1"/>
  <c r="M244" i="21"/>
  <c r="P244" i="21"/>
  <c r="K382" i="24"/>
  <c r="L241" i="34" s="1"/>
  <c r="L382" i="24"/>
  <c r="C390" i="24" s="1"/>
  <c r="N238" i="21"/>
  <c r="O238" i="21"/>
  <c r="O241" i="21"/>
  <c r="N241" i="21"/>
  <c r="Q244" i="21"/>
  <c r="N240" i="21"/>
  <c r="O240" i="21"/>
  <c r="E388" i="24"/>
  <c r="F388" i="24"/>
  <c r="H388" i="24" s="1"/>
  <c r="I388" i="24" s="1"/>
  <c r="J388" i="24" s="1"/>
  <c r="M240" i="34" l="1"/>
  <c r="N240" i="34" s="1"/>
  <c r="O240" i="34"/>
  <c r="J241" i="34" a="1"/>
  <c r="J241" i="34" s="1"/>
  <c r="M241" i="34" s="1"/>
  <c r="J239" i="34" a="1"/>
  <c r="J239" i="34" s="1"/>
  <c r="O238" i="34"/>
  <c r="M238" i="34"/>
  <c r="N238" i="34" s="1"/>
  <c r="C245" i="21"/>
  <c r="E245" i="21" s="1"/>
  <c r="S240" i="21"/>
  <c r="T240" i="21"/>
  <c r="C246" i="21"/>
  <c r="E246" i="21" s="1"/>
  <c r="S241" i="21"/>
  <c r="T241" i="21" s="1"/>
  <c r="C243" i="21"/>
  <c r="E243" i="21" s="1"/>
  <c r="S238" i="21"/>
  <c r="T238" i="21" s="1"/>
  <c r="K370" i="24"/>
  <c r="L232" i="34" s="1"/>
  <c r="L370" i="24"/>
  <c r="C378" i="24" s="1"/>
  <c r="P232" i="21"/>
  <c r="M232" i="21"/>
  <c r="Q232" i="21"/>
  <c r="E376" i="24"/>
  <c r="F376" i="24" s="1"/>
  <c r="H376" i="24" s="1"/>
  <c r="I376" i="24" s="1"/>
  <c r="J376" i="24" s="1"/>
  <c r="K140" i="26"/>
  <c r="I232" i="34" s="1"/>
  <c r="E140" i="26"/>
  <c r="J140" i="26" s="1"/>
  <c r="H232" i="34" s="1"/>
  <c r="H245" i="21"/>
  <c r="I245" i="21" s="1"/>
  <c r="J245" i="21" s="1"/>
  <c r="K388" i="24"/>
  <c r="L244" i="34" s="1"/>
  <c r="L388" i="24"/>
  <c r="C396" i="24" s="1"/>
  <c r="N244" i="21"/>
  <c r="O244" i="21"/>
  <c r="H246" i="21"/>
  <c r="I246" i="21" s="1"/>
  <c r="C148" i="26" s="1"/>
  <c r="H243" i="21"/>
  <c r="I243" i="21" s="1"/>
  <c r="C147" i="26" s="1"/>
  <c r="N241" i="34" l="1"/>
  <c r="O241" i="34"/>
  <c r="Q238" i="34" a="1"/>
  <c r="Q238" i="34" s="1"/>
  <c r="P238" i="34" a="1"/>
  <c r="P238" i="34" s="1"/>
  <c r="R238" i="34" s="1" a="1"/>
  <c r="R238" i="34" s="1"/>
  <c r="O239" i="34"/>
  <c r="M239" i="34"/>
  <c r="N239" i="34" s="1"/>
  <c r="Q240" i="34" a="1"/>
  <c r="Q240" i="34" s="1"/>
  <c r="P240" i="34" a="1"/>
  <c r="P240" i="34" s="1"/>
  <c r="R240" i="34" s="1" a="1"/>
  <c r="R240" i="34" s="1"/>
  <c r="C249" i="21"/>
  <c r="E249" i="21" s="1"/>
  <c r="S244" i="21"/>
  <c r="T244" i="21" s="1"/>
  <c r="L376" i="24"/>
  <c r="C384" i="24" s="1"/>
  <c r="K376" i="24"/>
  <c r="E147" i="26"/>
  <c r="J147" i="26" s="1"/>
  <c r="K147" i="26"/>
  <c r="J246" i="21"/>
  <c r="E148" i="26"/>
  <c r="J148" i="26" s="1"/>
  <c r="K148" i="26"/>
  <c r="L140" i="26"/>
  <c r="J232" i="34" s="1" a="1"/>
  <c r="J232" i="34" s="1"/>
  <c r="O232" i="34" s="1"/>
  <c r="O232" i="21"/>
  <c r="N232" i="21"/>
  <c r="J243" i="21"/>
  <c r="H249" i="21"/>
  <c r="I249" i="21" s="1"/>
  <c r="L245" i="21"/>
  <c r="D976" i="22" a="1"/>
  <c r="D976" i="22" s="1"/>
  <c r="F976" i="22" s="1"/>
  <c r="D977" i="22" a="1"/>
  <c r="D977" i="22" s="1"/>
  <c r="F977" i="22" s="1"/>
  <c r="D974" i="22" a="1"/>
  <c r="D974" i="22" s="1"/>
  <c r="F974" i="22" s="1"/>
  <c r="C389" i="23" s="1"/>
  <c r="D389" i="24" s="1"/>
  <c r="D975" i="22" a="1"/>
  <c r="D975" i="22" s="1"/>
  <c r="F975" i="22" s="1"/>
  <c r="Q245" i="21"/>
  <c r="L243" i="21"/>
  <c r="D969" i="22" a="1"/>
  <c r="D969" i="22" s="1"/>
  <c r="F969" i="22" s="1"/>
  <c r="D968" i="22" a="1"/>
  <c r="D968" i="22" s="1"/>
  <c r="F968" i="22" s="1"/>
  <c r="D966" i="22" a="1"/>
  <c r="D966" i="22" s="1"/>
  <c r="F966" i="22" s="1"/>
  <c r="C387" i="23" s="1"/>
  <c r="D387" i="24" s="1"/>
  <c r="D967" i="22" a="1"/>
  <c r="D967" i="22" s="1"/>
  <c r="F967" i="22" s="1"/>
  <c r="L246" i="21"/>
  <c r="Q246" i="21" s="1"/>
  <c r="D246" i="34" s="1"/>
  <c r="D978" i="22" a="1"/>
  <c r="D978" i="22" s="1"/>
  <c r="F978" i="22" s="1"/>
  <c r="C390" i="23" s="1"/>
  <c r="D390" i="24" s="1"/>
  <c r="D979" i="22" a="1"/>
  <c r="D979" i="22" s="1"/>
  <c r="F979" i="22" s="1"/>
  <c r="D980" i="22" a="1"/>
  <c r="D980" i="22" s="1"/>
  <c r="F980" i="22" s="1"/>
  <c r="D981" i="22" a="1"/>
  <c r="D981" i="22" s="1"/>
  <c r="F981" i="22" s="1"/>
  <c r="Q232" i="34" l="1" a="1"/>
  <c r="Q232" i="34" s="1"/>
  <c r="P232" i="34" a="1"/>
  <c r="P232" i="34" s="1"/>
  <c r="R232" i="34" s="1" a="1"/>
  <c r="R232" i="34" s="1"/>
  <c r="L148" i="26"/>
  <c r="I244" i="34"/>
  <c r="I246" i="34"/>
  <c r="I243" i="34"/>
  <c r="I245" i="34"/>
  <c r="H246" i="34"/>
  <c r="H244" i="34"/>
  <c r="H243" i="34"/>
  <c r="H245" i="34"/>
  <c r="Q239" i="34" a="1"/>
  <c r="Q239" i="34" s="1"/>
  <c r="P239" i="34" a="1"/>
  <c r="P239" i="34" s="1"/>
  <c r="R239" i="34" s="1" a="1"/>
  <c r="R239" i="34" s="1"/>
  <c r="M232" i="34"/>
  <c r="N232" i="34" s="1"/>
  <c r="Q241" i="34" a="1"/>
  <c r="Q241" i="34" s="1"/>
  <c r="P241" i="34" a="1"/>
  <c r="P241" i="34" s="1"/>
  <c r="R241" i="34" s="1" a="1"/>
  <c r="R241" i="34" s="1"/>
  <c r="C237" i="21"/>
  <c r="E237" i="21" s="1"/>
  <c r="S232" i="21"/>
  <c r="L147" i="26"/>
  <c r="T232" i="21"/>
  <c r="H237" i="21"/>
  <c r="I237" i="21" s="1"/>
  <c r="J237" i="21" s="1"/>
  <c r="J249" i="21"/>
  <c r="M243" i="21"/>
  <c r="P243" i="21"/>
  <c r="E389" i="24"/>
  <c r="F389" i="24" s="1"/>
  <c r="H389" i="24" s="1"/>
  <c r="I389" i="24" s="1"/>
  <c r="J389" i="24" s="1"/>
  <c r="E387" i="24"/>
  <c r="F387" i="24" s="1"/>
  <c r="H387" i="24" s="1"/>
  <c r="I387" i="24" s="1"/>
  <c r="J387" i="24" s="1"/>
  <c r="E390" i="24"/>
  <c r="F390" i="24" s="1"/>
  <c r="H390" i="24" s="1"/>
  <c r="I390" i="24" s="1"/>
  <c r="J390" i="24" s="1"/>
  <c r="M246" i="21"/>
  <c r="P246" i="21"/>
  <c r="M245" i="21"/>
  <c r="P245" i="21"/>
  <c r="Q243" i="21"/>
  <c r="L249" i="21"/>
  <c r="D991" i="22" a="1"/>
  <c r="D991" i="22" s="1"/>
  <c r="F991" i="22" s="1"/>
  <c r="D992" i="22" a="1"/>
  <c r="D992" i="22" s="1"/>
  <c r="F992" i="22" s="1"/>
  <c r="D990" i="22" a="1"/>
  <c r="D990" i="22" s="1"/>
  <c r="F990" i="22" s="1"/>
  <c r="C396" i="23" s="1"/>
  <c r="D396" i="24" s="1"/>
  <c r="D993" i="22" a="1"/>
  <c r="D993" i="22" s="1"/>
  <c r="F993" i="22" s="1"/>
  <c r="J243" i="34" l="1" a="1"/>
  <c r="J243" i="34" s="1"/>
  <c r="J245" i="34" a="1"/>
  <c r="J245" i="34" s="1"/>
  <c r="J244" i="34" a="1"/>
  <c r="J244" i="34" s="1"/>
  <c r="J246" i="34" a="1"/>
  <c r="J246" i="34" s="1"/>
  <c r="C143" i="26"/>
  <c r="D944" i="22" a="1"/>
  <c r="D944" i="22" s="1"/>
  <c r="F944" i="22" s="1"/>
  <c r="C384" i="23" s="1"/>
  <c r="D384" i="24" s="1"/>
  <c r="D945" i="22" a="1"/>
  <c r="D945" i="22" s="1"/>
  <c r="F945" i="22" s="1"/>
  <c r="C385" i="23" s="1"/>
  <c r="D385" i="24" s="1"/>
  <c r="E385" i="24" s="1"/>
  <c r="D943" i="22" a="1"/>
  <c r="D943" i="22" s="1"/>
  <c r="F943" i="22" s="1"/>
  <c r="C383" i="23" s="1"/>
  <c r="D383" i="24" s="1"/>
  <c r="E383" i="24" s="1"/>
  <c r="L237" i="21"/>
  <c r="D942" i="22" a="1"/>
  <c r="D942" i="22" s="1"/>
  <c r="F942" i="22" s="1"/>
  <c r="C378" i="23" s="1"/>
  <c r="D378" i="24" s="1"/>
  <c r="Q237" i="21"/>
  <c r="N246" i="21"/>
  <c r="O246" i="21"/>
  <c r="L389" i="24"/>
  <c r="C397" i="24" s="1"/>
  <c r="K389" i="24"/>
  <c r="L245" i="34" s="1"/>
  <c r="L390" i="24"/>
  <c r="C398" i="24" s="1"/>
  <c r="K390" i="24"/>
  <c r="L246" i="34" s="1"/>
  <c r="M249" i="21"/>
  <c r="P249" i="21"/>
  <c r="K387" i="24"/>
  <c r="L243" i="34" s="1"/>
  <c r="L387" i="24"/>
  <c r="C395" i="24" s="1"/>
  <c r="N243" i="21"/>
  <c r="O243" i="21"/>
  <c r="E396" i="24"/>
  <c r="F396" i="24" s="1"/>
  <c r="H396" i="24" s="1"/>
  <c r="I396" i="24" s="1"/>
  <c r="J396" i="24" s="1"/>
  <c r="Q249" i="21"/>
  <c r="N245" i="21"/>
  <c r="O245" i="21"/>
  <c r="F246" i="34" l="1"/>
  <c r="M245" i="34"/>
  <c r="O245" i="34"/>
  <c r="N245" i="34"/>
  <c r="N243" i="34"/>
  <c r="O243" i="34"/>
  <c r="M243" i="34"/>
  <c r="M244" i="34"/>
  <c r="N244" i="34" s="1"/>
  <c r="O244" i="34"/>
  <c r="C251" i="21"/>
  <c r="E251" i="21" s="1"/>
  <c r="H251" i="21" s="1"/>
  <c r="I251" i="21" s="1"/>
  <c r="S246" i="21"/>
  <c r="C250" i="21"/>
  <c r="E250" i="21" s="1"/>
  <c r="S245" i="21"/>
  <c r="T245" i="21" s="1"/>
  <c r="T246" i="21"/>
  <c r="C248" i="21"/>
  <c r="E248" i="21" s="1"/>
  <c r="S243" i="21"/>
  <c r="T243" i="21"/>
  <c r="E378" i="24"/>
  <c r="F378" i="24"/>
  <c r="H378" i="24" s="1"/>
  <c r="I378" i="24" s="1"/>
  <c r="J378" i="24" s="1"/>
  <c r="E384" i="24"/>
  <c r="F384" i="24" s="1"/>
  <c r="H384" i="24" s="1"/>
  <c r="I384" i="24" s="1"/>
  <c r="J384" i="24" s="1"/>
  <c r="P237" i="21"/>
  <c r="M237" i="21"/>
  <c r="K143" i="26"/>
  <c r="I237" i="34" s="1"/>
  <c r="E143" i="26"/>
  <c r="J143" i="26" s="1"/>
  <c r="H237" i="34" s="1"/>
  <c r="H250" i="21"/>
  <c r="I250" i="21" s="1"/>
  <c r="J250" i="21" s="1"/>
  <c r="N249" i="21"/>
  <c r="O249" i="21"/>
  <c r="L396" i="24"/>
  <c r="C404" i="24" s="1"/>
  <c r="K396" i="24"/>
  <c r="L249" i="34" s="1"/>
  <c r="H248" i="21"/>
  <c r="I248" i="21" s="1"/>
  <c r="C150" i="26" s="1"/>
  <c r="C151" i="26" l="1"/>
  <c r="Q244" i="34" a="1"/>
  <c r="Q244" i="34" s="1"/>
  <c r="P244" i="34" a="1"/>
  <c r="P244" i="34" s="1"/>
  <c r="R244" i="34" s="1" a="1"/>
  <c r="R244" i="34" s="1"/>
  <c r="Q243" i="34" a="1"/>
  <c r="Q243" i="34" s="1"/>
  <c r="P243" i="34" a="1"/>
  <c r="P243" i="34" s="1"/>
  <c r="R243" i="34" s="1" a="1"/>
  <c r="R243" i="34" s="1"/>
  <c r="E246" i="34"/>
  <c r="M246" i="34" s="1"/>
  <c r="N246" i="34" s="1"/>
  <c r="Q245" i="34" a="1"/>
  <c r="Q245" i="34" s="1"/>
  <c r="P245" i="34" a="1"/>
  <c r="P245" i="34" s="1"/>
  <c r="R245" i="34" s="1" a="1"/>
  <c r="R245" i="34" s="1"/>
  <c r="O246" i="34"/>
  <c r="C254" i="21"/>
  <c r="E254" i="21" s="1"/>
  <c r="S249" i="21"/>
  <c r="T249" i="21" s="1"/>
  <c r="E150" i="26"/>
  <c r="J150" i="26" s="1"/>
  <c r="K150" i="26"/>
  <c r="L143" i="26"/>
  <c r="J237" i="34" s="1" a="1"/>
  <c r="J237" i="34" s="1"/>
  <c r="E151" i="26"/>
  <c r="J151" i="26" s="1"/>
  <c r="K151" i="26"/>
  <c r="J248" i="21"/>
  <c r="L384" i="24"/>
  <c r="C392" i="24" s="1"/>
  <c r="K384" i="24"/>
  <c r="L378" i="24"/>
  <c r="C386" i="24" s="1"/>
  <c r="K378" i="24"/>
  <c r="L237" i="34" s="1"/>
  <c r="O237" i="21"/>
  <c r="N237" i="21"/>
  <c r="L251" i="21"/>
  <c r="D999" i="22" a="1"/>
  <c r="D999" i="22" s="1"/>
  <c r="F999" i="22" s="1"/>
  <c r="D998" i="22" a="1"/>
  <c r="D998" i="22" s="1"/>
  <c r="F998" i="22" s="1"/>
  <c r="C398" i="23" s="1"/>
  <c r="D398" i="24" s="1"/>
  <c r="D1001" i="22" a="1"/>
  <c r="D1001" i="22" s="1"/>
  <c r="F1001" i="22" s="1"/>
  <c r="D1000" i="22" a="1"/>
  <c r="D1000" i="22" s="1"/>
  <c r="F1000" i="22" s="1"/>
  <c r="H254" i="21"/>
  <c r="I254" i="21" s="1"/>
  <c r="J251" i="21"/>
  <c r="L248" i="21"/>
  <c r="Q248" i="21" s="1"/>
  <c r="D986" i="22" a="1"/>
  <c r="D986" i="22" s="1"/>
  <c r="F986" i="22" s="1"/>
  <c r="C395" i="23" s="1"/>
  <c r="D395" i="24" s="1"/>
  <c r="D987" i="22" a="1"/>
  <c r="D987" i="22" s="1"/>
  <c r="F987" i="22" s="1"/>
  <c r="D989" i="22" a="1"/>
  <c r="D989" i="22" s="1"/>
  <c r="F989" i="22" s="1"/>
  <c r="D988" i="22" a="1"/>
  <c r="D988" i="22" s="1"/>
  <c r="F988" i="22" s="1"/>
  <c r="L250" i="21"/>
  <c r="D994" i="22" a="1"/>
  <c r="D994" i="22" s="1"/>
  <c r="F994" i="22" s="1"/>
  <c r="C397" i="23" s="1"/>
  <c r="D397" i="24" s="1"/>
  <c r="D995" i="22" a="1"/>
  <c r="D995" i="22" s="1"/>
  <c r="F995" i="22" s="1"/>
  <c r="D997" i="22" a="1"/>
  <c r="D997" i="22" s="1"/>
  <c r="F997" i="22" s="1"/>
  <c r="D996" i="22" a="1"/>
  <c r="D996" i="22" s="1"/>
  <c r="F996" i="22" s="1"/>
  <c r="L150" i="26" l="1"/>
  <c r="I248" i="34"/>
  <c r="I250" i="34"/>
  <c r="H250" i="34"/>
  <c r="H248" i="34"/>
  <c r="M237" i="34"/>
  <c r="N237" i="34" s="1"/>
  <c r="O237" i="34"/>
  <c r="P246" i="34" a="1"/>
  <c r="P246" i="34" s="1"/>
  <c r="R246" i="34" s="1" a="1"/>
  <c r="R246" i="34" s="1"/>
  <c r="Q246" i="34" a="1"/>
  <c r="Q246" i="34" s="1"/>
  <c r="I251" i="34"/>
  <c r="I249" i="34"/>
  <c r="H251" i="34"/>
  <c r="H249" i="34"/>
  <c r="T237" i="21"/>
  <c r="C242" i="21"/>
  <c r="E242" i="21" s="1"/>
  <c r="S237" i="21"/>
  <c r="L151" i="26"/>
  <c r="H242" i="21"/>
  <c r="I242" i="21" s="1"/>
  <c r="M250" i="21"/>
  <c r="P250" i="21"/>
  <c r="E398" i="24"/>
  <c r="F398" i="24" s="1"/>
  <c r="H398" i="24" s="1"/>
  <c r="I398" i="24" s="1"/>
  <c r="J398" i="24" s="1"/>
  <c r="E397" i="24"/>
  <c r="F397" i="24" s="1"/>
  <c r="H397" i="24" s="1"/>
  <c r="I397" i="24" s="1"/>
  <c r="J397" i="24" s="1"/>
  <c r="M251" i="21"/>
  <c r="P251" i="21"/>
  <c r="E395" i="24"/>
  <c r="F395" i="24" s="1"/>
  <c r="H395" i="24" s="1"/>
  <c r="I395" i="24" s="1"/>
  <c r="J395" i="24" s="1"/>
  <c r="M248" i="21"/>
  <c r="P248" i="21"/>
  <c r="L254" i="21"/>
  <c r="Q254" i="21" s="1"/>
  <c r="D1012" i="22" a="1"/>
  <c r="D1012" i="22" s="1"/>
  <c r="F1012" i="22" s="1"/>
  <c r="D1013" i="22" a="1"/>
  <c r="D1013" i="22" s="1"/>
  <c r="F1013" i="22" s="1"/>
  <c r="D1010" i="22" a="1"/>
  <c r="D1010" i="22" s="1"/>
  <c r="F1010" i="22" s="1"/>
  <c r="C404" i="23" s="1"/>
  <c r="D404" i="24" s="1"/>
  <c r="D1011" i="22" a="1"/>
  <c r="D1011" i="22" s="1"/>
  <c r="F1011" i="22" s="1"/>
  <c r="Q250" i="21"/>
  <c r="J254" i="21"/>
  <c r="Q251" i="21"/>
  <c r="D251" i="34" s="1"/>
  <c r="Q237" i="34" l="1" a="1"/>
  <c r="Q237" i="34" s="1"/>
  <c r="P237" i="34" a="1"/>
  <c r="P237" i="34" s="1"/>
  <c r="R237" i="34" s="1" a="1"/>
  <c r="R237" i="34" s="1"/>
  <c r="J249" i="34" a="1"/>
  <c r="J249" i="34" s="1"/>
  <c r="J251" i="34" a="1"/>
  <c r="J251" i="34" s="1"/>
  <c r="J248" i="34" a="1"/>
  <c r="J248" i="34" s="1"/>
  <c r="J250" i="34" a="1"/>
  <c r="J250" i="34" s="1"/>
  <c r="J242" i="21"/>
  <c r="C146" i="26"/>
  <c r="D965" i="22" a="1"/>
  <c r="D965" i="22" s="1"/>
  <c r="F965" i="22" s="1"/>
  <c r="C393" i="23" s="1"/>
  <c r="D393" i="24" s="1"/>
  <c r="E393" i="24" s="1"/>
  <c r="D964" i="22" a="1"/>
  <c r="D964" i="22" s="1"/>
  <c r="F964" i="22" s="1"/>
  <c r="C392" i="23" s="1"/>
  <c r="D392" i="24" s="1"/>
  <c r="L242" i="21"/>
  <c r="D962" i="22" a="1"/>
  <c r="D962" i="22" s="1"/>
  <c r="F962" i="22" s="1"/>
  <c r="C386" i="23" s="1"/>
  <c r="D386" i="24" s="1"/>
  <c r="Q242" i="21"/>
  <c r="D963" i="22" a="1"/>
  <c r="D963" i="22" s="1"/>
  <c r="F963" i="22" s="1"/>
  <c r="C391" i="23" s="1"/>
  <c r="D391" i="24" s="1"/>
  <c r="E391" i="24" s="1"/>
  <c r="E404" i="24"/>
  <c r="F404" i="24" s="1"/>
  <c r="H404" i="24" s="1"/>
  <c r="I404" i="24" s="1"/>
  <c r="J404" i="24" s="1"/>
  <c r="O251" i="21"/>
  <c r="N251" i="21"/>
  <c r="M254" i="21"/>
  <c r="P254" i="21"/>
  <c r="K397" i="24"/>
  <c r="L250" i="34" s="1"/>
  <c r="L397" i="24"/>
  <c r="C405" i="24" s="1"/>
  <c r="K398" i="24"/>
  <c r="L251" i="34" s="1"/>
  <c r="L398" i="24"/>
  <c r="C406" i="24" s="1"/>
  <c r="N248" i="21"/>
  <c r="O248" i="21"/>
  <c r="K395" i="24"/>
  <c r="L248" i="34" s="1"/>
  <c r="L395" i="24"/>
  <c r="C403" i="24" s="1"/>
  <c r="O250" i="21"/>
  <c r="N250" i="21"/>
  <c r="F251" i="34" l="1"/>
  <c r="O250" i="34"/>
  <c r="M250" i="34"/>
  <c r="N250" i="34"/>
  <c r="O248" i="34"/>
  <c r="M248" i="34"/>
  <c r="N248" i="34" s="1"/>
  <c r="O249" i="34"/>
  <c r="M249" i="34"/>
  <c r="N249" i="34" s="1"/>
  <c r="C253" i="21"/>
  <c r="E253" i="21" s="1"/>
  <c r="S248" i="21"/>
  <c r="T248" i="21"/>
  <c r="C255" i="21"/>
  <c r="E255" i="21" s="1"/>
  <c r="H255" i="21" s="1"/>
  <c r="I255" i="21" s="1"/>
  <c r="J255" i="21" s="1"/>
  <c r="S250" i="21"/>
  <c r="T250" i="21" s="1"/>
  <c r="C256" i="21"/>
  <c r="E256" i="21" s="1"/>
  <c r="H256" i="21" s="1"/>
  <c r="I256" i="21" s="1"/>
  <c r="S251" i="21"/>
  <c r="E386" i="24"/>
  <c r="F386" i="24"/>
  <c r="H386" i="24" s="1"/>
  <c r="I386" i="24" s="1"/>
  <c r="J386" i="24" s="1"/>
  <c r="P242" i="21"/>
  <c r="M242" i="21"/>
  <c r="E392" i="24"/>
  <c r="F392" i="24" s="1"/>
  <c r="H392" i="24" s="1"/>
  <c r="I392" i="24" s="1"/>
  <c r="J392" i="24" s="1"/>
  <c r="E146" i="26"/>
  <c r="J146" i="26" s="1"/>
  <c r="H242" i="34" s="1"/>
  <c r="K146" i="26"/>
  <c r="O254" i="21"/>
  <c r="N254" i="21"/>
  <c r="H253" i="21"/>
  <c r="I253" i="21" s="1"/>
  <c r="K404" i="24"/>
  <c r="L254" i="34" s="1"/>
  <c r="L404" i="24"/>
  <c r="C412" i="24" s="1"/>
  <c r="C154" i="26" l="1"/>
  <c r="Q249" i="34" a="1"/>
  <c r="Q249" i="34" s="1"/>
  <c r="P249" i="34" a="1"/>
  <c r="P249" i="34" s="1"/>
  <c r="R249" i="34" s="1" a="1"/>
  <c r="R249" i="34" s="1"/>
  <c r="T251" i="21"/>
  <c r="E251" i="34"/>
  <c r="O251" i="34" s="1"/>
  <c r="Q248" i="34" a="1"/>
  <c r="Q248" i="34" s="1"/>
  <c r="P248" i="34" a="1"/>
  <c r="P248" i="34" s="1"/>
  <c r="R248" i="34" s="1" a="1"/>
  <c r="R248" i="34" s="1"/>
  <c r="Q250" i="34" a="1"/>
  <c r="Q250" i="34" s="1"/>
  <c r="P250" i="34" a="1"/>
  <c r="P250" i="34" s="1"/>
  <c r="R250" i="34" s="1" a="1"/>
  <c r="R250" i="34" s="1"/>
  <c r="L146" i="26"/>
  <c r="J242" i="34" s="1" a="1"/>
  <c r="J242" i="34" s="1"/>
  <c r="I242" i="34"/>
  <c r="C153" i="26"/>
  <c r="K153" i="26" s="1"/>
  <c r="C259" i="21"/>
  <c r="E259" i="21" s="1"/>
  <c r="S254" i="21"/>
  <c r="T254" i="21" s="1"/>
  <c r="J253" i="21"/>
  <c r="K154" i="26"/>
  <c r="E154" i="26"/>
  <c r="J154" i="26" s="1"/>
  <c r="K392" i="24"/>
  <c r="L392" i="24"/>
  <c r="C400" i="24" s="1"/>
  <c r="K386" i="24"/>
  <c r="L242" i="34" s="1"/>
  <c r="L386" i="24"/>
  <c r="C394" i="24" s="1"/>
  <c r="N242" i="21"/>
  <c r="O242" i="21"/>
  <c r="L256" i="21"/>
  <c r="Q256" i="21" s="1"/>
  <c r="D256" i="34" s="1"/>
  <c r="D1019" i="22" a="1"/>
  <c r="D1019" i="22" s="1"/>
  <c r="F1019" i="22" s="1"/>
  <c r="D1020" i="22" a="1"/>
  <c r="D1020" i="22" s="1"/>
  <c r="F1020" i="22" s="1"/>
  <c r="D1021" i="22" a="1"/>
  <c r="D1021" i="22" s="1"/>
  <c r="F1021" i="22" s="1"/>
  <c r="D1018" i="22" a="1"/>
  <c r="D1018" i="22" s="1"/>
  <c r="F1018" i="22" s="1"/>
  <c r="C406" i="23" s="1"/>
  <c r="D406" i="24" s="1"/>
  <c r="H259" i="21"/>
  <c r="I259" i="21" s="1"/>
  <c r="L253" i="21"/>
  <c r="Q253" i="21" s="1"/>
  <c r="D1006" i="22" a="1"/>
  <c r="D1006" i="22" s="1"/>
  <c r="F1006" i="22" s="1"/>
  <c r="C403" i="23" s="1"/>
  <c r="D403" i="24" s="1"/>
  <c r="D1007" i="22" a="1"/>
  <c r="D1007" i="22" s="1"/>
  <c r="F1007" i="22" s="1"/>
  <c r="D1008" i="22" a="1"/>
  <c r="D1008" i="22" s="1"/>
  <c r="F1008" i="22" s="1"/>
  <c r="D1009" i="22" a="1"/>
  <c r="D1009" i="22" s="1"/>
  <c r="F1009" i="22" s="1"/>
  <c r="J256" i="21"/>
  <c r="L255" i="21"/>
  <c r="D1014" i="22" a="1"/>
  <c r="D1014" i="22" s="1"/>
  <c r="F1014" i="22" s="1"/>
  <c r="C405" i="23" s="1"/>
  <c r="D405" i="24" s="1"/>
  <c r="D1015" i="22" a="1"/>
  <c r="D1015" i="22" s="1"/>
  <c r="F1015" i="22" s="1"/>
  <c r="D1016" i="22" a="1"/>
  <c r="D1016" i="22" s="1"/>
  <c r="F1016" i="22" s="1"/>
  <c r="D1017" i="22" a="1"/>
  <c r="D1017" i="22" s="1"/>
  <c r="F1017" i="22" s="1"/>
  <c r="Q251" i="34" l="1" a="1"/>
  <c r="Q251" i="34" s="1"/>
  <c r="P251" i="34" a="1"/>
  <c r="P251" i="34" s="1"/>
  <c r="R251" i="34" s="1" a="1"/>
  <c r="R251" i="34" s="1"/>
  <c r="M251" i="34"/>
  <c r="N251" i="34" s="1"/>
  <c r="I253" i="34"/>
  <c r="I255" i="34"/>
  <c r="O242" i="34"/>
  <c r="M242" i="34"/>
  <c r="N242" i="34" s="1"/>
  <c r="H256" i="34"/>
  <c r="H254" i="34"/>
  <c r="I254" i="34"/>
  <c r="I256" i="34"/>
  <c r="C247" i="21"/>
  <c r="E247" i="21" s="1"/>
  <c r="S242" i="21"/>
  <c r="T242" i="21" s="1"/>
  <c r="E153" i="26"/>
  <c r="J153" i="26" s="1"/>
  <c r="J259" i="21"/>
  <c r="L153" i="26"/>
  <c r="H247" i="21"/>
  <c r="I247" i="21" s="1"/>
  <c r="J247" i="21" s="1"/>
  <c r="L154" i="26"/>
  <c r="M255" i="21"/>
  <c r="P255" i="21"/>
  <c r="E405" i="24"/>
  <c r="F405" i="24" s="1"/>
  <c r="H405" i="24" s="1"/>
  <c r="I405" i="24" s="1"/>
  <c r="J405" i="24" s="1"/>
  <c r="E403" i="24"/>
  <c r="F403" i="24" s="1"/>
  <c r="H403" i="24" s="1"/>
  <c r="I403" i="24" s="1"/>
  <c r="J403" i="24" s="1"/>
  <c r="M253" i="21"/>
  <c r="P253" i="21"/>
  <c r="L259" i="21"/>
  <c r="Q259" i="21" s="1"/>
  <c r="D1032" i="22" a="1"/>
  <c r="D1032" i="22" s="1"/>
  <c r="F1032" i="22" s="1"/>
  <c r="D1033" i="22" a="1"/>
  <c r="D1033" i="22" s="1"/>
  <c r="F1033" i="22" s="1"/>
  <c r="D1030" i="22" a="1"/>
  <c r="D1030" i="22" s="1"/>
  <c r="F1030" i="22" s="1"/>
  <c r="C412" i="23" s="1"/>
  <c r="D412" i="24" s="1"/>
  <c r="D1031" i="22" a="1"/>
  <c r="D1031" i="22" s="1"/>
  <c r="F1031" i="22" s="1"/>
  <c r="E406" i="24"/>
  <c r="F406" i="24" s="1"/>
  <c r="H406" i="24" s="1"/>
  <c r="I406" i="24" s="1"/>
  <c r="J406" i="24" s="1"/>
  <c r="Q255" i="21"/>
  <c r="M256" i="21"/>
  <c r="P256" i="21"/>
  <c r="H255" i="34" l="1"/>
  <c r="H253" i="34"/>
  <c r="Q242" i="34" a="1"/>
  <c r="Q242" i="34" s="1"/>
  <c r="P242" i="34" a="1"/>
  <c r="P242" i="34" s="1"/>
  <c r="R242" i="34" s="1" a="1"/>
  <c r="R242" i="34" s="1"/>
  <c r="J253" i="34" a="1"/>
  <c r="J253" i="34" s="1"/>
  <c r="J255" i="34" a="1"/>
  <c r="J255" i="34" s="1"/>
  <c r="J254" i="34" a="1"/>
  <c r="J254" i="34" s="1"/>
  <c r="J256" i="34" a="1"/>
  <c r="J256" i="34" s="1"/>
  <c r="C149" i="26"/>
  <c r="L247" i="21"/>
  <c r="D984" i="22" a="1"/>
  <c r="D984" i="22" s="1"/>
  <c r="F984" i="22" s="1"/>
  <c r="C400" i="23" s="1"/>
  <c r="D400" i="24" s="1"/>
  <c r="D982" i="22" a="1"/>
  <c r="D982" i="22" s="1"/>
  <c r="F982" i="22" s="1"/>
  <c r="C394" i="23" s="1"/>
  <c r="D394" i="24" s="1"/>
  <c r="D983" i="22" a="1"/>
  <c r="D983" i="22" s="1"/>
  <c r="F983" i="22" s="1"/>
  <c r="C399" i="23" s="1"/>
  <c r="D399" i="24" s="1"/>
  <c r="E399" i="24" s="1"/>
  <c r="D985" i="22" a="1"/>
  <c r="D985" i="22" s="1"/>
  <c r="F985" i="22" s="1"/>
  <c r="C401" i="23" s="1"/>
  <c r="D401" i="24" s="1"/>
  <c r="E401" i="24" s="1"/>
  <c r="Q247" i="21"/>
  <c r="E412" i="24"/>
  <c r="F412" i="24"/>
  <c r="H412" i="24" s="1"/>
  <c r="I412" i="24" s="1"/>
  <c r="J412" i="24" s="1"/>
  <c r="L405" i="24"/>
  <c r="C413" i="24" s="1"/>
  <c r="K405" i="24"/>
  <c r="L255" i="34" s="1"/>
  <c r="M259" i="21"/>
  <c r="P259" i="21"/>
  <c r="K403" i="24"/>
  <c r="L253" i="34" s="1"/>
  <c r="L403" i="24"/>
  <c r="C411" i="24" s="1"/>
  <c r="N255" i="21"/>
  <c r="O255" i="21"/>
  <c r="N256" i="21"/>
  <c r="O256" i="21"/>
  <c r="N253" i="21"/>
  <c r="O253" i="21"/>
  <c r="L406" i="24"/>
  <c r="C414" i="24" s="1"/>
  <c r="K406" i="24"/>
  <c r="L256" i="34" s="1"/>
  <c r="O253" i="34" l="1"/>
  <c r="M253" i="34"/>
  <c r="N253" i="34" s="1"/>
  <c r="O254" i="34"/>
  <c r="M254" i="34"/>
  <c r="N254" i="34" s="1"/>
  <c r="O255" i="34"/>
  <c r="M255" i="34"/>
  <c r="N255" i="34" s="1"/>
  <c r="F256" i="34"/>
  <c r="C261" i="21"/>
  <c r="E261" i="21" s="1"/>
  <c r="H261" i="21" s="1"/>
  <c r="I261" i="21" s="1"/>
  <c r="S256" i="21"/>
  <c r="T256" i="21"/>
  <c r="C260" i="21"/>
  <c r="E260" i="21" s="1"/>
  <c r="S255" i="21"/>
  <c r="T255" i="21" s="1"/>
  <c r="C258" i="21"/>
  <c r="E258" i="21" s="1"/>
  <c r="S253" i="21"/>
  <c r="T253" i="21" s="1"/>
  <c r="E400" i="24"/>
  <c r="F400" i="24" s="1"/>
  <c r="H400" i="24" s="1"/>
  <c r="I400" i="24" s="1"/>
  <c r="J400" i="24" s="1"/>
  <c r="E394" i="24"/>
  <c r="F394" i="24" s="1"/>
  <c r="H394" i="24" s="1"/>
  <c r="I394" i="24" s="1"/>
  <c r="J394" i="24" s="1"/>
  <c r="P247" i="21"/>
  <c r="M247" i="21"/>
  <c r="E149" i="26"/>
  <c r="J149" i="26" s="1"/>
  <c r="H247" i="34" s="1"/>
  <c r="K149" i="26"/>
  <c r="H260" i="21"/>
  <c r="I260" i="21" s="1"/>
  <c r="J260" i="21" s="1"/>
  <c r="N259" i="21"/>
  <c r="O259" i="21"/>
  <c r="S259" i="21" s="1"/>
  <c r="H258" i="21"/>
  <c r="I258" i="21" s="1"/>
  <c r="C156" i="26" s="1"/>
  <c r="L412" i="24"/>
  <c r="K412" i="24"/>
  <c r="L259" i="34" s="1"/>
  <c r="J261" i="21" l="1"/>
  <c r="G6" i="30"/>
  <c r="Q255" i="34" a="1"/>
  <c r="Q255" i="34" s="1"/>
  <c r="P255" i="34" a="1"/>
  <c r="P255" i="34" s="1"/>
  <c r="R255" i="34" s="1" a="1"/>
  <c r="R255" i="34" s="1"/>
  <c r="P254" i="34" a="1"/>
  <c r="P254" i="34" s="1"/>
  <c r="R254" i="34" s="1" a="1"/>
  <c r="R254" i="34" s="1"/>
  <c r="Q254" i="34" a="1"/>
  <c r="Q254" i="34" s="1"/>
  <c r="L149" i="26"/>
  <c r="J247" i="34" s="1" a="1"/>
  <c r="J247" i="34" s="1"/>
  <c r="I247" i="34"/>
  <c r="E256" i="34"/>
  <c r="M256" i="34" s="1"/>
  <c r="N256" i="34" s="1"/>
  <c r="P253" i="34" a="1"/>
  <c r="P253" i="34" s="1"/>
  <c r="R253" i="34" s="1" a="1"/>
  <c r="R253" i="34" s="1"/>
  <c r="Q253" i="34" a="1"/>
  <c r="Q253" i="34" s="1"/>
  <c r="T259" i="21"/>
  <c r="K400" i="24"/>
  <c r="L400" i="24"/>
  <c r="C408" i="24" s="1"/>
  <c r="O247" i="21"/>
  <c r="N247" i="21"/>
  <c r="K156" i="26"/>
  <c r="E156" i="26"/>
  <c r="J156" i="26" s="1"/>
  <c r="L394" i="24"/>
  <c r="C402" i="24" s="1"/>
  <c r="K394" i="24"/>
  <c r="L247" i="34" s="1"/>
  <c r="D1041" i="22" a="1"/>
  <c r="D1041" i="22" s="1"/>
  <c r="F1041" i="22" s="1"/>
  <c r="C157" i="26"/>
  <c r="L258" i="21"/>
  <c r="Q258" i="21" s="1"/>
  <c r="D1027" i="22" a="1"/>
  <c r="D1027" i="22" s="1"/>
  <c r="F1027" i="22" s="1"/>
  <c r="D1028" i="22" a="1"/>
  <c r="D1028" i="22" s="1"/>
  <c r="F1028" i="22" s="1"/>
  <c r="D1026" i="22" a="1"/>
  <c r="D1026" i="22" s="1"/>
  <c r="F1026" i="22" s="1"/>
  <c r="C411" i="23" s="1"/>
  <c r="D411" i="24" s="1"/>
  <c r="D1029" i="22" a="1"/>
  <c r="D1029" i="22" s="1"/>
  <c r="F1029" i="22" s="1"/>
  <c r="L261" i="21"/>
  <c r="Q261" i="21" s="1"/>
  <c r="D261" i="34" s="1"/>
  <c r="D1038" i="22" a="1"/>
  <c r="D1038" i="22" s="1"/>
  <c r="F1038" i="22" s="1"/>
  <c r="C414" i="23" s="1"/>
  <c r="D414" i="24" s="1"/>
  <c r="D1040" i="22" a="1"/>
  <c r="D1040" i="22" s="1"/>
  <c r="F1040" i="22" s="1"/>
  <c r="D1039" i="22" a="1"/>
  <c r="D1039" i="22" s="1"/>
  <c r="F1039" i="22" s="1"/>
  <c r="L260" i="21"/>
  <c r="Q260" i="21" s="1"/>
  <c r="D1034" i="22" a="1"/>
  <c r="D1034" i="22" s="1"/>
  <c r="F1034" i="22" s="1"/>
  <c r="C413" i="23" s="1"/>
  <c r="D413" i="24" s="1"/>
  <c r="D1035" i="22" a="1"/>
  <c r="D1035" i="22" s="1"/>
  <c r="F1035" i="22" s="1"/>
  <c r="D1036" i="22" a="1"/>
  <c r="D1036" i="22" s="1"/>
  <c r="F1036" i="22" s="1"/>
  <c r="D1037" i="22" a="1"/>
  <c r="D1037" i="22" s="1"/>
  <c r="F1037" i="22" s="1"/>
  <c r="J258" i="21"/>
  <c r="O256" i="34" l="1"/>
  <c r="M247" i="34"/>
  <c r="O247" i="34"/>
  <c r="N247" i="34"/>
  <c r="B3" i="31"/>
  <c r="B4" i="31"/>
  <c r="H258" i="34"/>
  <c r="H260" i="34"/>
  <c r="C3" i="33"/>
  <c r="B3" i="33"/>
  <c r="I260" i="34"/>
  <c r="I258" i="34"/>
  <c r="T247" i="21"/>
  <c r="C252" i="21"/>
  <c r="S247" i="21"/>
  <c r="E252" i="21"/>
  <c r="L156" i="26"/>
  <c r="K157" i="26"/>
  <c r="E157" i="26"/>
  <c r="E411" i="24"/>
  <c r="F411" i="24" s="1"/>
  <c r="H411" i="24" s="1"/>
  <c r="I411" i="24" s="1"/>
  <c r="J411" i="24" s="1"/>
  <c r="E413" i="24"/>
  <c r="F413" i="24" s="1"/>
  <c r="H413" i="24" s="1"/>
  <c r="I413" i="24" s="1"/>
  <c r="J413" i="24" s="1"/>
  <c r="C15" i="23"/>
  <c r="D15" i="24" s="1"/>
  <c r="C207" i="23"/>
  <c r="D207" i="24" s="1"/>
  <c r="C249" i="23"/>
  <c r="D249" i="24" s="1"/>
  <c r="M260" i="21"/>
  <c r="P260" i="21"/>
  <c r="E414" i="24"/>
  <c r="F414" i="24" s="1"/>
  <c r="H414" i="24" s="1"/>
  <c r="I414" i="24" s="1"/>
  <c r="J414" i="24" s="1"/>
  <c r="M261" i="21"/>
  <c r="P261" i="21"/>
  <c r="M258" i="21"/>
  <c r="P258" i="21"/>
  <c r="I259" i="34" l="1"/>
  <c r="I261" i="34"/>
  <c r="G4" i="31"/>
  <c r="G3" i="31"/>
  <c r="J260" i="34" a="1"/>
  <c r="J260" i="34" s="1"/>
  <c r="J258" i="34" a="1"/>
  <c r="J258" i="34" s="1"/>
  <c r="Q247" i="34" a="1"/>
  <c r="Q247" i="34" s="1"/>
  <c r="P247" i="34" a="1"/>
  <c r="P247" i="34" s="1"/>
  <c r="R247" i="34" s="1" a="1"/>
  <c r="R247" i="34" s="1"/>
  <c r="C4" i="31"/>
  <c r="E4" i="31" s="1"/>
  <c r="C3" i="31"/>
  <c r="E3" i="31" s="1"/>
  <c r="P256" i="34" a="1"/>
  <c r="P256" i="34" s="1"/>
  <c r="R256" i="34" s="1" a="1"/>
  <c r="R256" i="34" s="1"/>
  <c r="Q256" i="34" a="1"/>
  <c r="Q256" i="34" s="1"/>
  <c r="J157" i="26"/>
  <c r="L157" i="26" s="1"/>
  <c r="H252" i="21"/>
  <c r="I252" i="21" s="1"/>
  <c r="J252" i="21"/>
  <c r="K414" i="24"/>
  <c r="L261" i="34" s="1"/>
  <c r="L414" i="24"/>
  <c r="O258" i="21"/>
  <c r="S258" i="21" s="1"/>
  <c r="N258" i="21"/>
  <c r="T258" i="21" s="1"/>
  <c r="K411" i="24"/>
  <c r="L258" i="34" s="1"/>
  <c r="L411" i="24"/>
  <c r="N261" i="21"/>
  <c r="O261" i="21"/>
  <c r="S261" i="21" s="1"/>
  <c r="E249" i="24"/>
  <c r="F249" i="24" s="1"/>
  <c r="H249" i="24" s="1"/>
  <c r="I249" i="24" s="1"/>
  <c r="J249" i="24" s="1"/>
  <c r="N260" i="21"/>
  <c r="T260" i="21" s="1"/>
  <c r="O260" i="21"/>
  <c r="S260" i="21" s="1"/>
  <c r="E207" i="24"/>
  <c r="E15" i="24"/>
  <c r="F15" i="24" s="1"/>
  <c r="K413" i="24"/>
  <c r="L260" i="34" s="1"/>
  <c r="L413" i="24"/>
  <c r="J261" i="34" l="1" a="1"/>
  <c r="J261" i="34" s="1"/>
  <c r="J259" i="34" a="1"/>
  <c r="J259" i="34" s="1"/>
  <c r="F4" i="31"/>
  <c r="F3" i="31"/>
  <c r="H259" i="34"/>
  <c r="H261" i="34"/>
  <c r="H4" i="31"/>
  <c r="H3" i="31"/>
  <c r="M260" i="34"/>
  <c r="O260" i="34"/>
  <c r="N260" i="34"/>
  <c r="E261" i="34"/>
  <c r="B13" i="29"/>
  <c r="H6" i="30"/>
  <c r="T261" i="21"/>
  <c r="F261" i="34"/>
  <c r="J6" i="30"/>
  <c r="M258" i="34"/>
  <c r="N258" i="34" s="1"/>
  <c r="O258" i="34"/>
  <c r="H15" i="24"/>
  <c r="C152" i="26"/>
  <c r="L252" i="21"/>
  <c r="D1005" i="22" a="1"/>
  <c r="D1005" i="22" s="1"/>
  <c r="F1005" i="22" s="1"/>
  <c r="C409" i="23" s="1"/>
  <c r="D409" i="24" s="1"/>
  <c r="E409" i="24" s="1"/>
  <c r="D1004" i="22" a="1"/>
  <c r="D1004" i="22" s="1"/>
  <c r="F1004" i="22" s="1"/>
  <c r="C408" i="23" s="1"/>
  <c r="D408" i="24" s="1"/>
  <c r="D1002" i="22" a="1"/>
  <c r="D1002" i="22" s="1"/>
  <c r="F1002" i="22" s="1"/>
  <c r="C402" i="23" s="1"/>
  <c r="D402" i="24" s="1"/>
  <c r="E402" i="24" s="1"/>
  <c r="F402" i="24" s="1"/>
  <c r="H402" i="24" s="1"/>
  <c r="I402" i="24" s="1"/>
  <c r="J402" i="24" s="1"/>
  <c r="Q252" i="21"/>
  <c r="D1003" i="22" a="1"/>
  <c r="D1003" i="22" s="1"/>
  <c r="F1003" i="22" s="1"/>
  <c r="C407" i="23" s="1"/>
  <c r="D407" i="24" s="1"/>
  <c r="L249" i="24"/>
  <c r="C257" i="24" s="1"/>
  <c r="F257" i="24" s="1"/>
  <c r="H257" i="24" s="1"/>
  <c r="I257" i="24" s="1"/>
  <c r="J257" i="24" s="1"/>
  <c r="K249" i="24"/>
  <c r="I15" i="24" l="1"/>
  <c r="J15" i="24" s="1"/>
  <c r="P258" i="34" a="1"/>
  <c r="P258" i="34" s="1"/>
  <c r="R258" i="34" s="1" a="1"/>
  <c r="R258" i="34" s="1"/>
  <c r="Q258" i="34" a="1"/>
  <c r="Q258" i="34" s="1"/>
  <c r="E407" i="24"/>
  <c r="M261" i="34"/>
  <c r="N261" i="34" s="1"/>
  <c r="O261" i="34"/>
  <c r="I6" i="30"/>
  <c r="B14" i="29"/>
  <c r="C4" i="33"/>
  <c r="B4" i="33"/>
  <c r="M259" i="34"/>
  <c r="O259" i="34"/>
  <c r="N259" i="34"/>
  <c r="Q260" i="34" a="1"/>
  <c r="Q260" i="34" s="1"/>
  <c r="P260" i="34" a="1"/>
  <c r="P260" i="34" s="1"/>
  <c r="R260" i="34" s="1" a="1"/>
  <c r="R260" i="34" s="1"/>
  <c r="E408" i="24"/>
  <c r="F408" i="24" s="1"/>
  <c r="H408" i="24" s="1"/>
  <c r="I408" i="24" s="1"/>
  <c r="J408" i="24" s="1"/>
  <c r="P252" i="21"/>
  <c r="M252" i="21"/>
  <c r="K152" i="26"/>
  <c r="E152" i="26"/>
  <c r="L402" i="24"/>
  <c r="C410" i="24" s="1"/>
  <c r="K402" i="24"/>
  <c r="L252" i="34" s="1"/>
  <c r="L257" i="24"/>
  <c r="C265" i="24" s="1"/>
  <c r="F265" i="24" s="1"/>
  <c r="H265" i="24" s="1"/>
  <c r="I265" i="24" s="1"/>
  <c r="J265" i="24" s="1"/>
  <c r="K257" i="24"/>
  <c r="Q259" i="34" l="1" a="1"/>
  <c r="Q259" i="34" s="1"/>
  <c r="P259" i="34" a="1"/>
  <c r="P259" i="34" s="1"/>
  <c r="R259" i="34" s="1" a="1"/>
  <c r="R259" i="34" s="1"/>
  <c r="I252" i="34"/>
  <c r="Q261" i="34" a="1"/>
  <c r="Q261" i="34" s="1"/>
  <c r="P261" i="34" a="1"/>
  <c r="P261" i="34" s="1"/>
  <c r="R261" i="34" s="1" a="1"/>
  <c r="R261" i="34" s="1"/>
  <c r="K15" i="24"/>
  <c r="L15" i="24"/>
  <c r="J152" i="26"/>
  <c r="N252" i="21"/>
  <c r="O252" i="21"/>
  <c r="K408" i="24"/>
  <c r="L408" i="24"/>
  <c r="C416" i="24" s="1"/>
  <c r="L265" i="24"/>
  <c r="C273" i="24" s="1"/>
  <c r="F273" i="24" s="1"/>
  <c r="H273" i="24" s="1"/>
  <c r="I273" i="24" s="1"/>
  <c r="J273" i="24" s="1"/>
  <c r="K265" i="24"/>
  <c r="L152" i="26" l="1"/>
  <c r="H252" i="34"/>
  <c r="C23" i="24"/>
  <c r="F23" i="24" s="1"/>
  <c r="C257" i="21"/>
  <c r="S252" i="21"/>
  <c r="T252" i="21"/>
  <c r="E257" i="21"/>
  <c r="B9" i="27" a="1"/>
  <c r="B9" i="27" s="1"/>
  <c r="K273" i="24"/>
  <c r="L273" i="24"/>
  <c r="C281" i="24" s="1"/>
  <c r="F281" i="24" s="1"/>
  <c r="H281" i="24" s="1"/>
  <c r="I281" i="24" s="1"/>
  <c r="J281" i="24" s="1"/>
  <c r="H23" i="24" l="1"/>
  <c r="J252" i="34" a="1"/>
  <c r="J252" i="34" s="1"/>
  <c r="H257" i="21"/>
  <c r="I257" i="21" s="1"/>
  <c r="J257" i="21" s="1"/>
  <c r="K281" i="24"/>
  <c r="L281" i="24"/>
  <c r="C289" i="24" s="1"/>
  <c r="F289" i="24" s="1"/>
  <c r="H289" i="24" s="1"/>
  <c r="I289" i="24" s="1"/>
  <c r="J289" i="24" s="1"/>
  <c r="O252" i="34" l="1"/>
  <c r="M252" i="34"/>
  <c r="N252" i="34" s="1"/>
  <c r="I23" i="24"/>
  <c r="J23" i="24" s="1"/>
  <c r="C155" i="26"/>
  <c r="B2" i="31" s="1"/>
  <c r="L257" i="21"/>
  <c r="D1024" i="22" a="1"/>
  <c r="D1024" i="22" s="1"/>
  <c r="F1024" i="22" s="1"/>
  <c r="C416" i="23" s="1"/>
  <c r="D416" i="24" s="1"/>
  <c r="E416" i="24" s="1"/>
  <c r="F416" i="24" s="1"/>
  <c r="H416" i="24" s="1"/>
  <c r="I416" i="24" s="1"/>
  <c r="J416" i="24" s="1"/>
  <c r="Q257" i="21"/>
  <c r="D1023" i="22" a="1"/>
  <c r="D1023" i="22" s="1"/>
  <c r="F1023" i="22" s="1"/>
  <c r="C415" i="23" s="1"/>
  <c r="D415" i="24" s="1"/>
  <c r="D1025" i="22" a="1"/>
  <c r="D1025" i="22" s="1"/>
  <c r="F1025" i="22" s="1"/>
  <c r="C417" i="23" s="1"/>
  <c r="D417" i="24" s="1"/>
  <c r="D1022" i="22" a="1"/>
  <c r="D1022" i="22" s="1"/>
  <c r="F1022" i="22" s="1"/>
  <c r="C410" i="23" s="1"/>
  <c r="D410" i="24" s="1"/>
  <c r="E410" i="24" s="1"/>
  <c r="F410" i="24" s="1"/>
  <c r="H410" i="24" s="1"/>
  <c r="I410" i="24" s="1"/>
  <c r="J410" i="24" s="1"/>
  <c r="B7" i="29"/>
  <c r="K289" i="24"/>
  <c r="L289" i="24"/>
  <c r="C297" i="24" s="1"/>
  <c r="E415" i="24" l="1"/>
  <c r="B7" i="32"/>
  <c r="E417" i="24"/>
  <c r="B4" i="32"/>
  <c r="B3" i="32"/>
  <c r="B6" i="32"/>
  <c r="B5" i="32"/>
  <c r="B2" i="32"/>
  <c r="B9" i="32"/>
  <c r="B8" i="32"/>
  <c r="L23" i="24"/>
  <c r="K23" i="24"/>
  <c r="Q252" i="34" a="1"/>
  <c r="Q252" i="34" s="1"/>
  <c r="P252" i="34" a="1"/>
  <c r="P252" i="34" s="1"/>
  <c r="R252" i="34" s="1" a="1"/>
  <c r="R252" i="34" s="1"/>
  <c r="K416" i="24"/>
  <c r="L416" i="24"/>
  <c r="P257" i="21"/>
  <c r="B8" i="29" s="1"/>
  <c r="M257" i="21"/>
  <c r="L410" i="24"/>
  <c r="K410" i="24"/>
  <c r="L257" i="34" s="1"/>
  <c r="K155" i="26"/>
  <c r="E155" i="26"/>
  <c r="C2" i="31" s="1"/>
  <c r="E2" i="31" s="1"/>
  <c r="F297" i="24"/>
  <c r="H297" i="24" s="1"/>
  <c r="I297" i="24" s="1"/>
  <c r="J297" i="24" s="1"/>
  <c r="C5" i="33" l="1"/>
  <c r="B5" i="33"/>
  <c r="I257" i="34"/>
  <c r="G2" i="31"/>
  <c r="C31" i="24"/>
  <c r="F31" i="24" s="1"/>
  <c r="J155" i="26"/>
  <c r="B12" i="29"/>
  <c r="O257" i="21"/>
  <c r="S257" i="21" s="1"/>
  <c r="N257" i="21"/>
  <c r="K297" i="24"/>
  <c r="L297" i="24"/>
  <c r="C305" i="24" s="1"/>
  <c r="F305" i="24" s="1"/>
  <c r="H305" i="24" s="1"/>
  <c r="I305" i="24" s="1"/>
  <c r="J305" i="24" s="1"/>
  <c r="H257" i="34" l="1"/>
  <c r="H2" i="31"/>
  <c r="H31" i="24"/>
  <c r="L155" i="26"/>
  <c r="B9" i="29"/>
  <c r="T257" i="21"/>
  <c r="L305" i="24"/>
  <c r="C313" i="24" s="1"/>
  <c r="F313" i="24" s="1"/>
  <c r="H313" i="24" s="1"/>
  <c r="I313" i="24" s="1"/>
  <c r="J313" i="24" s="1"/>
  <c r="K305" i="24"/>
  <c r="B11" i="29" l="1"/>
  <c r="J257" i="34" a="1"/>
  <c r="J257" i="34" s="1"/>
  <c r="B8" i="35"/>
  <c r="F2" i="31"/>
  <c r="I31" i="24"/>
  <c r="J31" i="24" s="1"/>
  <c r="K313" i="24"/>
  <c r="L313" i="24"/>
  <c r="C321" i="24" s="1"/>
  <c r="F321" i="24" s="1"/>
  <c r="H321" i="24" s="1"/>
  <c r="I321" i="24" s="1"/>
  <c r="J321" i="24" s="1"/>
  <c r="K31" i="24" l="1"/>
  <c r="L31" i="24"/>
  <c r="M257" i="34"/>
  <c r="N257" i="34" s="1"/>
  <c r="O257" i="34"/>
  <c r="B6" i="33"/>
  <c r="C6" i="33"/>
  <c r="K321" i="24"/>
  <c r="L321" i="24"/>
  <c r="C329" i="24" s="1"/>
  <c r="F329" i="24" s="1"/>
  <c r="H329" i="24" s="1"/>
  <c r="I329" i="24" s="1"/>
  <c r="J329" i="24" s="1"/>
  <c r="B4" i="35" l="1"/>
  <c r="B2" i="35"/>
  <c r="B3" i="35"/>
  <c r="P257" i="34" a="1"/>
  <c r="P257" i="34" s="1"/>
  <c r="R257" i="34" s="1" a="1"/>
  <c r="R257" i="34" s="1"/>
  <c r="Q257" i="34" a="1"/>
  <c r="Q257" i="34" s="1"/>
  <c r="C39" i="24"/>
  <c r="F39" i="24" s="1"/>
  <c r="L329" i="24"/>
  <c r="C337" i="24" s="1"/>
  <c r="F337" i="24" s="1"/>
  <c r="H337" i="24" s="1"/>
  <c r="I337" i="24" s="1"/>
  <c r="J337" i="24" s="1"/>
  <c r="K329" i="24"/>
  <c r="H39" i="24" l="1"/>
  <c r="B5" i="35"/>
  <c r="K337" i="24"/>
  <c r="L337" i="24"/>
  <c r="C345" i="24" s="1"/>
  <c r="F345" i="24" s="1"/>
  <c r="H345" i="24" s="1"/>
  <c r="I345" i="24" s="1"/>
  <c r="J345" i="24" s="1"/>
  <c r="I39" i="24" l="1"/>
  <c r="J39" i="24" s="1"/>
  <c r="L345" i="24"/>
  <c r="C353" i="24" s="1"/>
  <c r="F353" i="24" s="1"/>
  <c r="H353" i="24" s="1"/>
  <c r="I353" i="24" s="1"/>
  <c r="J353" i="24" s="1"/>
  <c r="K345" i="24"/>
  <c r="K39" i="24" l="1"/>
  <c r="L39" i="24"/>
  <c r="L353" i="24"/>
  <c r="C361" i="24" s="1"/>
  <c r="F361" i="24" s="1"/>
  <c r="H361" i="24" s="1"/>
  <c r="I361" i="24" s="1"/>
  <c r="J361" i="24" s="1"/>
  <c r="K353" i="24"/>
  <c r="C47" i="24" l="1"/>
  <c r="F47" i="24" s="1"/>
  <c r="H47" i="24" s="1"/>
  <c r="I47" i="24" s="1"/>
  <c r="J47" i="24" s="1"/>
  <c r="K361" i="24"/>
  <c r="L361" i="24"/>
  <c r="C369" i="24" s="1"/>
  <c r="F369" i="24" s="1"/>
  <c r="H369" i="24" s="1"/>
  <c r="I369" i="24" s="1"/>
  <c r="J369" i="24" s="1"/>
  <c r="K47" i="24" l="1"/>
  <c r="L47" i="24"/>
  <c r="C55" i="24" s="1"/>
  <c r="F55" i="24" s="1"/>
  <c r="H55" i="24" s="1"/>
  <c r="I55" i="24" s="1"/>
  <c r="J55" i="24" s="1"/>
  <c r="L369" i="24"/>
  <c r="C377" i="24" s="1"/>
  <c r="F377" i="24" s="1"/>
  <c r="H377" i="24" s="1"/>
  <c r="I377" i="24" s="1"/>
  <c r="J377" i="24" s="1"/>
  <c r="K369" i="24"/>
  <c r="K55" i="24" l="1"/>
  <c r="L55" i="24"/>
  <c r="C63" i="24" s="1"/>
  <c r="F63" i="24" s="1"/>
  <c r="H63" i="24" s="1"/>
  <c r="I63" i="24" s="1"/>
  <c r="J63" i="24" s="1"/>
  <c r="L377" i="24"/>
  <c r="C385" i="24" s="1"/>
  <c r="F385" i="24" s="1"/>
  <c r="H385" i="24" s="1"/>
  <c r="I385" i="24" s="1"/>
  <c r="J385" i="24" s="1"/>
  <c r="K377" i="24"/>
  <c r="K63" i="24" l="1"/>
  <c r="L63" i="24"/>
  <c r="C71" i="24" s="1"/>
  <c r="F71" i="24" s="1"/>
  <c r="H71" i="24" s="1"/>
  <c r="I71" i="24" s="1"/>
  <c r="J71" i="24" s="1"/>
  <c r="K385" i="24"/>
  <c r="L385" i="24"/>
  <c r="C393" i="24" s="1"/>
  <c r="F393" i="24" s="1"/>
  <c r="H393" i="24" s="1"/>
  <c r="I393" i="24" s="1"/>
  <c r="J393" i="24" s="1"/>
  <c r="K71" i="24" l="1"/>
  <c r="L71" i="24"/>
  <c r="C79" i="24" s="1"/>
  <c r="F79" i="24" s="1"/>
  <c r="H79" i="24" s="1"/>
  <c r="I79" i="24" s="1"/>
  <c r="J79" i="24" s="1"/>
  <c r="L393" i="24"/>
  <c r="C401" i="24" s="1"/>
  <c r="F401" i="24" s="1"/>
  <c r="H401" i="24" s="1"/>
  <c r="I401" i="24" s="1"/>
  <c r="J401" i="24" s="1"/>
  <c r="K393" i="24"/>
  <c r="L79" i="24" l="1"/>
  <c r="C87" i="24" s="1"/>
  <c r="F87" i="24" s="1"/>
  <c r="H87" i="24" s="1"/>
  <c r="I87" i="24" s="1"/>
  <c r="J87" i="24" s="1"/>
  <c r="K79" i="24"/>
  <c r="K401" i="24"/>
  <c r="L401" i="24"/>
  <c r="C409" i="24" s="1"/>
  <c r="F409" i="24" s="1"/>
  <c r="H409" i="24" s="1"/>
  <c r="I409" i="24" s="1"/>
  <c r="J409" i="24" s="1"/>
  <c r="K87" i="24" l="1"/>
  <c r="L87" i="24"/>
  <c r="C95" i="24" s="1"/>
  <c r="F95" i="24" s="1"/>
  <c r="H95" i="24" s="1"/>
  <c r="I95" i="24" s="1"/>
  <c r="J95" i="24" s="1"/>
  <c r="L409" i="24"/>
  <c r="C417" i="24" s="1"/>
  <c r="K409" i="24"/>
  <c r="K95" i="24" l="1"/>
  <c r="L95" i="24"/>
  <c r="C103" i="24" s="1"/>
  <c r="F103" i="24" s="1"/>
  <c r="H103" i="24" s="1"/>
  <c r="I103" i="24" s="1"/>
  <c r="J103" i="24" s="1"/>
  <c r="F417" i="24"/>
  <c r="H417" i="24" l="1"/>
  <c r="C4" i="32"/>
  <c r="C3" i="32"/>
  <c r="C5" i="32"/>
  <c r="C6" i="32"/>
  <c r="C9" i="32"/>
  <c r="C2" i="32"/>
  <c r="C8" i="32"/>
  <c r="L103" i="24"/>
  <c r="C111" i="24" s="1"/>
  <c r="F111" i="24" s="1"/>
  <c r="H111" i="24" s="1"/>
  <c r="I111" i="24" s="1"/>
  <c r="J111" i="24" s="1"/>
  <c r="K103" i="24"/>
  <c r="K111" i="24" l="1"/>
  <c r="L111" i="24"/>
  <c r="C119" i="24" s="1"/>
  <c r="F119" i="24" s="1"/>
  <c r="H119" i="24" s="1"/>
  <c r="I119" i="24" s="1"/>
  <c r="J119" i="24" s="1"/>
  <c r="I417" i="24"/>
  <c r="J417" i="24" s="1"/>
  <c r="D3" i="32"/>
  <c r="E3" i="32" s="1"/>
  <c r="D4" i="32"/>
  <c r="E4" i="32" s="1"/>
  <c r="D5" i="32"/>
  <c r="E5" i="32" s="1"/>
  <c r="D6" i="32"/>
  <c r="E6" i="32" s="1"/>
  <c r="D9" i="32"/>
  <c r="E9" i="32" s="1"/>
  <c r="D2" i="32"/>
  <c r="E2" i="32" s="1"/>
  <c r="D8" i="32"/>
  <c r="E8" i="32" s="1"/>
  <c r="K417" i="24" l="1"/>
  <c r="L417" i="24"/>
  <c r="L119" i="24"/>
  <c r="C127" i="24" s="1"/>
  <c r="F127" i="24" s="1"/>
  <c r="K119" i="24"/>
  <c r="H127" i="24" l="1"/>
  <c r="G4" i="32"/>
  <c r="F3" i="32"/>
  <c r="G5" i="32"/>
  <c r="F5" i="32"/>
  <c r="F4" i="32"/>
  <c r="G3" i="32"/>
  <c r="G6" i="32"/>
  <c r="F6" i="32"/>
  <c r="F9" i="32"/>
  <c r="G9" i="32"/>
  <c r="F8" i="32"/>
  <c r="G2" i="32"/>
  <c r="F2" i="32"/>
  <c r="G8" i="32"/>
  <c r="H4" i="32"/>
  <c r="H3" i="32"/>
  <c r="H5" i="32"/>
  <c r="H6" i="32"/>
  <c r="H9" i="32"/>
  <c r="H8" i="32"/>
  <c r="H2" i="32"/>
  <c r="I127" i="24" l="1"/>
  <c r="J127" i="24" s="1"/>
  <c r="K127" i="24" l="1"/>
  <c r="L127" i="24"/>
  <c r="C135" i="24" l="1"/>
  <c r="F135" i="24" s="1"/>
  <c r="H135" i="24" l="1"/>
  <c r="I135" i="24" l="1"/>
  <c r="J135" i="24" s="1"/>
  <c r="L135" i="24" l="1"/>
  <c r="K135" i="24"/>
  <c r="C143" i="24" l="1"/>
  <c r="F143" i="24" s="1"/>
  <c r="H143" i="24" l="1"/>
  <c r="I143" i="24" l="1"/>
  <c r="J143" i="24" s="1"/>
  <c r="L143" i="24" l="1"/>
  <c r="K143" i="24"/>
  <c r="C151" i="24" l="1"/>
  <c r="F151" i="24" s="1"/>
  <c r="H151" i="24" s="1"/>
  <c r="I151" i="24" l="1"/>
  <c r="J151" i="24" s="1"/>
  <c r="K151" i="24" l="1"/>
  <c r="L151" i="24"/>
  <c r="C159" i="24" l="1"/>
  <c r="F159" i="24" s="1"/>
  <c r="H159" i="24" s="1"/>
  <c r="I159" i="24" s="1"/>
  <c r="J159" i="24" s="1"/>
  <c r="K159" i="24" l="1"/>
  <c r="L159" i="24"/>
  <c r="C167" i="24" s="1"/>
  <c r="F167" i="24" s="1"/>
  <c r="H167" i="24" s="1"/>
  <c r="I167" i="24" s="1"/>
  <c r="J167" i="24" s="1"/>
  <c r="K167" i="24" l="1"/>
  <c r="L167" i="24"/>
  <c r="C175" i="24" s="1"/>
  <c r="F175" i="24" s="1"/>
  <c r="H175" i="24" s="1"/>
  <c r="I175" i="24" s="1"/>
  <c r="J175" i="24" s="1"/>
  <c r="L175" i="24" l="1"/>
  <c r="C183" i="24" s="1"/>
  <c r="F183" i="24" s="1"/>
  <c r="H183" i="24" s="1"/>
  <c r="I183" i="24" s="1"/>
  <c r="J183" i="24" s="1"/>
  <c r="K175" i="24"/>
  <c r="L183" i="24" l="1"/>
  <c r="C191" i="24" s="1"/>
  <c r="F191" i="24" s="1"/>
  <c r="H191" i="24" s="1"/>
  <c r="I191" i="24" s="1"/>
  <c r="J191" i="24" s="1"/>
  <c r="K183" i="24"/>
  <c r="L191" i="24" l="1"/>
  <c r="C199" i="24" s="1"/>
  <c r="F199" i="24" s="1"/>
  <c r="H199" i="24" s="1"/>
  <c r="I199" i="24" s="1"/>
  <c r="J199" i="24" s="1"/>
  <c r="K191" i="24"/>
  <c r="K199" i="24" l="1"/>
  <c r="L199" i="24"/>
  <c r="C207" i="24" s="1"/>
  <c r="F207" i="24" s="1"/>
  <c r="H207" i="24" s="1"/>
  <c r="I207" i="24" s="1"/>
  <c r="J207" i="24" s="1"/>
  <c r="K207" i="24" l="1"/>
  <c r="L207" i="24"/>
  <c r="C215" i="24" s="1"/>
  <c r="F215" i="24" s="1"/>
  <c r="H215" i="24" s="1"/>
  <c r="I215" i="24" s="1"/>
  <c r="J215" i="24" s="1"/>
  <c r="K215" i="24" l="1"/>
  <c r="L215" i="24"/>
  <c r="C223" i="24" s="1"/>
  <c r="F223" i="24" s="1"/>
  <c r="H223" i="24" s="1"/>
  <c r="I223" i="24" s="1"/>
  <c r="J223" i="24" s="1"/>
  <c r="L223" i="24" l="1"/>
  <c r="C231" i="24" s="1"/>
  <c r="F231" i="24" s="1"/>
  <c r="H231" i="24" s="1"/>
  <c r="I231" i="24" s="1"/>
  <c r="J231" i="24" s="1"/>
  <c r="K223" i="24"/>
  <c r="L231" i="24" l="1"/>
  <c r="C239" i="24" s="1"/>
  <c r="F239" i="24" s="1"/>
  <c r="H239" i="24" s="1"/>
  <c r="I239" i="24" s="1"/>
  <c r="J239" i="24" s="1"/>
  <c r="K231" i="24"/>
  <c r="L239" i="24" l="1"/>
  <c r="C247" i="24" s="1"/>
  <c r="F247" i="24" s="1"/>
  <c r="H247" i="24" s="1"/>
  <c r="I247" i="24" s="1"/>
  <c r="J247" i="24" s="1"/>
  <c r="K239" i="24"/>
  <c r="K247" i="24" l="1"/>
  <c r="L247" i="24"/>
  <c r="C255" i="24" s="1"/>
  <c r="F255" i="24" s="1"/>
  <c r="H255" i="24" s="1"/>
  <c r="I255" i="24" s="1"/>
  <c r="J255" i="24" s="1"/>
  <c r="K255" i="24" l="1"/>
  <c r="L255" i="24"/>
  <c r="C263" i="24" s="1"/>
  <c r="F263" i="24" s="1"/>
  <c r="H263" i="24" s="1"/>
  <c r="I263" i="24" s="1"/>
  <c r="J263" i="24" s="1"/>
  <c r="L263" i="24" l="1"/>
  <c r="C271" i="24" s="1"/>
  <c r="K263" i="24"/>
  <c r="F271" i="24" l="1"/>
  <c r="H271" i="24" s="1"/>
  <c r="I271" i="24" s="1"/>
  <c r="J271" i="24" s="1"/>
  <c r="K271" i="24" l="1"/>
  <c r="L271" i="24"/>
  <c r="C279" i="24" s="1"/>
  <c r="F279" i="24" l="1"/>
  <c r="H279" i="24" s="1"/>
  <c r="I279" i="24" s="1"/>
  <c r="J279" i="24" s="1"/>
  <c r="L279" i="24" l="1"/>
  <c r="C287" i="24" s="1"/>
  <c r="K279" i="24"/>
  <c r="F287" i="24" l="1"/>
  <c r="H287" i="24" s="1"/>
  <c r="I287" i="24" s="1"/>
  <c r="J287" i="24" s="1"/>
  <c r="L287" i="24" l="1"/>
  <c r="C295" i="24" s="1"/>
  <c r="K287" i="24"/>
  <c r="F295" i="24" l="1"/>
  <c r="H295" i="24" s="1"/>
  <c r="I295" i="24" s="1"/>
  <c r="J295" i="24" s="1"/>
  <c r="L295" i="24" l="1"/>
  <c r="C303" i="24" s="1"/>
  <c r="K295" i="24"/>
  <c r="F303" i="24" l="1"/>
  <c r="H303" i="24" s="1"/>
  <c r="I303" i="24" s="1"/>
  <c r="J303" i="24" s="1"/>
  <c r="K303" i="24" l="1"/>
  <c r="L303" i="24"/>
  <c r="C311" i="24" s="1"/>
  <c r="F311" i="24" s="1"/>
  <c r="H311" i="24" s="1"/>
  <c r="I311" i="24" s="1"/>
  <c r="J311" i="24" s="1"/>
  <c r="L311" i="24" l="1"/>
  <c r="C319" i="24" s="1"/>
  <c r="F319" i="24" s="1"/>
  <c r="H319" i="24" s="1"/>
  <c r="I319" i="24" s="1"/>
  <c r="J319" i="24" s="1"/>
  <c r="K311" i="24"/>
  <c r="L319" i="24" l="1"/>
  <c r="C327" i="24" s="1"/>
  <c r="F327" i="24" s="1"/>
  <c r="H327" i="24" s="1"/>
  <c r="I327" i="24" s="1"/>
  <c r="J327" i="24" s="1"/>
  <c r="K319" i="24"/>
  <c r="L327" i="24" l="1"/>
  <c r="C335" i="24" s="1"/>
  <c r="F335" i="24" s="1"/>
  <c r="H335" i="24" s="1"/>
  <c r="I335" i="24" s="1"/>
  <c r="J335" i="24" s="1"/>
  <c r="K327" i="24"/>
  <c r="K335" i="24" l="1"/>
  <c r="L335" i="24"/>
  <c r="C343" i="24" s="1"/>
  <c r="F343" i="24" s="1"/>
  <c r="H343" i="24" s="1"/>
  <c r="I343" i="24" s="1"/>
  <c r="J343" i="24" s="1"/>
  <c r="K343" i="24" l="1"/>
  <c r="L343" i="24"/>
  <c r="C351" i="24" s="1"/>
  <c r="F351" i="24" s="1"/>
  <c r="H351" i="24" s="1"/>
  <c r="I351" i="24" s="1"/>
  <c r="J351" i="24" s="1"/>
  <c r="L351" i="24" l="1"/>
  <c r="C359" i="24" s="1"/>
  <c r="F359" i="24" s="1"/>
  <c r="H359" i="24" s="1"/>
  <c r="I359" i="24" s="1"/>
  <c r="J359" i="24" s="1"/>
  <c r="K351" i="24"/>
  <c r="H8" i="28" s="1"/>
  <c r="K359" i="24" l="1"/>
  <c r="L359" i="24"/>
  <c r="C367" i="24" s="1"/>
  <c r="F367" i="24" s="1"/>
  <c r="H367" i="24" s="1"/>
  <c r="I367" i="24" s="1"/>
  <c r="J367" i="24" s="1"/>
  <c r="K367" i="24" l="1"/>
  <c r="L367" i="24"/>
  <c r="C375" i="24" s="1"/>
  <c r="F375" i="24" s="1"/>
  <c r="H375" i="24" s="1"/>
  <c r="I375" i="24" s="1"/>
  <c r="J375" i="24" s="1"/>
  <c r="K375" i="24" l="1"/>
  <c r="L375" i="24"/>
  <c r="C383" i="24" s="1"/>
  <c r="F383" i="24" s="1"/>
  <c r="H383" i="24" s="1"/>
  <c r="I383" i="24" s="1"/>
  <c r="J383" i="24" s="1"/>
  <c r="L383" i="24" l="1"/>
  <c r="C391" i="24" s="1"/>
  <c r="F391" i="24" s="1"/>
  <c r="H391" i="24" s="1"/>
  <c r="I391" i="24" s="1"/>
  <c r="J391" i="24" s="1"/>
  <c r="K383" i="24"/>
  <c r="L391" i="24" l="1"/>
  <c r="C399" i="24" s="1"/>
  <c r="F399" i="24" s="1"/>
  <c r="H399" i="24" s="1"/>
  <c r="I399" i="24" s="1"/>
  <c r="J399" i="24" s="1"/>
  <c r="K391" i="24"/>
  <c r="K399" i="24" l="1"/>
  <c r="L399" i="24"/>
  <c r="C407" i="24" s="1"/>
  <c r="F407" i="24" s="1"/>
  <c r="H407" i="24" s="1"/>
  <c r="I407" i="24" s="1"/>
  <c r="J407" i="24" s="1"/>
  <c r="K407" i="24" l="1"/>
  <c r="L407" i="24"/>
  <c r="C415" i="24" s="1"/>
  <c r="F415" i="24" l="1"/>
  <c r="B10" i="27" a="1"/>
  <c r="B10" i="27" s="1"/>
  <c r="H415" i="24" l="1"/>
  <c r="C7" i="32"/>
  <c r="I415" i="24" l="1"/>
  <c r="J415" i="24" s="1"/>
  <c r="D7" i="32"/>
  <c r="E7" i="32" s="1"/>
  <c r="B8" i="33" l="1"/>
  <c r="C8" i="33"/>
  <c r="K415" i="24"/>
  <c r="L415" i="24"/>
  <c r="H7" i="32" s="1"/>
  <c r="B10" i="29" l="1"/>
  <c r="F7" i="32"/>
  <c r="G7" i="32"/>
  <c r="B7" i="33" l="1"/>
  <c r="C7"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AC0B6-8BD8-4D26-807C-6681C12C3D2B}" keepAlive="1" name="Query - dim_Customer" description="Connection to the 'dim_Customer' query in the workbook." type="5" refreshedVersion="0" background="1">
    <dbPr connection="Provider=Microsoft.Mashup.OleDb.1;Data Source=$Workbook$;Location=dim_Customer;Extended Properties=&quot;&quot;" command="SELECT * FROM [dim_Customer]"/>
  </connection>
  <connection id="2" xr16:uid="{0104F95D-A199-4A4C-A9DF-7C13EE6E7337}" keepAlive="1" name="Query - dim_Material" description="Connection to the 'dim_Material' query in the workbook." type="5" refreshedVersion="0" background="1">
    <dbPr connection="Provider=Microsoft.Mashup.OleDb.1;Data Source=$Workbook$;Location=dim_Material;Extended Properties=&quot;&quot;" command="SELECT * FROM [dim_Material]"/>
  </connection>
  <connection id="3" xr16:uid="{00359864-DF2F-4A6C-BCF5-C1ABC7407345}" keepAlive="1" name="Query - dim_Product" description="Connection to the 'dim_Product' query in the workbook." type="5" refreshedVersion="0" background="1">
    <dbPr connection="Provider=Microsoft.Mashup.OleDb.1;Data Source=$Workbook$;Location=dim_Product;Extended Properties=&quot;&quot;" command="SELECT * FROM [dim_Product]"/>
  </connection>
  <connection id="4" xr16:uid="{CF56C470-CB9C-4E42-B3FA-FBCF65452CFE}" keepAlive="1" name="Query - dim_ProductionLine" description="Connection to the 'dim_ProductionLine' query in the workbook." type="5" refreshedVersion="0" background="1">
    <dbPr connection="Provider=Microsoft.Mashup.OleDb.1;Data Source=$Workbook$;Location=dim_ProductionLine;Extended Properties=&quot;&quot;" command="SELECT * FROM [dim_ProductionLine]"/>
  </connection>
  <connection id="5" xr16:uid="{CA0EC076-8EFC-44B5-815C-11E247B954AF}" keepAlive="1" name="Query - dim_Week" description="Connection to the 'dim_Week' query in the workbook." type="5" refreshedVersion="0" background="1">
    <dbPr connection="Provider=Microsoft.Mashup.OleDb.1;Data Source=$Workbook$;Location=dim_Week;Extended Properties=&quot;&quot;" command="SELECT * FROM [dim_Week]"/>
  </connection>
  <connection id="6" xr16:uid="{F0257DB6-450C-481A-989E-4EB97D9697E0}" keepAlive="1" name="Query - fact_Demand" description="Connection to the 'fact_Demand' query in the workbook." type="5" refreshedVersion="0" background="1">
    <dbPr connection="Provider=Microsoft.Mashup.OleDb.1;Data Source=$Workbook$;Location=fact_Demand;Extended Properties=&quot;&quot;" command="SELECT * FROM [fact_Demand]"/>
  </connection>
  <connection id="7" xr16:uid="{232B4601-EC9C-4F3F-99F6-051F6B806B58}" keepAlive="1" name="Query - fact_Exceptions" description="Connection to the 'fact_Exceptions' query in the workbook." type="5" refreshedVersion="0" background="1">
    <dbPr connection="Provider=Microsoft.Mashup.OleDb.1;Data Source=$Workbook$;Location=fact_Exceptions;Extended Properties=&quot;&quot;" command="SELECT * FROM [fact_Exceptions]"/>
  </connection>
  <connection id="8" xr16:uid="{5CC338D4-CA6C-4432-9512-7C3D27EF52DC}" keepAlive="1" name="Query - fact_LineCapacity" description="Connection to the 'fact_LineCapacity' query in the workbook." type="5" refreshedVersion="0" background="1">
    <dbPr connection="Provider=Microsoft.Mashup.OleDb.1;Data Source=$Workbook$;Location=fact_LineCapacity;Extended Properties=&quot;&quot;" command="SELECT * FROM [fact_LineCapacity]"/>
  </connection>
  <connection id="9" xr16:uid="{0BD7DFAE-3114-4E43-A41E-6CB5B3BC0D16}" keepAlive="1" name="Query - fact_MaterialInventory" description="Connection to the 'fact_MaterialInventory' query in the workbook." type="5" refreshedVersion="0" background="1">
    <dbPr connection="Provider=Microsoft.Mashup.OleDb.1;Data Source=$Workbook$;Location=fact_MaterialInventory;Extended Properties=&quot;&quot;" command="SELECT * FROM [fact_MaterialInventory]"/>
  </connection>
  <connection id="10" xr16:uid="{34C6FACC-7D7D-4F0A-97EF-D7295858AA31}" keepAlive="1" name="Query - fact_MaterialRequirements" description="Connection to the 'fact_MaterialRequirements' query in the workbook." type="5" refreshedVersion="0" background="1">
    <dbPr connection="Provider=Microsoft.Mashup.OleDb.1;Data Source=$Workbook$;Location=fact_MaterialRequirements;Extended Properties=&quot;&quot;" command="SELECT * FROM [fact_MaterialRequirements]"/>
  </connection>
  <connection id="11" xr16:uid="{35A57A72-AA65-42DF-997E-B493D960DC9A}" keepAlive="1" name="Query - fact_WeeklyOperations" description="Connection to the 'fact_WeeklyOperations' query in the workbook." type="5" refreshedVersion="0" background="1">
    <dbPr connection="Provider=Microsoft.Mashup.OleDb.1;Data Source=$Workbook$;Location=fact_WeeklyOperations;Extended Properties=&quot;&quot;" command="SELECT * FROM [fact_WeeklyOperations]"/>
  </connection>
  <connection id="12" xr16:uid="{C1DA2CCD-0C8A-476C-B936-AB603C0A9419}" keepAlive="1" name="Query - qa_BOM_InvalidMaterials" description="Connection to the 'qa_BOM_InvalidMaterials' query in the workbook." type="5" refreshedVersion="0" background="1">
    <dbPr connection="Provider=Microsoft.Mashup.OleDb.1;Data Source=$Workbook$;Location=qa_BOM_InvalidMaterials;Extended Properties=&quot;&quot;" command="SELECT * FROM [qa_BOM_InvalidMaterials]"/>
  </connection>
  <connection id="13" xr16:uid="{3CC836BE-8995-44C9-9135-5DDA6B635539}" keepAlive="1" name="Query - qa_BOM_InvalidProducts" description="Connection to the 'qa_BOM_InvalidProducts' query in the workbook." type="5" refreshedVersion="0" background="1">
    <dbPr connection="Provider=Microsoft.Mashup.OleDb.1;Data Source=$Workbook$;Location=qa_BOM_InvalidProducts;Extended Properties=&quot;&quot;" command="SELECT * FROM [qa_BOM_InvalidProducts]"/>
  </connection>
  <connection id="14" xr16:uid="{44754C1D-B637-4EF6-A3EC-44EFB86E5AB6}" keepAlive="1" name="Query - qa_Capacity_InvalidLines" description="Connection to the 'qa_Capacity_InvalidLines' query in the workbook." type="5" refreshedVersion="0" background="1">
    <dbPr connection="Provider=Microsoft.Mashup.OleDb.1;Data Source=$Workbook$;Location=qa_Capacity_InvalidLines;Extended Properties=&quot;&quot;" command="SELECT * FROM [qa_Capacity_InvalidLines]"/>
  </connection>
  <connection id="15" xr16:uid="{1A9EF53A-6220-4869-A3C9-CC035FDD804C}" keepAlive="1" name="Query - qa_Demand_InvalidCustomers" description="Connection to the 'qa_Demand_InvalidCustomers' query in the workbook." type="5" refreshedVersion="0" background="1">
    <dbPr connection="Provider=Microsoft.Mashup.OleDb.1;Data Source=$Workbook$;Location=qa_Demand_InvalidCustomers;Extended Properties=&quot;&quot;" command="SELECT * FROM [qa_Demand_InvalidCustomers]"/>
  </connection>
  <connection id="16" xr16:uid="{820E7B13-2769-4EA9-9D63-9EB009A9ABEA}" keepAlive="1" name="Query - qa_Demand_InvalidProducts" description="Connection to the 'qa_Demand_InvalidProducts' query in the workbook." type="5" refreshedVersion="0" background="1">
    <dbPr connection="Provider=Microsoft.Mashup.OleDb.1;Data Source=$Workbook$;Location=qa_Demand_InvalidProducts;Extended Properties=&quot;&quot;" command="SELECT * FROM [qa_Demand_InvalidProducts]"/>
  </connection>
  <connection id="17" xr16:uid="{9245B91A-8F76-4B4C-A2B3-753EF9C3E5D5}" keepAlive="1" name="Query - qa_Map_InvalidLines" description="Connection to the 'qa_Map_InvalidLines' query in the workbook." type="5" refreshedVersion="0" background="1">
    <dbPr connection="Provider=Microsoft.Mashup.OleDb.1;Data Source=$Workbook$;Location=qa_Map_InvalidLines;Extended Properties=&quot;&quot;" command="SELECT * FROM [qa_Map_InvalidLines]"/>
  </connection>
  <connection id="18" xr16:uid="{B00CB7CE-0151-492D-9150-D79FB6BD24B2}" keepAlive="1" name="Query - qa_Map_InvalidProducts" description="Connection to the 'qa_Map_InvalidProducts' query in the workbook." type="5" refreshedVersion="0" background="1">
    <dbPr connection="Provider=Microsoft.Mashup.OleDb.1;Data Source=$Workbook$;Location=qa_Map_InvalidProducts;Extended Properties=&quot;&quot;" command="SELECT * FROM [qa_Map_InvalidProducts]"/>
  </connection>
  <connection id="19" xr16:uid="{5443A0CE-A3F8-4708-9EF6-1168ED8117E5}" keepAlive="1" name="Query - qa_MaterialInventory_InvalidMaterials" description="Connection to the 'qa_MaterialInventory_InvalidMaterials' query in the workbook." type="5" refreshedVersion="0" background="1">
    <dbPr connection="Provider=Microsoft.Mashup.OleDb.1;Data Source=$Workbook$;Location=qa_MaterialInventory_InvalidMaterials;Extended Properties=&quot;&quot;" command="SELECT * FROM [qa_MaterialInventory_InvalidMaterials]"/>
  </connection>
  <connection id="20" xr16:uid="{931A1C89-7DBA-4477-B2B2-9B37505062CF}" keepAlive="1" name="Query - stg_BOM" description="Connection to the 'stg_BOM' query in the workbook." type="5" refreshedVersion="0" background="1">
    <dbPr connection="Provider=Microsoft.Mashup.OleDb.1;Data Source=$Workbook$;Location=stg_BOM;Extended Properties=&quot;&quot;" command="SELECT * FROM [stg_BOM]"/>
  </connection>
  <connection id="21" xr16:uid="{01D0BBF7-FA30-4326-B15E-6E1CA77AC4E8}" keepAlive="1" name="Query - stg_Customers" description="Connection to the 'stg_Customers' query in the workbook." type="5" refreshedVersion="0" background="1">
    <dbPr connection="Provider=Microsoft.Mashup.OleDb.1;Data Source=$Workbook$;Location=stg_Customers;Extended Properties=&quot;&quot;" command="SELECT * FROM [stg_Customers]"/>
  </connection>
  <connection id="22" xr16:uid="{38FD5BA6-BED9-41D1-B876-04FD69C5D039}" keepAlive="1" name="Query - stg_DemandBase" description="Connection to the 'stg_DemandBase' query in the workbook." type="5" refreshedVersion="0" background="1">
    <dbPr connection="Provider=Microsoft.Mashup.OleDb.1;Data Source=$Workbook$;Location=stg_DemandBase;Extended Properties=&quot;&quot;" command="SELECT * FROM [stg_DemandBase]"/>
  </connection>
  <connection id="23" xr16:uid="{51CE5414-1DD1-4509-AE08-A605BAA60502}" keepAlive="1" name="Query - stg_ExceptionEngine" description="Connection to the 'stg_ExceptionEngine' query in the workbook." type="5" refreshedVersion="0" background="1">
    <dbPr connection="Provider=Microsoft.Mashup.OleDb.1;Data Source=$Workbook$;Location=stg_ExceptionEngine;Extended Properties=&quot;&quot;" command="SELECT * FROM [stg_ExceptionEngine]"/>
  </connection>
  <connection id="24" xr16:uid="{AB321177-E0AE-4D96-A851-76E53B54068B}" keepAlive="1" name="Query - stg_Materials" description="Connection to the 'stg_Materials' query in the workbook." type="5" refreshedVersion="0" background="1">
    <dbPr connection="Provider=Microsoft.Mashup.OleDb.1;Data Source=$Workbook$;Location=stg_Materials;Extended Properties=&quot;&quot;" command="SELECT * FROM [stg_Materials]"/>
  </connection>
  <connection id="25" xr16:uid="{75FD2DF6-C2EC-4854-A7F5-CD4A6976DD0B}" keepAlive="1" name="Query - stg_ProductionLines" description="Connection to the 'stg_ProductionLines' query in the workbook." type="5" refreshedVersion="0" background="1">
    <dbPr connection="Provider=Microsoft.Mashup.OleDb.1;Data Source=$Workbook$;Location=stg_ProductionLines;Extended Properties=&quot;&quot;" command="SELECT * FROM [stg_ProductionLines]"/>
  </connection>
  <connection id="26" xr16:uid="{B7F7CBBE-4AF5-4276-A563-F0F774C70621}" keepAlive="1" name="Query - stg_ProductLineMap" description="Connection to the 'stg_ProductLineMap' query in the workbook." type="5" refreshedVersion="0" background="1">
    <dbPr connection="Provider=Microsoft.Mashup.OleDb.1;Data Source=$Workbook$;Location=stg_ProductLineMap;Extended Properties=&quot;&quot;" command="SELECT * FROM [stg_ProductLineMap]"/>
  </connection>
  <connection id="27" xr16:uid="{7B4C4C6E-1585-4855-85D8-038376DE7CA6}" keepAlive="1" name="Query - stg_Products" description="Connection to the 'stg_Products' query in the workbook." type="5" refreshedVersion="0" background="1">
    <dbPr connection="Provider=Microsoft.Mashup.OleDb.1;Data Source=$Workbook$;Location=stg_Products;Extended Properties=&quot;&quot;" command="SELECT * FROM [stg_Products]"/>
  </connection>
  <connection id="28" xr16:uid="{A2F7C11A-C265-4E8F-811D-275588846025}" keepAlive="1" name="Query - stg_WeeklyInventoryFlow" description="Connection to the 'stg_WeeklyInventoryFlow' query in the workbook." type="5" refreshedVersion="0" background="1">
    <dbPr connection="Provider=Microsoft.Mashup.OleDb.1;Data Source=$Workbook$;Location=stg_WeeklyInventoryFlow;Extended Properties=&quot;&quot;" command="SELECT * FROM [stg_WeeklyInventoryFlow]"/>
  </connection>
  <connection id="29" xr16:uid="{937936E4-6AEC-4B64-B1BC-A44372F6ECEF}" keepAlive="1" name="Query - stg_WeeklyLineCapacity" description="Connection to the 'stg_WeeklyLineCapacity' query in the workbook." type="5" refreshedVersion="0" background="1">
    <dbPr connection="Provider=Microsoft.Mashup.OleDb.1;Data Source=$Workbook$;Location=stg_WeeklyLineCapacity;Extended Properties=&quot;&quot;" command="SELECT * FROM [stg_WeeklyLineCapacity]"/>
  </connection>
  <connection id="30" xr16:uid="{5993C1CF-DFF8-462A-BF12-9DA0E6E36740}" keepAlive="1" name="Query - stg_WeeklyMaterialInventory" description="Connection to the 'stg_WeeklyMaterialInventory' query in the workbook." type="5" refreshedVersion="0" background="1">
    <dbPr connection="Provider=Microsoft.Mashup.OleDb.1;Data Source=$Workbook$;Location=stg_WeeklyMaterialInventory;Extended Properties=&quot;&quot;" command="SELECT * FROM [stg_WeeklyMaterialInventory]"/>
  </connection>
  <connection id="31" xr16:uid="{9F8ABEAE-304D-41C0-9B4D-EC3AC57163DB}" keepAlive="1" name="Query - stg_WeeklyMaterialRequirements" description="Connection to the 'stg_WeeklyMaterialRequirements' query in the workbook." type="5" refreshedVersion="0" background="1">
    <dbPr connection="Provider=Microsoft.Mashup.OleDb.1;Data Source=$Workbook$;Location=stg_WeeklyMaterialRequirements;Extended Properties=&quot;&quot;" command="SELECT * FROM [stg_WeeklyMaterialRequirements]"/>
  </connection>
  <connection id="32" xr16:uid="{AEEA66F7-C496-43AE-A85B-6C6CCC5D9EC9}" keepAlive="1" name="Query - stg_WeeklyProductDemand" description="Connection to the 'stg_WeeklyProductDemand' query in the workbook." type="5" refreshedVersion="0" background="1">
    <dbPr connection="Provider=Microsoft.Mashup.OleDb.1;Data Source=$Workbook$;Location=stg_WeeklyProductDemand;Extended Properties=&quot;&quot;" command="SELECT * FROM [stg_WeeklyProductDemand]"/>
  </connection>
  <connection id="33" xr16:uid="{A5D7BF99-9353-4E81-A9C6-C62B6C8EA778}" keepAlive="1" name="Query - stg_Weeks" description="Connection to the 'stg_Weeks' query in the workbook." type="5" refreshedVersion="0" background="1">
    <dbPr connection="Provider=Microsoft.Mashup.OleDb.1;Data Source=$Workbook$;Location=stg_Weeks;Extended Properties=&quot;&quot;" command="SELECT * FROM [stg_Week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<sst xmlns="http://schemas.openxmlformats.org/spreadsheetml/2006/main" count="755" uniqueCount="256">
  <si>
    <t>P001</t>
  </si>
  <si>
    <t>Country Breakfast Sausage</t>
  </si>
  <si>
    <t>P002</t>
  </si>
  <si>
    <t>Herb Chicken Bites</t>
  </si>
  <si>
    <t>P003</t>
  </si>
  <si>
    <t>Veggie Breakfast Patties</t>
  </si>
  <si>
    <t>P004</t>
  </si>
  <si>
    <t>Smoky Beef Bites</t>
  </si>
  <si>
    <t>P005</t>
  </si>
  <si>
    <t>Family Breakfast Pack</t>
  </si>
  <si>
    <t>C001</t>
  </si>
  <si>
    <t>MarketOne</t>
  </si>
  <si>
    <t>C002</t>
  </si>
  <si>
    <t>FreshBasket</t>
  </si>
  <si>
    <t>C003</t>
  </si>
  <si>
    <t>GreenMart</t>
  </si>
  <si>
    <t>C004</t>
  </si>
  <si>
    <t>TownFoods</t>
  </si>
  <si>
    <t>Category</t>
  </si>
  <si>
    <t>Sausage</t>
  </si>
  <si>
    <t>Chicken</t>
  </si>
  <si>
    <t>Plant-Based</t>
  </si>
  <si>
    <t>Beef</t>
  </si>
  <si>
    <t>Mixed Breakfast</t>
  </si>
  <si>
    <t>Product_ID</t>
  </si>
  <si>
    <t>Product_Name</t>
  </si>
  <si>
    <t>Pack_Size_g</t>
  </si>
  <si>
    <t>Shelf_Life_Days</t>
  </si>
  <si>
    <t>Customer_ID</t>
  </si>
  <si>
    <t>Customer_Name</t>
  </si>
  <si>
    <t>Channel</t>
  </si>
  <si>
    <t>Supermarket</t>
  </si>
  <si>
    <t>Line_ID</t>
  </si>
  <si>
    <t>Line_Name</t>
  </si>
  <si>
    <t>Packs_Per_Hour</t>
  </si>
  <si>
    <t>Available_Hours_Week</t>
  </si>
  <si>
    <t>Max_Weekly_Capacity</t>
  </si>
  <si>
    <t>L01</t>
  </si>
  <si>
    <t>Sausage Line</t>
  </si>
  <si>
    <t>L02</t>
  </si>
  <si>
    <t>Bites Line</t>
  </si>
  <si>
    <t>L03</t>
  </si>
  <si>
    <t>Patties &amp; Mixed Line</t>
  </si>
  <si>
    <t>Material_ID</t>
  </si>
  <si>
    <t>Material_Name</t>
  </si>
  <si>
    <t>Material_Type</t>
  </si>
  <si>
    <t>Unit_of_Measure</t>
  </si>
  <si>
    <t>M001</t>
  </si>
  <si>
    <t>Sausage Meat Mix</t>
  </si>
  <si>
    <t>Ingredient</t>
  </si>
  <si>
    <t>kg</t>
  </si>
  <si>
    <t>M002</t>
  </si>
  <si>
    <t>Chicken Meat</t>
  </si>
  <si>
    <t>M003</t>
  </si>
  <si>
    <t>Plant Protein Mix</t>
  </si>
  <si>
    <t>M004</t>
  </si>
  <si>
    <t>Beef Meat</t>
  </si>
  <si>
    <t>M005</t>
  </si>
  <si>
    <t>Breakfast Protein Mix</t>
  </si>
  <si>
    <t>M006</t>
  </si>
  <si>
    <t>Seasoning Mix</t>
  </si>
  <si>
    <t>M007</t>
  </si>
  <si>
    <t>Packaging Tray</t>
  </si>
  <si>
    <t>Packaging</t>
  </si>
  <si>
    <t>each</t>
  </si>
  <si>
    <t>M008</t>
  </si>
  <si>
    <t>Product Label</t>
  </si>
  <si>
    <t>Qty_Per_Pack</t>
  </si>
  <si>
    <t>Week_Start</t>
  </si>
  <si>
    <t>Forecast_Qty</t>
  </si>
  <si>
    <t>Actual_Order_Qty</t>
  </si>
  <si>
    <t>Physical_Stock</t>
  </si>
  <si>
    <t>Allocated_Stock</t>
  </si>
  <si>
    <t>Blocked_Stock</t>
  </si>
  <si>
    <t>Planned_Production_Qty</t>
  </si>
  <si>
    <t>Actual_Production_Qty</t>
  </si>
  <si>
    <t>Available_Qty</t>
  </si>
  <si>
    <t>Scheduled_Hours</t>
  </si>
  <si>
    <t>Planned_Downtime_Hours</t>
  </si>
  <si>
    <t>Available_Hours</t>
  </si>
  <si>
    <t>Baseline_Weekly_Qty</t>
  </si>
  <si>
    <t>Scenario_ID</t>
  </si>
  <si>
    <t>Scenario_Type</t>
  </si>
  <si>
    <t>Scenario_Value</t>
  </si>
  <si>
    <t>S001</t>
  </si>
  <si>
    <t>Promotion_Demand_Spike</t>
  </si>
  <si>
    <t>S002</t>
  </si>
  <si>
    <t>Under_Forecast</t>
  </si>
  <si>
    <t>S003</t>
  </si>
  <si>
    <t>Over_Forecast</t>
  </si>
  <si>
    <t>S004</t>
  </si>
  <si>
    <t>ALL</t>
  </si>
  <si>
    <t>Material_Shortage</t>
  </si>
  <si>
    <t>S005</t>
  </si>
  <si>
    <t>Capacity_Reduction</t>
  </si>
  <si>
    <t>S006</t>
  </si>
  <si>
    <t>Production_Shortfall</t>
  </si>
  <si>
    <t>Seasonality_Factor</t>
  </si>
  <si>
    <t>Natural_Variation_Factor</t>
  </si>
  <si>
    <t>Normal_Demand_Qty</t>
  </si>
  <si>
    <t>Forecast_Factor</t>
  </si>
  <si>
    <t>Demand_Scenario</t>
  </si>
  <si>
    <t>Forecast_Error</t>
  </si>
  <si>
    <t>Forecast_Variance_%</t>
  </si>
  <si>
    <t>Absolute_Forecast_Error</t>
  </si>
  <si>
    <t>Total_Forecast_Qty</t>
  </si>
  <si>
    <t>Total_Actual_Order_Qty</t>
  </si>
  <si>
    <t>Opening_Physical_Stock</t>
  </si>
  <si>
    <t>Usable_Opening_Stock</t>
  </si>
  <si>
    <t>Target_Closing_Stock</t>
  </si>
  <si>
    <t>Net_Production_Requirement</t>
  </si>
  <si>
    <t>Projected_Closing_Stock</t>
  </si>
  <si>
    <t>Production_Performance_Factor</t>
  </si>
  <si>
    <t>Stock_Balance_Before_Floor</t>
  </si>
  <si>
    <t>Shortage_Qty</t>
  </si>
  <si>
    <t>Actual_Closing_Stock</t>
  </si>
  <si>
    <t>Production_Variance</t>
  </si>
  <si>
    <t>Production_Attainment_%</t>
  </si>
  <si>
    <t>Material_Required_Qty</t>
  </si>
  <si>
    <t>Total_Material_Required_Qty</t>
  </si>
  <si>
    <t>Opening_Material_Stock</t>
  </si>
  <si>
    <t>Target_Closing_Material_Stock</t>
  </si>
  <si>
    <t>Planned_Receipt_Qty</t>
  </si>
  <si>
    <t>Receipt_Performance_Factor</t>
  </si>
  <si>
    <t>Actual_Receipt_Qty</t>
  </si>
  <si>
    <t>Available_Material_Qty</t>
  </si>
  <si>
    <t>Material_Balance_Before_Floor</t>
  </si>
  <si>
    <t>Material_Shortage_Qty</t>
  </si>
  <si>
    <t>Closing_Material_Stock</t>
  </si>
  <si>
    <t>Required_Hours</t>
  </si>
  <si>
    <t>Baseline_Available_Hours</t>
  </si>
  <si>
    <t>Capacity_Reduction_%</t>
  </si>
  <si>
    <t>Effective_Available_Hours</t>
  </si>
  <si>
    <t>Effective_Capacity_Packs</t>
  </si>
  <si>
    <t>Capacity_Utilisation_%</t>
  </si>
  <si>
    <t>Capacity_Gap_Packs</t>
  </si>
  <si>
    <t>Capacity_Status</t>
  </si>
  <si>
    <t>Validation_Check</t>
  </si>
  <si>
    <t>Result</t>
  </si>
  <si>
    <t>Expected</t>
  </si>
  <si>
    <t>Demand rows</t>
  </si>
  <si>
    <t>Weekly product rows</t>
  </si>
  <si>
    <t>Weekly finished-goods inventory rows</t>
  </si>
  <si>
    <t>Material requirement rows</t>
  </si>
  <si>
    <t>Weekly material summary rows</t>
  </si>
  <si>
    <t>Material inventory rows</t>
  </si>
  <si>
    <t>Capacity rows</t>
  </si>
  <si>
    <t>Finished-goods inventory continuity</t>
  </si>
  <si>
    <t>Raw-material inventory continuity</t>
  </si>
  <si>
    <t>Production shortfall scenario</t>
  </si>
  <si>
    <t>Material disruption scenario</t>
  </si>
  <si>
    <t>Selected Week</t>
  </si>
  <si>
    <t>Selected Product</t>
  </si>
  <si>
    <t>Metric</t>
  </si>
  <si>
    <t>Value</t>
  </si>
  <si>
    <t>Forecast Qty</t>
  </si>
  <si>
    <t>Actual Order Qty</t>
  </si>
  <si>
    <t>Forecast Variance</t>
  </si>
  <si>
    <t>Opening Usable Stock</t>
  </si>
  <si>
    <t>Target Closing Stock</t>
  </si>
  <si>
    <t>Net Production Requirement</t>
  </si>
  <si>
    <t>Planned Production</t>
  </si>
  <si>
    <t>Actual Production</t>
  </si>
  <si>
    <t>Production Variance</t>
  </si>
  <si>
    <t>Production Attainment %</t>
  </si>
  <si>
    <t>Actual Closing Stock</t>
  </si>
  <si>
    <t>Shortage Qty</t>
  </si>
  <si>
    <t>Production Line</t>
  </si>
  <si>
    <t>RISK CHECK</t>
  </si>
  <si>
    <t>Primary Material</t>
  </si>
  <si>
    <t>Material Required</t>
  </si>
  <si>
    <t>Material Shortage Qty</t>
  </si>
  <si>
    <t>Material Risk Status</t>
  </si>
  <si>
    <t>Line Capacity Utilisation %</t>
  </si>
  <si>
    <t>Capacity Gap Packs</t>
  </si>
  <si>
    <t>Capacity Status</t>
  </si>
  <si>
    <t>OVERALL RISK</t>
  </si>
  <si>
    <t>Risk Level</t>
  </si>
  <si>
    <t>Action Message</t>
  </si>
  <si>
    <t>NORTHFIELD FOODS — OPERATIONS PLANNER</t>
  </si>
  <si>
    <t>Weekly Operations Summary</t>
  </si>
  <si>
    <t>Risk Check</t>
  </si>
  <si>
    <t>Overall Risk</t>
  </si>
  <si>
    <t>SELECTED WEEK EXCEPTIONS</t>
  </si>
  <si>
    <t>Count / Qty</t>
  </si>
  <si>
    <t>FG Shortage Products</t>
  </si>
  <si>
    <t>Material Shortages</t>
  </si>
  <si>
    <t>Over-Capacity Lines</t>
  </si>
  <si>
    <t>Low Production Attainment</t>
  </si>
  <si>
    <t>Total Capacity Gap Packs</t>
  </si>
  <si>
    <t>KPI</t>
  </si>
  <si>
    <t>Business Meaning</t>
  </si>
  <si>
    <t>Total Forecast Qty</t>
  </si>
  <si>
    <t>Total quantity forecast across the year</t>
  </si>
  <si>
    <t>Total Actual Order Qty</t>
  </si>
  <si>
    <t>Total actual customer demand received</t>
  </si>
  <si>
    <t>Forecast Bias %</t>
  </si>
  <si>
    <t>WAPE %</t>
  </si>
  <si>
    <t>Forecast Accuracy %</t>
  </si>
  <si>
    <t>Total Production Variance</t>
  </si>
  <si>
    <t>Finished-Goods Shortage Events</t>
  </si>
  <si>
    <t>Material Shortage Events</t>
  </si>
  <si>
    <t>Over-Capacity Line-Weeks</t>
  </si>
  <si>
    <t>Weighted Capacity Utilisation %</t>
  </si>
  <si>
    <t>Stock_Cover_Days</t>
  </si>
  <si>
    <t>Inventory_Risk_Status</t>
  </si>
  <si>
    <t>Average Stock Cover Days</t>
  </si>
  <si>
    <t>Low/Critical Inventory Events</t>
  </si>
  <si>
    <t>Forecast_Bias_%</t>
  </si>
  <si>
    <t>WAPE_%</t>
  </si>
  <si>
    <t>Forecast_Accuracy_%</t>
  </si>
  <si>
    <t>Avg_Stock_Cover_Days</t>
  </si>
  <si>
    <t>Low_Inventory_Events</t>
  </si>
  <si>
    <t>FG_Shortage_Events</t>
  </si>
  <si>
    <t>Total_Planned_Production</t>
  </si>
  <si>
    <t>Total_Required_Hours</t>
  </si>
  <si>
    <t>Total_Available_Hours</t>
  </si>
  <si>
    <t>Weighted_Capacity_Utilisation_%</t>
  </si>
  <si>
    <t>Over_Capacity_Weeks</t>
  </si>
  <si>
    <t>Total_Capacity_Gap_Packs</t>
  </si>
  <si>
    <t>Avg_Capacity_Utilisation_%</t>
  </si>
  <si>
    <t>Total_Required_Qty</t>
  </si>
  <si>
    <t>Total_Planned_Receipt_Qty</t>
  </si>
  <si>
    <t>Total_Actual_Receipt_Qty</t>
  </si>
  <si>
    <t>Receipt_Attainment_%</t>
  </si>
  <si>
    <t>Material_Shortage_Events</t>
  </si>
  <si>
    <t>Total_Shortage_Qty</t>
  </si>
  <si>
    <t>Avg_Closing_Stock</t>
  </si>
  <si>
    <t>Analysis</t>
  </si>
  <si>
    <t>Key Driver</t>
  </si>
  <si>
    <t>Highest Product WAPE</t>
  </si>
  <si>
    <t>Lowest Production Attainment</t>
  </si>
  <si>
    <t>Lowest Avg Stock Cover</t>
  </si>
  <si>
    <t>Highest Capacity Utilisation</t>
  </si>
  <si>
    <t>Most Over-Capacity Weeks</t>
  </si>
  <si>
    <t>Highest Material Shortage Risk</t>
  </si>
  <si>
    <t>Lowest Receipt Attainment</t>
  </si>
  <si>
    <t>FG_Shortage_Qty</t>
  </si>
  <si>
    <t>Primary_Material_ID</t>
  </si>
  <si>
    <t>Exception_Score</t>
  </si>
  <si>
    <t>Severity</t>
  </si>
  <si>
    <t>Primary_Exception</t>
  </si>
  <si>
    <t>Root_Cause_Category</t>
  </si>
  <si>
    <t>Recommended_Action</t>
  </si>
  <si>
    <t>Action_Owner</t>
  </si>
  <si>
    <t>Critical Product-Week Exceptions</t>
  </si>
  <si>
    <t>Warning Product-Week Exceptions</t>
  </si>
  <si>
    <t>OK Product-Weeks</t>
  </si>
  <si>
    <t>Total Actionable Product-Weeks</t>
  </si>
  <si>
    <t>Material Shortage Product-Weeks</t>
  </si>
  <si>
    <t>Capacity-Exposed Product-Weeks</t>
  </si>
  <si>
    <t>Unique Over-Capacity Line-Weeks</t>
  </si>
  <si>
    <t>Severe Production Shortfalls</t>
  </si>
  <si>
    <t>High Forecast Variance Events</t>
  </si>
  <si>
    <t>Critical Low Stock Cover Events</t>
  </si>
  <si>
    <t>FG Shortage Product-Weeks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</si>
</sst>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0.0"/>
  </numFmts>
  <fonts count="6">
    <font>
      <sz val="11"/>
      <color theme="1"/>
      <name val="Calibri"/>
      <family val="2"/>
      <scheme val="minor"/>
    </font>
    <font>
      <b/>
      <sz val="11"/>
      <color theme="1"/>
      <name val="Calibri"/>
      <family val="2"/>
      <scheme val="minor"/>
    </font>
    <font>
      <sz val="11"/>
      <name val="Carlito"/>
    </font>
    <font>
      <b/>
      <sz val="12"/>
      <color theme="1"/>
      <name val="Calibri"/>
      <family val="2"/>
      <scheme val="minor"/>
    </font>
    <font>
      <b/>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2" tint="-9.9978637043366805E-2"/>
        <bgColor indexed="64"/>
      </patternFill>
    </fill>
  </fills>
  <borders count="15">
    <border>
      <left/>
      <right/>
      <top/>
      <bottom/>
      <diagonal/>
    </border>
    <border>
      <left/>
      <right/>
      <top style="thin">
        <color theme="4" tint="0.39997558519241921"/>
      </top>
      <bottom/>
      <diagonal/>
    </border>
    <border>
      <left style="thin">
        <color theme="1"/>
      </left>
      <right style="thin">
        <color theme="1"/>
      </right>
      <top style="thin">
        <color theme="1"/>
      </top>
      <bottom style="thin">
        <color theme="1"/>
      </bottom>
      <diagonal/>
    </border>
    <border>
      <left/>
      <right/>
      <top/>
      <bottom style="thin">
        <color theme="1"/>
      </bottom>
      <diagonal/>
    </border>
    <border>
      <left/>
      <right style="thin">
        <color theme="1"/>
      </right>
      <top style="thin">
        <color theme="1"/>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cellStyleXfs>
  <cellXfs count="46">
    <xf numFmtId="0" fontId="0" fillId="0" borderId="0" xfId="0"/>
    <xf numFmtId="14" fontId="0" fillId="0" borderId="0" xfId="0" applyNumberFormat="1"/>
    <xf numFmtId="164" fontId="0" fillId="0" borderId="0" xfId="0" applyNumberFormat="1"/>
    <xf numFmtId="0" fontId="0" fillId="2" borderId="1" xfId="0" applyFill="1" applyBorder="1"/>
    <xf numFmtId="0" fontId="0" fillId="0" borderId="1" xfId="0" applyBorder="1"/>
    <xf numFmtId="0" fontId="2" fillId="0" borderId="0" xfId="1"/>
    <xf numFmtId="0" fontId="0" fillId="0" borderId="0" xfId="0" applyAlignment="1">
      <alignment horizontal="center"/>
    </xf>
    <xf numFmtId="0" fontId="0" fillId="0" borderId="0" xfId="0" applyAlignment="1">
      <alignment horizontal="center" vertical="center"/>
    </xf>
    <xf numFmtId="0" fontId="1" fillId="0" borderId="0" xfId="0" applyFont="1"/>
    <xf numFmtId="14" fontId="1" fillId="3" borderId="0" xfId="0" applyNumberFormat="1" applyFont="1" applyFill="1" applyAlignment="1">
      <alignment horizontal="center" vertical="center"/>
    </xf>
    <xf numFmtId="0" fontId="1" fillId="3" borderId="0" xfId="0" applyFont="1" applyFill="1" applyAlignment="1">
      <alignment horizontal="center" vertical="center"/>
    </xf>
    <xf numFmtId="0" fontId="1" fillId="0" borderId="2" xfId="0" applyFont="1" applyBorder="1"/>
    <xf numFmtId="0" fontId="5" fillId="0" borderId="0" xfId="0" applyFont="1"/>
    <xf numFmtId="0" fontId="0" fillId="0" borderId="2" xfId="0" applyBorder="1"/>
    <xf numFmtId="0" fontId="1" fillId="4" borderId="2" xfId="0" applyFont="1" applyFill="1" applyBorder="1"/>
    <xf numFmtId="0" fontId="1" fillId="4" borderId="2" xfId="0" applyFont="1" applyFill="1" applyBorder="1" applyAlignment="1">
      <alignment horizontal="center"/>
    </xf>
    <xf numFmtId="0" fontId="0" fillId="4" borderId="2" xfId="0" applyFill="1" applyBorder="1"/>
    <xf numFmtId="0" fontId="0" fillId="4" borderId="2" xfId="0" applyFill="1" applyBorder="1" applyAlignment="1">
      <alignment horizontal="center"/>
    </xf>
    <xf numFmtId="4" fontId="0" fillId="4" borderId="2" xfId="0" applyNumberFormat="1" applyFill="1" applyBorder="1" applyAlignment="1">
      <alignment horizontal="center"/>
    </xf>
    <xf numFmtId="164" fontId="0" fillId="4" borderId="2" xfId="0" applyNumberFormat="1" applyFill="1" applyBorder="1" applyAlignment="1">
      <alignment horizontal="center"/>
    </xf>
    <xf numFmtId="0" fontId="1" fillId="4" borderId="2" xfId="0" applyFont="1" applyFill="1" applyBorder="1" applyAlignment="1">
      <alignment horizontal="center" vertical="center"/>
    </xf>
    <xf numFmtId="4" fontId="0" fillId="4" borderId="2" xfId="0" applyNumberFormat="1" applyFill="1" applyBorder="1" applyAlignment="1">
      <alignment horizontal="center" vertical="center"/>
    </xf>
    <xf numFmtId="164" fontId="0" fillId="4" borderId="2" xfId="0" applyNumberFormat="1" applyFill="1" applyBorder="1" applyAlignment="1">
      <alignment horizontal="center" vertical="center"/>
    </xf>
    <xf numFmtId="0" fontId="0" fillId="4" borderId="2" xfId="0" applyFill="1" applyBorder="1" applyAlignment="1">
      <alignment horizontal="center" vertical="center"/>
    </xf>
    <xf numFmtId="166" fontId="0" fillId="0" borderId="0" xfId="0" applyNumberFormat="1"/>
    <xf numFmtId="164" fontId="0" fillId="0" borderId="2" xfId="0" applyNumberFormat="1" applyBorder="1"/>
    <xf numFmtId="166" fontId="0" fillId="0" borderId="2" xfId="0" applyNumberFormat="1" applyBorder="1"/>
    <xf numFmtId="4" fontId="0" fillId="0" borderId="2" xfId="0" applyNumberFormat="1" applyBorder="1"/>
    <xf numFmtId="0" fontId="1" fillId="0" borderId="5" xfId="0" applyFont="1" applyBorder="1"/>
    <xf numFmtId="0" fontId="1" fillId="0" borderId="4" xfId="0" applyFont="1" applyBorder="1"/>
    <xf numFmtId="14" fontId="0" fillId="0" borderId="4" xfId="0" applyNumberFormat="1" applyBorder="1"/>
    <xf numFmtId="0" fontId="4" fillId="0" borderId="0" xfId="0" applyFont="1" applyAlignment="1">
      <alignment horizontal="center"/>
    </xf>
    <xf numFmtId="0" fontId="0" fillId="0" borderId="0" xfId="0" applyAlignment="1">
      <alignment horizontal="center"/>
    </xf>
    <xf numFmtId="0" fontId="3" fillId="4" borderId="2" xfId="0" applyFont="1" applyFill="1" applyBorder="1" applyAlignment="1">
      <alignment horizontal="center"/>
    </xf>
    <xf numFmtId="0" fontId="5" fillId="4" borderId="2" xfId="0" applyFont="1" applyFill="1" applyBorder="1" applyAlignment="1">
      <alignment horizontal="center"/>
    </xf>
    <xf numFmtId="0" fontId="1" fillId="4" borderId="2" xfId="0" applyFont="1" applyFill="1" applyBorder="1" applyAlignment="1">
      <alignment horizontal="center"/>
    </xf>
    <xf numFmtId="0" fontId="3" fillId="4" borderId="3" xfId="0" applyFont="1" applyFill="1" applyBorder="1" applyAlignment="1">
      <alignment horizontal="center"/>
    </xf>
    <xf numFmtId="0" fontId="1" fillId="0" borderId="7" xfId="0" applyFont="1" applyBorder="1"/>
    <xf numFmtId="0" fontId="1" fillId="0" borderId="8" xfId="0" applyFont="1" applyBorder="1"/>
    <xf numFmtId="0" fontId="1" fillId="0" borderId="9" xfId="0" applyFont="1" applyBorder="1"/>
    <xf numFmtId="0" fontId="0" fillId="0" borderId="10" xfId="0" applyBorder="1"/>
    <xf numFmtId="0" fontId="0" fillId="0" borderId="6" xfId="0" applyBorder="1"/>
    <xf numFmtId="0" fontId="0" fillId="0" borderId="11" xfId="0" applyBorder="1"/>
    <xf numFmtId="0" fontId="0" fillId="0" borderId="12" xfId="0" applyBorder="1"/>
    <xf numFmtId="0" fontId="0" fillId="0" borderId="13" xfId="0" applyBorder="1"/>
    <xf numFmtId="0" fontId="0" fillId="0" borderId="14" xfId="0" applyBorder="1"/>
  </cellXfs>
  <cellStyles count="2">
    <cellStyle name="Normal" xfId="0" builtinId="0"/>
    <cellStyle name="Normal 2" xfId="1" xr:uid="{360F347D-B41F-4B4A-9774-B2B8E9AF716D}"/>
  </cellStyles>
  <dxfs count="78">
    <dxf>
      <font>
        <b/>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bgColor rgb="FFFFC000"/>
        </patternFill>
      </fill>
    </dxf>
    <dxf>
      <fill>
        <patternFill>
          <bgColor rgb="FFFF000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tint="0.79998168889431442"/>
          <bgColor theme="4" tint="0.79998168889431442"/>
        </patternFill>
      </fill>
    </dxf>
    <dxf>
      <numFmt numFmtId="4" formatCode="#,##0.00"/>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
      <numFmt numFmtId="4" formatCode="#,##0.00"/>
      <border diagonalUp="0" diagonalDown="0">
        <left style="thin">
          <color theme="1"/>
        </left>
        <right style="thin">
          <color theme="1"/>
        </right>
        <top style="thin">
          <color theme="1"/>
        </top>
        <bottom style="thin">
          <color theme="1"/>
        </bottom>
        <vertical/>
        <horizontal/>
      </border>
    </dxf>
    <dxf>
      <numFmt numFmtId="164" formatCode="0.0%"/>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
      <numFmt numFmtId="4" formatCode="#,##0.00"/>
      <border diagonalUp="0" diagonalDown="0">
        <left style="thin">
          <color theme="1"/>
        </left>
        <right style="thin">
          <color theme="1"/>
        </right>
        <top style="thin">
          <color theme="1"/>
        </top>
        <bottom style="thin">
          <color theme="1"/>
        </bottom>
        <vertical/>
        <horizontal/>
      </border>
    </dxf>
    <dxf>
      <numFmt numFmtId="166" formatCode="0.0"/>
      <border diagonalUp="0" diagonalDown="0">
        <left style="thin">
          <color theme="1"/>
        </left>
        <right style="thin">
          <color theme="1"/>
        </right>
        <top style="thin">
          <color theme="1"/>
        </top>
        <bottom style="thin">
          <color theme="1"/>
        </bottom>
        <vertical/>
        <horizontal/>
      </border>
    </dxf>
    <dxf>
      <numFmt numFmtId="164" formatCode="0.0%"/>
      <border diagonalUp="0" diagonalDown="0">
        <left style="thin">
          <color theme="1"/>
        </left>
        <right style="thin">
          <color theme="1"/>
        </right>
        <top style="thin">
          <color theme="1"/>
        </top>
        <bottom style="thin">
          <color theme="1"/>
        </bottom>
        <vertical/>
        <horizontal/>
      </border>
    </dxf>
    <dxf>
      <numFmt numFmtId="164" formatCode="0.0%"/>
      <border diagonalUp="0" diagonalDown="0">
        <left style="thin">
          <color theme="1"/>
        </left>
        <right style="thin">
          <color theme="1"/>
        </right>
        <top style="thin">
          <color theme="1"/>
        </top>
        <bottom style="thin">
          <color theme="1"/>
        </bottom>
        <vertical/>
        <horizontal/>
      </border>
    </dxf>
    <dxf>
      <border diagonalUp="0" diagonalDown="0">
        <left style="thin">
          <color theme="1"/>
        </left>
        <right style="thin">
          <color theme="1"/>
        </right>
        <top style="thin">
          <color theme="1"/>
        </top>
        <bottom style="thin">
          <color theme="1"/>
        </bottom>
        <vertical/>
        <horizontal/>
      </border>
    </dxf>
    <dxf>
      <numFmt numFmtId="19" formatCode="dd/mm/yyyy"/>
      <border diagonalUp="0" diagonalDown="0">
        <left/>
        <right style="thin">
          <color theme="1"/>
        </right>
        <top style="thin">
          <color theme="1"/>
        </top>
        <bottom style="thin">
          <color theme="1"/>
        </bottom>
        <vertical/>
        <horizontal/>
      </border>
    </dxf>
    <dxf>
      <border outline="0">
        <left style="thin">
          <color theme="1"/>
        </left>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4389FA-5B22-4E3C-9588-2F344BDC9A9B}" name="tblProducts" displayName="tblProducts" ref="A1:E6" totalsRowShown="0">
  <autoFilter ref="A1:E6" xr:uid="{C64389FA-5B22-4E3C-9588-2F344BDC9A9B}"/>
  <tableColumns count="5">
    <tableColumn id="1" xr3:uid="{B36B8DDA-04D4-4686-9E55-1D50524E446C}" name="Product_ID"/>
    <tableColumn id="2" xr3:uid="{CD7C6A96-38D9-4A5F-8299-1FC8A6CEC77A}" name="Product_Name"/>
    <tableColumn id="3" xr3:uid="{4B9643F2-0E24-4B51-9B3B-50AE325C2C39}" name="Category"/>
    <tableColumn id="4" xr3:uid="{C3914276-70A0-4C36-970E-A8C1013951B6}" name="Pack_Size_g"/>
    <tableColumn id="5" xr3:uid="{1A933664-BD94-4E4E-8D24-A4318C48D9DB}" name="Shelf_Life_Day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DC2367-3B75-494E-80A2-55EEAA68AA3F}" name="tblCustomer" displayName="tblCustomer" ref="A1:C5" totalsRowShown="0">
  <autoFilter ref="A1:C5" xr:uid="{26DC2367-3B75-494E-80A2-55EEAA68AA3F}"/>
  <tableColumns count="3">
    <tableColumn id="1" xr3:uid="{CE94864C-11AD-4114-8E26-F2C309EEE4C1}" name="Customer_ID"/>
    <tableColumn id="2" xr3:uid="{4A6A82FC-2D8A-426F-9606-1384641E9725}" name="Customer_Name"/>
    <tableColumn id="3" xr3:uid="{F93427B0-B5DD-4734-B92A-25D32D524BAD}" name="Chann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E1F303-02C9-4592-BF5F-B2E0404D4315}" name="tblProductionLines" displayName="tblProductionLines" ref="A1:E4" totalsRowShown="0">
  <autoFilter ref="A1:E4" xr:uid="{5EE1F303-02C9-4592-BF5F-B2E0404D4315}"/>
  <tableColumns count="5">
    <tableColumn id="1" xr3:uid="{88B4DB69-C513-4DB9-9F93-18920BB4AF30}" name="Line_ID"/>
    <tableColumn id="2" xr3:uid="{E475A60A-8FCB-40D0-9754-CAEADEE3966E}" name="Line_Name"/>
    <tableColumn id="3" xr3:uid="{5D94CD80-8185-4701-8920-840A502B8501}" name="Packs_Per_Hour"/>
    <tableColumn id="4" xr3:uid="{2EA1E221-520B-4EF5-A0E6-DC993D73681E}" name="Available_Hours_Week"/>
    <tableColumn id="5" xr3:uid="{97D22212-3E96-413C-BDD4-8CB5C8A0AAD2}" name="Max_Weekly_Capacit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C2B849C-5864-4FEB-A61D-B4EC5DB049B8}" name="Table32" displayName="Table32" ref="A1:B6" totalsRowShown="0" headerRowDxfId="63" tableBorderDxfId="62">
  <autoFilter ref="A1:B6" xr:uid="{9C2B849C-5864-4FEB-A61D-B4EC5DB049B8}"/>
  <tableColumns count="2">
    <tableColumn id="1" xr3:uid="{C3488AEB-3030-47D5-B4EC-DD7FFC9A887F}" name="Product_ID"/>
    <tableColumn id="2" xr3:uid="{65DF1960-136B-4BDF-BA8A-DBA3DB467862}" name="Line_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4B5AD78-0F21-4712-A00E-564F8A4183CF}" name="Table23" displayName="Table23" ref="A1:D9" totalsRowShown="0" dataDxfId="61" tableBorderDxfId="60">
  <autoFilter ref="A1:D9" xr:uid="{84B5AD78-0F21-4712-A00E-564F8A4183CF}"/>
  <tableColumns count="4">
    <tableColumn id="1" xr3:uid="{ACE76E0B-BFC1-4E21-940B-317D567BE2D3}" name="Material_ID" dataDxfId="59"/>
    <tableColumn id="2" xr3:uid="{828EFED9-96D0-4093-855A-70EDBBC83677}" name="Material_Name" dataDxfId="58"/>
    <tableColumn id="3" xr3:uid="{20938ADC-4AD3-46C5-B039-ED2961EFEEB9}" name="Material_Type" dataDxfId="57"/>
    <tableColumn id="4" xr3:uid="{EDB481E9-2AFB-4324-BD07-BF19E5EB7A0A}" name="Unit_of_Measure" dataDxfId="56"/>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1D610C-96AE-40E6-97A1-86D3FA3A2DFF}" name="tblBOM" displayName="tblBOM" ref="A1:C21" totalsRowShown="0">
  <autoFilter ref="A1:C21" xr:uid="{021D610C-96AE-40E6-97A1-86D3FA3A2DFF}"/>
  <tableColumns count="3">
    <tableColumn id="1" xr3:uid="{880866B4-C20C-41FC-8F97-7DA059CAB681}" name="Product_ID"/>
    <tableColumn id="2" xr3:uid="{CE8F411C-F8DE-4A29-9DB8-B8E5F7AF96A6}" name="Material_ID"/>
    <tableColumn id="3" xr3:uid="{578FAA71-E5AB-48F5-A1F9-B7CDDE8FE7D9}" name="Qty_Per_Pac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AE2839-800F-4AB7-B9D8-D7D6C74564B5}" name="tblForecast" displayName="tblForecast" ref="A1:D6" totalsRowShown="0">
  <autoFilter ref="A1:D6" xr:uid="{C3AE2839-800F-4AB7-B9D8-D7D6C74564B5}"/>
  <tableColumns count="4">
    <tableColumn id="1" xr3:uid="{AC02A1AC-9B23-44E9-B636-B32DBEBCAAF8}" name="Week_Start" dataDxfId="55"/>
    <tableColumn id="2" xr3:uid="{1BC4959C-D30F-4022-B43C-9EA395115D02}" name="Customer_ID"/>
    <tableColumn id="3" xr3:uid="{E708F41D-2499-4D64-8525-7EB106B83E61}" name="Product_ID"/>
    <tableColumn id="4" xr3:uid="{93471D67-9840-489C-A83A-6A942811AE47}" name="Forecast_Q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56379B-F7DD-4F64-BBCA-1C53563A0CD3}" name="tblOrders" displayName="tblOrders" ref="A1:D6" totalsRowShown="0">
  <autoFilter ref="A1:D6" xr:uid="{9556379B-F7DD-4F64-BBCA-1C53563A0CD3}"/>
  <tableColumns count="4">
    <tableColumn id="1" xr3:uid="{3B904CC9-4B82-4FF9-B796-807630D5D4BF}" name="Week_Start" dataDxfId="54"/>
    <tableColumn id="2" xr3:uid="{D534327D-107D-4098-ADDC-0B06F446D069}" name="Customer_ID"/>
    <tableColumn id="3" xr3:uid="{38BF1801-EDF6-4FA8-9AF7-31453778061B}" name="Product_ID"/>
    <tableColumn id="4" xr3:uid="{3C7A9B67-4756-456D-AB30-2392D3ABA366}" name="Actual_Order_Qt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3CB9F9-1D97-4538-9808-71FB576D9100}" name="tblInventory" displayName="tblInventory" ref="A1:E6" totalsRowShown="0">
  <autoFilter ref="A1:E6" xr:uid="{683CB9F9-1D97-4538-9808-71FB576D9100}"/>
  <tableColumns count="5">
    <tableColumn id="1" xr3:uid="{D88465D8-A15E-44BE-BD64-F2BC7750D196}" name="Week_Start" dataDxfId="53"/>
    <tableColumn id="2" xr3:uid="{248AA435-97E4-4AD6-BB06-F0769B926FB8}" name="Product_ID"/>
    <tableColumn id="3" xr3:uid="{D25ABBB9-0951-4C05-90B6-91C21BB0B546}" name="Physical_Stock"/>
    <tableColumn id="4" xr3:uid="{2E369CC8-0E5D-495C-9201-474A3636BD04}" name="Allocated_Stock"/>
    <tableColumn id="5" xr3:uid="{5C2F0974-E7F5-4059-9465-23AE5F37B11C}" name="Blocked_Stoc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82D5C2-6BC0-4A03-B610-E2EF0947FE56}" name="tblProductionPlan" displayName="tblProductionPlan" ref="A1:C6" totalsRowShown="0">
  <autoFilter ref="A1:C6" xr:uid="{3C82D5C2-6BC0-4A03-B610-E2EF0947FE56}"/>
  <tableColumns count="3">
    <tableColumn id="1" xr3:uid="{9DFB068F-D60D-4A86-8E9D-29B4AFA2AB5F}" name="Week_Start" dataDxfId="52"/>
    <tableColumn id="2" xr3:uid="{53C94897-3BEB-47B0-A09F-91651ED43BDC}" name="Product_ID"/>
    <tableColumn id="3" xr3:uid="{E98D3F18-BA2D-4E43-B60B-DA0D61A6D2A4}" name="Planned_Production_Qty"/>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CDDD26C-A079-43DE-B105-1185F1C7CFB2}" name="tblProductionActuals" displayName="tblProductionActuals" ref="A1:C6" totalsRowShown="0">
  <autoFilter ref="A1:C6" xr:uid="{5CDDD26C-A079-43DE-B105-1185F1C7CFB2}"/>
  <tableColumns count="3">
    <tableColumn id="1" xr3:uid="{9A7CD663-8955-4165-A48B-40D44699BEEA}" name="Week_Start" dataDxfId="51"/>
    <tableColumn id="2" xr3:uid="{24221B67-81D7-403E-942E-DEAA20475FC3}" name="Product_ID"/>
    <tableColumn id="3" xr3:uid="{ACE46E69-4D90-428D-B84E-1B7CD1E45ED1}" name="Actual_Production_Qty"/>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9D3BED-3718-4EB6-9C2D-42030C0E3A6A}" name="tblMaterialInventory" displayName="tblMaterialInventory" ref="A1:C9" totalsRowShown="0">
  <autoFilter ref="A1:C9" xr:uid="{A29D3BED-3718-4EB6-9C2D-42030C0E3A6A}"/>
  <tableColumns count="3">
    <tableColumn id="1" xr3:uid="{00FB5FB9-D1D2-4A93-BF11-FC03F84CB294}" name="Week_Start" dataDxfId="50"/>
    <tableColumn id="2" xr3:uid="{123C7EA6-76E0-4A04-B171-1C47B977DDDC}" name="Material_ID"/>
    <tableColumn id="3" xr3:uid="{8E44F8DF-FF25-4820-A5C4-D46A55BBB902}" name="Available_Qt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8DEFE2-6AB5-4BF8-9963-EB46FE29929F}" name="tblWeeklyCapacity" displayName="tblWeeklyCapacity" ref="A1:E4" totalsRowShown="0">
  <autoFilter ref="A1:E4" xr:uid="{CF8DEFE2-6AB5-4BF8-9963-EB46FE29929F}"/>
  <tableColumns count="5">
    <tableColumn id="1" xr3:uid="{C61CECDD-AA95-4C71-8B26-C9C34BF40031}" name="Week_Start" dataDxfId="49"/>
    <tableColumn id="2" xr3:uid="{D5E89B19-4BBF-44B8-94B5-AFFA976D5CA9}" name="Line_ID"/>
    <tableColumn id="3" xr3:uid="{45C10869-593F-48C5-8E13-EBAAA367C9FC}" name="Scheduled_Hours"/>
    <tableColumn id="4" xr3:uid="{98919294-8110-4528-9625-3EE8CC939DA0}" name="Planned_Downtime_Hours"/>
    <tableColumn id="5" xr3:uid="{727B2CD9-E102-4ABA-B7A6-B582BBCA303F}" name="Available_Hour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2C29CDB-5BAE-4DE7-876B-B45BCE33222A}" name="tblDemandAssumptions" displayName="tblDemandAssumptions" ref="A1:C21" totalsRowShown="0">
  <autoFilter ref="A1:C21" xr:uid="{62C29CDB-5BAE-4DE7-876B-B45BCE33222A}"/>
  <tableColumns count="3">
    <tableColumn id="1" xr3:uid="{1ED74D4A-988B-4375-AA8C-DFCE6B8FD71C}" name="Customer_ID"/>
    <tableColumn id="2" xr3:uid="{0EC4DA40-CBD2-47B6-8747-D9C4AD091425}" name="Product_ID"/>
    <tableColumn id="3" xr3:uid="{8D3380D7-09B9-40F7-A1DB-A056A51708F4}" name="Baseline_Weekly_Qt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F655F34-EF0F-45AD-977E-BE0F2133E0F4}" name="tblScenarios" displayName="tblScenarios" ref="A1:F7" totalsRowShown="0">
  <autoFilter ref="A1:F7" xr:uid="{6F655F34-EF0F-45AD-977E-BE0F2133E0F4}"/>
  <tableColumns count="6">
    <tableColumn id="1" xr3:uid="{49CC205A-B4C1-4320-BD99-04E35003C2DB}" name="Scenario_ID"/>
    <tableColumn id="2" xr3:uid="{9BE60B7B-080E-4941-A2BA-2A84A9DA3C63}" name="Week_Start" dataDxfId="48"/>
    <tableColumn id="3" xr3:uid="{95BE444F-10B5-47A5-8EA0-2D8F92A365E8}" name="Customer_ID"/>
    <tableColumn id="4" xr3:uid="{4DE1D53D-0FD2-424A-ABF9-CA89FD75E4ED}" name="Product_ID"/>
    <tableColumn id="5" xr3:uid="{05EAEA4E-1199-4F37-ABA3-7B38DA4ACA3F}" name="Scenario_Type"/>
    <tableColumn id="6" xr3:uid="{C08134FE-56EF-4635-891A-31C650827CBF}" name="Scenario_Valu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E7AEB39-86C6-4DD5-96D8-F1ADD7C1B4F0}" name="tblWeeks" displayName="tblWeeks" ref="A1:A53" totalsRowShown="0">
  <autoFilter ref="A1:A53" xr:uid="{DE7AEB39-86C6-4DD5-96D8-F1ADD7C1B4F0}"/>
  <tableColumns count="1">
    <tableColumn id="1" xr3:uid="{8D371AA8-0E61-4EF0-A0EE-7A3A8549F982}" name="Week_Start" dataDxfId="47">
      <calculatedColumnFormula>A1+7</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2DB5ADC-8F4C-4B6F-9D31-085D2243F9BD}" name="tblDemandBase" displayName="tblDemandBase" ref="A1:N1041" totalsRowShown="0">
  <autoFilter ref="A1:N1041" xr:uid="{E2DB5ADC-8F4C-4B6F-9D31-085D2243F9BD}"/>
  <tableColumns count="14">
    <tableColumn id="1" xr3:uid="{7540287B-7BC0-4E57-BCEC-7AEB9D8E27FD}" name="Week_Start" dataDxfId="46">
      <calculatedColumnFormula array="1">INDEX(tblWeeks[Week_Start],INT((ROW()-2)/20)+1)</calculatedColumnFormula>
    </tableColumn>
    <tableColumn id="2" xr3:uid="{CA5A5118-A00D-4238-A64F-5BF38A675260}" name="Customer_ID">
      <calculatedColumnFormula array="1">INDEX(tblDemandAssumptions[Customer_ID],MOD(ROW()-2,20)+1)</calculatedColumnFormula>
    </tableColumn>
    <tableColumn id="3" xr3:uid="{9B70E65E-820C-42B0-92AF-186C9D40E0AF}" name="Product_ID">
      <calculatedColumnFormula array="1">INDEX(tblDemandAssumptions[Product_ID],MOD(ROW()-2,20)+1)</calculatedColumnFormula>
    </tableColumn>
    <tableColumn id="4" xr3:uid="{AEA52564-6F29-490C-8B77-14EB1F288FCE}" name="Baseline_Weekly_Qty">
      <calculatedColumnFormula array="1">INDEX(tblDemandAssumptions[Baseline_Weekly_Qty],MOD(ROW()-2,20)+1)</calculatedColumnFormula>
    </tableColumn>
    <tableColumn id="5" xr3:uid="{21A7C7C0-418F-4CAD-B4D9-4EC0CC0AA891}" name="Seasonality_Factor" dataDxfId="45">
      <calculatedColumnFormula>IF(MONTH(A2)&lt;=2,0.95,IF(MONTH(A2)&lt;=4,1,IF(MONTH(A2)&lt;=6,1.05,IF(MONTH(A2)&lt;=8,1.1,IF(MONTH(A2)&lt;=10,1,IF(MONTH(A2)=11,1.05,1.2))))))</calculatedColumnFormula>
    </tableColumn>
    <tableColumn id="6" xr3:uid="{B7191E95-44AE-4F90-B3F8-B7EDB44BBC7A}" name="Natural_Variation_Factor" dataDxfId="44"/>
    <tableColumn id="7" xr3:uid="{0FB9053C-4004-44D2-BE9E-5D7B7B3E1E39}" name="Normal_Demand_Qty" dataDxfId="43">
      <calculatedColumnFormula>ROUND(D2*E2*F2,0)</calculatedColumnFormula>
    </tableColumn>
    <tableColumn id="8" xr3:uid="{AD1B42C6-BB79-4220-A433-1C36E05A3879}" name="Forecast_Factor" dataDxfId="42"/>
    <tableColumn id="9" xr3:uid="{5BE8F698-C118-4FE5-B136-F7685D610D69}" name="Forecast_Qty" dataDxfId="41">
      <calculatedColumnFormula>ROUND(D2*E2*H2,0)</calculatedColumnFormula>
    </tableColumn>
    <tableColumn id="10" xr3:uid="{98D10D49-9FB5-4479-B6E6-EFE4FEC36884}" name="Demand_Scenario" dataDxfId="40">
      <calculatedColumnFormula>IF(AND(A2=DATE(2026,3,16),B2="C001",C2="P001"),"Promotion_Demand_Spike",IF(AND(A2=DATE(2026,6,8),B2="C002",C2="P004"),"Under_Forecast",IF(AND(A2=DATE(2026,7,20),B2="C003",C2="P003"),"Over_Forecast","Normal")))</calculatedColumnFormula>
    </tableColumn>
    <tableColumn id="11" xr3:uid="{DEE1FA57-586D-4931-803A-48E3A7C82B0A}" name="Actual_Order_Qty" dataDxfId="39">
      <calculatedColumnFormula>IF(J2="Promotion_Demand_Spike",ROUND(G2*1.35,0),IF(J2="Under_Forecast",ROUND(I2*1.25,0),IF(J2="Over_Forecast",ROUND(I2*0.72,0),G2)))</calculatedColumnFormula>
    </tableColumn>
    <tableColumn id="12" xr3:uid="{8D74613B-CBBA-4E0E-BB5E-27F1859C6098}" name="Forecast_Error" dataDxfId="38">
      <calculatedColumnFormula>K2-I2</calculatedColumnFormula>
    </tableColumn>
    <tableColumn id="13" xr3:uid="{B7B3579E-4942-4EA1-B2D4-4D80E09542EF}" name="Forecast_Variance_%" dataDxfId="37">
      <calculatedColumnFormula>IF(I2=0,0,L2/I2)</calculatedColumnFormula>
    </tableColumn>
    <tableColumn id="14" xr3:uid="{51ACE65B-720C-474C-99B6-73D9EA4BE368}" name="Absolute_Forecast_Error" dataDxfId="36">
      <calculatedColumnFormula>ABS(L2)</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156DD4-4F43-4169-A1BD-C53D6AAB2A1F}" name="tblWeeklyProductDemand" displayName="tblWeeklyProductDemand" ref="A1:D261" totalsRowShown="0">
  <tableColumns count="4">
    <tableColumn id="1" xr3:uid="{00000000-0010-0000-0100-000001000000}" name="Week_Start"/>
    <tableColumn id="2" xr3:uid="{00000000-0010-0000-0100-000002000000}" name="Product_ID"/>
    <tableColumn id="5" xr3:uid="{82F17765-16D7-49FA-831D-C89D0E9BD92D}" name="Total_Forecast_Qty">
      <calculatedColumnFormula>SUMIFS(Demand_Base!I:I,Demand_Base!A:A,A2,Demand_Base!C:C,B2)</calculatedColumnFormula>
    </tableColumn>
    <tableColumn id="6" xr3:uid="{EB150BD2-838F-4FA3-AFED-F1B9599A36E0}" name="Actual_Order_Qty">
      <calculatedColumnFormula>SUMIFS(Demand_Base!K:K,Demand_Base!A:A,A2,Demand_Base!C:C,B2)</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D090D5C-9E1F-4D42-8C03-BC3A08FF3488}" name="tblWeeklyInventoryFlow" displayName="tblWeeklyInventoryFlow" ref="A1:T261" totalsRowShown="0">
  <autoFilter ref="A1:T261" xr:uid="{CD090D5C-9E1F-4D42-8C03-BC3A08FF3488}"/>
  <tableColumns count="20">
    <tableColumn id="1" xr3:uid="{6CA9D11B-F08F-4E36-A655-F92EEC0766FA}" name="Week_Start" dataDxfId="35">
      <calculatedColumnFormula>Weekly_Product_Demand!A2</calculatedColumnFormula>
    </tableColumn>
    <tableColumn id="2" xr3:uid="{A8DD5FFC-9684-4E23-8404-4C199B293FAA}" name="Product_ID">
      <calculatedColumnFormula>Weekly_Product_Demand!B2</calculatedColumnFormula>
    </tableColumn>
    <tableColumn id="3" xr3:uid="{3E4ACC3D-CE47-47A4-9220-DAF3CF8D3F3D}" name="Opening_Physical_Stock"/>
    <tableColumn id="4" xr3:uid="{923EC8A2-DB67-49BE-81BF-7E1ABBE5B57D}" name="Blocked_Stock"/>
    <tableColumn id="5" xr3:uid="{809097A5-47CE-4965-BA2C-8EF2E25B2205}" name="Usable_Opening_Stock"/>
    <tableColumn id="6" xr3:uid="{AF1C6933-1C04-4B05-AD4B-6ECEFE05EF54}" name="Total_Actual_Order_Qty" dataDxfId="34">
      <calculatedColumnFormula>SUMIFS(Weekly_Product_Demand!$D:$D,Weekly_Product_Demand!$A:$A,A2,Weekly_Product_Demand!$B:$B,B2)</calculatedColumnFormula>
    </tableColumn>
    <tableColumn id="7" xr3:uid="{04F8B52F-D883-4D3B-8695-9EDF1875D0E3}" name="Target_Closing_Stock" dataDxfId="33">
      <calculatedColumnFormula>ROUND(F2/7*2,0)</calculatedColumnFormula>
    </tableColumn>
    <tableColumn id="8" xr3:uid="{30EFDC55-472F-481B-B313-74BEC8DF5AF1}" name="Net_Production_Requirement" dataDxfId="32">
      <calculatedColumnFormula>MAX(0,F2+G2-E2)</calculatedColumnFormula>
    </tableColumn>
    <tableColumn id="9" xr3:uid="{30C65C93-84A2-414D-97D4-98B2F4510B1A}" name="Planned_Production_Qty" dataDxfId="31">
      <calculatedColumnFormula>CEILING(H2,100)</calculatedColumnFormula>
    </tableColumn>
    <tableColumn id="10" xr3:uid="{FD815659-BCB9-41F9-B958-47B42DD6DE6B}" name="Projected_Closing_Stock" dataDxfId="30">
      <calculatedColumnFormula>E2+I2-F2</calculatedColumnFormula>
    </tableColumn>
    <tableColumn id="11" xr3:uid="{382D11A2-8ECB-4809-B9C3-BDC8149E9435}" name="Production_Performance_Factor" dataDxfId="29"/>
    <tableColumn id="12" xr3:uid="{6E3D0A83-280E-4079-9227-B99EBE8C0F37}" name="Actual_Production_Qty" dataDxfId="28">
      <calculatedColumnFormula>ROUND(I2*K2,0)</calculatedColumnFormula>
    </tableColumn>
    <tableColumn id="13" xr3:uid="{BA79089A-A1A0-4010-AE4B-C30000431A28}" name="Stock_Balance_Before_Floor" dataDxfId="27">
      <calculatedColumnFormula>E2+L2-F2</calculatedColumnFormula>
    </tableColumn>
    <tableColumn id="14" xr3:uid="{FA256589-E9FE-40FB-9F1E-82BE6EEF0BFB}" name="Shortage_Qty" dataDxfId="26">
      <calculatedColumnFormula>MAX(0,-M2)</calculatedColumnFormula>
    </tableColumn>
    <tableColumn id="15" xr3:uid="{E551EC94-8894-49B5-A423-55174ACB6937}" name="Actual_Closing_Stock" dataDxfId="25">
      <calculatedColumnFormula>MAX(0,M2)</calculatedColumnFormula>
    </tableColumn>
    <tableColumn id="16" xr3:uid="{06376B3E-4D96-4BE6-B0BB-C741C709A736}" name="Production_Variance" dataDxfId="24">
      <calculatedColumnFormula>L2-I2</calculatedColumnFormula>
    </tableColumn>
    <tableColumn id="17" xr3:uid="{5C9527CC-A69C-41A0-8742-086430D4FFC5}" name="Production_Attainment_%" dataDxfId="23">
      <calculatedColumnFormula>IF(I2=0,0,L2/I2)</calculatedColumnFormula>
    </tableColumn>
    <tableColumn id="18" xr3:uid="{4984F565-BCE0-4082-801C-5F76385D30DA}" name="Line_ID" dataDxfId="22">
      <calculatedColumnFormula>_xlfn.XLOOKUP(B2,Product_Line_Map!$A$2:$A$6,Product_Line_Map!$B$2:$B$6,"")</calculatedColumnFormula>
    </tableColumn>
    <tableColumn id="19" xr3:uid="{CC6718D6-726C-479C-A4D6-2FE3451BD9ED}" name="Stock_Cover_Days" dataDxfId="21">
      <calculatedColumnFormula>IF(F2=0,0,O2/(F2/7))</calculatedColumnFormula>
    </tableColumn>
    <tableColumn id="20" xr3:uid="{0E10FB9D-9C0E-49E0-A87B-6008643A2157}" name="Inventory_Risk_Status" dataDxfId="20">
      <calculatedColumnFormula>IF(N2&gt;0,"STOCKOUT",IF(S2&lt;1,"CRITICAL LOW COVER",IF(S2&lt;2,"LOW COVER","OK")))</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C7D75AE-A652-4B16-9D0A-D77872289675}" name="tblWeeklyMaterialRequirements" displayName="tblWeeklyMaterialRequirements" ref="A1:F1041" totalsRowShown="0">
  <autoFilter ref="A1:F1041" xr:uid="{1C7D75AE-A652-4B16-9D0A-D77872289675}"/>
  <tableColumns count="6">
    <tableColumn id="1" xr3:uid="{031A891D-5E59-4976-98EB-21118CF1C200}" name="Week_Start" dataDxfId="19">
      <calculatedColumnFormula array="1">INDEX(Weekly_Inventory_Flow!$A$2:$A$261,INT((ROW()-2)/4)+1)</calculatedColumnFormula>
    </tableColumn>
    <tableColumn id="2" xr3:uid="{B6AD3E59-B270-4CD3-8976-F6CE8D63EF21}" name="Product_ID">
      <calculatedColumnFormula array="1">INDEX(Weekly_Inventory_Flow!$B$2:$B$261,INT((ROW()-2)/4)+1)</calculatedColumnFormula>
    </tableColumn>
    <tableColumn id="3" xr3:uid="{BAED6C10-2292-40B3-8A3E-D821677BB3BF}" name="Material_ID">
      <calculatedColumnFormula array="1">INDEX(BOM!$B$2:$B$21,MATCH(B2,BOM!$A$2:$A$21,0)+MOD(ROW()-2,4))</calculatedColumnFormula>
    </tableColumn>
    <tableColumn id="4" xr3:uid="{E522714F-DA0C-4DEE-8B02-01F8EC6E3107}" name="Planned_Production_Qty">
      <calculatedColumnFormula array="1">INDEX(Weekly_Inventory_Flow!$I$2:$I$261,INT((ROW()-2)/4)+1)</calculatedColumnFormula>
    </tableColumn>
    <tableColumn id="5" xr3:uid="{1A742F0E-8280-406B-9238-F6B838583E19}" name="Qty_Per_Pack">
      <calculatedColumnFormula array="1">INDEX(BOM!$C$2:$C$21,MATCH(B2,BOM!$A$2:$A$21,0)+MOD(ROW()-2,4))</calculatedColumnFormula>
    </tableColumn>
    <tableColumn id="6" xr3:uid="{D785D4F3-7B65-4520-A2FC-5BFF26B84414}" name="Material_Required_Qty">
      <calculatedColumnFormula>D2*E2</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7475370-7A86-45FA-8AC2-30DA0FB1E700}" name="tblWeeklyMaterialSummary" displayName="tblWeeklyMaterialSummary" ref="A1:C417" totalsRowShown="0">
  <autoFilter ref="A1:C417" xr:uid="{A7475370-7A86-45FA-8AC2-30DA0FB1E700}"/>
  <tableColumns count="3">
    <tableColumn id="1" xr3:uid="{997137CE-6751-4567-823F-A66FF4544DBE}" name="Week_Start" dataDxfId="18">
      <calculatedColumnFormula array="1">INDEX(Calendar_Weeks!$A$2:$A$53,INT((ROW()-2)/8)+1)</calculatedColumnFormula>
    </tableColumn>
    <tableColumn id="2" xr3:uid="{F056F50A-3057-4BBC-BA73-2FDAF03EA9D8}" name="Material_ID">
      <calculatedColumnFormula array="1">INDEX(Material_Master!$A$2:$A$9,MOD(ROW()-2,8)+1)</calculatedColumnFormula>
    </tableColumn>
    <tableColumn id="3" xr3:uid="{939787BB-A7B5-444A-BF61-ABFBF37367FB}" name="Total_Material_Required_Qty">
      <calculatedColumnFormula>SUMIFS(Weekly_Material_Requirements!$F:$F,Weekly_Material_Requirements!$A:$A,A2,Weekly_Material_Requirements!$C:$C,B2)</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02E5E07-F764-42B9-9D76-81AAE4AD27CE}" name="tblWeeklyMaterialInventory" displayName="tblWeeklyMaterialInventory" ref="A1:L417" totalsRowShown="0">
  <autoFilter ref="A1:L417" xr:uid="{302E5E07-F764-42B9-9D76-81AAE4AD27CE}"/>
  <tableColumns count="12">
    <tableColumn id="1" xr3:uid="{E7D82392-0F95-4B9F-87B8-C92C102EE0B5}" name="Week_Start" dataDxfId="17">
      <calculatedColumnFormula>Weekly_Material_Summary!A2</calculatedColumnFormula>
    </tableColumn>
    <tableColumn id="2" xr3:uid="{5B3CF55E-D264-4A25-A7F0-1122E309D2E8}" name="Material_ID">
      <calculatedColumnFormula>Weekly_Material_Summary!B2</calculatedColumnFormula>
    </tableColumn>
    <tableColumn id="3" xr3:uid="{645A5056-6AC9-4979-9E22-567222A01C50}" name="Opening_Material_Stock"/>
    <tableColumn id="4" xr3:uid="{7A6AF6F1-9316-44CE-B513-1199FA184424}" name="Total_Material_Required_Qty">
      <calculatedColumnFormula>Weekly_Material_Summary!C2</calculatedColumnFormula>
    </tableColumn>
    <tableColumn id="5" xr3:uid="{BFA4CBBB-7770-4EF8-9A75-0EE0F463251F}" name="Target_Closing_Material_Stock">
      <calculatedColumnFormula>ROUND(D2*0.25,0)</calculatedColumnFormula>
    </tableColumn>
    <tableColumn id="6" xr3:uid="{8B449203-00D6-4805-B771-84D157474288}" name="Planned_Receipt_Qty">
      <calculatedColumnFormula>MAX(0,ROUND(D2+E2-C2,0))</calculatedColumnFormula>
    </tableColumn>
    <tableColumn id="7" xr3:uid="{9A65D245-CFC3-4DBD-A74A-8526F451478E}" name="Receipt_Performance_Factor"/>
    <tableColumn id="8" xr3:uid="{6A535286-9596-42A7-97CF-BEC0FE4A67F7}" name="Actual_Receipt_Qty">
      <calculatedColumnFormula>ROUND(F2*G2,0)</calculatedColumnFormula>
    </tableColumn>
    <tableColumn id="9" xr3:uid="{4BD193BA-26AE-4FFD-935A-6E028599396D}" name="Available_Material_Qty">
      <calculatedColumnFormula>C2+H2</calculatedColumnFormula>
    </tableColumn>
    <tableColumn id="10" xr3:uid="{1AC6C32C-5191-45EE-B6E8-E2F4034A9749}" name="Material_Balance_Before_Floor">
      <calculatedColumnFormula>I2-D2</calculatedColumnFormula>
    </tableColumn>
    <tableColumn id="11" xr3:uid="{3F22B32E-C3BF-48FE-B5B4-EBB4A6D057EE}" name="Material_Shortage_Qty">
      <calculatedColumnFormula>MAX(0,-J2)</calculatedColumnFormula>
    </tableColumn>
    <tableColumn id="12" xr3:uid="{00E4B867-0E64-43AE-8E2C-D04551B60E3C}" name="Closing_Material_Stock">
      <calculatedColumnFormula>MAX(0,J2)</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625DE45-7C73-4086-A1B0-79378CE2D77D}" name="tblWeeklyLineCapacity" displayName="tblWeeklyLineCapacity" ref="A1:L157" totalsRowShown="0">
  <autoFilter ref="A1:L157" xr:uid="{1625DE45-7C73-4086-A1B0-79378CE2D77D}"/>
  <tableColumns count="12">
    <tableColumn id="1" xr3:uid="{36A2889D-0B50-4DB5-B28E-A27172B306DA}" name="Week_Start" dataDxfId="16">
      <calculatedColumnFormula array="1">INDEX(Calendar_Weeks!$A$2:$A$53,INT((ROW()-2)/3)+1)</calculatedColumnFormula>
    </tableColumn>
    <tableColumn id="2" xr3:uid="{4FD7D362-013B-4B95-9F7D-0533016E74E1}" name="Line_ID">
      <calculatedColumnFormula array="1">INDEX(Production_Line_Master!$A$2:$A$4,MOD(ROW()-2,3)+1)</calculatedColumnFormula>
    </tableColumn>
    <tableColumn id="3" xr3:uid="{5D942534-137B-4740-905B-D58E76B45E71}" name="Planned_Production_Qty">
      <calculatedColumnFormula>SUMIFS(Weekly_Inventory_Flow!$I:$I,Weekly_Inventory_Flow!$A:$A,A2,Weekly_Inventory_Flow!$R:$R,B2)</calculatedColumnFormula>
    </tableColumn>
    <tableColumn id="4" xr3:uid="{9D76F5C0-6B89-4509-8F90-00B5546B6163}" name="Packs_Per_Hour">
      <calculatedColumnFormula>_xlfn.XLOOKUP(B2,Production_Line_Master!$A$2:$A$4,Production_Line_Master!$C$2:$C$4)</calculatedColumnFormula>
    </tableColumn>
    <tableColumn id="5" xr3:uid="{496AF7AE-A535-4900-A4A4-5EF770F57424}" name="Required_Hours">
      <calculatedColumnFormula>C2/D2</calculatedColumnFormula>
    </tableColumn>
    <tableColumn id="6" xr3:uid="{7E8E228D-DC96-4FCD-A332-0206D60AF620}" name="Baseline_Available_Hours">
      <calculatedColumnFormula>_xlfn.XLOOKUP(B2,Weekly_Capacity!$B$2:$B$4,Weekly_Capacity!$E$2:$E$4)</calculatedColumnFormula>
    </tableColumn>
    <tableColumn id="7" xr3:uid="{E08BE3DE-5185-456A-BF79-DFDD6EA2B59A}" name="Capacity_Reduction_%">
      <calculatedColumnFormula>IF(AND(A2=DATE(2026,11,2),B2="L02"),0.7,0)</calculatedColumnFormula>
    </tableColumn>
    <tableColumn id="8" xr3:uid="{3C4D67AE-1983-4216-9E08-E8F0601056FD}" name="Effective_Available_Hours">
      <calculatedColumnFormula>F2*(1-G2)</calculatedColumnFormula>
    </tableColumn>
    <tableColumn id="9" xr3:uid="{0E1FDE59-DAB6-4C00-917A-980BE8D50336}" name="Effective_Capacity_Packs">
      <calculatedColumnFormula>H2*D2</calculatedColumnFormula>
    </tableColumn>
    <tableColumn id="10" xr3:uid="{180D2246-864F-40E2-80D7-12E46159E964}" name="Capacity_Utilisation_%">
      <calculatedColumnFormula>IF(H2=0,0,E2/H2)</calculatedColumnFormula>
    </tableColumn>
    <tableColumn id="11" xr3:uid="{07FB1D9A-F014-453E-AFB8-5F2AEB76C074}" name="Capacity_Gap_Packs">
      <calculatedColumnFormula>MAX(0,C2-I2)</calculatedColumnFormula>
    </tableColumn>
    <tableColumn id="12" xr3:uid="{27E71C40-06D0-410D-A78A-1F9882F04152}" name="Capacity_Status">
      <calculatedColumnFormula>IF(K2&gt;0,"OVER CAPACITY",IF(J2&gt;=0.85,"HIGH UTILISATION","WITHIN CAPACITY"))</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F1E1636-3B3F-4405-AE55-76C9CA0A57BA}" name="Table30" displayName="Table30" ref="A1:C12" totalsRowShown="0">
  <autoFilter ref="A1:C12" xr:uid="{2F1E1636-3B3F-4405-AE55-76C9CA0A57BA}"/>
  <tableColumns count="3">
    <tableColumn id="1" xr3:uid="{1137A543-918A-4D55-B034-42D24041A3A1}" name="Validation_Check"/>
    <tableColumn id="2" xr3:uid="{7D0A3EEE-29E6-4F1B-A598-15E48DE7A9B3}" name="Result"/>
    <tableColumn id="3" xr3:uid="{B35B0CE3-33FA-414F-A616-53A6235DAF4D}" name="Expected"/>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42B796E-25E0-44CC-BAC9-E448B104313A}" name="Table22" displayName="Table22" ref="A1:C14" totalsRowShown="0" headerRowDxfId="0" headerRowBorderDxfId="5" tableBorderDxfId="6" totalsRowBorderDxfId="4">
  <autoFilter ref="A1:C14" xr:uid="{742B796E-25E0-44CC-BAC9-E448B104313A}"/>
  <tableColumns count="3">
    <tableColumn id="1" xr3:uid="{AF598B7D-6101-43D1-91C5-70B38FDBBF7C}" name="KPI" dataDxfId="3"/>
    <tableColumn id="2" xr3:uid="{B477A562-157A-4DFB-A49E-C129A906B6FB}" name="Value" dataDxfId="2"/>
    <tableColumn id="3" xr3:uid="{E6032AB3-0810-47C0-B3EE-5C757154B593}" name="Business Meaning" dataDxfId="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56E910-2DE0-47CE-A24C-1BC39B82D489}" name="Table21" displayName="Table21" ref="A1:J6" totalsRowShown="0">
  <autoFilter ref="A1:J6" xr:uid="{0D56E910-2DE0-47CE-A24C-1BC39B82D489}"/>
  <tableColumns count="10">
    <tableColumn id="1" xr3:uid="{2F82FA98-542E-4D61-AEA2-1D976B2D7814}" name="Product_ID">
      <calculatedColumnFormula>Product_Master!A2</calculatedColumnFormula>
    </tableColumn>
    <tableColumn id="2" xr3:uid="{E7032125-322D-49A2-87A8-42FE8712E641}" name="Total_Forecast_Qty">
      <calculatedColumnFormula>SUMIFS(Demand_Base!$I:$I,Demand_Base!$C:$C,$A2)</calculatedColumnFormula>
    </tableColumn>
    <tableColumn id="3" xr3:uid="{4509140B-ABD5-4D65-A0CF-CA1ACE8A4AEE}" name="Total_Actual_Order_Qty">
      <calculatedColumnFormula>SUMIFS(Demand_Base!$K:$K,Demand_Base!$C:$C,$A2)</calculatedColumnFormula>
    </tableColumn>
    <tableColumn id="4" xr3:uid="{619472D2-99A9-40CE-A7F4-51B2952FB1CD}" name="Forecast_Bias_%">
      <calculatedColumnFormula>IF(B2=0,0,(C2-B2)/B2)</calculatedColumnFormula>
    </tableColumn>
    <tableColumn id="5" xr3:uid="{7B30E278-C649-4FA3-951F-8A0BC1DDE862}" name="WAPE_%">
      <calculatedColumnFormula>IF(C2=0,0,SUMIFS(Demand_Base!$N:$N,Demand_Base!$C:$C,$A2)/C2)</calculatedColumnFormula>
    </tableColumn>
    <tableColumn id="6" xr3:uid="{EC55D009-92D7-4D8A-85BF-A6EE1F7980B6}" name="Forecast_Accuracy_%">
      <calculatedColumnFormula>MAX(0,1-E2)</calculatedColumnFormula>
    </tableColumn>
    <tableColumn id="7" xr3:uid="{43816E7E-DD73-43AC-8EAB-3ADCB922E052}" name="Production_Attainment_%">
      <calculatedColumnFormula>IF(SUMIFS(Weekly_Inventory_Flow!$I:$I,Weekly_Inventory_Flow!$B:$B,$A2)=0,0,
SUMIFS(Weekly_Inventory_Flow!$L:$L,Weekly_Inventory_Flow!$B:$B,$A2)/
SUMIFS(Weekly_Inventory_Flow!$I:$I,Weekly_Inventory_Flow!$B:$B,$A2))</calculatedColumnFormula>
    </tableColumn>
    <tableColumn id="8" xr3:uid="{71041B12-B970-4641-90A0-2B331BE216BF}" name="Avg_Stock_Cover_Days">
      <calculatedColumnFormula>AVERAGEIFS(Weekly_Inventory_Flow!$S:$S,Weekly_Inventory_Flow!$B:$B,$A2)</calculatedColumnFormula>
    </tableColumn>
    <tableColumn id="9" xr3:uid="{3126C84E-E675-419A-B819-419371B157D0}" name="Low_Inventory_Events">
      <calculatedColumnFormula>COUNTIFS(Weekly_Inventory_Flow!$B:$B,$A2,Weekly_Inventory_Flow!$T:$T,"&lt;&gt;OK")</calculatedColumnFormula>
    </tableColumn>
    <tableColumn id="10" xr3:uid="{3DB8688C-A7FE-4314-B149-05072FB98801}" name="FG_Shortage_Events">
      <calculatedColumnFormula>COUNTIFS(Weekly_Inventory_Flow!$B:$B,$A2,Weekly_Inventory_Flow!$N:$N,"&gt;0")</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33F521-83C6-40F6-9ADA-3AEE1D77A893}" name="Table20" displayName="Table20" ref="A1:H4" totalsRowShown="0">
  <autoFilter ref="A1:H4" xr:uid="{DD33F521-83C6-40F6-9ADA-3AEE1D77A893}"/>
  <tableColumns count="8">
    <tableColumn id="1" xr3:uid="{94DBFDC0-52DD-4E7A-89A5-2BC788F2A7A1}" name="Line_ID">
      <calculatedColumnFormula>Production_Line_Master!A2</calculatedColumnFormula>
    </tableColumn>
    <tableColumn id="2" xr3:uid="{EEA34044-B626-4FAA-89FC-D2C65456403A}" name="Total_Planned_Production">
      <calculatedColumnFormula>SUMIFS(Weekly_Line_Capacity!$C:$C,Weekly_Line_Capacity!$B:$B,$A2)</calculatedColumnFormula>
    </tableColumn>
    <tableColumn id="3" xr3:uid="{D363B95C-6E29-49C7-BA30-048E7E700B5A}" name="Total_Required_Hours">
      <calculatedColumnFormula>SUMIFS(Weekly_Line_Capacity!$E:$E,Weekly_Line_Capacity!$B:$B,$A2)</calculatedColumnFormula>
    </tableColumn>
    <tableColumn id="4" xr3:uid="{526C9D6D-D0DC-4550-A27F-C3D31916BBEF}" name="Total_Available_Hours">
      <calculatedColumnFormula>SUMIFS(Weekly_Line_Capacity!$H:$H,Weekly_Line_Capacity!$B:$B,$A2)</calculatedColumnFormula>
    </tableColumn>
    <tableColumn id="5" xr3:uid="{700043BB-CCD5-4991-ACF1-1D610FAD5239}" name="Weighted_Capacity_Utilisation_%">
      <calculatedColumnFormula>IF(D2=0,0,C2/D2)</calculatedColumnFormula>
    </tableColumn>
    <tableColumn id="6" xr3:uid="{F3309EF1-A56B-432C-A0E5-5C81772BB421}" name="Over_Capacity_Weeks">
      <calculatedColumnFormula>COUNTIFS(Weekly_Line_Capacity!$B:$B,$A2,Weekly_Line_Capacity!$L:$L,"OVER CAPACITY")</calculatedColumnFormula>
    </tableColumn>
    <tableColumn id="7" xr3:uid="{AC725861-454D-4F3E-9CCA-C6B1CE9E05C7}" name="Total_Capacity_Gap_Packs">
      <calculatedColumnFormula>SUMIFS(Weekly_Line_Capacity!$K:$K,Weekly_Line_Capacity!$B:$B,$A2)</calculatedColumnFormula>
    </tableColumn>
    <tableColumn id="8" xr3:uid="{B2440128-79D2-49B7-A186-EFBC251C87C2}" name="Avg_Capacity_Utilisation_%">
      <calculatedColumnFormula>AVERAGEIFS(Weekly_Line_Capacity!$J:$J,Weekly_Line_Capacity!$B:$B,$A2)</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D21BDC5-243B-4D82-BEAE-6C224F0950CB}" name="Table18" displayName="Table18" ref="A1:H9" totalsRowShown="0">
  <autoFilter ref="A1:H9" xr:uid="{2D21BDC5-243B-4D82-BEAE-6C224F0950CB}"/>
  <tableColumns count="8">
    <tableColumn id="1" xr3:uid="{FF52AF62-3416-4ECB-933D-F267D05865EE}" name="Material_ID">
      <calculatedColumnFormula>Material_Master!A2</calculatedColumnFormula>
    </tableColumn>
    <tableColumn id="2" xr3:uid="{81E18C00-9B4A-4E86-B918-59B2C40D2F42}" name="Total_Required_Qty">
      <calculatedColumnFormula>SUMIFS(Weekly_Material_Inventory!$D:$D,Weekly_Material_Inventory!$B:$B,$A2)</calculatedColumnFormula>
    </tableColumn>
    <tableColumn id="3" xr3:uid="{F8DCD1E9-1451-4740-9C59-4667A37A63B2}" name="Total_Planned_Receipt_Qty">
      <calculatedColumnFormula>SUMIFS(Weekly_Material_Inventory!$F:$F,Weekly_Material_Inventory!$B:$B,$A2)</calculatedColumnFormula>
    </tableColumn>
    <tableColumn id="4" xr3:uid="{7F3D7205-EFB5-4E38-84FA-17F5618CAB99}" name="Total_Actual_Receipt_Qty">
      <calculatedColumnFormula>SUMIFS(Weekly_Material_Inventory!$H:$H,Weekly_Material_Inventory!$B:$B,$A2)</calculatedColumnFormula>
    </tableColumn>
    <tableColumn id="5" xr3:uid="{EE00CC0E-9A25-41E7-9E53-35176D8F1909}" name="Receipt_Attainment_%">
      <calculatedColumnFormula>IF(C2=0,0,D2/C2)</calculatedColumnFormula>
    </tableColumn>
    <tableColumn id="6" xr3:uid="{9DA458CE-6668-40EB-BBCB-C0609E997758}" name="Material_Shortage_Events">
      <calculatedColumnFormula>COUNTIFS(Weekly_Material_Inventory!$B:$B,$A2,Weekly_Material_Inventory!$K:$K,"&gt;0")</calculatedColumnFormula>
    </tableColumn>
    <tableColumn id="7" xr3:uid="{64B62B8B-AB33-4DB7-9CF3-2E57DE12E84A}" name="Total_Shortage_Qty">
      <calculatedColumnFormula>SUMIFS(Weekly_Material_Inventory!$K:$K,Weekly_Material_Inventory!$B:$B,$A2)</calculatedColumnFormula>
    </tableColumn>
    <tableColumn id="8" xr3:uid="{50922430-46C6-40F6-BAC3-FC57EC6EB21A}" name="Avg_Closing_Stock">
      <calculatedColumnFormula>AVERAGEIFS(Weekly_Material_Inventory!$L:$L,Weekly_Material_Inventory!$B:$B,$A2)</calculatedColumnFormula>
    </tableColum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B5EE23-1529-41F0-88BF-36607B83BEC8}" name="Table6" displayName="Table6" ref="A1:C8" totalsRowShown="0">
  <autoFilter ref="A1:C8" xr:uid="{1BB5EE23-1529-41F0-88BF-36607B83BEC8}"/>
  <tableColumns count="3">
    <tableColumn id="1" xr3:uid="{EB3C24DC-F29B-4B1E-9F30-F57741C97738}" name="Analysis"/>
    <tableColumn id="2" xr3:uid="{A9D69651-234D-47D3-9A83-F504EC816637}" name="Key Driver"/>
    <tableColumn id="3" xr3:uid="{92196A4E-9F85-4D24-BB63-F5C0E1B947B7}" name="Valu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0181F1C-BE06-4CEE-BD42-82781CA49157}" name="tblExceptionEngine" displayName="tblExceptionEngine" ref="A1:R261" totalsRowShown="0" headerRowDxfId="77" tableBorderDxfId="76">
  <autoFilter ref="A1:R261" xr:uid="{70181F1C-BE06-4CEE-BD42-82781CA49157}"/>
  <tableColumns count="18">
    <tableColumn id="1" xr3:uid="{BCF69590-BDAE-4D20-A54F-63425A94A616}" name="Week_Start" dataDxfId="75">
      <calculatedColumnFormula>Weekly_Inventory_Flow!A2</calculatedColumnFormula>
    </tableColumn>
    <tableColumn id="2" xr3:uid="{B0BEC397-89C4-468E-92A1-730694703EC8}" name="Product_ID" dataDxfId="74">
      <calculatedColumnFormula>Weekly_Inventory_Flow!B2</calculatedColumnFormula>
    </tableColumn>
    <tableColumn id="3" xr3:uid="{5FB56FA0-96DF-4B4B-B2A4-0860F45439DB}" name="Forecast_Variance_%" dataDxfId="73">
      <calculatedColumnFormula>IF(SUMIFS(Weekly_Product_Demand!$C:$C,Weekly_Product_Demand!$A:$A,A2,Weekly_Product_Demand!$B:$B,B2)=0,0,
(SUMIFS(Weekly_Product_Demand!$D:$D,Weekly_Product_Demand!$A:$A,A2,Weekly_Product_Demand!$B:$B,B2)-
SUMIFS(Weekly_Product_Demand!$C:$C,Weekly_Product_Demand!$A:$A,A2,Weekly_Product_Demand!$B:$B,B2))/
SUMIFS(Weekly_Product_Demand!$C:$C,Weekly_Product_Demand!$A:$A,A2,Weekly_Product_Demand!$B:$B,B2))</calculatedColumnFormula>
    </tableColumn>
    <tableColumn id="4" xr3:uid="{13AB5AA3-1D69-4BF0-9F25-A150EBDE4D14}" name="Production_Attainment_%" dataDxfId="72">
      <calculatedColumnFormula>SUMIFS(Weekly_Inventory_Flow!$Q:$Q,Weekly_Inventory_Flow!$A:$A,A2,Weekly_Inventory_Flow!$B:$B,B2)</calculatedColumnFormula>
    </tableColumn>
    <tableColumn id="5" xr3:uid="{90EDEA46-BB04-4289-A22A-A7C665C2E81B}" name="Stock_Cover_Days" dataDxfId="71">
      <calculatedColumnFormula>SUMIFS(Weekly_Inventory_Flow!$S:$S,Weekly_Inventory_Flow!$A:$A,A2,Weekly_Inventory_Flow!$B:$B,B2)</calculatedColumnFormula>
    </tableColumn>
    <tableColumn id="6" xr3:uid="{27FAE611-A9BA-46DC-A9E9-C526190F75CE}" name="FG_Shortage_Qty" dataDxfId="70">
      <calculatedColumnFormula>SUMIFS(Weekly_Inventory_Flow!$N:$N,Weekly_Inventory_Flow!$A:$A,A2,Weekly_Inventory_Flow!$B:$B,B2)</calculatedColumnFormula>
    </tableColumn>
    <tableColumn id="7" xr3:uid="{E43C02A4-6FF2-4057-971E-EA0526908085}" name="Line_ID" dataDxfId="69">
      <calculatedColumnFormula>_xlfn.XLOOKUP(B2,Product_Line_Map!$A$2:$A$6,Product_Line_Map!$B$2:$B$6,"")</calculatedColumnFormula>
    </tableColumn>
    <tableColumn id="8" xr3:uid="{E8F59BAD-C2C9-4D54-94BB-7D335E995513}" name="Capacity_Utilisation_%" dataDxfId="68">
      <calculatedColumnFormula>SUMIFS(Weekly_Line_Capacity!$J:$J,Weekly_Line_Capacity!$A:$A,A2,Weekly_Line_Capacity!$B:$B,G2)</calculatedColumnFormula>
    </tableColumn>
    <tableColumn id="9" xr3:uid="{0AE747AD-A84B-48FF-B073-CE995CA97641}" name="Capacity_Gap_Packs" dataDxfId="67">
      <calculatedColumnFormula>SUMIFS(Weekly_Line_Capacity!$K:$K,Weekly_Line_Capacity!$A:$A,A2,Weekly_Line_Capacity!$B:$B,G2)</calculatedColumnFormula>
    </tableColumn>
    <tableColumn id="10" xr3:uid="{681EDE0A-F246-405F-B831-5C06FF49824C}" name="Capacity_Status" dataDxfId="66">
      <calculatedColumnFormula array="1">_xlfn.XLOOKUP(1,(Weekly_Line_Capacity!$A$2:$A$157=A2)*(Weekly_Line_Capacity!$B$2:$B$157=G2),Weekly_Line_Capacity!$L$2:$L$157,"")</calculatedColumnFormula>
    </tableColumn>
    <tableColumn id="11" xr3:uid="{549849A0-BF8D-4B43-AA9E-85964BA0A392}" name="Primary_Material_ID" dataDxfId="65">
      <calculatedColumnFormula>_xlfn.XLOOKUP(B2,BOM!$A$2:$A$21,BOM!$B$2:$B$21,"")</calculatedColumnFormula>
    </tableColumn>
    <tableColumn id="12" xr3:uid="{FF08591C-4BA5-4B49-9D95-9CF1745F25AA}" name="Material_Shortage_Qty" dataDxfId="64">
      <calculatedColumnFormula>SUMIFS(Weekly_Material_Inventory!$K:$K,Weekly_Material_Inventory!$A:$A,A2,Weekly_Material_Inventory!$B:$B,K2)</calculatedColumnFormula>
    </tableColumn>
    <tableColumn id="13" xr3:uid="{4AB1D581-50D2-4E36-AA5A-DD52B6A6AA61}" name="Exception_Score">
      <calculatedColumnFormula>IF(F2&gt;0,5,0)
+IF(L2&gt;0,5,0)
+IF(J2="OVER CAPACITY",5,IF(H2&gt;=0.85,1,0))
+IF(D2&lt;0.9,3,IF(D2&lt;0.95,2,0))
+IF(E2&lt;1,3,IF(E2&lt;2,1,0))
+IF(ABS(C2)&gt;=0.1,2,IF(ABS(C2)&gt;=0.05,1,0))</calculatedColumnFormula>
    </tableColumn>
    <tableColumn id="14" xr3:uid="{34CF1DB8-22E8-4086-92EB-D42AB83B7A1E}" name="Severity">
      <calculatedColumnFormula>IF(OR(F2&gt;0,L2&gt;0,J2="OVER CAPACITY",M2&gt;=5),"CRITICAL",IF(M2&gt;=1,"WARNING","OK"))</calculatedColumnFormula>
    </tableColumn>
    <tableColumn id="15" xr3:uid="{DFB978AA-DBDE-401F-9EFD-7E5299100A2C}" name="Primary_Exception">
      <calculatedColumnFormula>IF(F2&gt;0,"FINISHED GOODS SHORTAGE",
IF(L2&gt;0,"MATERIAL SHORTAGE",
IF(J2="OVER CAPACITY","CAPACITY CONSTRAINT",
IF(D2&lt;0.9,"SEVERE PRODUCTION SHORTFALL",
IF(E2&lt;1,"CRITICAL LOW STOCK COVER",
IF(D2&lt;0.95,"LOW PRODUCTION ATTAINMENT",
IF(ABS(C2)&gt;=0.1,"HIGH FORECAST VARIANCE",
IF(E2&lt;2,"LOW STOCK COVER",
IF(H2&gt;=0.85,"HIGH CAPACITY UTILISATION",
IF(ABS(C2)&gt;=0.05,"FORECAST VARIANCE","NONE"))))))))))</calculatedColumnFormula>
    </tableColumn>
    <tableColumn id="16" xr3:uid="{7F1570AF-02CC-493C-81A7-82580AA641C2}" name="Root_Cause_Category">
      <calculatedColumnFormula array="1">_xlfn.SWITCH(O2,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calculatedColumnFormula>
    </tableColumn>
    <tableColumn id="17" xr3:uid="{9433BE30-B1ED-403C-89A0-48F47A7D8451}" name="Recommended_Action">
      <calculatedColumnFormula array="1">_xlfn.SWITCH(O2,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calculatedColumnFormula>
    </tableColumn>
    <tableColumn id="18" xr3:uid="{CC722193-4B01-4EB0-B452-523F7FC45CB8}" name="Action_Owner">
      <calculatedColumnFormula array="1">_xlfn.SWITCH(P2,
"Inventory / Service","Operations / Planning",
"Material Supply","Materials / Procurement",
"Capacity","Production / Planning",
"Production Execution","Production",
"Inventory","Operations / Planning",
"Demand Planning","Commercial / Planning",
"None","None",
"Operations")</calculatedColumnFormula>
    </tableColum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794C7F-35C4-49B1-91FA-4FEFD8A1AEDD}" name="Table2" displayName="Table2" ref="A1:B12" totalsRowShown="0">
  <autoFilter ref="A1:B12" xr:uid="{44794C7F-35C4-49B1-91FA-4FEFD8A1AEDD}"/>
  <tableColumns count="2">
    <tableColumn id="1" xr3:uid="{7800D707-7040-4743-8AA2-CDDA77DD1ABC}" name="Metric"/>
    <tableColumn id="2" xr3:uid="{EE3C5F3C-2B10-41AE-B270-CABF00623937}"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bin"/></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4AC0-F8F1-483D-AE50-48CBF81765BF}">
  <dimension ref="A1:E6"/>
  <sheetViews>
    <sheetView workbookViewId="0">
      <selection activeCell="C22" sqref="C22"/>
    </sheetView>
  </sheetViews>
  <sheetFormatPr defaultRowHeight="14.4"/>
  <cols>
    <col min="1" max="1" width="12.33203125" customWidth="1"/>
    <col min="2" max="2" width="23" bestFit="1" customWidth="1"/>
    <col min="3" max="3" width="10.44140625" customWidth="1"/>
    <col min="4" max="4" width="13.109375" customWidth="1"/>
    <col min="5" max="5" width="16.109375" customWidth="1"/>
    <col min="6" max="6" width="10.77734375" bestFit="1" customWidth="1"/>
  </cols>
  <sheetData>
    <row r="1" spans="1:5">
      <c r="A1" t="s">
        <v>24</v>
      </c>
      <c r="B1" t="s">
        <v>25</v>
      </c>
      <c r="C1" t="s">
        <v>18</v>
      </c>
      <c r="D1" t="s">
        <v>26</v>
      </c>
      <c r="E1" t="s">
        <v>27</v>
      </c>
    </row>
    <row r="2" spans="1:5">
      <c r="A2" t="s">
        <v>0</v>
      </c>
      <c r="B2" t="s">
        <v>1</v>
      </c>
      <c r="C2" t="s">
        <v>19</v>
      </c>
      <c r="D2">
        <v>400</v>
      </c>
      <c r="E2">
        <v>12</v>
      </c>
    </row>
    <row r="3" spans="1:5">
      <c r="A3" t="s">
        <v>2</v>
      </c>
      <c r="B3" t="s">
        <v>3</v>
      </c>
      <c r="C3" t="s">
        <v>20</v>
      </c>
      <c r="D3">
        <v>350</v>
      </c>
      <c r="E3">
        <v>10</v>
      </c>
    </row>
    <row r="4" spans="1:5">
      <c r="A4" t="s">
        <v>4</v>
      </c>
      <c r="B4" t="s">
        <v>5</v>
      </c>
      <c r="C4" t="s">
        <v>21</v>
      </c>
      <c r="D4">
        <v>300</v>
      </c>
      <c r="E4">
        <v>14</v>
      </c>
    </row>
    <row r="5" spans="1:5">
      <c r="A5" t="s">
        <v>6</v>
      </c>
      <c r="B5" t="s">
        <v>7</v>
      </c>
      <c r="C5" t="s">
        <v>22</v>
      </c>
      <c r="D5">
        <v>400</v>
      </c>
      <c r="E5">
        <v>9</v>
      </c>
    </row>
    <row r="6" spans="1:5">
      <c r="A6" t="s">
        <v>8</v>
      </c>
      <c r="B6" t="s">
        <v>9</v>
      </c>
      <c r="C6" t="s">
        <v>23</v>
      </c>
      <c r="D6">
        <v>600</v>
      </c>
      <c r="E6">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B877-45A8-423B-B408-65C0132D3A11}">
  <dimension ref="A1:C5"/>
  <sheetViews>
    <sheetView workbookViewId="0">
      <selection activeCell="G17" sqref="G17"/>
    </sheetView>
  </sheetViews>
  <sheetFormatPr defaultRowHeight="14.4"/>
  <cols>
    <col min="1" max="1" width="13.77734375" customWidth="1"/>
    <col min="2" max="2" width="17" customWidth="1"/>
    <col min="3" max="3" width="11.33203125" bestFit="1" customWidth="1"/>
  </cols>
  <sheetData>
    <row r="1" spans="1:3">
      <c r="A1" t="s">
        <v>28</v>
      </c>
      <c r="B1" t="s">
        <v>29</v>
      </c>
      <c r="C1" t="s">
        <v>30</v>
      </c>
    </row>
    <row r="2" spans="1:3">
      <c r="A2" t="s">
        <v>10</v>
      </c>
      <c r="B2" t="s">
        <v>11</v>
      </c>
      <c r="C2" t="s">
        <v>31</v>
      </c>
    </row>
    <row r="3" spans="1:3">
      <c r="A3" t="s">
        <v>12</v>
      </c>
      <c r="B3" t="s">
        <v>13</v>
      </c>
      <c r="C3" t="s">
        <v>31</v>
      </c>
    </row>
    <row r="4" spans="1:3">
      <c r="A4" t="s">
        <v>14</v>
      </c>
      <c r="B4" t="s">
        <v>15</v>
      </c>
      <c r="C4" t="s">
        <v>31</v>
      </c>
    </row>
    <row r="5" spans="1:3">
      <c r="A5" t="s">
        <v>16</v>
      </c>
      <c r="B5" t="s">
        <v>17</v>
      </c>
      <c r="C5"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0813-429E-4C2E-A075-3A667B2EFCE8}">
  <dimension ref="A1:E4"/>
  <sheetViews>
    <sheetView workbookViewId="0">
      <selection activeCell="B3" sqref="B3"/>
    </sheetView>
  </sheetViews>
  <sheetFormatPr defaultRowHeight="14.4"/>
  <cols>
    <col min="1" max="1" width="9.109375" customWidth="1"/>
    <col min="2" max="2" width="12.33203125" customWidth="1"/>
    <col min="3" max="3" width="16.5546875" customWidth="1"/>
    <col min="4" max="4" width="22.21875" customWidth="1"/>
    <col min="5" max="5" width="22" customWidth="1"/>
  </cols>
  <sheetData>
    <row r="1" spans="1:5">
      <c r="A1" t="s">
        <v>32</v>
      </c>
      <c r="B1" t="s">
        <v>33</v>
      </c>
      <c r="C1" t="s">
        <v>34</v>
      </c>
      <c r="D1" t="s">
        <v>35</v>
      </c>
      <c r="E1" t="s">
        <v>36</v>
      </c>
    </row>
    <row r="2" spans="1:5">
      <c r="A2" t="s">
        <v>37</v>
      </c>
      <c r="B2" t="s">
        <v>38</v>
      </c>
      <c r="C2">
        <v>1800</v>
      </c>
      <c r="D2">
        <v>40</v>
      </c>
      <c r="E2">
        <v>72000</v>
      </c>
    </row>
    <row r="3" spans="1:5">
      <c r="A3" t="s">
        <v>39</v>
      </c>
      <c r="B3" t="s">
        <v>40</v>
      </c>
      <c r="C3">
        <v>1500</v>
      </c>
      <c r="D3">
        <v>40</v>
      </c>
      <c r="E3">
        <v>60000</v>
      </c>
    </row>
    <row r="4" spans="1:5">
      <c r="A4" t="s">
        <v>41</v>
      </c>
      <c r="B4" t="s">
        <v>42</v>
      </c>
      <c r="C4">
        <v>1200</v>
      </c>
      <c r="D4">
        <v>35</v>
      </c>
      <c r="E4">
        <v>42000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4C828-313F-4406-9EBA-29522B85AD17}">
  <dimension ref="A1:B6"/>
  <sheetViews>
    <sheetView workbookViewId="0">
      <selection activeCell="B1" sqref="B1"/>
    </sheetView>
  </sheetViews>
  <sheetFormatPr defaultRowHeight="14.4"/>
  <cols>
    <col min="1" max="1" width="12.33203125" customWidth="1"/>
    <col min="2" max="2" width="10.44140625" customWidth="1"/>
  </cols>
  <sheetData>
    <row r="1" spans="1:2">
      <c r="A1" t="s">
        <v>24</v>
      </c>
      <c r="B1" t="s">
        <v>32</v>
      </c>
    </row>
    <row r="2" spans="1:2">
      <c r="A2" t="s">
        <v>0</v>
      </c>
      <c r="B2" t="s">
        <v>37</v>
      </c>
    </row>
    <row r="3" spans="1:2">
      <c r="A3" t="s">
        <v>2</v>
      </c>
      <c r="B3" t="s">
        <v>39</v>
      </c>
    </row>
    <row r="4" spans="1:2">
      <c r="A4" t="s">
        <v>6</v>
      </c>
      <c r="B4" t="s">
        <v>39</v>
      </c>
    </row>
    <row r="5" spans="1:2">
      <c r="A5" t="s">
        <v>4</v>
      </c>
      <c r="B5" t="s">
        <v>41</v>
      </c>
    </row>
    <row r="6" spans="1:2">
      <c r="A6" t="s">
        <v>8</v>
      </c>
      <c r="B6" t="s">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57E7-D362-4EFE-9969-CC5CB819EB93}">
  <dimension ref="A1:D9"/>
  <sheetViews>
    <sheetView workbookViewId="0">
      <selection activeCell="C6" sqref="C6"/>
    </sheetView>
  </sheetViews>
  <sheetFormatPr defaultRowHeight="14.4"/>
  <cols>
    <col min="1" max="1" width="12.6640625" customWidth="1"/>
    <col min="2" max="2" width="18.77734375" bestFit="1" customWidth="1"/>
    <col min="3" max="3" width="15" customWidth="1"/>
    <col min="4" max="4" width="17.5546875" customWidth="1"/>
  </cols>
  <sheetData>
    <row r="1" spans="1:4">
      <c r="A1" t="s">
        <v>43</v>
      </c>
      <c r="B1" t="s">
        <v>44</v>
      </c>
      <c r="C1" t="s">
        <v>45</v>
      </c>
      <c r="D1" t="s">
        <v>46</v>
      </c>
    </row>
    <row r="2" spans="1:4">
      <c r="A2" s="4" t="s">
        <v>47</v>
      </c>
      <c r="B2" s="4" t="s">
        <v>48</v>
      </c>
      <c r="C2" s="4" t="s">
        <v>49</v>
      </c>
      <c r="D2" s="4" t="s">
        <v>50</v>
      </c>
    </row>
    <row r="3" spans="1:4">
      <c r="A3" s="3" t="s">
        <v>51</v>
      </c>
      <c r="B3" s="3" t="s">
        <v>52</v>
      </c>
      <c r="C3" s="3" t="s">
        <v>49</v>
      </c>
      <c r="D3" s="3" t="s">
        <v>50</v>
      </c>
    </row>
    <row r="4" spans="1:4">
      <c r="A4" s="4" t="s">
        <v>53</v>
      </c>
      <c r="B4" s="4" t="s">
        <v>54</v>
      </c>
      <c r="C4" s="4" t="s">
        <v>49</v>
      </c>
      <c r="D4" s="4" t="s">
        <v>50</v>
      </c>
    </row>
    <row r="5" spans="1:4">
      <c r="A5" s="3" t="s">
        <v>55</v>
      </c>
      <c r="B5" s="3" t="s">
        <v>56</v>
      </c>
      <c r="C5" s="3" t="s">
        <v>49</v>
      </c>
      <c r="D5" s="3" t="s">
        <v>50</v>
      </c>
    </row>
    <row r="6" spans="1:4">
      <c r="A6" s="4" t="s">
        <v>57</v>
      </c>
      <c r="B6" s="4" t="s">
        <v>58</v>
      </c>
      <c r="C6" s="4" t="s">
        <v>49</v>
      </c>
      <c r="D6" s="4" t="s">
        <v>50</v>
      </c>
    </row>
    <row r="7" spans="1:4">
      <c r="A7" s="3" t="s">
        <v>59</v>
      </c>
      <c r="B7" s="3" t="s">
        <v>60</v>
      </c>
      <c r="C7" s="3" t="s">
        <v>49</v>
      </c>
      <c r="D7" s="3" t="s">
        <v>50</v>
      </c>
    </row>
    <row r="8" spans="1:4">
      <c r="A8" s="4" t="s">
        <v>61</v>
      </c>
      <c r="B8" s="4" t="s">
        <v>62</v>
      </c>
      <c r="C8" s="4" t="s">
        <v>63</v>
      </c>
      <c r="D8" s="4" t="s">
        <v>64</v>
      </c>
    </row>
    <row r="9" spans="1:4">
      <c r="A9" s="3" t="s">
        <v>65</v>
      </c>
      <c r="B9" s="3" t="s">
        <v>66</v>
      </c>
      <c r="C9" s="3" t="s">
        <v>63</v>
      </c>
      <c r="D9" s="3" t="s">
        <v>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A9D9-4EF5-4671-8A3D-5A209B67F41A}">
  <dimension ref="A1:C21"/>
  <sheetViews>
    <sheetView workbookViewId="0">
      <selection activeCell="B7" sqref="B7"/>
    </sheetView>
  </sheetViews>
  <sheetFormatPr defaultRowHeight="14.4"/>
  <cols>
    <col min="1" max="1" width="12.33203125" customWidth="1"/>
    <col min="2" max="2" width="12.6640625" customWidth="1"/>
    <col min="3" max="3" width="14.6640625" customWidth="1"/>
  </cols>
  <sheetData>
    <row r="1" spans="1:3">
      <c r="A1" t="s">
        <v>24</v>
      </c>
      <c r="B1" t="s">
        <v>43</v>
      </c>
      <c r="C1" t="s">
        <v>67</v>
      </c>
    </row>
    <row r="2" spans="1:3">
      <c r="A2" t="s">
        <v>0</v>
      </c>
      <c r="B2" t="s">
        <v>47</v>
      </c>
      <c r="C2">
        <v>0.35</v>
      </c>
    </row>
    <row r="3" spans="1:3">
      <c r="A3" t="s">
        <v>0</v>
      </c>
      <c r="B3" t="s">
        <v>59</v>
      </c>
      <c r="C3">
        <v>0.01</v>
      </c>
    </row>
    <row r="4" spans="1:3">
      <c r="A4" t="s">
        <v>0</v>
      </c>
      <c r="B4" t="s">
        <v>61</v>
      </c>
      <c r="C4">
        <v>1</v>
      </c>
    </row>
    <row r="5" spans="1:3">
      <c r="A5" t="s">
        <v>0</v>
      </c>
      <c r="B5" t="s">
        <v>65</v>
      </c>
      <c r="C5">
        <v>1</v>
      </c>
    </row>
    <row r="6" spans="1:3">
      <c r="A6" t="s">
        <v>2</v>
      </c>
      <c r="B6" t="s">
        <v>51</v>
      </c>
      <c r="C6">
        <v>0.3</v>
      </c>
    </row>
    <row r="7" spans="1:3">
      <c r="A7" t="s">
        <v>2</v>
      </c>
      <c r="B7" t="s">
        <v>59</v>
      </c>
      <c r="C7">
        <v>8.0000000000000002E-3</v>
      </c>
    </row>
    <row r="8" spans="1:3">
      <c r="A8" t="s">
        <v>2</v>
      </c>
      <c r="B8" t="s">
        <v>61</v>
      </c>
      <c r="C8">
        <v>1</v>
      </c>
    </row>
    <row r="9" spans="1:3">
      <c r="A9" t="s">
        <v>2</v>
      </c>
      <c r="B9" t="s">
        <v>65</v>
      </c>
      <c r="C9">
        <v>1</v>
      </c>
    </row>
    <row r="10" spans="1:3">
      <c r="A10" t="s">
        <v>4</v>
      </c>
      <c r="B10" t="s">
        <v>53</v>
      </c>
      <c r="C10">
        <v>0.25</v>
      </c>
    </row>
    <row r="11" spans="1:3">
      <c r="A11" t="s">
        <v>4</v>
      </c>
      <c r="B11" t="s">
        <v>59</v>
      </c>
      <c r="C11">
        <v>6.0000000000000001E-3</v>
      </c>
    </row>
    <row r="12" spans="1:3">
      <c r="A12" t="s">
        <v>4</v>
      </c>
      <c r="B12" t="s">
        <v>61</v>
      </c>
      <c r="C12">
        <v>1</v>
      </c>
    </row>
    <row r="13" spans="1:3">
      <c r="A13" t="s">
        <v>4</v>
      </c>
      <c r="B13" t="s">
        <v>65</v>
      </c>
      <c r="C13">
        <v>1</v>
      </c>
    </row>
    <row r="14" spans="1:3">
      <c r="A14" t="s">
        <v>6</v>
      </c>
      <c r="B14" t="s">
        <v>55</v>
      </c>
      <c r="C14">
        <v>0.34</v>
      </c>
    </row>
    <row r="15" spans="1:3">
      <c r="A15" t="s">
        <v>6</v>
      </c>
      <c r="B15" t="s">
        <v>59</v>
      </c>
      <c r="C15">
        <v>8.9999999999999993E-3</v>
      </c>
    </row>
    <row r="16" spans="1:3">
      <c r="A16" t="s">
        <v>6</v>
      </c>
      <c r="B16" t="s">
        <v>61</v>
      </c>
      <c r="C16">
        <v>1</v>
      </c>
    </row>
    <row r="17" spans="1:3">
      <c r="A17" t="s">
        <v>6</v>
      </c>
      <c r="B17" t="s">
        <v>65</v>
      </c>
      <c r="C17">
        <v>1</v>
      </c>
    </row>
    <row r="18" spans="1:3">
      <c r="A18" t="s">
        <v>8</v>
      </c>
      <c r="B18" t="s">
        <v>57</v>
      </c>
      <c r="C18">
        <v>0.52</v>
      </c>
    </row>
    <row r="19" spans="1:3">
      <c r="A19" t="s">
        <v>8</v>
      </c>
      <c r="B19" t="s">
        <v>59</v>
      </c>
      <c r="C19">
        <v>1.2E-2</v>
      </c>
    </row>
    <row r="20" spans="1:3">
      <c r="A20" t="s">
        <v>8</v>
      </c>
      <c r="B20" t="s">
        <v>61</v>
      </c>
      <c r="C20">
        <v>1</v>
      </c>
    </row>
    <row r="21" spans="1:3">
      <c r="A21" t="s">
        <v>8</v>
      </c>
      <c r="B21" t="s">
        <v>65</v>
      </c>
      <c r="C21">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E2C9-4265-4C45-BF21-01FEA5AD82D2}">
  <dimension ref="A1:D6"/>
  <sheetViews>
    <sheetView workbookViewId="0">
      <selection activeCell="C3" sqref="C3"/>
    </sheetView>
  </sheetViews>
  <sheetFormatPr defaultRowHeight="14.4"/>
  <cols>
    <col min="1" max="1" width="12.6640625" customWidth="1"/>
    <col min="2" max="2" width="13.77734375" customWidth="1"/>
    <col min="3" max="3" width="12.33203125" customWidth="1"/>
    <col min="4" max="4" width="13.88671875" customWidth="1"/>
  </cols>
  <sheetData>
    <row r="1" spans="1:4">
      <c r="A1" t="s">
        <v>68</v>
      </c>
      <c r="B1" t="s">
        <v>28</v>
      </c>
      <c r="C1" t="s">
        <v>24</v>
      </c>
      <c r="D1" t="s">
        <v>69</v>
      </c>
    </row>
    <row r="2" spans="1:4">
      <c r="A2" s="1">
        <v>46027</v>
      </c>
      <c r="B2" t="s">
        <v>10</v>
      </c>
      <c r="C2" t="s">
        <v>0</v>
      </c>
      <c r="D2">
        <v>5200</v>
      </c>
    </row>
    <row r="3" spans="1:4">
      <c r="A3" s="1">
        <v>46027</v>
      </c>
      <c r="B3" t="s">
        <v>10</v>
      </c>
      <c r="C3" t="s">
        <v>2</v>
      </c>
      <c r="D3">
        <v>4100</v>
      </c>
    </row>
    <row r="4" spans="1:4">
      <c r="A4" s="1">
        <v>46027</v>
      </c>
      <c r="B4" t="s">
        <v>12</v>
      </c>
      <c r="C4" t="s">
        <v>0</v>
      </c>
      <c r="D4">
        <v>3400</v>
      </c>
    </row>
    <row r="5" spans="1:4">
      <c r="A5" s="1">
        <v>46027</v>
      </c>
      <c r="B5" t="s">
        <v>14</v>
      </c>
      <c r="C5" t="s">
        <v>4</v>
      </c>
      <c r="D5">
        <v>2800</v>
      </c>
    </row>
    <row r="6" spans="1:4">
      <c r="A6" s="1">
        <v>46027</v>
      </c>
      <c r="B6" t="s">
        <v>16</v>
      </c>
      <c r="C6" t="s">
        <v>6</v>
      </c>
      <c r="D6">
        <v>2600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1ECB-655A-4DA6-A330-997484ECEF89}">
  <dimension ref="A1:D6"/>
  <sheetViews>
    <sheetView workbookViewId="0">
      <selection activeCell="D8" sqref="D8"/>
    </sheetView>
  </sheetViews>
  <sheetFormatPr defaultRowHeight="14.4"/>
  <cols>
    <col min="1" max="1" width="12.6640625" customWidth="1"/>
    <col min="2" max="2" width="13.77734375" customWidth="1"/>
    <col min="3" max="3" width="12.33203125" customWidth="1"/>
    <col min="4" max="4" width="18" customWidth="1"/>
  </cols>
  <sheetData>
    <row r="1" spans="1:4">
      <c r="A1" t="s">
        <v>68</v>
      </c>
      <c r="B1" t="s">
        <v>28</v>
      </c>
      <c r="C1" t="s">
        <v>24</v>
      </c>
      <c r="D1" t="s">
        <v>70</v>
      </c>
    </row>
    <row r="2" spans="1:4">
      <c r="A2" s="1">
        <v>46027</v>
      </c>
      <c r="B2" t="s">
        <v>10</v>
      </c>
      <c r="C2" t="s">
        <v>0</v>
      </c>
      <c r="D2">
        <v>5600</v>
      </c>
    </row>
    <row r="3" spans="1:4">
      <c r="A3" s="1">
        <v>46027</v>
      </c>
      <c r="B3" t="s">
        <v>10</v>
      </c>
      <c r="C3" t="s">
        <v>2</v>
      </c>
      <c r="D3">
        <v>3900</v>
      </c>
    </row>
    <row r="4" spans="1:4">
      <c r="A4" s="1">
        <v>46027</v>
      </c>
      <c r="B4" t="s">
        <v>12</v>
      </c>
      <c r="C4" t="s">
        <v>0</v>
      </c>
      <c r="D4">
        <v>3600</v>
      </c>
    </row>
    <row r="5" spans="1:4">
      <c r="A5" s="1">
        <v>46027</v>
      </c>
      <c r="B5" t="s">
        <v>14</v>
      </c>
      <c r="C5" t="s">
        <v>4</v>
      </c>
      <c r="D5">
        <v>3100</v>
      </c>
    </row>
    <row r="6" spans="1:4">
      <c r="A6" s="1">
        <v>46027</v>
      </c>
      <c r="B6" t="s">
        <v>16</v>
      </c>
      <c r="C6" t="s">
        <v>6</v>
      </c>
      <c r="D6">
        <v>2500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7482-B4F0-4C68-A20F-0926374CFB5D}">
  <dimension ref="A1:E6"/>
  <sheetViews>
    <sheetView workbookViewId="0">
      <selection activeCell="D14" sqref="D14"/>
    </sheetView>
  </sheetViews>
  <sheetFormatPr defaultRowHeight="14.4"/>
  <cols>
    <col min="1" max="1" width="12.6640625" customWidth="1"/>
    <col min="2" max="2" width="12.33203125" customWidth="1"/>
    <col min="3" max="3" width="15.33203125" customWidth="1"/>
    <col min="4" max="4" width="16.44140625" customWidth="1"/>
    <col min="5" max="5" width="15.21875" customWidth="1"/>
  </cols>
  <sheetData>
    <row r="1" spans="1:5">
      <c r="A1" t="s">
        <v>68</v>
      </c>
      <c r="B1" t="s">
        <v>24</v>
      </c>
      <c r="C1" t="s">
        <v>71</v>
      </c>
      <c r="D1" t="s">
        <v>72</v>
      </c>
      <c r="E1" t="s">
        <v>73</v>
      </c>
    </row>
    <row r="2" spans="1:5">
      <c r="A2" s="1">
        <v>46027</v>
      </c>
      <c r="B2" t="s">
        <v>0</v>
      </c>
      <c r="C2">
        <v>7200</v>
      </c>
      <c r="D2">
        <v>1200</v>
      </c>
      <c r="E2">
        <v>200</v>
      </c>
    </row>
    <row r="3" spans="1:5">
      <c r="A3" s="1">
        <v>46027</v>
      </c>
      <c r="B3" t="s">
        <v>2</v>
      </c>
      <c r="C3">
        <v>6100</v>
      </c>
      <c r="D3">
        <v>900</v>
      </c>
      <c r="E3">
        <v>100</v>
      </c>
    </row>
    <row r="4" spans="1:5">
      <c r="A4" s="1">
        <v>46027</v>
      </c>
      <c r="B4" t="s">
        <v>4</v>
      </c>
      <c r="C4">
        <v>4800</v>
      </c>
      <c r="D4">
        <v>600</v>
      </c>
      <c r="E4">
        <v>0</v>
      </c>
    </row>
    <row r="5" spans="1:5">
      <c r="A5" s="1">
        <v>46027</v>
      </c>
      <c r="B5" t="s">
        <v>6</v>
      </c>
      <c r="C5">
        <v>5200</v>
      </c>
      <c r="D5">
        <v>800</v>
      </c>
      <c r="E5">
        <v>300</v>
      </c>
    </row>
    <row r="6" spans="1:5">
      <c r="A6" s="1">
        <v>46027</v>
      </c>
      <c r="B6" t="s">
        <v>8</v>
      </c>
      <c r="C6">
        <v>3900</v>
      </c>
      <c r="D6">
        <v>500</v>
      </c>
      <c r="E6">
        <v>100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771F-4C29-4EE6-A862-AB692D49EEA0}">
  <dimension ref="A1:C6"/>
  <sheetViews>
    <sheetView workbookViewId="0">
      <selection activeCell="E3" sqref="E3"/>
    </sheetView>
  </sheetViews>
  <sheetFormatPr defaultRowHeight="14.4"/>
  <cols>
    <col min="1" max="1" width="13" bestFit="1" customWidth="1"/>
    <col min="19" max="19" width="12.6640625" customWidth="1"/>
    <col min="20" max="20" width="12.33203125" customWidth="1"/>
    <col min="21" max="21" width="24.109375" customWidth="1"/>
  </cols>
  <sheetData>
    <row r="1" spans="1:3">
      <c r="A1" t="s">
        <v>68</v>
      </c>
      <c r="B1" t="s">
        <v>24</v>
      </c>
      <c r="C1" t="s">
        <v>74</v>
      </c>
    </row>
    <row r="2" spans="1:3">
      <c r="A2" s="1">
        <v>46027</v>
      </c>
      <c r="B2" t="s">
        <v>0</v>
      </c>
      <c r="C2">
        <v>8500</v>
      </c>
    </row>
    <row r="3" spans="1:3">
      <c r="A3" s="1">
        <v>46027</v>
      </c>
      <c r="B3" t="s">
        <v>2</v>
      </c>
      <c r="C3">
        <v>7200</v>
      </c>
    </row>
    <row r="4" spans="1:3">
      <c r="A4" s="1">
        <v>46027</v>
      </c>
      <c r="B4" t="s">
        <v>4</v>
      </c>
      <c r="C4">
        <v>5200</v>
      </c>
    </row>
    <row r="5" spans="1:3">
      <c r="A5" s="1">
        <v>46027</v>
      </c>
      <c r="B5" t="s">
        <v>6</v>
      </c>
      <c r="C5">
        <v>6100</v>
      </c>
    </row>
    <row r="6" spans="1:3">
      <c r="A6" s="1">
        <v>46027</v>
      </c>
      <c r="B6" t="s">
        <v>8</v>
      </c>
      <c r="C6">
        <v>4700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2EBF-08D2-4773-853C-EDC940FEC781}">
  <dimension ref="A1:C6"/>
  <sheetViews>
    <sheetView workbookViewId="0">
      <selection activeCell="C13" sqref="C13"/>
    </sheetView>
  </sheetViews>
  <sheetFormatPr defaultRowHeight="14.4"/>
  <cols>
    <col min="1" max="1" width="12.6640625" customWidth="1"/>
    <col min="2" max="2" width="12.33203125" customWidth="1"/>
    <col min="3" max="3" width="22.5546875" customWidth="1"/>
  </cols>
  <sheetData>
    <row r="1" spans="1:3">
      <c r="A1" t="s">
        <v>68</v>
      </c>
      <c r="B1" t="s">
        <v>24</v>
      </c>
      <c r="C1" t="s">
        <v>75</v>
      </c>
    </row>
    <row r="2" spans="1:3">
      <c r="A2" s="1">
        <v>46027</v>
      </c>
      <c r="B2" t="s">
        <v>0</v>
      </c>
      <c r="C2">
        <v>8300</v>
      </c>
    </row>
    <row r="3" spans="1:3">
      <c r="A3" s="1">
        <v>46027</v>
      </c>
      <c r="B3" t="s">
        <v>2</v>
      </c>
      <c r="C3">
        <v>6800</v>
      </c>
    </row>
    <row r="4" spans="1:3">
      <c r="A4" s="1">
        <v>46027</v>
      </c>
      <c r="B4" t="s">
        <v>4</v>
      </c>
      <c r="C4">
        <v>5100</v>
      </c>
    </row>
    <row r="5" spans="1:3">
      <c r="A5" s="1">
        <v>46027</v>
      </c>
      <c r="B5" t="s">
        <v>6</v>
      </c>
      <c r="C5">
        <v>5700</v>
      </c>
    </row>
    <row r="6" spans="1:3">
      <c r="A6" s="1">
        <v>46027</v>
      </c>
      <c r="B6" t="s">
        <v>8</v>
      </c>
      <c r="C6">
        <v>4600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6954-5F4D-4872-9929-A1F2557F0175}">
  <dimension ref="A1:C9"/>
  <sheetViews>
    <sheetView workbookViewId="0">
      <selection activeCell="C12" sqref="C12"/>
    </sheetView>
  </sheetViews>
  <sheetFormatPr defaultRowHeight="14.4"/>
  <cols>
    <col min="1" max="2" width="12.6640625" customWidth="1"/>
    <col min="3" max="3" width="14.5546875" customWidth="1"/>
  </cols>
  <sheetData>
    <row r="1" spans="1:3">
      <c r="A1" t="s">
        <v>68</v>
      </c>
      <c r="B1" t="s">
        <v>43</v>
      </c>
      <c r="C1" t="s">
        <v>76</v>
      </c>
    </row>
    <row r="2" spans="1:3">
      <c r="A2" s="1">
        <v>46027</v>
      </c>
      <c r="B2" t="s">
        <v>47</v>
      </c>
      <c r="C2">
        <v>4200</v>
      </c>
    </row>
    <row r="3" spans="1:3">
      <c r="A3" s="1">
        <v>46027</v>
      </c>
      <c r="B3" t="s">
        <v>51</v>
      </c>
      <c r="C3">
        <v>3100</v>
      </c>
    </row>
    <row r="4" spans="1:3">
      <c r="A4" s="1">
        <v>46027</v>
      </c>
      <c r="B4" t="s">
        <v>53</v>
      </c>
      <c r="C4">
        <v>1900</v>
      </c>
    </row>
    <row r="5" spans="1:3">
      <c r="A5" s="1">
        <v>46027</v>
      </c>
      <c r="B5" t="s">
        <v>55</v>
      </c>
      <c r="C5">
        <v>2300</v>
      </c>
    </row>
    <row r="6" spans="1:3">
      <c r="A6" s="1">
        <v>46027</v>
      </c>
      <c r="B6" t="s">
        <v>57</v>
      </c>
      <c r="C6">
        <v>2800</v>
      </c>
    </row>
    <row r="7" spans="1:3">
      <c r="A7" s="1">
        <v>46027</v>
      </c>
      <c r="B7" t="s">
        <v>59</v>
      </c>
      <c r="C7">
        <v>420</v>
      </c>
    </row>
    <row r="8" spans="1:3">
      <c r="A8" s="1">
        <v>46027</v>
      </c>
      <c r="B8" t="s">
        <v>61</v>
      </c>
      <c r="C8">
        <v>31000</v>
      </c>
    </row>
    <row r="9" spans="1:3">
      <c r="A9" s="1">
        <v>46027</v>
      </c>
      <c r="B9" t="s">
        <v>65</v>
      </c>
      <c r="C9">
        <v>32000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D6359-B8DC-4EEE-A65E-B59E3926D365}">
  <dimension ref="A1:E4"/>
  <sheetViews>
    <sheetView workbookViewId="0">
      <selection activeCell="E13" sqref="E13"/>
    </sheetView>
  </sheetViews>
  <sheetFormatPr defaultRowHeight="14.4"/>
  <cols>
    <col min="1" max="1" width="12.6640625" customWidth="1"/>
    <col min="2" max="2" width="9.109375" customWidth="1"/>
    <col min="3" max="3" width="17.5546875" customWidth="1"/>
    <col min="4" max="4" width="25.33203125" customWidth="1"/>
    <col min="5" max="5" width="16.44140625" customWidth="1"/>
  </cols>
  <sheetData>
    <row r="1" spans="1:5">
      <c r="A1" t="s">
        <v>68</v>
      </c>
      <c r="B1" t="s">
        <v>32</v>
      </c>
      <c r="C1" t="s">
        <v>77</v>
      </c>
      <c r="D1" t="s">
        <v>78</v>
      </c>
      <c r="E1" t="s">
        <v>79</v>
      </c>
    </row>
    <row r="2" spans="1:5">
      <c r="A2" s="1">
        <v>46027</v>
      </c>
      <c r="B2" t="s">
        <v>37</v>
      </c>
      <c r="C2">
        <v>40</v>
      </c>
      <c r="D2">
        <v>2</v>
      </c>
      <c r="E2">
        <v>38</v>
      </c>
    </row>
    <row r="3" spans="1:5">
      <c r="A3" s="1">
        <v>46027</v>
      </c>
      <c r="B3" t="s">
        <v>39</v>
      </c>
      <c r="C3">
        <v>40</v>
      </c>
      <c r="D3">
        <v>5</v>
      </c>
      <c r="E3">
        <v>35</v>
      </c>
    </row>
    <row r="4" spans="1:5">
      <c r="A4" s="1">
        <v>46027</v>
      </c>
      <c r="B4" t="s">
        <v>41</v>
      </c>
      <c r="C4">
        <v>35</v>
      </c>
      <c r="D4">
        <v>0</v>
      </c>
      <c r="E4">
        <v>35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987F-12A4-4452-BDF0-550F3FEFE4E1}">
  <dimension ref="A1:C21"/>
  <sheetViews>
    <sheetView workbookViewId="0">
      <selection activeCell="E11" sqref="E11"/>
    </sheetView>
  </sheetViews>
  <sheetFormatPr defaultRowHeight="14.4"/>
  <cols>
    <col min="1" max="1" width="13.77734375" customWidth="1"/>
    <col min="2" max="2" width="12.33203125" customWidth="1"/>
    <col min="3" max="3" width="21" customWidth="1"/>
  </cols>
  <sheetData>
    <row r="1" spans="1:3">
      <c r="A1" t="s">
        <v>28</v>
      </c>
      <c r="B1" t="s">
        <v>24</v>
      </c>
      <c r="C1" t="s">
        <v>80</v>
      </c>
    </row>
    <row r="2" spans="1:3">
      <c r="A2" t="s">
        <v>10</v>
      </c>
      <c r="B2" t="s">
        <v>0</v>
      </c>
      <c r="C2">
        <v>5200</v>
      </c>
    </row>
    <row r="3" spans="1:3">
      <c r="A3" t="s">
        <v>10</v>
      </c>
      <c r="B3" t="s">
        <v>2</v>
      </c>
      <c r="C3">
        <v>4100</v>
      </c>
    </row>
    <row r="4" spans="1:3">
      <c r="A4" t="s">
        <v>10</v>
      </c>
      <c r="B4" t="s">
        <v>4</v>
      </c>
      <c r="C4">
        <v>3300</v>
      </c>
    </row>
    <row r="5" spans="1:3">
      <c r="A5" t="s">
        <v>10</v>
      </c>
      <c r="B5" t="s">
        <v>6</v>
      </c>
      <c r="C5">
        <v>3600</v>
      </c>
    </row>
    <row r="6" spans="1:3">
      <c r="A6" t="s">
        <v>10</v>
      </c>
      <c r="B6" t="s">
        <v>8</v>
      </c>
      <c r="C6">
        <v>2800</v>
      </c>
    </row>
    <row r="7" spans="1:3">
      <c r="A7" t="s">
        <v>12</v>
      </c>
      <c r="B7" t="s">
        <v>0</v>
      </c>
      <c r="C7">
        <v>3400</v>
      </c>
    </row>
    <row r="8" spans="1:3">
      <c r="A8" t="s">
        <v>12</v>
      </c>
      <c r="B8" t="s">
        <v>2</v>
      </c>
      <c r="C8">
        <v>3200</v>
      </c>
    </row>
    <row r="9" spans="1:3">
      <c r="A9" t="s">
        <v>12</v>
      </c>
      <c r="B9" t="s">
        <v>4</v>
      </c>
      <c r="C9">
        <v>2600</v>
      </c>
    </row>
    <row r="10" spans="1:3">
      <c r="A10" t="s">
        <v>12</v>
      </c>
      <c r="B10" t="s">
        <v>6</v>
      </c>
      <c r="C10">
        <v>2900</v>
      </c>
    </row>
    <row r="11" spans="1:3">
      <c r="A11" t="s">
        <v>12</v>
      </c>
      <c r="B11" t="s">
        <v>8</v>
      </c>
      <c r="C11">
        <v>2200</v>
      </c>
    </row>
    <row r="12" spans="1:3">
      <c r="A12" t="s">
        <v>14</v>
      </c>
      <c r="B12" t="s">
        <v>0</v>
      </c>
      <c r="C12">
        <v>3000</v>
      </c>
    </row>
    <row r="13" spans="1:3">
      <c r="A13" t="s">
        <v>14</v>
      </c>
      <c r="B13" t="s">
        <v>2</v>
      </c>
      <c r="C13">
        <v>2700</v>
      </c>
    </row>
    <row r="14" spans="1:3">
      <c r="A14" t="s">
        <v>14</v>
      </c>
      <c r="B14" t="s">
        <v>4</v>
      </c>
      <c r="C14">
        <v>2800</v>
      </c>
    </row>
    <row r="15" spans="1:3">
      <c r="A15" t="s">
        <v>14</v>
      </c>
      <c r="B15" t="s">
        <v>6</v>
      </c>
      <c r="C15">
        <v>2400</v>
      </c>
    </row>
    <row r="16" spans="1:3">
      <c r="A16" t="s">
        <v>14</v>
      </c>
      <c r="B16" t="s">
        <v>8</v>
      </c>
      <c r="C16">
        <v>1900</v>
      </c>
    </row>
    <row r="17" spans="1:3">
      <c r="A17" t="s">
        <v>16</v>
      </c>
      <c r="B17" t="s">
        <v>0</v>
      </c>
      <c r="C17">
        <v>2700</v>
      </c>
    </row>
    <row r="18" spans="1:3">
      <c r="A18" t="s">
        <v>16</v>
      </c>
      <c r="B18" t="s">
        <v>2</v>
      </c>
      <c r="C18">
        <v>2400</v>
      </c>
    </row>
    <row r="19" spans="1:3">
      <c r="A19" t="s">
        <v>16</v>
      </c>
      <c r="B19" t="s">
        <v>4</v>
      </c>
      <c r="C19">
        <v>2100</v>
      </c>
    </row>
    <row r="20" spans="1:3">
      <c r="A20" t="s">
        <v>16</v>
      </c>
      <c r="B20" t="s">
        <v>6</v>
      </c>
      <c r="C20">
        <v>2600</v>
      </c>
    </row>
    <row r="21" spans="1:3">
      <c r="A21" t="s">
        <v>16</v>
      </c>
      <c r="B21" t="s">
        <v>8</v>
      </c>
      <c r="C21">
        <v>1800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F728-5BFF-4436-8FEC-173C659E7703}">
  <dimension ref="A1:F7"/>
  <sheetViews>
    <sheetView workbookViewId="0">
      <selection activeCell="F8" sqref="F8"/>
    </sheetView>
  </sheetViews>
  <sheetFormatPr defaultRowHeight="14.4"/>
  <cols>
    <col min="1" max="1" width="13.21875" bestFit="1" customWidth="1"/>
    <col min="2" max="2" width="13" bestFit="1" customWidth="1"/>
    <col min="3" max="3" width="14.109375" bestFit="1" customWidth="1"/>
    <col min="4" max="4" width="12.6640625" bestFit="1" customWidth="1"/>
    <col min="5" max="5" width="23" bestFit="1" customWidth="1"/>
    <col min="6" max="6" width="16.33203125" bestFit="1" customWidth="1"/>
  </cols>
  <sheetData>
    <row r="1" spans="1:6">
      <c r="A1" t="s">
        <v>81</v>
      </c>
      <c r="B1" t="s">
        <v>68</v>
      </c>
      <c r="C1" t="s">
        <v>28</v>
      </c>
      <c r="D1" t="s">
        <v>24</v>
      </c>
      <c r="E1" t="s">
        <v>82</v>
      </c>
      <c r="F1" t="s">
        <v>83</v>
      </c>
    </row>
    <row r="2" spans="1:6">
      <c r="A2" t="s">
        <v>84</v>
      </c>
      <c r="B2" s="1">
        <v>46097</v>
      </c>
      <c r="C2" t="s">
        <v>10</v>
      </c>
      <c r="D2" t="s">
        <v>0</v>
      </c>
      <c r="E2" t="s">
        <v>85</v>
      </c>
      <c r="F2">
        <v>1.35</v>
      </c>
    </row>
    <row r="3" spans="1:6">
      <c r="A3" t="s">
        <v>86</v>
      </c>
      <c r="B3" s="1">
        <v>46181</v>
      </c>
      <c r="C3" t="s">
        <v>12</v>
      </c>
      <c r="D3" t="s">
        <v>6</v>
      </c>
      <c r="E3" t="s">
        <v>87</v>
      </c>
      <c r="F3">
        <v>1.25</v>
      </c>
    </row>
    <row r="4" spans="1:6">
      <c r="A4" t="s">
        <v>88</v>
      </c>
      <c r="B4" s="1">
        <v>46223</v>
      </c>
      <c r="C4" t="s">
        <v>14</v>
      </c>
      <c r="D4" t="s">
        <v>4</v>
      </c>
      <c r="E4" t="s">
        <v>89</v>
      </c>
      <c r="F4">
        <v>0.72</v>
      </c>
    </row>
    <row r="5" spans="1:6">
      <c r="A5" t="s">
        <v>90</v>
      </c>
      <c r="B5" s="1">
        <v>46279</v>
      </c>
      <c r="C5" t="s">
        <v>91</v>
      </c>
      <c r="D5" t="s">
        <v>2</v>
      </c>
      <c r="E5" t="s">
        <v>92</v>
      </c>
      <c r="F5">
        <v>0.65</v>
      </c>
    </row>
    <row r="6" spans="1:6">
      <c r="A6" t="s">
        <v>93</v>
      </c>
      <c r="B6" s="1">
        <v>46328</v>
      </c>
      <c r="C6" t="s">
        <v>91</v>
      </c>
      <c r="D6" t="s">
        <v>6</v>
      </c>
      <c r="E6" t="s">
        <v>94</v>
      </c>
      <c r="F6">
        <v>0.7</v>
      </c>
    </row>
    <row r="7" spans="1:6">
      <c r="A7" t="s">
        <v>95</v>
      </c>
      <c r="B7" s="1">
        <v>46363</v>
      </c>
      <c r="C7" t="s">
        <v>91</v>
      </c>
      <c r="D7" t="s">
        <v>8</v>
      </c>
      <c r="E7" t="s">
        <v>96</v>
      </c>
      <c r="F7">
        <v>0.7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46DB-C7BF-4EEA-A143-561CC6BD1537}">
  <dimension ref="A1:A53"/>
  <sheetViews>
    <sheetView workbookViewId="0">
      <selection activeCell="A10" sqref="A10"/>
    </sheetView>
  </sheetViews>
  <sheetFormatPr defaultRowHeight="14.4"/>
  <cols>
    <col min="1" max="1" width="27.33203125" customWidth="1"/>
  </cols>
  <sheetData>
    <row r="1" spans="1:1">
      <c r="A1" t="s">
        <v>68</v>
      </c>
    </row>
    <row r="2" spans="1:1">
      <c r="A2" s="1">
        <f>DATE(2026,1,5)</f>
        <v>46027</v>
      </c>
    </row>
    <row r="3" spans="1:1">
      <c r="A3" s="1">
        <f>A2+7</f>
        <v>46034</v>
      </c>
    </row>
    <row r="4" spans="1:1">
      <c r="A4" s="1">
        <f t="shared" ref="A4:A52" si="0">A3+7</f>
        <v>46041</v>
      </c>
    </row>
    <row r="5" spans="1:1">
      <c r="A5" s="1">
        <f t="shared" si="0"/>
        <v>46048</v>
      </c>
    </row>
    <row r="6" spans="1:1">
      <c r="A6" s="1">
        <f t="shared" si="0"/>
        <v>46055</v>
      </c>
    </row>
    <row r="7" spans="1:1">
      <c r="A7" s="1">
        <f t="shared" si="0"/>
        <v>46062</v>
      </c>
    </row>
    <row r="8" spans="1:1">
      <c r="A8" s="1">
        <f t="shared" si="0"/>
        <v>46069</v>
      </c>
    </row>
    <row r="9" spans="1:1">
      <c r="A9" s="1">
        <f t="shared" si="0"/>
        <v>46076</v>
      </c>
    </row>
    <row r="10" spans="1:1">
      <c r="A10" s="1">
        <f t="shared" si="0"/>
        <v>46083</v>
      </c>
    </row>
    <row r="11" spans="1:1">
      <c r="A11" s="1">
        <f t="shared" si="0"/>
        <v>46090</v>
      </c>
    </row>
    <row r="12" spans="1:1">
      <c r="A12" s="1">
        <f t="shared" si="0"/>
        <v>46097</v>
      </c>
    </row>
    <row r="13" spans="1:1">
      <c r="A13" s="1">
        <f t="shared" si="0"/>
        <v>46104</v>
      </c>
    </row>
    <row r="14" spans="1:1">
      <c r="A14" s="1">
        <f t="shared" si="0"/>
        <v>46111</v>
      </c>
    </row>
    <row r="15" spans="1:1">
      <c r="A15" s="1">
        <f t="shared" si="0"/>
        <v>46118</v>
      </c>
    </row>
    <row r="16" spans="1:1">
      <c r="A16" s="1">
        <f t="shared" si="0"/>
        <v>46125</v>
      </c>
    </row>
    <row r="17" spans="1:1">
      <c r="A17" s="1">
        <f t="shared" si="0"/>
        <v>46132</v>
      </c>
    </row>
    <row r="18" spans="1:1">
      <c r="A18" s="1">
        <f t="shared" si="0"/>
        <v>46139</v>
      </c>
    </row>
    <row r="19" spans="1:1">
      <c r="A19" s="1">
        <f t="shared" si="0"/>
        <v>46146</v>
      </c>
    </row>
    <row r="20" spans="1:1">
      <c r="A20" s="1">
        <f t="shared" si="0"/>
        <v>46153</v>
      </c>
    </row>
    <row r="21" spans="1:1">
      <c r="A21" s="1">
        <f t="shared" si="0"/>
        <v>46160</v>
      </c>
    </row>
    <row r="22" spans="1:1">
      <c r="A22" s="1">
        <f t="shared" si="0"/>
        <v>46167</v>
      </c>
    </row>
    <row r="23" spans="1:1">
      <c r="A23" s="1">
        <f t="shared" si="0"/>
        <v>46174</v>
      </c>
    </row>
    <row r="24" spans="1:1">
      <c r="A24" s="1">
        <f t="shared" si="0"/>
        <v>46181</v>
      </c>
    </row>
    <row r="25" spans="1:1">
      <c r="A25" s="1">
        <f t="shared" si="0"/>
        <v>46188</v>
      </c>
    </row>
    <row r="26" spans="1:1">
      <c r="A26" s="1">
        <f t="shared" si="0"/>
        <v>46195</v>
      </c>
    </row>
    <row r="27" spans="1:1">
      <c r="A27" s="1">
        <f t="shared" si="0"/>
        <v>46202</v>
      </c>
    </row>
    <row r="28" spans="1:1">
      <c r="A28" s="1">
        <f t="shared" si="0"/>
        <v>46209</v>
      </c>
    </row>
    <row r="29" spans="1:1">
      <c r="A29" s="1">
        <f t="shared" si="0"/>
        <v>46216</v>
      </c>
    </row>
    <row r="30" spans="1:1">
      <c r="A30" s="1">
        <f t="shared" si="0"/>
        <v>46223</v>
      </c>
    </row>
    <row r="31" spans="1:1">
      <c r="A31" s="1">
        <f t="shared" si="0"/>
        <v>46230</v>
      </c>
    </row>
    <row r="32" spans="1:1">
      <c r="A32" s="1">
        <f t="shared" si="0"/>
        <v>46237</v>
      </c>
    </row>
    <row r="33" spans="1:1">
      <c r="A33" s="1">
        <f t="shared" si="0"/>
        <v>46244</v>
      </c>
    </row>
    <row r="34" spans="1:1">
      <c r="A34" s="1">
        <f t="shared" si="0"/>
        <v>46251</v>
      </c>
    </row>
    <row r="35" spans="1:1">
      <c r="A35" s="1">
        <f t="shared" si="0"/>
        <v>46258</v>
      </c>
    </row>
    <row r="36" spans="1:1">
      <c r="A36" s="1">
        <f t="shared" si="0"/>
        <v>46265</v>
      </c>
    </row>
    <row r="37" spans="1:1">
      <c r="A37" s="1">
        <f t="shared" si="0"/>
        <v>46272</v>
      </c>
    </row>
    <row r="38" spans="1:1">
      <c r="A38" s="1">
        <f t="shared" si="0"/>
        <v>46279</v>
      </c>
    </row>
    <row r="39" spans="1:1">
      <c r="A39" s="1">
        <f t="shared" si="0"/>
        <v>46286</v>
      </c>
    </row>
    <row r="40" spans="1:1">
      <c r="A40" s="1">
        <f t="shared" si="0"/>
        <v>46293</v>
      </c>
    </row>
    <row r="41" spans="1:1">
      <c r="A41" s="1">
        <f t="shared" si="0"/>
        <v>46300</v>
      </c>
    </row>
    <row r="42" spans="1:1">
      <c r="A42" s="1">
        <f t="shared" si="0"/>
        <v>46307</v>
      </c>
    </row>
    <row r="43" spans="1:1">
      <c r="A43" s="1">
        <f t="shared" si="0"/>
        <v>46314</v>
      </c>
    </row>
    <row r="44" spans="1:1">
      <c r="A44" s="1">
        <f t="shared" si="0"/>
        <v>46321</v>
      </c>
    </row>
    <row r="45" spans="1:1">
      <c r="A45" s="1">
        <f t="shared" si="0"/>
        <v>46328</v>
      </c>
    </row>
    <row r="46" spans="1:1">
      <c r="A46" s="1">
        <f t="shared" si="0"/>
        <v>46335</v>
      </c>
    </row>
    <row r="47" spans="1:1">
      <c r="A47" s="1">
        <f t="shared" si="0"/>
        <v>46342</v>
      </c>
    </row>
    <row r="48" spans="1:1">
      <c r="A48" s="1">
        <f t="shared" si="0"/>
        <v>46349</v>
      </c>
    </row>
    <row r="49" spans="1:1">
      <c r="A49" s="1">
        <f t="shared" si="0"/>
        <v>46356</v>
      </c>
    </row>
    <row r="50" spans="1:1">
      <c r="A50" s="1">
        <f t="shared" si="0"/>
        <v>46363</v>
      </c>
    </row>
    <row r="51" spans="1:1">
      <c r="A51" s="1">
        <f t="shared" si="0"/>
        <v>46370</v>
      </c>
    </row>
    <row r="52" spans="1:1">
      <c r="A52" s="1">
        <f t="shared" si="0"/>
        <v>46377</v>
      </c>
    </row>
    <row r="53" spans="1:1">
      <c r="A53" s="1">
        <f>A52+7</f>
        <v>46384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B054-3BB5-4E4A-9130-5D7C637924B7}">
  <dimension ref="A1:N1041"/>
  <sheetViews>
    <sheetView zoomScale="66" workbookViewId="0">
      <selection activeCell="G6" sqref="G6"/>
    </sheetView>
  </sheetViews>
  <sheetFormatPr defaultRowHeight="14.4"/>
  <cols>
    <col min="1" max="1" width="14" customWidth="1"/>
    <col min="2" max="2" width="13.33203125" customWidth="1"/>
    <col min="3" max="3" width="12.33203125" customWidth="1"/>
    <col min="4" max="4" width="21" customWidth="1"/>
    <col min="5" max="5" width="19.109375" bestFit="1" customWidth="1"/>
    <col min="6" max="6" width="24.6640625" bestFit="1" customWidth="1"/>
    <col min="7" max="7" width="21.77734375" bestFit="1" customWidth="1"/>
    <col min="8" max="8" width="16.5546875" bestFit="1" customWidth="1"/>
    <col min="9" max="9" width="14.21875" bestFit="1" customWidth="1"/>
    <col min="10" max="10" width="23" bestFit="1" customWidth="1"/>
    <col min="11" max="11" width="18.44140625" bestFit="1" customWidth="1"/>
    <col min="12" max="12" width="15.44140625" bestFit="1" customWidth="1"/>
    <col min="13" max="13" width="21.21875" style="2" bestFit="1" customWidth="1"/>
    <col min="14" max="14" width="24.109375" bestFit="1" customWidth="1"/>
  </cols>
  <sheetData>
    <row r="1" spans="1:14">
      <c r="A1" t="s">
        <v>68</v>
      </c>
      <c r="B1" t="s">
        <v>28</v>
      </c>
      <c r="C1" t="s">
        <v>24</v>
      </c>
      <c r="D1" t="s">
        <v>80</v>
      </c>
      <c r="E1" t="s">
        <v>97</v>
      </c>
      <c r="F1" t="s">
        <v>98</v>
      </c>
      <c r="G1" t="s">
        <v>99</v>
      </c>
      <c r="H1" t="s">
        <v>100</v>
      </c>
      <c r="I1" t="s">
        <v>69</v>
      </c>
      <c r="J1" t="s">
        <v>101</v>
      </c>
      <c r="K1" t="s">
        <v>70</v>
      </c>
      <c r="L1" t="s">
        <v>102</v>
      </c>
      <c r="M1" s="2" t="s">
        <v>103</v>
      </c>
      <c r="N1" t="s">
        <v>104</v>
      </c>
    </row>
    <row r="2" spans="1:14">
      <c r="A2" s="1" cm="1">
        <f t="array" ref="A2">INDEX(tblWeeks[Week_Start],INT((ROW()-2)/20)+1)</f>
        <v>46027</v>
      </c>
      <c r="B2" t="str" cm="1">
        <f t="array" ref="B2">INDEX(tblDemandAssumptions[Customer_ID],MOD(ROW()-2,20)+1)</f>
        <v>C001</v>
      </c>
      <c r="C2" t="str" cm="1">
        <f t="array" ref="C2">INDEX(tblDemandAssumptions[Product_ID],MOD(ROW()-2,20)+1)</f>
        <v>P001</v>
      </c>
      <c r="D2" cm="1">
        <f t="array" ref="D2">INDEX(tblDemandAssumptions[Baseline_Weekly_Qty],MOD(ROW()-2,20)+1)</f>
        <v>5200</v>
      </c>
      <c r="E2">
        <f t="shared" ref="E2:E65" si="0">IF(MONTH(A2)&lt;=2,0.95,IF(MONTH(A2)&lt;=4,1,IF(MONTH(A2)&lt;=6,1.05,IF(MONTH(A2)&lt;=8,1.1,IF(MONTH(A2)&lt;=10,1,IF(MONTH(A2)=11,1.05,1.2))))))</f>
        <v>0.95</v>
      </c>
      <c r="F2">
        <v>0.98</v>
      </c>
      <c r="G2">
        <f t="shared" ref="G2:G65" si="1">ROUND(D2*E2*F2,0)</f>
        <v>4841</v>
      </c>
      <c r="H2">
        <v>1.02</v>
      </c>
      <c r="I2">
        <f t="shared" ref="I2:I65" si="2">ROUND(D2*E2*H2,0)</f>
        <v>5039</v>
      </c>
      <c r="J2" t="str">
        <f t="shared" ref="J2:J65" si="3">IF(AND(A2=DATE(2026,3,16),B2="C001",C2="P001"),"Promotion_Demand_Spike",IF(AND(A2=DATE(2026,6,8),B2="C002",C2="P004"),"Under_Forecast",IF(AND(A2=DATE(2026,7,20),B2="C003",C2="P003"),"Over_Forecast","Normal")))</f>
        <v>Normal</v>
      </c>
      <c r="K2">
        <f t="shared" ref="K2:K65" si="4">IF(J2="Promotion_Demand_Spike",ROUND(G2*1.35,0),IF(J2="Under_Forecast",ROUND(I2*1.25,0),IF(J2="Over_Forecast",ROUND(I2*0.72,0),G2)))</f>
        <v>4841</v>
      </c>
      <c r="L2">
        <f t="shared" ref="L2:L65" si="5">K2-I2</f>
        <v>-198</v>
      </c>
      <c r="M2" s="2">
        <f t="shared" ref="M2:M65" si="6">IF(I2=0,0,L2/I2)</f>
        <v>-3.9293510617185952E-2</v>
      </c>
      <c r="N2">
        <f t="shared" ref="N2:N65" si="7">ABS(L2)</f>
        <v>198</v>
      </c>
    </row>
    <row r="3" spans="1:14">
      <c r="A3" s="1" cm="1">
        <f t="array" ref="A3">INDEX(tblWeeks[Week_Start],INT((ROW()-2)/20)+1)</f>
        <v>46027</v>
      </c>
      <c r="B3" t="str" cm="1">
        <f t="array" ref="B3">INDEX(tblDemandAssumptions[Customer_ID],MOD(ROW()-2,20)+1)</f>
        <v>C001</v>
      </c>
      <c r="C3" t="str" cm="1">
        <f t="array" ref="C3">INDEX(tblDemandAssumptions[Product_ID],MOD(ROW()-2,20)+1)</f>
        <v>P002</v>
      </c>
      <c r="D3" cm="1">
        <f t="array" ref="D3">INDEX(tblDemandAssumptions[Baseline_Weekly_Qty],MOD(ROW()-2,20)+1)</f>
        <v>4100</v>
      </c>
      <c r="E3">
        <f t="shared" si="0"/>
        <v>0.95</v>
      </c>
      <c r="F3">
        <v>1</v>
      </c>
      <c r="G3">
        <f t="shared" si="1"/>
        <v>3895</v>
      </c>
      <c r="H3">
        <v>0.98</v>
      </c>
      <c r="I3">
        <f t="shared" si="2"/>
        <v>3817</v>
      </c>
      <c r="J3" t="str">
        <f t="shared" si="3"/>
        <v>Normal</v>
      </c>
      <c r="K3">
        <f t="shared" si="4"/>
        <v>3895</v>
      </c>
      <c r="L3">
        <f t="shared" si="5"/>
        <v>78</v>
      </c>
      <c r="M3" s="2">
        <f t="shared" si="6"/>
        <v>2.0434896515588157E-2</v>
      </c>
      <c r="N3">
        <f t="shared" si="7"/>
        <v>78</v>
      </c>
    </row>
    <row r="4" spans="1:14">
      <c r="A4" s="1" cm="1">
        <f t="array" ref="A4">INDEX(tblWeeks[Week_Start],INT((ROW()-2)/20)+1)</f>
        <v>46027</v>
      </c>
      <c r="B4" t="str" cm="1">
        <f t="array" ref="B4">INDEX(tblDemandAssumptions[Customer_ID],MOD(ROW()-2,20)+1)</f>
        <v>C001</v>
      </c>
      <c r="C4" t="str" cm="1">
        <f t="array" ref="C4">INDEX(tblDemandAssumptions[Product_ID],MOD(ROW()-2,20)+1)</f>
        <v>P003</v>
      </c>
      <c r="D4" cm="1">
        <f t="array" ref="D4">INDEX(tblDemandAssumptions[Baseline_Weekly_Qty],MOD(ROW()-2,20)+1)</f>
        <v>3300</v>
      </c>
      <c r="E4">
        <f t="shared" si="0"/>
        <v>0.95</v>
      </c>
      <c r="F4">
        <v>1.01</v>
      </c>
      <c r="G4">
        <f t="shared" si="1"/>
        <v>3166</v>
      </c>
      <c r="H4">
        <v>1.01</v>
      </c>
      <c r="I4">
        <f t="shared" si="2"/>
        <v>3166</v>
      </c>
      <c r="J4" t="str">
        <f t="shared" si="3"/>
        <v>Normal</v>
      </c>
      <c r="K4">
        <f t="shared" si="4"/>
        <v>3166</v>
      </c>
      <c r="L4">
        <f t="shared" si="5"/>
        <v>0</v>
      </c>
      <c r="M4" s="2">
        <f t="shared" si="6"/>
        <v>0</v>
      </c>
      <c r="N4">
        <f t="shared" si="7"/>
        <v>0</v>
      </c>
    </row>
    <row r="5" spans="1:14">
      <c r="A5" s="1" cm="1">
        <f t="array" ref="A5">INDEX(tblWeeks[Week_Start],INT((ROW()-2)/20)+1)</f>
        <v>46027</v>
      </c>
      <c r="B5" t="str" cm="1">
        <f t="array" ref="B5">INDEX(tblDemandAssumptions[Customer_ID],MOD(ROW()-2,20)+1)</f>
        <v>C001</v>
      </c>
      <c r="C5" t="str" cm="1">
        <f t="array" ref="C5">INDEX(tblDemandAssumptions[Product_ID],MOD(ROW()-2,20)+1)</f>
        <v>P004</v>
      </c>
      <c r="D5" cm="1">
        <f t="array" ref="D5">INDEX(tblDemandAssumptions[Baseline_Weekly_Qty],MOD(ROW()-2,20)+1)</f>
        <v>3600</v>
      </c>
      <c r="E5">
        <f t="shared" si="0"/>
        <v>0.95</v>
      </c>
      <c r="F5">
        <v>0.95</v>
      </c>
      <c r="G5">
        <f t="shared" si="1"/>
        <v>3249</v>
      </c>
      <c r="H5">
        <v>0.96</v>
      </c>
      <c r="I5">
        <f t="shared" si="2"/>
        <v>3283</v>
      </c>
      <c r="J5" t="str">
        <f t="shared" si="3"/>
        <v>Normal</v>
      </c>
      <c r="K5">
        <f t="shared" si="4"/>
        <v>3249</v>
      </c>
      <c r="L5">
        <f t="shared" si="5"/>
        <v>-34</v>
      </c>
      <c r="M5" s="2">
        <f t="shared" si="6"/>
        <v>-1.0356381358513555E-2</v>
      </c>
      <c r="N5">
        <f t="shared" si="7"/>
        <v>34</v>
      </c>
    </row>
    <row r="6" spans="1:14">
      <c r="A6" s="1" cm="1">
        <f t="array" ref="A6">INDEX(tblWeeks[Week_Start],INT((ROW()-2)/20)+1)</f>
        <v>46027</v>
      </c>
      <c r="B6" t="str" cm="1">
        <f t="array" ref="B6">INDEX(tblDemandAssumptions[Customer_ID],MOD(ROW()-2,20)+1)</f>
        <v>C001</v>
      </c>
      <c r="C6" t="str" cm="1">
        <f t="array" ref="C6">INDEX(tblDemandAssumptions[Product_ID],MOD(ROW()-2,20)+1)</f>
        <v>P005</v>
      </c>
      <c r="D6" cm="1">
        <f t="array" ref="D6">INDEX(tblDemandAssumptions[Baseline_Weekly_Qty],MOD(ROW()-2,20)+1)</f>
        <v>2800</v>
      </c>
      <c r="E6">
        <f t="shared" si="0"/>
        <v>0.95</v>
      </c>
      <c r="F6">
        <v>1.02</v>
      </c>
      <c r="G6">
        <f t="shared" si="1"/>
        <v>2713</v>
      </c>
      <c r="H6">
        <v>1.04</v>
      </c>
      <c r="I6">
        <f t="shared" si="2"/>
        <v>2766</v>
      </c>
      <c r="J6" t="str">
        <f t="shared" si="3"/>
        <v>Normal</v>
      </c>
      <c r="K6">
        <f t="shared" si="4"/>
        <v>2713</v>
      </c>
      <c r="L6">
        <f t="shared" si="5"/>
        <v>-53</v>
      </c>
      <c r="M6" s="2">
        <f t="shared" si="6"/>
        <v>-1.9161243673174257E-2</v>
      </c>
      <c r="N6">
        <f t="shared" si="7"/>
        <v>53</v>
      </c>
    </row>
    <row r="7" spans="1:14">
      <c r="A7" s="1" cm="1">
        <f t="array" ref="A7">INDEX(tblWeeks[Week_Start],INT((ROW()-2)/20)+1)</f>
        <v>46027</v>
      </c>
      <c r="B7" t="str" cm="1">
        <f t="array" ref="B7">INDEX(tblDemandAssumptions[Customer_ID],MOD(ROW()-2,20)+1)</f>
        <v>C002</v>
      </c>
      <c r="C7" t="str" cm="1">
        <f t="array" ref="C7">INDEX(tblDemandAssumptions[Product_ID],MOD(ROW()-2,20)+1)</f>
        <v>P001</v>
      </c>
      <c r="D7" cm="1">
        <f t="array" ref="D7">INDEX(tblDemandAssumptions[Baseline_Weekly_Qty],MOD(ROW()-2,20)+1)</f>
        <v>3400</v>
      </c>
      <c r="E7">
        <f t="shared" si="0"/>
        <v>0.95</v>
      </c>
      <c r="F7">
        <v>1.02</v>
      </c>
      <c r="G7">
        <f t="shared" si="1"/>
        <v>3295</v>
      </c>
      <c r="H7">
        <v>1</v>
      </c>
      <c r="I7">
        <f t="shared" si="2"/>
        <v>3230</v>
      </c>
      <c r="J7" t="str">
        <f t="shared" si="3"/>
        <v>Normal</v>
      </c>
      <c r="K7">
        <f t="shared" si="4"/>
        <v>3295</v>
      </c>
      <c r="L7">
        <f t="shared" si="5"/>
        <v>65</v>
      </c>
      <c r="M7" s="2">
        <f t="shared" si="6"/>
        <v>2.0123839009287926E-2</v>
      </c>
      <c r="N7">
        <f t="shared" si="7"/>
        <v>65</v>
      </c>
    </row>
    <row r="8" spans="1:14">
      <c r="A8" s="1" cm="1">
        <f t="array" ref="A8">INDEX(tblWeeks[Week_Start],INT((ROW()-2)/20)+1)</f>
        <v>46027</v>
      </c>
      <c r="B8" t="str" cm="1">
        <f t="array" ref="B8">INDEX(tblDemandAssumptions[Customer_ID],MOD(ROW()-2,20)+1)</f>
        <v>C002</v>
      </c>
      <c r="C8" t="str" cm="1">
        <f t="array" ref="C8">INDEX(tblDemandAssumptions[Product_ID],MOD(ROW()-2,20)+1)</f>
        <v>P002</v>
      </c>
      <c r="D8" cm="1">
        <f t="array" ref="D8">INDEX(tblDemandAssumptions[Baseline_Weekly_Qty],MOD(ROW()-2,20)+1)</f>
        <v>3200</v>
      </c>
      <c r="E8">
        <f t="shared" si="0"/>
        <v>0.95</v>
      </c>
      <c r="F8">
        <v>1.03</v>
      </c>
      <c r="G8">
        <f t="shared" si="1"/>
        <v>3131</v>
      </c>
      <c r="H8">
        <v>1</v>
      </c>
      <c r="I8">
        <f t="shared" si="2"/>
        <v>3040</v>
      </c>
      <c r="J8" t="str">
        <f t="shared" si="3"/>
        <v>Normal</v>
      </c>
      <c r="K8">
        <f t="shared" si="4"/>
        <v>3131</v>
      </c>
      <c r="L8">
        <f t="shared" si="5"/>
        <v>91</v>
      </c>
      <c r="M8" s="2">
        <f t="shared" si="6"/>
        <v>2.9934210526315789E-2</v>
      </c>
      <c r="N8">
        <f t="shared" si="7"/>
        <v>91</v>
      </c>
    </row>
    <row r="9" spans="1:14">
      <c r="A9" s="1" cm="1">
        <f t="array" ref="A9">INDEX(tblWeeks[Week_Start],INT((ROW()-2)/20)+1)</f>
        <v>46027</v>
      </c>
      <c r="B9" t="str" cm="1">
        <f t="array" ref="B9">INDEX(tblDemandAssumptions[Customer_ID],MOD(ROW()-2,20)+1)</f>
        <v>C002</v>
      </c>
      <c r="C9" t="str" cm="1">
        <f t="array" ref="C9">INDEX(tblDemandAssumptions[Product_ID],MOD(ROW()-2,20)+1)</f>
        <v>P003</v>
      </c>
      <c r="D9" cm="1">
        <f t="array" ref="D9">INDEX(tblDemandAssumptions[Baseline_Weekly_Qty],MOD(ROW()-2,20)+1)</f>
        <v>2600</v>
      </c>
      <c r="E9">
        <f t="shared" si="0"/>
        <v>0.95</v>
      </c>
      <c r="F9">
        <v>1</v>
      </c>
      <c r="G9">
        <f t="shared" si="1"/>
        <v>2470</v>
      </c>
      <c r="H9">
        <v>1.04</v>
      </c>
      <c r="I9">
        <f t="shared" si="2"/>
        <v>2569</v>
      </c>
      <c r="J9" t="str">
        <f t="shared" si="3"/>
        <v>Normal</v>
      </c>
      <c r="K9">
        <f t="shared" si="4"/>
        <v>2470</v>
      </c>
      <c r="L9">
        <f t="shared" si="5"/>
        <v>-99</v>
      </c>
      <c r="M9" s="2">
        <f t="shared" si="6"/>
        <v>-3.8536395484624369E-2</v>
      </c>
      <c r="N9">
        <f t="shared" si="7"/>
        <v>99</v>
      </c>
    </row>
    <row r="10" spans="1:14">
      <c r="A10" s="1" cm="1">
        <f t="array" ref="A10">INDEX(tblWeeks[Week_Start],INT((ROW()-2)/20)+1)</f>
        <v>46027</v>
      </c>
      <c r="B10" t="str" cm="1">
        <f t="array" ref="B10">INDEX(tblDemandAssumptions[Customer_ID],MOD(ROW()-2,20)+1)</f>
        <v>C002</v>
      </c>
      <c r="C10" t="str" cm="1">
        <f t="array" ref="C10">INDEX(tblDemandAssumptions[Product_ID],MOD(ROW()-2,20)+1)</f>
        <v>P004</v>
      </c>
      <c r="D10" cm="1">
        <f t="array" ref="D10">INDEX(tblDemandAssumptions[Baseline_Weekly_Qty],MOD(ROW()-2,20)+1)</f>
        <v>2900</v>
      </c>
      <c r="E10">
        <f t="shared" si="0"/>
        <v>0.95</v>
      </c>
      <c r="F10">
        <v>1.05</v>
      </c>
      <c r="G10">
        <f t="shared" si="1"/>
        <v>2893</v>
      </c>
      <c r="H10">
        <v>1.01</v>
      </c>
      <c r="I10">
        <f t="shared" si="2"/>
        <v>2783</v>
      </c>
      <c r="J10" t="str">
        <f t="shared" si="3"/>
        <v>Normal</v>
      </c>
      <c r="K10">
        <f t="shared" si="4"/>
        <v>2893</v>
      </c>
      <c r="L10">
        <f t="shared" si="5"/>
        <v>110</v>
      </c>
      <c r="M10" s="2">
        <f t="shared" si="6"/>
        <v>3.9525691699604744E-2</v>
      </c>
      <c r="N10">
        <f t="shared" si="7"/>
        <v>110</v>
      </c>
    </row>
    <row r="11" spans="1:14">
      <c r="A11" s="1" cm="1">
        <f t="array" ref="A11">INDEX(tblWeeks[Week_Start],INT((ROW()-2)/20)+1)</f>
        <v>46027</v>
      </c>
      <c r="B11" t="str" cm="1">
        <f t="array" ref="B11">INDEX(tblDemandAssumptions[Customer_ID],MOD(ROW()-2,20)+1)</f>
        <v>C002</v>
      </c>
      <c r="C11" t="str" cm="1">
        <f t="array" ref="C11">INDEX(tblDemandAssumptions[Product_ID],MOD(ROW()-2,20)+1)</f>
        <v>P005</v>
      </c>
      <c r="D11" cm="1">
        <f t="array" ref="D11">INDEX(tblDemandAssumptions[Baseline_Weekly_Qty],MOD(ROW()-2,20)+1)</f>
        <v>2200</v>
      </c>
      <c r="E11">
        <f t="shared" si="0"/>
        <v>0.95</v>
      </c>
      <c r="F11">
        <v>0.95</v>
      </c>
      <c r="G11">
        <f t="shared" si="1"/>
        <v>1986</v>
      </c>
      <c r="H11">
        <v>1.03</v>
      </c>
      <c r="I11">
        <f t="shared" si="2"/>
        <v>2153</v>
      </c>
      <c r="J11" t="str">
        <f t="shared" si="3"/>
        <v>Normal</v>
      </c>
      <c r="K11">
        <f t="shared" si="4"/>
        <v>1986</v>
      </c>
      <c r="L11">
        <f t="shared" si="5"/>
        <v>-167</v>
      </c>
      <c r="M11" s="2">
        <f t="shared" si="6"/>
        <v>-7.7566186716209934E-2</v>
      </c>
      <c r="N11">
        <f t="shared" si="7"/>
        <v>167</v>
      </c>
    </row>
    <row r="12" spans="1:14">
      <c r="A12" s="1" cm="1">
        <f t="array" ref="A12">INDEX(tblWeeks[Week_Start],INT((ROW()-2)/20)+1)</f>
        <v>46027</v>
      </c>
      <c r="B12" t="str" cm="1">
        <f t="array" ref="B12">INDEX(tblDemandAssumptions[Customer_ID],MOD(ROW()-2,20)+1)</f>
        <v>C003</v>
      </c>
      <c r="C12" t="str" cm="1">
        <f t="array" ref="C12">INDEX(tblDemandAssumptions[Product_ID],MOD(ROW()-2,20)+1)</f>
        <v>P001</v>
      </c>
      <c r="D12" cm="1">
        <f t="array" ref="D12">INDEX(tblDemandAssumptions[Baseline_Weekly_Qty],MOD(ROW()-2,20)+1)</f>
        <v>3000</v>
      </c>
      <c r="E12">
        <f t="shared" si="0"/>
        <v>0.95</v>
      </c>
      <c r="F12">
        <v>0.97</v>
      </c>
      <c r="G12">
        <f t="shared" si="1"/>
        <v>2765</v>
      </c>
      <c r="H12">
        <v>0.98</v>
      </c>
      <c r="I12">
        <f t="shared" si="2"/>
        <v>2793</v>
      </c>
      <c r="J12" t="str">
        <f t="shared" si="3"/>
        <v>Normal</v>
      </c>
      <c r="K12">
        <f t="shared" si="4"/>
        <v>2765</v>
      </c>
      <c r="L12">
        <f t="shared" si="5"/>
        <v>-28</v>
      </c>
      <c r="M12" s="2">
        <f t="shared" si="6"/>
        <v>-1.0025062656641603E-2</v>
      </c>
      <c r="N12">
        <f t="shared" si="7"/>
        <v>28</v>
      </c>
    </row>
    <row r="13" spans="1:14">
      <c r="A13" s="1" cm="1">
        <f t="array" ref="A13">INDEX(tblWeeks[Week_Start],INT((ROW()-2)/20)+1)</f>
        <v>46027</v>
      </c>
      <c r="B13" t="str" cm="1">
        <f t="array" ref="B13">INDEX(tblDemandAssumptions[Customer_ID],MOD(ROW()-2,20)+1)</f>
        <v>C003</v>
      </c>
      <c r="C13" t="str" cm="1">
        <f t="array" ref="C13">INDEX(tblDemandAssumptions[Product_ID],MOD(ROW()-2,20)+1)</f>
        <v>P002</v>
      </c>
      <c r="D13" cm="1">
        <f t="array" ref="D13">INDEX(tblDemandAssumptions[Baseline_Weekly_Qty],MOD(ROW()-2,20)+1)</f>
        <v>2700</v>
      </c>
      <c r="E13">
        <f t="shared" si="0"/>
        <v>0.95</v>
      </c>
      <c r="F13">
        <v>1.04</v>
      </c>
      <c r="G13">
        <f t="shared" si="1"/>
        <v>2668</v>
      </c>
      <c r="H13">
        <v>0.97</v>
      </c>
      <c r="I13">
        <f t="shared" si="2"/>
        <v>2488</v>
      </c>
      <c r="J13" t="str">
        <f t="shared" si="3"/>
        <v>Normal</v>
      </c>
      <c r="K13">
        <f t="shared" si="4"/>
        <v>2668</v>
      </c>
      <c r="L13">
        <f t="shared" si="5"/>
        <v>180</v>
      </c>
      <c r="M13" s="2">
        <f t="shared" si="6"/>
        <v>7.2347266881028938E-2</v>
      </c>
      <c r="N13">
        <f t="shared" si="7"/>
        <v>180</v>
      </c>
    </row>
    <row r="14" spans="1:14">
      <c r="A14" s="1" cm="1">
        <f t="array" ref="A14">INDEX(tblWeeks[Week_Start],INT((ROW()-2)/20)+1)</f>
        <v>46027</v>
      </c>
      <c r="B14" t="str" cm="1">
        <f t="array" ref="B14">INDEX(tblDemandAssumptions[Customer_ID],MOD(ROW()-2,20)+1)</f>
        <v>C003</v>
      </c>
      <c r="C14" t="str" cm="1">
        <f t="array" ref="C14">INDEX(tblDemandAssumptions[Product_ID],MOD(ROW()-2,20)+1)</f>
        <v>P003</v>
      </c>
      <c r="D14" cm="1">
        <f t="array" ref="D14">INDEX(tblDemandAssumptions[Baseline_Weekly_Qty],MOD(ROW()-2,20)+1)</f>
        <v>2800</v>
      </c>
      <c r="E14">
        <f t="shared" si="0"/>
        <v>0.95</v>
      </c>
      <c r="F14">
        <v>0.97</v>
      </c>
      <c r="G14">
        <f t="shared" si="1"/>
        <v>2580</v>
      </c>
      <c r="H14">
        <v>1.01</v>
      </c>
      <c r="I14">
        <f t="shared" si="2"/>
        <v>2687</v>
      </c>
      <c r="J14" t="str">
        <f t="shared" si="3"/>
        <v>Normal</v>
      </c>
      <c r="K14">
        <f t="shared" si="4"/>
        <v>2580</v>
      </c>
      <c r="L14">
        <f t="shared" si="5"/>
        <v>-107</v>
      </c>
      <c r="M14" s="2">
        <f t="shared" si="6"/>
        <v>-3.9821362113881653E-2</v>
      </c>
      <c r="N14">
        <f t="shared" si="7"/>
        <v>107</v>
      </c>
    </row>
    <row r="15" spans="1:14">
      <c r="A15" s="1" cm="1">
        <f t="array" ref="A15">INDEX(tblWeeks[Week_Start],INT((ROW()-2)/20)+1)</f>
        <v>46027</v>
      </c>
      <c r="B15" t="str" cm="1">
        <f t="array" ref="B15">INDEX(tblDemandAssumptions[Customer_ID],MOD(ROW()-2,20)+1)</f>
        <v>C003</v>
      </c>
      <c r="C15" t="str" cm="1">
        <f t="array" ref="C15">INDEX(tblDemandAssumptions[Product_ID],MOD(ROW()-2,20)+1)</f>
        <v>P004</v>
      </c>
      <c r="D15" cm="1">
        <f t="array" ref="D15">INDEX(tblDemandAssumptions[Baseline_Weekly_Qty],MOD(ROW()-2,20)+1)</f>
        <v>2400</v>
      </c>
      <c r="E15">
        <f t="shared" si="0"/>
        <v>0.95</v>
      </c>
      <c r="F15">
        <v>0.95</v>
      </c>
      <c r="G15">
        <f t="shared" si="1"/>
        <v>2166</v>
      </c>
      <c r="H15">
        <v>1</v>
      </c>
      <c r="I15">
        <f t="shared" si="2"/>
        <v>2280</v>
      </c>
      <c r="J15" t="str">
        <f t="shared" si="3"/>
        <v>Normal</v>
      </c>
      <c r="K15">
        <f t="shared" si="4"/>
        <v>2166</v>
      </c>
      <c r="L15">
        <f t="shared" si="5"/>
        <v>-114</v>
      </c>
      <c r="M15" s="2">
        <f t="shared" si="6"/>
        <v>-0.05</v>
      </c>
      <c r="N15">
        <f t="shared" si="7"/>
        <v>114</v>
      </c>
    </row>
    <row r="16" spans="1:14">
      <c r="A16" s="1" cm="1">
        <f t="array" ref="A16">INDEX(tblWeeks[Week_Start],INT((ROW()-2)/20)+1)</f>
        <v>46027</v>
      </c>
      <c r="B16" t="str" cm="1">
        <f t="array" ref="B16">INDEX(tblDemandAssumptions[Customer_ID],MOD(ROW()-2,20)+1)</f>
        <v>C003</v>
      </c>
      <c r="C16" t="str" cm="1">
        <f t="array" ref="C16">INDEX(tblDemandAssumptions[Product_ID],MOD(ROW()-2,20)+1)</f>
        <v>P005</v>
      </c>
      <c r="D16" cm="1">
        <f t="array" ref="D16">INDEX(tblDemandAssumptions[Baseline_Weekly_Qty],MOD(ROW()-2,20)+1)</f>
        <v>1900</v>
      </c>
      <c r="E16">
        <f t="shared" si="0"/>
        <v>0.95</v>
      </c>
      <c r="F16">
        <v>0.96</v>
      </c>
      <c r="G16">
        <f t="shared" si="1"/>
        <v>1733</v>
      </c>
      <c r="H16">
        <v>0.96</v>
      </c>
      <c r="I16">
        <f t="shared" si="2"/>
        <v>1733</v>
      </c>
      <c r="J16" t="str">
        <f t="shared" si="3"/>
        <v>Normal</v>
      </c>
      <c r="K16">
        <f t="shared" si="4"/>
        <v>1733</v>
      </c>
      <c r="L16">
        <f t="shared" si="5"/>
        <v>0</v>
      </c>
      <c r="M16" s="2">
        <f t="shared" si="6"/>
        <v>0</v>
      </c>
      <c r="N16">
        <f t="shared" si="7"/>
        <v>0</v>
      </c>
    </row>
    <row r="17" spans="1:14">
      <c r="A17" s="1" cm="1">
        <f t="array" ref="A17">INDEX(tblWeeks[Week_Start],INT((ROW()-2)/20)+1)</f>
        <v>46027</v>
      </c>
      <c r="B17" t="str" cm="1">
        <f t="array" ref="B17">INDEX(tblDemandAssumptions[Customer_ID],MOD(ROW()-2,20)+1)</f>
        <v>C004</v>
      </c>
      <c r="C17" t="str" cm="1">
        <f t="array" ref="C17">INDEX(tblDemandAssumptions[Product_ID],MOD(ROW()-2,20)+1)</f>
        <v>P001</v>
      </c>
      <c r="D17" cm="1">
        <f t="array" ref="D17">INDEX(tblDemandAssumptions[Baseline_Weekly_Qty],MOD(ROW()-2,20)+1)</f>
        <v>2700</v>
      </c>
      <c r="E17">
        <f t="shared" si="0"/>
        <v>0.95</v>
      </c>
      <c r="F17">
        <v>1.03</v>
      </c>
      <c r="G17">
        <f t="shared" si="1"/>
        <v>2642</v>
      </c>
      <c r="H17">
        <v>0.96</v>
      </c>
      <c r="I17">
        <f t="shared" si="2"/>
        <v>2462</v>
      </c>
      <c r="J17" t="str">
        <f t="shared" si="3"/>
        <v>Normal</v>
      </c>
      <c r="K17">
        <f t="shared" si="4"/>
        <v>2642</v>
      </c>
      <c r="L17">
        <f t="shared" si="5"/>
        <v>180</v>
      </c>
      <c r="M17" s="2">
        <f t="shared" si="6"/>
        <v>7.3111291632818848E-2</v>
      </c>
      <c r="N17">
        <f t="shared" si="7"/>
        <v>180</v>
      </c>
    </row>
    <row r="18" spans="1:14">
      <c r="A18" s="1" cm="1">
        <f t="array" ref="A18">INDEX(tblWeeks[Week_Start],INT((ROW()-2)/20)+1)</f>
        <v>46027</v>
      </c>
      <c r="B18" t="str" cm="1">
        <f t="array" ref="B18">INDEX(tblDemandAssumptions[Customer_ID],MOD(ROW()-2,20)+1)</f>
        <v>C004</v>
      </c>
      <c r="C18" t="str" cm="1">
        <f t="array" ref="C18">INDEX(tblDemandAssumptions[Product_ID],MOD(ROW()-2,20)+1)</f>
        <v>P002</v>
      </c>
      <c r="D18" cm="1">
        <f t="array" ref="D18">INDEX(tblDemandAssumptions[Baseline_Weekly_Qty],MOD(ROW()-2,20)+1)</f>
        <v>2400</v>
      </c>
      <c r="E18">
        <f t="shared" si="0"/>
        <v>0.95</v>
      </c>
      <c r="F18">
        <v>1.02</v>
      </c>
      <c r="G18">
        <f t="shared" si="1"/>
        <v>2326</v>
      </c>
      <c r="H18">
        <v>0.96</v>
      </c>
      <c r="I18">
        <f t="shared" si="2"/>
        <v>2189</v>
      </c>
      <c r="J18" t="str">
        <f t="shared" si="3"/>
        <v>Normal</v>
      </c>
      <c r="K18">
        <f t="shared" si="4"/>
        <v>2326</v>
      </c>
      <c r="L18">
        <f t="shared" si="5"/>
        <v>137</v>
      </c>
      <c r="M18" s="2">
        <f t="shared" si="6"/>
        <v>6.2585655550479666E-2</v>
      </c>
      <c r="N18">
        <f t="shared" si="7"/>
        <v>137</v>
      </c>
    </row>
    <row r="19" spans="1:14">
      <c r="A19" s="1" cm="1">
        <f t="array" ref="A19">INDEX(tblWeeks[Week_Start],INT((ROW()-2)/20)+1)</f>
        <v>46027</v>
      </c>
      <c r="B19" t="str" cm="1">
        <f t="array" ref="B19">INDEX(tblDemandAssumptions[Customer_ID],MOD(ROW()-2,20)+1)</f>
        <v>C004</v>
      </c>
      <c r="C19" t="str" cm="1">
        <f t="array" ref="C19">INDEX(tblDemandAssumptions[Product_ID],MOD(ROW()-2,20)+1)</f>
        <v>P003</v>
      </c>
      <c r="D19" cm="1">
        <f t="array" ref="D19">INDEX(tblDemandAssumptions[Baseline_Weekly_Qty],MOD(ROW()-2,20)+1)</f>
        <v>2100</v>
      </c>
      <c r="E19">
        <f t="shared" si="0"/>
        <v>0.95</v>
      </c>
      <c r="F19">
        <v>0.95</v>
      </c>
      <c r="G19">
        <f t="shared" si="1"/>
        <v>1895</v>
      </c>
      <c r="H19">
        <v>1.01</v>
      </c>
      <c r="I19">
        <f t="shared" si="2"/>
        <v>2015</v>
      </c>
      <c r="J19" t="str">
        <f t="shared" si="3"/>
        <v>Normal</v>
      </c>
      <c r="K19">
        <f t="shared" si="4"/>
        <v>1895</v>
      </c>
      <c r="L19">
        <f t="shared" si="5"/>
        <v>-120</v>
      </c>
      <c r="M19" s="2">
        <f t="shared" si="6"/>
        <v>-5.9553349875930521E-2</v>
      </c>
      <c r="N19">
        <f t="shared" si="7"/>
        <v>120</v>
      </c>
    </row>
    <row r="20" spans="1:14">
      <c r="A20" s="1" cm="1">
        <f t="array" ref="A20">INDEX(tblWeeks[Week_Start],INT((ROW()-2)/20)+1)</f>
        <v>46027</v>
      </c>
      <c r="B20" t="str" cm="1">
        <f t="array" ref="B20">INDEX(tblDemandAssumptions[Customer_ID],MOD(ROW()-2,20)+1)</f>
        <v>C004</v>
      </c>
      <c r="C20" t="str" cm="1">
        <f t="array" ref="C20">INDEX(tblDemandAssumptions[Product_ID],MOD(ROW()-2,20)+1)</f>
        <v>P004</v>
      </c>
      <c r="D20" cm="1">
        <f t="array" ref="D20">INDEX(tblDemandAssumptions[Baseline_Weekly_Qty],MOD(ROW()-2,20)+1)</f>
        <v>2600</v>
      </c>
      <c r="E20">
        <f t="shared" si="0"/>
        <v>0.95</v>
      </c>
      <c r="F20">
        <v>0.95</v>
      </c>
      <c r="G20">
        <f t="shared" si="1"/>
        <v>2347</v>
      </c>
      <c r="H20">
        <v>1</v>
      </c>
      <c r="I20">
        <f t="shared" si="2"/>
        <v>2470</v>
      </c>
      <c r="J20" t="str">
        <f t="shared" si="3"/>
        <v>Normal</v>
      </c>
      <c r="K20">
        <f t="shared" si="4"/>
        <v>2347</v>
      </c>
      <c r="L20">
        <f t="shared" si="5"/>
        <v>-123</v>
      </c>
      <c r="M20" s="2">
        <f t="shared" si="6"/>
        <v>-4.9797570850202429E-2</v>
      </c>
      <c r="N20">
        <f t="shared" si="7"/>
        <v>123</v>
      </c>
    </row>
    <row r="21" spans="1:14">
      <c r="A21" s="1" cm="1">
        <f t="array" ref="A21">INDEX(tblWeeks[Week_Start],INT((ROW()-2)/20)+1)</f>
        <v>46027</v>
      </c>
      <c r="B21" t="str" cm="1">
        <f t="array" ref="B21">INDEX(tblDemandAssumptions[Customer_ID],MOD(ROW()-2,20)+1)</f>
        <v>C004</v>
      </c>
      <c r="C21" t="str" cm="1">
        <f t="array" ref="C21">INDEX(tblDemandAssumptions[Product_ID],MOD(ROW()-2,20)+1)</f>
        <v>P005</v>
      </c>
      <c r="D21" cm="1">
        <f t="array" ref="D21">INDEX(tblDemandAssumptions[Baseline_Weekly_Qty],MOD(ROW()-2,20)+1)</f>
        <v>1800</v>
      </c>
      <c r="E21">
        <f t="shared" si="0"/>
        <v>0.95</v>
      </c>
      <c r="F21">
        <v>1.01</v>
      </c>
      <c r="G21">
        <f t="shared" si="1"/>
        <v>1727</v>
      </c>
      <c r="H21">
        <v>0.99</v>
      </c>
      <c r="I21">
        <f t="shared" si="2"/>
        <v>1693</v>
      </c>
      <c r="J21" t="str">
        <f t="shared" si="3"/>
        <v>Normal</v>
      </c>
      <c r="K21">
        <f t="shared" si="4"/>
        <v>1727</v>
      </c>
      <c r="L21">
        <f t="shared" si="5"/>
        <v>34</v>
      </c>
      <c r="M21" s="2">
        <f t="shared" si="6"/>
        <v>2.008269344359126E-2</v>
      </c>
      <c r="N21">
        <f t="shared" si="7"/>
        <v>34</v>
      </c>
    </row>
    <row r="22" spans="1:14">
      <c r="A22" s="1" cm="1">
        <f t="array" ref="A22">INDEX(tblWeeks[Week_Start],INT((ROW()-2)/20)+1)</f>
        <v>46034</v>
      </c>
      <c r="B22" t="str" cm="1">
        <f t="array" ref="B22">INDEX(tblDemandAssumptions[Customer_ID],MOD(ROW()-2,20)+1)</f>
        <v>C001</v>
      </c>
      <c r="C22" t="str" cm="1">
        <f t="array" ref="C22">INDEX(tblDemandAssumptions[Product_ID],MOD(ROW()-2,20)+1)</f>
        <v>P001</v>
      </c>
      <c r="D22" cm="1">
        <f t="array" ref="D22">INDEX(tblDemandAssumptions[Baseline_Weekly_Qty],MOD(ROW()-2,20)+1)</f>
        <v>5200</v>
      </c>
      <c r="E22">
        <f t="shared" si="0"/>
        <v>0.95</v>
      </c>
      <c r="F22">
        <v>1.01</v>
      </c>
      <c r="G22">
        <f t="shared" si="1"/>
        <v>4989</v>
      </c>
      <c r="H22">
        <v>1.03</v>
      </c>
      <c r="I22">
        <f t="shared" si="2"/>
        <v>5088</v>
      </c>
      <c r="J22" t="str">
        <f t="shared" si="3"/>
        <v>Normal</v>
      </c>
      <c r="K22">
        <f t="shared" si="4"/>
        <v>4989</v>
      </c>
      <c r="L22">
        <f t="shared" si="5"/>
        <v>-99</v>
      </c>
      <c r="M22" s="2">
        <f t="shared" si="6"/>
        <v>-1.945754716981132E-2</v>
      </c>
      <c r="N22">
        <f t="shared" si="7"/>
        <v>99</v>
      </c>
    </row>
    <row r="23" spans="1:14">
      <c r="A23" s="1" cm="1">
        <f t="array" ref="A23">INDEX(tblWeeks[Week_Start],INT((ROW()-2)/20)+1)</f>
        <v>46034</v>
      </c>
      <c r="B23" t="str" cm="1">
        <f t="array" ref="B23">INDEX(tblDemandAssumptions[Customer_ID],MOD(ROW()-2,20)+1)</f>
        <v>C001</v>
      </c>
      <c r="C23" t="str" cm="1">
        <f t="array" ref="C23">INDEX(tblDemandAssumptions[Product_ID],MOD(ROW()-2,20)+1)</f>
        <v>P002</v>
      </c>
      <c r="D23" cm="1">
        <f t="array" ref="D23">INDEX(tblDemandAssumptions[Baseline_Weekly_Qty],MOD(ROW()-2,20)+1)</f>
        <v>4100</v>
      </c>
      <c r="E23">
        <f t="shared" si="0"/>
        <v>0.95</v>
      </c>
      <c r="F23">
        <v>1.02</v>
      </c>
      <c r="G23">
        <f t="shared" si="1"/>
        <v>3973</v>
      </c>
      <c r="H23">
        <v>1.02</v>
      </c>
      <c r="I23">
        <f t="shared" si="2"/>
        <v>3973</v>
      </c>
      <c r="J23" t="str">
        <f t="shared" si="3"/>
        <v>Normal</v>
      </c>
      <c r="K23">
        <f t="shared" si="4"/>
        <v>3973</v>
      </c>
      <c r="L23">
        <f t="shared" si="5"/>
        <v>0</v>
      </c>
      <c r="M23" s="2">
        <f t="shared" si="6"/>
        <v>0</v>
      </c>
      <c r="N23">
        <f t="shared" si="7"/>
        <v>0</v>
      </c>
    </row>
    <row r="24" spans="1:14">
      <c r="A24" s="1" cm="1">
        <f t="array" ref="A24">INDEX(tblWeeks[Week_Start],INT((ROW()-2)/20)+1)</f>
        <v>46034</v>
      </c>
      <c r="B24" t="str" cm="1">
        <f t="array" ref="B24">INDEX(tblDemandAssumptions[Customer_ID],MOD(ROW()-2,20)+1)</f>
        <v>C001</v>
      </c>
      <c r="C24" t="str" cm="1">
        <f t="array" ref="C24">INDEX(tblDemandAssumptions[Product_ID],MOD(ROW()-2,20)+1)</f>
        <v>P003</v>
      </c>
      <c r="D24" cm="1">
        <f t="array" ref="D24">INDEX(tblDemandAssumptions[Baseline_Weekly_Qty],MOD(ROW()-2,20)+1)</f>
        <v>3300</v>
      </c>
      <c r="E24">
        <f t="shared" si="0"/>
        <v>0.95</v>
      </c>
      <c r="F24">
        <v>0.95</v>
      </c>
      <c r="G24">
        <f t="shared" si="1"/>
        <v>2978</v>
      </c>
      <c r="H24">
        <v>1.02</v>
      </c>
      <c r="I24">
        <f t="shared" si="2"/>
        <v>3198</v>
      </c>
      <c r="J24" t="str">
        <f t="shared" si="3"/>
        <v>Normal</v>
      </c>
      <c r="K24">
        <f t="shared" si="4"/>
        <v>2978</v>
      </c>
      <c r="L24">
        <f t="shared" si="5"/>
        <v>-220</v>
      </c>
      <c r="M24" s="2">
        <f t="shared" si="6"/>
        <v>-6.8792995622263917E-2</v>
      </c>
      <c r="N24">
        <f t="shared" si="7"/>
        <v>220</v>
      </c>
    </row>
    <row r="25" spans="1:14">
      <c r="A25" s="1" cm="1">
        <f t="array" ref="A25">INDEX(tblWeeks[Week_Start],INT((ROW()-2)/20)+1)</f>
        <v>46034</v>
      </c>
      <c r="B25" t="str" cm="1">
        <f t="array" ref="B25">INDEX(tblDemandAssumptions[Customer_ID],MOD(ROW()-2,20)+1)</f>
        <v>C001</v>
      </c>
      <c r="C25" t="str" cm="1">
        <f t="array" ref="C25">INDEX(tblDemandAssumptions[Product_ID],MOD(ROW()-2,20)+1)</f>
        <v>P004</v>
      </c>
      <c r="D25" cm="1">
        <f t="array" ref="D25">INDEX(tblDemandAssumptions[Baseline_Weekly_Qty],MOD(ROW()-2,20)+1)</f>
        <v>3600</v>
      </c>
      <c r="E25">
        <f t="shared" si="0"/>
        <v>0.95</v>
      </c>
      <c r="F25">
        <v>1.02</v>
      </c>
      <c r="G25">
        <f t="shared" si="1"/>
        <v>3488</v>
      </c>
      <c r="H25">
        <v>1.04</v>
      </c>
      <c r="I25">
        <f t="shared" si="2"/>
        <v>3557</v>
      </c>
      <c r="J25" t="str">
        <f t="shared" si="3"/>
        <v>Normal</v>
      </c>
      <c r="K25">
        <f t="shared" si="4"/>
        <v>3488</v>
      </c>
      <c r="L25">
        <f t="shared" si="5"/>
        <v>-69</v>
      </c>
      <c r="M25" s="2">
        <f t="shared" si="6"/>
        <v>-1.9398369412426203E-2</v>
      </c>
      <c r="N25">
        <f t="shared" si="7"/>
        <v>69</v>
      </c>
    </row>
    <row r="26" spans="1:14">
      <c r="A26" s="1" cm="1">
        <f t="array" ref="A26">INDEX(tblWeeks[Week_Start],INT((ROW()-2)/20)+1)</f>
        <v>46034</v>
      </c>
      <c r="B26" t="str" cm="1">
        <f t="array" ref="B26">INDEX(tblDemandAssumptions[Customer_ID],MOD(ROW()-2,20)+1)</f>
        <v>C001</v>
      </c>
      <c r="C26" t="str" cm="1">
        <f t="array" ref="C26">INDEX(tblDemandAssumptions[Product_ID],MOD(ROW()-2,20)+1)</f>
        <v>P005</v>
      </c>
      <c r="D26" cm="1">
        <f t="array" ref="D26">INDEX(tblDemandAssumptions[Baseline_Weekly_Qty],MOD(ROW()-2,20)+1)</f>
        <v>2800</v>
      </c>
      <c r="E26">
        <f t="shared" si="0"/>
        <v>0.95</v>
      </c>
      <c r="F26">
        <v>1</v>
      </c>
      <c r="G26">
        <f t="shared" si="1"/>
        <v>2660</v>
      </c>
      <c r="H26">
        <v>1.04</v>
      </c>
      <c r="I26">
        <f t="shared" si="2"/>
        <v>2766</v>
      </c>
      <c r="J26" t="str">
        <f t="shared" si="3"/>
        <v>Normal</v>
      </c>
      <c r="K26">
        <f t="shared" si="4"/>
        <v>2660</v>
      </c>
      <c r="L26">
        <f t="shared" si="5"/>
        <v>-106</v>
      </c>
      <c r="M26" s="2">
        <f t="shared" si="6"/>
        <v>-3.8322487346348515E-2</v>
      </c>
      <c r="N26">
        <f t="shared" si="7"/>
        <v>106</v>
      </c>
    </row>
    <row r="27" spans="1:14">
      <c r="A27" s="1" cm="1">
        <f t="array" ref="A27">INDEX(tblWeeks[Week_Start],INT((ROW()-2)/20)+1)</f>
        <v>46034</v>
      </c>
      <c r="B27" t="str" cm="1">
        <f t="array" ref="B27">INDEX(tblDemandAssumptions[Customer_ID],MOD(ROW()-2,20)+1)</f>
        <v>C002</v>
      </c>
      <c r="C27" t="str" cm="1">
        <f t="array" ref="C27">INDEX(tblDemandAssumptions[Product_ID],MOD(ROW()-2,20)+1)</f>
        <v>P001</v>
      </c>
      <c r="D27" cm="1">
        <f t="array" ref="D27">INDEX(tblDemandAssumptions[Baseline_Weekly_Qty],MOD(ROW()-2,20)+1)</f>
        <v>3400</v>
      </c>
      <c r="E27">
        <f t="shared" si="0"/>
        <v>0.95</v>
      </c>
      <c r="F27">
        <v>1</v>
      </c>
      <c r="G27">
        <f t="shared" si="1"/>
        <v>3230</v>
      </c>
      <c r="H27">
        <v>0.96</v>
      </c>
      <c r="I27">
        <f t="shared" si="2"/>
        <v>3101</v>
      </c>
      <c r="J27" t="str">
        <f t="shared" si="3"/>
        <v>Normal</v>
      </c>
      <c r="K27">
        <f t="shared" si="4"/>
        <v>3230</v>
      </c>
      <c r="L27">
        <f t="shared" si="5"/>
        <v>129</v>
      </c>
      <c r="M27" s="2">
        <f t="shared" si="6"/>
        <v>4.1599484037407285E-2</v>
      </c>
      <c r="N27">
        <f t="shared" si="7"/>
        <v>129</v>
      </c>
    </row>
    <row r="28" spans="1:14">
      <c r="A28" s="1" cm="1">
        <f t="array" ref="A28">INDEX(tblWeeks[Week_Start],INT((ROW()-2)/20)+1)</f>
        <v>46034</v>
      </c>
      <c r="B28" t="str" cm="1">
        <f t="array" ref="B28">INDEX(tblDemandAssumptions[Customer_ID],MOD(ROW()-2,20)+1)</f>
        <v>C002</v>
      </c>
      <c r="C28" t="str" cm="1">
        <f t="array" ref="C28">INDEX(tblDemandAssumptions[Product_ID],MOD(ROW()-2,20)+1)</f>
        <v>P002</v>
      </c>
      <c r="D28" cm="1">
        <f t="array" ref="D28">INDEX(tblDemandAssumptions[Baseline_Weekly_Qty],MOD(ROW()-2,20)+1)</f>
        <v>3200</v>
      </c>
      <c r="E28">
        <f t="shared" si="0"/>
        <v>0.95</v>
      </c>
      <c r="F28">
        <v>1</v>
      </c>
      <c r="G28">
        <f t="shared" si="1"/>
        <v>3040</v>
      </c>
      <c r="H28">
        <v>1.02</v>
      </c>
      <c r="I28">
        <f t="shared" si="2"/>
        <v>3101</v>
      </c>
      <c r="J28" t="str">
        <f t="shared" si="3"/>
        <v>Normal</v>
      </c>
      <c r="K28">
        <f t="shared" si="4"/>
        <v>3040</v>
      </c>
      <c r="L28">
        <f t="shared" si="5"/>
        <v>-61</v>
      </c>
      <c r="M28" s="2">
        <f t="shared" si="6"/>
        <v>-1.9671073847146083E-2</v>
      </c>
      <c r="N28">
        <f t="shared" si="7"/>
        <v>61</v>
      </c>
    </row>
    <row r="29" spans="1:14">
      <c r="A29" s="1" cm="1">
        <f t="array" ref="A29">INDEX(tblWeeks[Week_Start],INT((ROW()-2)/20)+1)</f>
        <v>46034</v>
      </c>
      <c r="B29" t="str" cm="1">
        <f t="array" ref="B29">INDEX(tblDemandAssumptions[Customer_ID],MOD(ROW()-2,20)+1)</f>
        <v>C002</v>
      </c>
      <c r="C29" t="str" cm="1">
        <f t="array" ref="C29">INDEX(tblDemandAssumptions[Product_ID],MOD(ROW()-2,20)+1)</f>
        <v>P003</v>
      </c>
      <c r="D29" cm="1">
        <f t="array" ref="D29">INDEX(tblDemandAssumptions[Baseline_Weekly_Qty],MOD(ROW()-2,20)+1)</f>
        <v>2600</v>
      </c>
      <c r="E29">
        <f t="shared" si="0"/>
        <v>0.95</v>
      </c>
      <c r="F29">
        <v>1.02</v>
      </c>
      <c r="G29">
        <f t="shared" si="1"/>
        <v>2519</v>
      </c>
      <c r="H29">
        <v>1.04</v>
      </c>
      <c r="I29">
        <f t="shared" si="2"/>
        <v>2569</v>
      </c>
      <c r="J29" t="str">
        <f t="shared" si="3"/>
        <v>Normal</v>
      </c>
      <c r="K29">
        <f t="shared" si="4"/>
        <v>2519</v>
      </c>
      <c r="L29">
        <f t="shared" si="5"/>
        <v>-50</v>
      </c>
      <c r="M29" s="2">
        <f t="shared" si="6"/>
        <v>-1.9462826002335541E-2</v>
      </c>
      <c r="N29">
        <f t="shared" si="7"/>
        <v>50</v>
      </c>
    </row>
    <row r="30" spans="1:14">
      <c r="A30" s="1" cm="1">
        <f t="array" ref="A30">INDEX(tblWeeks[Week_Start],INT((ROW()-2)/20)+1)</f>
        <v>46034</v>
      </c>
      <c r="B30" t="str" cm="1">
        <f t="array" ref="B30">INDEX(tblDemandAssumptions[Customer_ID],MOD(ROW()-2,20)+1)</f>
        <v>C002</v>
      </c>
      <c r="C30" t="str" cm="1">
        <f t="array" ref="C30">INDEX(tblDemandAssumptions[Product_ID],MOD(ROW()-2,20)+1)</f>
        <v>P004</v>
      </c>
      <c r="D30" cm="1">
        <f t="array" ref="D30">INDEX(tblDemandAssumptions[Baseline_Weekly_Qty],MOD(ROW()-2,20)+1)</f>
        <v>2900</v>
      </c>
      <c r="E30">
        <f t="shared" si="0"/>
        <v>0.95</v>
      </c>
      <c r="F30">
        <v>0.96</v>
      </c>
      <c r="G30">
        <f t="shared" si="1"/>
        <v>2645</v>
      </c>
      <c r="H30">
        <v>1.02</v>
      </c>
      <c r="I30">
        <f t="shared" si="2"/>
        <v>2810</v>
      </c>
      <c r="J30" t="str">
        <f t="shared" si="3"/>
        <v>Normal</v>
      </c>
      <c r="K30">
        <f t="shared" si="4"/>
        <v>2645</v>
      </c>
      <c r="L30">
        <f t="shared" si="5"/>
        <v>-165</v>
      </c>
      <c r="M30" s="2">
        <f t="shared" si="6"/>
        <v>-5.8718861209964411E-2</v>
      </c>
      <c r="N30">
        <f t="shared" si="7"/>
        <v>165</v>
      </c>
    </row>
    <row r="31" spans="1:14">
      <c r="A31" s="1" cm="1">
        <f t="array" ref="A31">INDEX(tblWeeks[Week_Start],INT((ROW()-2)/20)+1)</f>
        <v>46034</v>
      </c>
      <c r="B31" t="str" cm="1">
        <f t="array" ref="B31">INDEX(tblDemandAssumptions[Customer_ID],MOD(ROW()-2,20)+1)</f>
        <v>C002</v>
      </c>
      <c r="C31" t="str" cm="1">
        <f t="array" ref="C31">INDEX(tblDemandAssumptions[Product_ID],MOD(ROW()-2,20)+1)</f>
        <v>P005</v>
      </c>
      <c r="D31" cm="1">
        <f t="array" ref="D31">INDEX(tblDemandAssumptions[Baseline_Weekly_Qty],MOD(ROW()-2,20)+1)</f>
        <v>2200</v>
      </c>
      <c r="E31">
        <f t="shared" si="0"/>
        <v>0.95</v>
      </c>
      <c r="F31">
        <v>0.99</v>
      </c>
      <c r="G31">
        <f t="shared" si="1"/>
        <v>2069</v>
      </c>
      <c r="H31">
        <v>0.97</v>
      </c>
      <c r="I31">
        <f t="shared" si="2"/>
        <v>2027</v>
      </c>
      <c r="J31" t="str">
        <f t="shared" si="3"/>
        <v>Normal</v>
      </c>
      <c r="K31">
        <f t="shared" si="4"/>
        <v>2069</v>
      </c>
      <c r="L31">
        <f t="shared" si="5"/>
        <v>42</v>
      </c>
      <c r="M31" s="2">
        <f t="shared" si="6"/>
        <v>2.0720276270350273E-2</v>
      </c>
      <c r="N31">
        <f t="shared" si="7"/>
        <v>42</v>
      </c>
    </row>
    <row r="32" spans="1:14">
      <c r="A32" s="1" cm="1">
        <f t="array" ref="A32">INDEX(tblWeeks[Week_Start],INT((ROW()-2)/20)+1)</f>
        <v>46034</v>
      </c>
      <c r="B32" t="str" cm="1">
        <f t="array" ref="B32">INDEX(tblDemandAssumptions[Customer_ID],MOD(ROW()-2,20)+1)</f>
        <v>C003</v>
      </c>
      <c r="C32" t="str" cm="1">
        <f t="array" ref="C32">INDEX(tblDemandAssumptions[Product_ID],MOD(ROW()-2,20)+1)</f>
        <v>P001</v>
      </c>
      <c r="D32" cm="1">
        <f t="array" ref="D32">INDEX(tblDemandAssumptions[Baseline_Weekly_Qty],MOD(ROW()-2,20)+1)</f>
        <v>3000</v>
      </c>
      <c r="E32">
        <f t="shared" si="0"/>
        <v>0.95</v>
      </c>
      <c r="F32">
        <v>0.96</v>
      </c>
      <c r="G32">
        <f t="shared" si="1"/>
        <v>2736</v>
      </c>
      <c r="H32">
        <v>0.99</v>
      </c>
      <c r="I32">
        <f t="shared" si="2"/>
        <v>2822</v>
      </c>
      <c r="J32" t="str">
        <f t="shared" si="3"/>
        <v>Normal</v>
      </c>
      <c r="K32">
        <f t="shared" si="4"/>
        <v>2736</v>
      </c>
      <c r="L32">
        <f t="shared" si="5"/>
        <v>-86</v>
      </c>
      <c r="M32" s="2">
        <f t="shared" si="6"/>
        <v>-3.0474840538625089E-2</v>
      </c>
      <c r="N32">
        <f t="shared" si="7"/>
        <v>86</v>
      </c>
    </row>
    <row r="33" spans="1:14">
      <c r="A33" s="1" cm="1">
        <f t="array" ref="A33">INDEX(tblWeeks[Week_Start],INT((ROW()-2)/20)+1)</f>
        <v>46034</v>
      </c>
      <c r="B33" t="str" cm="1">
        <f t="array" ref="B33">INDEX(tblDemandAssumptions[Customer_ID],MOD(ROW()-2,20)+1)</f>
        <v>C003</v>
      </c>
      <c r="C33" t="str" cm="1">
        <f t="array" ref="C33">INDEX(tblDemandAssumptions[Product_ID],MOD(ROW()-2,20)+1)</f>
        <v>P002</v>
      </c>
      <c r="D33" cm="1">
        <f t="array" ref="D33">INDEX(tblDemandAssumptions[Baseline_Weekly_Qty],MOD(ROW()-2,20)+1)</f>
        <v>2700</v>
      </c>
      <c r="E33">
        <f t="shared" si="0"/>
        <v>0.95</v>
      </c>
      <c r="F33">
        <v>1</v>
      </c>
      <c r="G33">
        <f t="shared" si="1"/>
        <v>2565</v>
      </c>
      <c r="H33">
        <v>0.99</v>
      </c>
      <c r="I33">
        <f t="shared" si="2"/>
        <v>2539</v>
      </c>
      <c r="J33" t="str">
        <f t="shared" si="3"/>
        <v>Normal</v>
      </c>
      <c r="K33">
        <f t="shared" si="4"/>
        <v>2565</v>
      </c>
      <c r="L33">
        <f t="shared" si="5"/>
        <v>26</v>
      </c>
      <c r="M33" s="2">
        <f t="shared" si="6"/>
        <v>1.0240252067743205E-2</v>
      </c>
      <c r="N33">
        <f t="shared" si="7"/>
        <v>26</v>
      </c>
    </row>
    <row r="34" spans="1:14">
      <c r="A34" s="1" cm="1">
        <f t="array" ref="A34">INDEX(tblWeeks[Week_Start],INT((ROW()-2)/20)+1)</f>
        <v>46034</v>
      </c>
      <c r="B34" t="str" cm="1">
        <f t="array" ref="B34">INDEX(tblDemandAssumptions[Customer_ID],MOD(ROW()-2,20)+1)</f>
        <v>C003</v>
      </c>
      <c r="C34" t="str" cm="1">
        <f t="array" ref="C34">INDEX(tblDemandAssumptions[Product_ID],MOD(ROW()-2,20)+1)</f>
        <v>P003</v>
      </c>
      <c r="D34" cm="1">
        <f t="array" ref="D34">INDEX(tblDemandAssumptions[Baseline_Weekly_Qty],MOD(ROW()-2,20)+1)</f>
        <v>2800</v>
      </c>
      <c r="E34">
        <f t="shared" si="0"/>
        <v>0.95</v>
      </c>
      <c r="F34">
        <v>1.05</v>
      </c>
      <c r="G34">
        <f t="shared" si="1"/>
        <v>2793</v>
      </c>
      <c r="H34">
        <v>1.04</v>
      </c>
      <c r="I34">
        <f t="shared" si="2"/>
        <v>2766</v>
      </c>
      <c r="J34" t="str">
        <f t="shared" si="3"/>
        <v>Normal</v>
      </c>
      <c r="K34">
        <f t="shared" si="4"/>
        <v>2793</v>
      </c>
      <c r="L34">
        <f t="shared" si="5"/>
        <v>27</v>
      </c>
      <c r="M34" s="2">
        <f t="shared" si="6"/>
        <v>9.7613882863340565E-3</v>
      </c>
      <c r="N34">
        <f t="shared" si="7"/>
        <v>27</v>
      </c>
    </row>
    <row r="35" spans="1:14">
      <c r="A35" s="1" cm="1">
        <f t="array" ref="A35">INDEX(tblWeeks[Week_Start],INT((ROW()-2)/20)+1)</f>
        <v>46034</v>
      </c>
      <c r="B35" t="str" cm="1">
        <f t="array" ref="B35">INDEX(tblDemandAssumptions[Customer_ID],MOD(ROW()-2,20)+1)</f>
        <v>C003</v>
      </c>
      <c r="C35" t="str" cm="1">
        <f t="array" ref="C35">INDEX(tblDemandAssumptions[Product_ID],MOD(ROW()-2,20)+1)</f>
        <v>P004</v>
      </c>
      <c r="D35" cm="1">
        <f t="array" ref="D35">INDEX(tblDemandAssumptions[Baseline_Weekly_Qty],MOD(ROW()-2,20)+1)</f>
        <v>2400</v>
      </c>
      <c r="E35">
        <f t="shared" si="0"/>
        <v>0.95</v>
      </c>
      <c r="F35">
        <v>0.96</v>
      </c>
      <c r="G35">
        <f t="shared" si="1"/>
        <v>2189</v>
      </c>
      <c r="H35">
        <v>0.98</v>
      </c>
      <c r="I35">
        <f t="shared" si="2"/>
        <v>2234</v>
      </c>
      <c r="J35" t="str">
        <f t="shared" si="3"/>
        <v>Normal</v>
      </c>
      <c r="K35">
        <f t="shared" si="4"/>
        <v>2189</v>
      </c>
      <c r="L35">
        <f t="shared" si="5"/>
        <v>-45</v>
      </c>
      <c r="M35" s="2">
        <f t="shared" si="6"/>
        <v>-2.0143240823634737E-2</v>
      </c>
      <c r="N35">
        <f t="shared" si="7"/>
        <v>45</v>
      </c>
    </row>
    <row r="36" spans="1:14">
      <c r="A36" s="1" cm="1">
        <f t="array" ref="A36">INDEX(tblWeeks[Week_Start],INT((ROW()-2)/20)+1)</f>
        <v>46034</v>
      </c>
      <c r="B36" t="str" cm="1">
        <f t="array" ref="B36">INDEX(tblDemandAssumptions[Customer_ID],MOD(ROW()-2,20)+1)</f>
        <v>C003</v>
      </c>
      <c r="C36" t="str" cm="1">
        <f t="array" ref="C36">INDEX(tblDemandAssumptions[Product_ID],MOD(ROW()-2,20)+1)</f>
        <v>P005</v>
      </c>
      <c r="D36" cm="1">
        <f t="array" ref="D36">INDEX(tblDemandAssumptions[Baseline_Weekly_Qty],MOD(ROW()-2,20)+1)</f>
        <v>1900</v>
      </c>
      <c r="E36">
        <f t="shared" si="0"/>
        <v>0.95</v>
      </c>
      <c r="F36">
        <v>1</v>
      </c>
      <c r="G36">
        <f t="shared" si="1"/>
        <v>1805</v>
      </c>
      <c r="H36">
        <v>0.99</v>
      </c>
      <c r="I36">
        <f t="shared" si="2"/>
        <v>1787</v>
      </c>
      <c r="J36" t="str">
        <f t="shared" si="3"/>
        <v>Normal</v>
      </c>
      <c r="K36">
        <f t="shared" si="4"/>
        <v>1805</v>
      </c>
      <c r="L36">
        <f t="shared" si="5"/>
        <v>18</v>
      </c>
      <c r="M36" s="2">
        <f t="shared" si="6"/>
        <v>1.0072747621712367E-2</v>
      </c>
      <c r="N36">
        <f t="shared" si="7"/>
        <v>18</v>
      </c>
    </row>
    <row r="37" spans="1:14">
      <c r="A37" s="1" cm="1">
        <f t="array" ref="A37">INDEX(tblWeeks[Week_Start],INT((ROW()-2)/20)+1)</f>
        <v>46034</v>
      </c>
      <c r="B37" t="str" cm="1">
        <f t="array" ref="B37">INDEX(tblDemandAssumptions[Customer_ID],MOD(ROW()-2,20)+1)</f>
        <v>C004</v>
      </c>
      <c r="C37" t="str" cm="1">
        <f t="array" ref="C37">INDEX(tblDemandAssumptions[Product_ID],MOD(ROW()-2,20)+1)</f>
        <v>P001</v>
      </c>
      <c r="D37" cm="1">
        <f t="array" ref="D37">INDEX(tblDemandAssumptions[Baseline_Weekly_Qty],MOD(ROW()-2,20)+1)</f>
        <v>2700</v>
      </c>
      <c r="E37">
        <f t="shared" si="0"/>
        <v>0.95</v>
      </c>
      <c r="F37">
        <v>1.04</v>
      </c>
      <c r="G37">
        <f t="shared" si="1"/>
        <v>2668</v>
      </c>
      <c r="H37">
        <v>1.03</v>
      </c>
      <c r="I37">
        <f t="shared" si="2"/>
        <v>2642</v>
      </c>
      <c r="J37" t="str">
        <f t="shared" si="3"/>
        <v>Normal</v>
      </c>
      <c r="K37">
        <f t="shared" si="4"/>
        <v>2668</v>
      </c>
      <c r="L37">
        <f t="shared" si="5"/>
        <v>26</v>
      </c>
      <c r="M37" s="2">
        <f t="shared" si="6"/>
        <v>9.8410295230885701E-3</v>
      </c>
      <c r="N37">
        <f t="shared" si="7"/>
        <v>26</v>
      </c>
    </row>
    <row r="38" spans="1:14">
      <c r="A38" s="1" cm="1">
        <f t="array" ref="A38">INDEX(tblWeeks[Week_Start],INT((ROW()-2)/20)+1)</f>
        <v>46034</v>
      </c>
      <c r="B38" t="str" cm="1">
        <f t="array" ref="B38">INDEX(tblDemandAssumptions[Customer_ID],MOD(ROW()-2,20)+1)</f>
        <v>C004</v>
      </c>
      <c r="C38" t="str" cm="1">
        <f t="array" ref="C38">INDEX(tblDemandAssumptions[Product_ID],MOD(ROW()-2,20)+1)</f>
        <v>P002</v>
      </c>
      <c r="D38" cm="1">
        <f t="array" ref="D38">INDEX(tblDemandAssumptions[Baseline_Weekly_Qty],MOD(ROW()-2,20)+1)</f>
        <v>2400</v>
      </c>
      <c r="E38">
        <f t="shared" si="0"/>
        <v>0.95</v>
      </c>
      <c r="F38">
        <v>0.96</v>
      </c>
      <c r="G38">
        <f t="shared" si="1"/>
        <v>2189</v>
      </c>
      <c r="H38">
        <v>1.02</v>
      </c>
      <c r="I38">
        <f t="shared" si="2"/>
        <v>2326</v>
      </c>
      <c r="J38" t="str">
        <f t="shared" si="3"/>
        <v>Normal</v>
      </c>
      <c r="K38">
        <f t="shared" si="4"/>
        <v>2189</v>
      </c>
      <c r="L38">
        <f t="shared" si="5"/>
        <v>-137</v>
      </c>
      <c r="M38" s="2">
        <f t="shared" si="6"/>
        <v>-5.8899398108340502E-2</v>
      </c>
      <c r="N38">
        <f t="shared" si="7"/>
        <v>137</v>
      </c>
    </row>
    <row r="39" spans="1:14">
      <c r="A39" s="1" cm="1">
        <f t="array" ref="A39">INDEX(tblWeeks[Week_Start],INT((ROW()-2)/20)+1)</f>
        <v>46034</v>
      </c>
      <c r="B39" t="str" cm="1">
        <f t="array" ref="B39">INDEX(tblDemandAssumptions[Customer_ID],MOD(ROW()-2,20)+1)</f>
        <v>C004</v>
      </c>
      <c r="C39" t="str" cm="1">
        <f t="array" ref="C39">INDEX(tblDemandAssumptions[Product_ID],MOD(ROW()-2,20)+1)</f>
        <v>P003</v>
      </c>
      <c r="D39" cm="1">
        <f t="array" ref="D39">INDEX(tblDemandAssumptions[Baseline_Weekly_Qty],MOD(ROW()-2,20)+1)</f>
        <v>2100</v>
      </c>
      <c r="E39">
        <f t="shared" si="0"/>
        <v>0.95</v>
      </c>
      <c r="F39">
        <v>1.02</v>
      </c>
      <c r="G39">
        <f t="shared" si="1"/>
        <v>2035</v>
      </c>
      <c r="H39">
        <v>1.01</v>
      </c>
      <c r="I39">
        <f t="shared" si="2"/>
        <v>2015</v>
      </c>
      <c r="J39" t="str">
        <f t="shared" si="3"/>
        <v>Normal</v>
      </c>
      <c r="K39">
        <f t="shared" si="4"/>
        <v>2035</v>
      </c>
      <c r="L39">
        <f t="shared" si="5"/>
        <v>20</v>
      </c>
      <c r="M39" s="2">
        <f t="shared" si="6"/>
        <v>9.9255583126550868E-3</v>
      </c>
      <c r="N39">
        <f t="shared" si="7"/>
        <v>20</v>
      </c>
    </row>
    <row r="40" spans="1:14">
      <c r="A40" s="1" cm="1">
        <f t="array" ref="A40">INDEX(tblWeeks[Week_Start],INT((ROW()-2)/20)+1)</f>
        <v>46034</v>
      </c>
      <c r="B40" t="str" cm="1">
        <f t="array" ref="B40">INDEX(tblDemandAssumptions[Customer_ID],MOD(ROW()-2,20)+1)</f>
        <v>C004</v>
      </c>
      <c r="C40" t="str" cm="1">
        <f t="array" ref="C40">INDEX(tblDemandAssumptions[Product_ID],MOD(ROW()-2,20)+1)</f>
        <v>P004</v>
      </c>
      <c r="D40" cm="1">
        <f t="array" ref="D40">INDEX(tblDemandAssumptions[Baseline_Weekly_Qty],MOD(ROW()-2,20)+1)</f>
        <v>2600</v>
      </c>
      <c r="E40">
        <f t="shared" si="0"/>
        <v>0.95</v>
      </c>
      <c r="F40">
        <v>0.97</v>
      </c>
      <c r="G40">
        <f t="shared" si="1"/>
        <v>2396</v>
      </c>
      <c r="H40">
        <v>1.03</v>
      </c>
      <c r="I40">
        <f t="shared" si="2"/>
        <v>2544</v>
      </c>
      <c r="J40" t="str">
        <f t="shared" si="3"/>
        <v>Normal</v>
      </c>
      <c r="K40">
        <f t="shared" si="4"/>
        <v>2396</v>
      </c>
      <c r="L40">
        <f t="shared" si="5"/>
        <v>-148</v>
      </c>
      <c r="M40" s="2">
        <f t="shared" si="6"/>
        <v>-5.8176100628930819E-2</v>
      </c>
      <c r="N40">
        <f t="shared" si="7"/>
        <v>148</v>
      </c>
    </row>
    <row r="41" spans="1:14">
      <c r="A41" s="1" cm="1">
        <f t="array" ref="A41">INDEX(tblWeeks[Week_Start],INT((ROW()-2)/20)+1)</f>
        <v>46034</v>
      </c>
      <c r="B41" t="str" cm="1">
        <f t="array" ref="B41">INDEX(tblDemandAssumptions[Customer_ID],MOD(ROW()-2,20)+1)</f>
        <v>C004</v>
      </c>
      <c r="C41" t="str" cm="1">
        <f t="array" ref="C41">INDEX(tblDemandAssumptions[Product_ID],MOD(ROW()-2,20)+1)</f>
        <v>P005</v>
      </c>
      <c r="D41" cm="1">
        <f t="array" ref="D41">INDEX(tblDemandAssumptions[Baseline_Weekly_Qty],MOD(ROW()-2,20)+1)</f>
        <v>1800</v>
      </c>
      <c r="E41">
        <f t="shared" si="0"/>
        <v>0.95</v>
      </c>
      <c r="F41">
        <v>0.96</v>
      </c>
      <c r="G41">
        <f t="shared" si="1"/>
        <v>1642</v>
      </c>
      <c r="H41">
        <v>0.96</v>
      </c>
      <c r="I41">
        <f t="shared" si="2"/>
        <v>1642</v>
      </c>
      <c r="J41" t="str">
        <f t="shared" si="3"/>
        <v>Normal</v>
      </c>
      <c r="K41">
        <f t="shared" si="4"/>
        <v>1642</v>
      </c>
      <c r="L41">
        <f t="shared" si="5"/>
        <v>0</v>
      </c>
      <c r="M41" s="2">
        <f t="shared" si="6"/>
        <v>0</v>
      </c>
      <c r="N41">
        <f t="shared" si="7"/>
        <v>0</v>
      </c>
    </row>
    <row r="42" spans="1:14">
      <c r="A42" s="1" cm="1">
        <f t="array" ref="A42">INDEX(tblWeeks[Week_Start],INT((ROW()-2)/20)+1)</f>
        <v>46041</v>
      </c>
      <c r="B42" t="str" cm="1">
        <f t="array" ref="B42">INDEX(tblDemandAssumptions[Customer_ID],MOD(ROW()-2,20)+1)</f>
        <v>C001</v>
      </c>
      <c r="C42" t="str" cm="1">
        <f t="array" ref="C42">INDEX(tblDemandAssumptions[Product_ID],MOD(ROW()-2,20)+1)</f>
        <v>P001</v>
      </c>
      <c r="D42" cm="1">
        <f t="array" ref="D42">INDEX(tblDemandAssumptions[Baseline_Weekly_Qty],MOD(ROW()-2,20)+1)</f>
        <v>5200</v>
      </c>
      <c r="E42">
        <f t="shared" si="0"/>
        <v>0.95</v>
      </c>
      <c r="F42">
        <v>1.05</v>
      </c>
      <c r="G42">
        <f t="shared" si="1"/>
        <v>5187</v>
      </c>
      <c r="H42">
        <v>1.01</v>
      </c>
      <c r="I42">
        <f t="shared" si="2"/>
        <v>4989</v>
      </c>
      <c r="J42" t="str">
        <f t="shared" si="3"/>
        <v>Normal</v>
      </c>
      <c r="K42">
        <f t="shared" si="4"/>
        <v>5187</v>
      </c>
      <c r="L42">
        <f t="shared" si="5"/>
        <v>198</v>
      </c>
      <c r="M42" s="2">
        <f t="shared" si="6"/>
        <v>3.9687312086590501E-2</v>
      </c>
      <c r="N42">
        <f t="shared" si="7"/>
        <v>198</v>
      </c>
    </row>
    <row r="43" spans="1:14">
      <c r="A43" s="1" cm="1">
        <f t="array" ref="A43">INDEX(tblWeeks[Week_Start],INT((ROW()-2)/20)+1)</f>
        <v>46041</v>
      </c>
      <c r="B43" t="str" cm="1">
        <f t="array" ref="B43">INDEX(tblDemandAssumptions[Customer_ID],MOD(ROW()-2,20)+1)</f>
        <v>C001</v>
      </c>
      <c r="C43" t="str" cm="1">
        <f t="array" ref="C43">INDEX(tblDemandAssumptions[Product_ID],MOD(ROW()-2,20)+1)</f>
        <v>P002</v>
      </c>
      <c r="D43" cm="1">
        <f t="array" ref="D43">INDEX(tblDemandAssumptions[Baseline_Weekly_Qty],MOD(ROW()-2,20)+1)</f>
        <v>4100</v>
      </c>
      <c r="E43">
        <f t="shared" si="0"/>
        <v>0.95</v>
      </c>
      <c r="F43">
        <v>0.99</v>
      </c>
      <c r="G43">
        <f t="shared" si="1"/>
        <v>3856</v>
      </c>
      <c r="H43">
        <v>1.01</v>
      </c>
      <c r="I43">
        <f t="shared" si="2"/>
        <v>3934</v>
      </c>
      <c r="J43" t="str">
        <f t="shared" si="3"/>
        <v>Normal</v>
      </c>
      <c r="K43">
        <f t="shared" si="4"/>
        <v>3856</v>
      </c>
      <c r="L43">
        <f t="shared" si="5"/>
        <v>-78</v>
      </c>
      <c r="M43" s="2">
        <f t="shared" si="6"/>
        <v>-1.9827147941026944E-2</v>
      </c>
      <c r="N43">
        <f t="shared" si="7"/>
        <v>78</v>
      </c>
    </row>
    <row r="44" spans="1:14">
      <c r="A44" s="1" cm="1">
        <f t="array" ref="A44">INDEX(tblWeeks[Week_Start],INT((ROW()-2)/20)+1)</f>
        <v>46041</v>
      </c>
      <c r="B44" t="str" cm="1">
        <f t="array" ref="B44">INDEX(tblDemandAssumptions[Customer_ID],MOD(ROW()-2,20)+1)</f>
        <v>C001</v>
      </c>
      <c r="C44" t="str" cm="1">
        <f t="array" ref="C44">INDEX(tblDemandAssumptions[Product_ID],MOD(ROW()-2,20)+1)</f>
        <v>P003</v>
      </c>
      <c r="D44" cm="1">
        <f t="array" ref="D44">INDEX(tblDemandAssumptions[Baseline_Weekly_Qty],MOD(ROW()-2,20)+1)</f>
        <v>3300</v>
      </c>
      <c r="E44">
        <f t="shared" si="0"/>
        <v>0.95</v>
      </c>
      <c r="F44">
        <v>1.03</v>
      </c>
      <c r="G44">
        <f t="shared" si="1"/>
        <v>3229</v>
      </c>
      <c r="H44">
        <v>0.98</v>
      </c>
      <c r="I44">
        <f t="shared" si="2"/>
        <v>3072</v>
      </c>
      <c r="J44" t="str">
        <f t="shared" si="3"/>
        <v>Normal</v>
      </c>
      <c r="K44">
        <f t="shared" si="4"/>
        <v>3229</v>
      </c>
      <c r="L44">
        <f t="shared" si="5"/>
        <v>157</v>
      </c>
      <c r="M44" s="2">
        <f t="shared" si="6"/>
        <v>5.1106770833333336E-2</v>
      </c>
      <c r="N44">
        <f t="shared" si="7"/>
        <v>157</v>
      </c>
    </row>
    <row r="45" spans="1:14">
      <c r="A45" s="1" cm="1">
        <f t="array" ref="A45">INDEX(tblWeeks[Week_Start],INT((ROW()-2)/20)+1)</f>
        <v>46041</v>
      </c>
      <c r="B45" t="str" cm="1">
        <f t="array" ref="B45">INDEX(tblDemandAssumptions[Customer_ID],MOD(ROW()-2,20)+1)</f>
        <v>C001</v>
      </c>
      <c r="C45" t="str" cm="1">
        <f t="array" ref="C45">INDEX(tblDemandAssumptions[Product_ID],MOD(ROW()-2,20)+1)</f>
        <v>P004</v>
      </c>
      <c r="D45" cm="1">
        <f t="array" ref="D45">INDEX(tblDemandAssumptions[Baseline_Weekly_Qty],MOD(ROW()-2,20)+1)</f>
        <v>3600</v>
      </c>
      <c r="E45">
        <f t="shared" si="0"/>
        <v>0.95</v>
      </c>
      <c r="F45">
        <v>0.97</v>
      </c>
      <c r="G45">
        <f t="shared" si="1"/>
        <v>3317</v>
      </c>
      <c r="H45">
        <v>1.04</v>
      </c>
      <c r="I45">
        <f t="shared" si="2"/>
        <v>3557</v>
      </c>
      <c r="J45" t="str">
        <f t="shared" si="3"/>
        <v>Normal</v>
      </c>
      <c r="K45">
        <f t="shared" si="4"/>
        <v>3317</v>
      </c>
      <c r="L45">
        <f t="shared" si="5"/>
        <v>-240</v>
      </c>
      <c r="M45" s="2">
        <f t="shared" si="6"/>
        <v>-6.7472589260612878E-2</v>
      </c>
      <c r="N45">
        <f t="shared" si="7"/>
        <v>240</v>
      </c>
    </row>
    <row r="46" spans="1:14">
      <c r="A46" s="1" cm="1">
        <f t="array" ref="A46">INDEX(tblWeeks[Week_Start],INT((ROW()-2)/20)+1)</f>
        <v>46041</v>
      </c>
      <c r="B46" t="str" cm="1">
        <f t="array" ref="B46">INDEX(tblDemandAssumptions[Customer_ID],MOD(ROW()-2,20)+1)</f>
        <v>C001</v>
      </c>
      <c r="C46" t="str" cm="1">
        <f t="array" ref="C46">INDEX(tblDemandAssumptions[Product_ID],MOD(ROW()-2,20)+1)</f>
        <v>P005</v>
      </c>
      <c r="D46" cm="1">
        <f t="array" ref="D46">INDEX(tblDemandAssumptions[Baseline_Weekly_Qty],MOD(ROW()-2,20)+1)</f>
        <v>2800</v>
      </c>
      <c r="E46">
        <f t="shared" si="0"/>
        <v>0.95</v>
      </c>
      <c r="F46">
        <v>1.05</v>
      </c>
      <c r="G46">
        <f t="shared" si="1"/>
        <v>2793</v>
      </c>
      <c r="H46">
        <v>1.01</v>
      </c>
      <c r="I46">
        <f t="shared" si="2"/>
        <v>2687</v>
      </c>
      <c r="J46" t="str">
        <f t="shared" si="3"/>
        <v>Normal</v>
      </c>
      <c r="K46">
        <f t="shared" si="4"/>
        <v>2793</v>
      </c>
      <c r="L46">
        <f t="shared" si="5"/>
        <v>106</v>
      </c>
      <c r="M46" s="2">
        <f t="shared" si="6"/>
        <v>3.9449199851135097E-2</v>
      </c>
      <c r="N46">
        <f t="shared" si="7"/>
        <v>106</v>
      </c>
    </row>
    <row r="47" spans="1:14">
      <c r="A47" s="1" cm="1">
        <f t="array" ref="A47">INDEX(tblWeeks[Week_Start],INT((ROW()-2)/20)+1)</f>
        <v>46041</v>
      </c>
      <c r="B47" t="str" cm="1">
        <f t="array" ref="B47">INDEX(tblDemandAssumptions[Customer_ID],MOD(ROW()-2,20)+1)</f>
        <v>C002</v>
      </c>
      <c r="C47" t="str" cm="1">
        <f t="array" ref="C47">INDEX(tblDemandAssumptions[Product_ID],MOD(ROW()-2,20)+1)</f>
        <v>P001</v>
      </c>
      <c r="D47" cm="1">
        <f t="array" ref="D47">INDEX(tblDemandAssumptions[Baseline_Weekly_Qty],MOD(ROW()-2,20)+1)</f>
        <v>3400</v>
      </c>
      <c r="E47">
        <f t="shared" si="0"/>
        <v>0.95</v>
      </c>
      <c r="F47">
        <v>1</v>
      </c>
      <c r="G47">
        <f t="shared" si="1"/>
        <v>3230</v>
      </c>
      <c r="H47">
        <v>1</v>
      </c>
      <c r="I47">
        <f t="shared" si="2"/>
        <v>3230</v>
      </c>
      <c r="J47" t="str">
        <f t="shared" si="3"/>
        <v>Normal</v>
      </c>
      <c r="K47">
        <f t="shared" si="4"/>
        <v>3230</v>
      </c>
      <c r="L47">
        <f t="shared" si="5"/>
        <v>0</v>
      </c>
      <c r="M47" s="2">
        <f t="shared" si="6"/>
        <v>0</v>
      </c>
      <c r="N47">
        <f t="shared" si="7"/>
        <v>0</v>
      </c>
    </row>
    <row r="48" spans="1:14">
      <c r="A48" s="1" cm="1">
        <f t="array" ref="A48">INDEX(tblWeeks[Week_Start],INT((ROW()-2)/20)+1)</f>
        <v>46041</v>
      </c>
      <c r="B48" t="str" cm="1">
        <f t="array" ref="B48">INDEX(tblDemandAssumptions[Customer_ID],MOD(ROW()-2,20)+1)</f>
        <v>C002</v>
      </c>
      <c r="C48" t="str" cm="1">
        <f t="array" ref="C48">INDEX(tblDemandAssumptions[Product_ID],MOD(ROW()-2,20)+1)</f>
        <v>P002</v>
      </c>
      <c r="D48" cm="1">
        <f t="array" ref="D48">INDEX(tblDemandAssumptions[Baseline_Weekly_Qty],MOD(ROW()-2,20)+1)</f>
        <v>3200</v>
      </c>
      <c r="E48">
        <f t="shared" si="0"/>
        <v>0.95</v>
      </c>
      <c r="F48">
        <v>0.95</v>
      </c>
      <c r="G48">
        <f t="shared" si="1"/>
        <v>2888</v>
      </c>
      <c r="H48">
        <v>0.97</v>
      </c>
      <c r="I48">
        <f t="shared" si="2"/>
        <v>2949</v>
      </c>
      <c r="J48" t="str">
        <f t="shared" si="3"/>
        <v>Normal</v>
      </c>
      <c r="K48">
        <f t="shared" si="4"/>
        <v>2888</v>
      </c>
      <c r="L48">
        <f t="shared" si="5"/>
        <v>-61</v>
      </c>
      <c r="M48" s="2">
        <f t="shared" si="6"/>
        <v>-2.0684977958630044E-2</v>
      </c>
      <c r="N48">
        <f t="shared" si="7"/>
        <v>61</v>
      </c>
    </row>
    <row r="49" spans="1:14">
      <c r="A49" s="1" cm="1">
        <f t="array" ref="A49">INDEX(tblWeeks[Week_Start],INT((ROW()-2)/20)+1)</f>
        <v>46041</v>
      </c>
      <c r="B49" t="str" cm="1">
        <f t="array" ref="B49">INDEX(tblDemandAssumptions[Customer_ID],MOD(ROW()-2,20)+1)</f>
        <v>C002</v>
      </c>
      <c r="C49" t="str" cm="1">
        <f t="array" ref="C49">INDEX(tblDemandAssumptions[Product_ID],MOD(ROW()-2,20)+1)</f>
        <v>P003</v>
      </c>
      <c r="D49" cm="1">
        <f t="array" ref="D49">INDEX(tblDemandAssumptions[Baseline_Weekly_Qty],MOD(ROW()-2,20)+1)</f>
        <v>2600</v>
      </c>
      <c r="E49">
        <f t="shared" si="0"/>
        <v>0.95</v>
      </c>
      <c r="F49">
        <v>1.02</v>
      </c>
      <c r="G49">
        <f t="shared" si="1"/>
        <v>2519</v>
      </c>
      <c r="H49">
        <v>0.96</v>
      </c>
      <c r="I49">
        <f t="shared" si="2"/>
        <v>2371</v>
      </c>
      <c r="J49" t="str">
        <f t="shared" si="3"/>
        <v>Normal</v>
      </c>
      <c r="K49">
        <f t="shared" si="4"/>
        <v>2519</v>
      </c>
      <c r="L49">
        <f t="shared" si="5"/>
        <v>148</v>
      </c>
      <c r="M49" s="2">
        <f t="shared" si="6"/>
        <v>6.2420919443272882E-2</v>
      </c>
      <c r="N49">
        <f t="shared" si="7"/>
        <v>148</v>
      </c>
    </row>
    <row r="50" spans="1:14">
      <c r="A50" s="1" cm="1">
        <f t="array" ref="A50">INDEX(tblWeeks[Week_Start],INT((ROW()-2)/20)+1)</f>
        <v>46041</v>
      </c>
      <c r="B50" t="str" cm="1">
        <f t="array" ref="B50">INDEX(tblDemandAssumptions[Customer_ID],MOD(ROW()-2,20)+1)</f>
        <v>C002</v>
      </c>
      <c r="C50" t="str" cm="1">
        <f t="array" ref="C50">INDEX(tblDemandAssumptions[Product_ID],MOD(ROW()-2,20)+1)</f>
        <v>P004</v>
      </c>
      <c r="D50" cm="1">
        <f t="array" ref="D50">INDEX(tblDemandAssumptions[Baseline_Weekly_Qty],MOD(ROW()-2,20)+1)</f>
        <v>2900</v>
      </c>
      <c r="E50">
        <f t="shared" si="0"/>
        <v>0.95</v>
      </c>
      <c r="F50">
        <v>1.05</v>
      </c>
      <c r="G50">
        <f t="shared" si="1"/>
        <v>2893</v>
      </c>
      <c r="H50">
        <v>1.04</v>
      </c>
      <c r="I50">
        <f t="shared" si="2"/>
        <v>2865</v>
      </c>
      <c r="J50" t="str">
        <f t="shared" si="3"/>
        <v>Normal</v>
      </c>
      <c r="K50">
        <f t="shared" si="4"/>
        <v>2893</v>
      </c>
      <c r="L50">
        <f t="shared" si="5"/>
        <v>28</v>
      </c>
      <c r="M50" s="2">
        <f t="shared" si="6"/>
        <v>9.7731239092495644E-3</v>
      </c>
      <c r="N50">
        <f t="shared" si="7"/>
        <v>28</v>
      </c>
    </row>
    <row r="51" spans="1:14">
      <c r="A51" s="1" cm="1">
        <f t="array" ref="A51">INDEX(tblWeeks[Week_Start],INT((ROW()-2)/20)+1)</f>
        <v>46041</v>
      </c>
      <c r="B51" t="str" cm="1">
        <f t="array" ref="B51">INDEX(tblDemandAssumptions[Customer_ID],MOD(ROW()-2,20)+1)</f>
        <v>C002</v>
      </c>
      <c r="C51" t="str" cm="1">
        <f t="array" ref="C51">INDEX(tblDemandAssumptions[Product_ID],MOD(ROW()-2,20)+1)</f>
        <v>P005</v>
      </c>
      <c r="D51" cm="1">
        <f t="array" ref="D51">INDEX(tblDemandAssumptions[Baseline_Weekly_Qty],MOD(ROW()-2,20)+1)</f>
        <v>2200</v>
      </c>
      <c r="E51">
        <f t="shared" si="0"/>
        <v>0.95</v>
      </c>
      <c r="F51">
        <v>1.01</v>
      </c>
      <c r="G51">
        <f t="shared" si="1"/>
        <v>2111</v>
      </c>
      <c r="H51">
        <v>0.96</v>
      </c>
      <c r="I51">
        <f t="shared" si="2"/>
        <v>2006</v>
      </c>
      <c r="J51" t="str">
        <f t="shared" si="3"/>
        <v>Normal</v>
      </c>
      <c r="K51">
        <f t="shared" si="4"/>
        <v>2111</v>
      </c>
      <c r="L51">
        <f t="shared" si="5"/>
        <v>105</v>
      </c>
      <c r="M51" s="2">
        <f t="shared" si="6"/>
        <v>5.2342971086739784E-2</v>
      </c>
      <c r="N51">
        <f t="shared" si="7"/>
        <v>105</v>
      </c>
    </row>
    <row r="52" spans="1:14">
      <c r="A52" s="1" cm="1">
        <f t="array" ref="A52">INDEX(tblWeeks[Week_Start],INT((ROW()-2)/20)+1)</f>
        <v>46041</v>
      </c>
      <c r="B52" t="str" cm="1">
        <f t="array" ref="B52">INDEX(tblDemandAssumptions[Customer_ID],MOD(ROW()-2,20)+1)</f>
        <v>C003</v>
      </c>
      <c r="C52" t="str" cm="1">
        <f t="array" ref="C52">INDEX(tblDemandAssumptions[Product_ID],MOD(ROW()-2,20)+1)</f>
        <v>P001</v>
      </c>
      <c r="D52" cm="1">
        <f t="array" ref="D52">INDEX(tblDemandAssumptions[Baseline_Weekly_Qty],MOD(ROW()-2,20)+1)</f>
        <v>3000</v>
      </c>
      <c r="E52">
        <f t="shared" si="0"/>
        <v>0.95</v>
      </c>
      <c r="F52">
        <v>1</v>
      </c>
      <c r="G52">
        <f t="shared" si="1"/>
        <v>2850</v>
      </c>
      <c r="H52">
        <v>1</v>
      </c>
      <c r="I52">
        <f t="shared" si="2"/>
        <v>2850</v>
      </c>
      <c r="J52" t="str">
        <f t="shared" si="3"/>
        <v>Normal</v>
      </c>
      <c r="K52">
        <f t="shared" si="4"/>
        <v>2850</v>
      </c>
      <c r="L52">
        <f t="shared" si="5"/>
        <v>0</v>
      </c>
      <c r="M52" s="2">
        <f t="shared" si="6"/>
        <v>0</v>
      </c>
      <c r="N52">
        <f t="shared" si="7"/>
        <v>0</v>
      </c>
    </row>
    <row r="53" spans="1:14">
      <c r="A53" s="1" cm="1">
        <f t="array" ref="A53">INDEX(tblWeeks[Week_Start],INT((ROW()-2)/20)+1)</f>
        <v>46041</v>
      </c>
      <c r="B53" t="str" cm="1">
        <f t="array" ref="B53">INDEX(tblDemandAssumptions[Customer_ID],MOD(ROW()-2,20)+1)</f>
        <v>C003</v>
      </c>
      <c r="C53" t="str" cm="1">
        <f t="array" ref="C53">INDEX(tblDemandAssumptions[Product_ID],MOD(ROW()-2,20)+1)</f>
        <v>P002</v>
      </c>
      <c r="D53" cm="1">
        <f t="array" ref="D53">INDEX(tblDemandAssumptions[Baseline_Weekly_Qty],MOD(ROW()-2,20)+1)</f>
        <v>2700</v>
      </c>
      <c r="E53">
        <f t="shared" si="0"/>
        <v>0.95</v>
      </c>
      <c r="F53">
        <v>0.99</v>
      </c>
      <c r="G53">
        <f t="shared" si="1"/>
        <v>2539</v>
      </c>
      <c r="H53">
        <v>0.98</v>
      </c>
      <c r="I53">
        <f t="shared" si="2"/>
        <v>2514</v>
      </c>
      <c r="J53" t="str">
        <f t="shared" si="3"/>
        <v>Normal</v>
      </c>
      <c r="K53">
        <f t="shared" si="4"/>
        <v>2539</v>
      </c>
      <c r="L53">
        <f t="shared" si="5"/>
        <v>25</v>
      </c>
      <c r="M53" s="2">
        <f t="shared" si="6"/>
        <v>9.9443118536197295E-3</v>
      </c>
      <c r="N53">
        <f t="shared" si="7"/>
        <v>25</v>
      </c>
    </row>
    <row r="54" spans="1:14">
      <c r="A54" s="1" cm="1">
        <f t="array" ref="A54">INDEX(tblWeeks[Week_Start],INT((ROW()-2)/20)+1)</f>
        <v>46041</v>
      </c>
      <c r="B54" t="str" cm="1">
        <f t="array" ref="B54">INDEX(tblDemandAssumptions[Customer_ID],MOD(ROW()-2,20)+1)</f>
        <v>C003</v>
      </c>
      <c r="C54" t="str" cm="1">
        <f t="array" ref="C54">INDEX(tblDemandAssumptions[Product_ID],MOD(ROW()-2,20)+1)</f>
        <v>P003</v>
      </c>
      <c r="D54" cm="1">
        <f t="array" ref="D54">INDEX(tblDemandAssumptions[Baseline_Weekly_Qty],MOD(ROW()-2,20)+1)</f>
        <v>2800</v>
      </c>
      <c r="E54">
        <f t="shared" si="0"/>
        <v>0.95</v>
      </c>
      <c r="F54">
        <v>1</v>
      </c>
      <c r="G54">
        <f t="shared" si="1"/>
        <v>2660</v>
      </c>
      <c r="H54">
        <v>1</v>
      </c>
      <c r="I54">
        <f t="shared" si="2"/>
        <v>2660</v>
      </c>
      <c r="J54" t="str">
        <f t="shared" si="3"/>
        <v>Normal</v>
      </c>
      <c r="K54">
        <f t="shared" si="4"/>
        <v>2660</v>
      </c>
      <c r="L54">
        <f t="shared" si="5"/>
        <v>0</v>
      </c>
      <c r="M54" s="2">
        <f t="shared" si="6"/>
        <v>0</v>
      </c>
      <c r="N54">
        <f t="shared" si="7"/>
        <v>0</v>
      </c>
    </row>
    <row r="55" spans="1:14">
      <c r="A55" s="1" cm="1">
        <f t="array" ref="A55">INDEX(tblWeeks[Week_Start],INT((ROW()-2)/20)+1)</f>
        <v>46041</v>
      </c>
      <c r="B55" t="str" cm="1">
        <f t="array" ref="B55">INDEX(tblDemandAssumptions[Customer_ID],MOD(ROW()-2,20)+1)</f>
        <v>C003</v>
      </c>
      <c r="C55" t="str" cm="1">
        <f t="array" ref="C55">INDEX(tblDemandAssumptions[Product_ID],MOD(ROW()-2,20)+1)</f>
        <v>P004</v>
      </c>
      <c r="D55" cm="1">
        <f t="array" ref="D55">INDEX(tblDemandAssumptions[Baseline_Weekly_Qty],MOD(ROW()-2,20)+1)</f>
        <v>2400</v>
      </c>
      <c r="E55">
        <f t="shared" si="0"/>
        <v>0.95</v>
      </c>
      <c r="F55">
        <v>1</v>
      </c>
      <c r="G55">
        <f t="shared" si="1"/>
        <v>2280</v>
      </c>
      <c r="H55">
        <v>0.99</v>
      </c>
      <c r="I55">
        <f t="shared" si="2"/>
        <v>2257</v>
      </c>
      <c r="J55" t="str">
        <f t="shared" si="3"/>
        <v>Normal</v>
      </c>
      <c r="K55">
        <f t="shared" si="4"/>
        <v>2280</v>
      </c>
      <c r="L55">
        <f t="shared" si="5"/>
        <v>23</v>
      </c>
      <c r="M55" s="2">
        <f t="shared" si="6"/>
        <v>1.0190518387239699E-2</v>
      </c>
      <c r="N55">
        <f t="shared" si="7"/>
        <v>23</v>
      </c>
    </row>
    <row r="56" spans="1:14">
      <c r="A56" s="1" cm="1">
        <f t="array" ref="A56">INDEX(tblWeeks[Week_Start],INT((ROW()-2)/20)+1)</f>
        <v>46041</v>
      </c>
      <c r="B56" t="str" cm="1">
        <f t="array" ref="B56">INDEX(tblDemandAssumptions[Customer_ID],MOD(ROW()-2,20)+1)</f>
        <v>C003</v>
      </c>
      <c r="C56" t="str" cm="1">
        <f t="array" ref="C56">INDEX(tblDemandAssumptions[Product_ID],MOD(ROW()-2,20)+1)</f>
        <v>P005</v>
      </c>
      <c r="D56" cm="1">
        <f t="array" ref="D56">INDEX(tblDemandAssumptions[Baseline_Weekly_Qty],MOD(ROW()-2,20)+1)</f>
        <v>1900</v>
      </c>
      <c r="E56">
        <f t="shared" si="0"/>
        <v>0.95</v>
      </c>
      <c r="F56">
        <v>0.95</v>
      </c>
      <c r="G56">
        <f t="shared" si="1"/>
        <v>1715</v>
      </c>
      <c r="H56">
        <v>1.03</v>
      </c>
      <c r="I56">
        <f t="shared" si="2"/>
        <v>1859</v>
      </c>
      <c r="J56" t="str">
        <f t="shared" si="3"/>
        <v>Normal</v>
      </c>
      <c r="K56">
        <f t="shared" si="4"/>
        <v>1715</v>
      </c>
      <c r="L56">
        <f t="shared" si="5"/>
        <v>-144</v>
      </c>
      <c r="M56" s="2">
        <f t="shared" si="6"/>
        <v>-7.7461000537923611E-2</v>
      </c>
      <c r="N56">
        <f t="shared" si="7"/>
        <v>144</v>
      </c>
    </row>
    <row r="57" spans="1:14">
      <c r="A57" s="1" cm="1">
        <f t="array" ref="A57">INDEX(tblWeeks[Week_Start],INT((ROW()-2)/20)+1)</f>
        <v>46041</v>
      </c>
      <c r="B57" t="str" cm="1">
        <f t="array" ref="B57">INDEX(tblDemandAssumptions[Customer_ID],MOD(ROW()-2,20)+1)</f>
        <v>C004</v>
      </c>
      <c r="C57" t="str" cm="1">
        <f t="array" ref="C57">INDEX(tblDemandAssumptions[Product_ID],MOD(ROW()-2,20)+1)</f>
        <v>P001</v>
      </c>
      <c r="D57" cm="1">
        <f t="array" ref="D57">INDEX(tblDemandAssumptions[Baseline_Weekly_Qty],MOD(ROW()-2,20)+1)</f>
        <v>2700</v>
      </c>
      <c r="E57">
        <f t="shared" si="0"/>
        <v>0.95</v>
      </c>
      <c r="F57">
        <v>0.95</v>
      </c>
      <c r="G57">
        <f t="shared" si="1"/>
        <v>2437</v>
      </c>
      <c r="H57">
        <v>1.01</v>
      </c>
      <c r="I57">
        <f t="shared" si="2"/>
        <v>2591</v>
      </c>
      <c r="J57" t="str">
        <f t="shared" si="3"/>
        <v>Normal</v>
      </c>
      <c r="K57">
        <f t="shared" si="4"/>
        <v>2437</v>
      </c>
      <c r="L57">
        <f t="shared" si="5"/>
        <v>-154</v>
      </c>
      <c r="M57" s="2">
        <f t="shared" si="6"/>
        <v>-5.9436510999614049E-2</v>
      </c>
      <c r="N57">
        <f t="shared" si="7"/>
        <v>154</v>
      </c>
    </row>
    <row r="58" spans="1:14">
      <c r="A58" s="1" cm="1">
        <f t="array" ref="A58">INDEX(tblWeeks[Week_Start],INT((ROW()-2)/20)+1)</f>
        <v>46041</v>
      </c>
      <c r="B58" t="str" cm="1">
        <f t="array" ref="B58">INDEX(tblDemandAssumptions[Customer_ID],MOD(ROW()-2,20)+1)</f>
        <v>C004</v>
      </c>
      <c r="C58" t="str" cm="1">
        <f t="array" ref="C58">INDEX(tblDemandAssumptions[Product_ID],MOD(ROW()-2,20)+1)</f>
        <v>P002</v>
      </c>
      <c r="D58" cm="1">
        <f t="array" ref="D58">INDEX(tblDemandAssumptions[Baseline_Weekly_Qty],MOD(ROW()-2,20)+1)</f>
        <v>2400</v>
      </c>
      <c r="E58">
        <f t="shared" si="0"/>
        <v>0.95</v>
      </c>
      <c r="F58">
        <v>0.99</v>
      </c>
      <c r="G58">
        <f t="shared" si="1"/>
        <v>2257</v>
      </c>
      <c r="H58">
        <v>0.98</v>
      </c>
      <c r="I58">
        <f t="shared" si="2"/>
        <v>2234</v>
      </c>
      <c r="J58" t="str">
        <f t="shared" si="3"/>
        <v>Normal</v>
      </c>
      <c r="K58">
        <f t="shared" si="4"/>
        <v>2257</v>
      </c>
      <c r="L58">
        <f t="shared" si="5"/>
        <v>23</v>
      </c>
      <c r="M58" s="2">
        <f t="shared" si="6"/>
        <v>1.0295434198746643E-2</v>
      </c>
      <c r="N58">
        <f t="shared" si="7"/>
        <v>23</v>
      </c>
    </row>
    <row r="59" spans="1:14">
      <c r="A59" s="1" cm="1">
        <f t="array" ref="A59">INDEX(tblWeeks[Week_Start],INT((ROW()-2)/20)+1)</f>
        <v>46041</v>
      </c>
      <c r="B59" t="str" cm="1">
        <f t="array" ref="B59">INDEX(tblDemandAssumptions[Customer_ID],MOD(ROW()-2,20)+1)</f>
        <v>C004</v>
      </c>
      <c r="C59" t="str" cm="1">
        <f t="array" ref="C59">INDEX(tblDemandAssumptions[Product_ID],MOD(ROW()-2,20)+1)</f>
        <v>P003</v>
      </c>
      <c r="D59" cm="1">
        <f t="array" ref="D59">INDEX(tblDemandAssumptions[Baseline_Weekly_Qty],MOD(ROW()-2,20)+1)</f>
        <v>2100</v>
      </c>
      <c r="E59">
        <f t="shared" si="0"/>
        <v>0.95</v>
      </c>
      <c r="F59">
        <v>0.98</v>
      </c>
      <c r="G59">
        <f t="shared" si="1"/>
        <v>1955</v>
      </c>
      <c r="H59">
        <v>1.01</v>
      </c>
      <c r="I59">
        <f t="shared" si="2"/>
        <v>2015</v>
      </c>
      <c r="J59" t="str">
        <f t="shared" si="3"/>
        <v>Normal</v>
      </c>
      <c r="K59">
        <f t="shared" si="4"/>
        <v>1955</v>
      </c>
      <c r="L59">
        <f t="shared" si="5"/>
        <v>-60</v>
      </c>
      <c r="M59" s="2">
        <f t="shared" si="6"/>
        <v>-2.9776674937965261E-2</v>
      </c>
      <c r="N59">
        <f t="shared" si="7"/>
        <v>60</v>
      </c>
    </row>
    <row r="60" spans="1:14">
      <c r="A60" s="1" cm="1">
        <f t="array" ref="A60">INDEX(tblWeeks[Week_Start],INT((ROW()-2)/20)+1)</f>
        <v>46041</v>
      </c>
      <c r="B60" t="str" cm="1">
        <f t="array" ref="B60">INDEX(tblDemandAssumptions[Customer_ID],MOD(ROW()-2,20)+1)</f>
        <v>C004</v>
      </c>
      <c r="C60" t="str" cm="1">
        <f t="array" ref="C60">INDEX(tblDemandAssumptions[Product_ID],MOD(ROW()-2,20)+1)</f>
        <v>P004</v>
      </c>
      <c r="D60" cm="1">
        <f t="array" ref="D60">INDEX(tblDemandAssumptions[Baseline_Weekly_Qty],MOD(ROW()-2,20)+1)</f>
        <v>2600</v>
      </c>
      <c r="E60">
        <f t="shared" si="0"/>
        <v>0.95</v>
      </c>
      <c r="F60">
        <v>1.05</v>
      </c>
      <c r="G60">
        <f t="shared" si="1"/>
        <v>2594</v>
      </c>
      <c r="H60">
        <v>0.98</v>
      </c>
      <c r="I60">
        <f t="shared" si="2"/>
        <v>2421</v>
      </c>
      <c r="J60" t="str">
        <f t="shared" si="3"/>
        <v>Normal</v>
      </c>
      <c r="K60">
        <f t="shared" si="4"/>
        <v>2594</v>
      </c>
      <c r="L60">
        <f t="shared" si="5"/>
        <v>173</v>
      </c>
      <c r="M60" s="2">
        <f t="shared" si="6"/>
        <v>7.1458075175547295E-2</v>
      </c>
      <c r="N60">
        <f t="shared" si="7"/>
        <v>173</v>
      </c>
    </row>
    <row r="61" spans="1:14">
      <c r="A61" s="1" cm="1">
        <f t="array" ref="A61">INDEX(tblWeeks[Week_Start],INT((ROW()-2)/20)+1)</f>
        <v>46041</v>
      </c>
      <c r="B61" t="str" cm="1">
        <f t="array" ref="B61">INDEX(tblDemandAssumptions[Customer_ID],MOD(ROW()-2,20)+1)</f>
        <v>C004</v>
      </c>
      <c r="C61" t="str" cm="1">
        <f t="array" ref="C61">INDEX(tblDemandAssumptions[Product_ID],MOD(ROW()-2,20)+1)</f>
        <v>P005</v>
      </c>
      <c r="D61" cm="1">
        <f t="array" ref="D61">INDEX(tblDemandAssumptions[Baseline_Weekly_Qty],MOD(ROW()-2,20)+1)</f>
        <v>1800</v>
      </c>
      <c r="E61">
        <f t="shared" si="0"/>
        <v>0.95</v>
      </c>
      <c r="F61">
        <v>1</v>
      </c>
      <c r="G61">
        <f t="shared" si="1"/>
        <v>1710</v>
      </c>
      <c r="H61">
        <v>1.02</v>
      </c>
      <c r="I61">
        <f t="shared" si="2"/>
        <v>1744</v>
      </c>
      <c r="J61" t="str">
        <f t="shared" si="3"/>
        <v>Normal</v>
      </c>
      <c r="K61">
        <f t="shared" si="4"/>
        <v>1710</v>
      </c>
      <c r="L61">
        <f t="shared" si="5"/>
        <v>-34</v>
      </c>
      <c r="M61" s="2">
        <f t="shared" si="6"/>
        <v>-1.9495412844036698E-2</v>
      </c>
      <c r="N61">
        <f t="shared" si="7"/>
        <v>34</v>
      </c>
    </row>
    <row r="62" spans="1:14">
      <c r="A62" s="1" cm="1">
        <f t="array" ref="A62">INDEX(tblWeeks[Week_Start],INT((ROW()-2)/20)+1)</f>
        <v>46048</v>
      </c>
      <c r="B62" t="str" cm="1">
        <f t="array" ref="B62">INDEX(tblDemandAssumptions[Customer_ID],MOD(ROW()-2,20)+1)</f>
        <v>C001</v>
      </c>
      <c r="C62" t="str" cm="1">
        <f t="array" ref="C62">INDEX(tblDemandAssumptions[Product_ID],MOD(ROW()-2,20)+1)</f>
        <v>P001</v>
      </c>
      <c r="D62" cm="1">
        <f t="array" ref="D62">INDEX(tblDemandAssumptions[Baseline_Weekly_Qty],MOD(ROW()-2,20)+1)</f>
        <v>5200</v>
      </c>
      <c r="E62">
        <f t="shared" si="0"/>
        <v>0.95</v>
      </c>
      <c r="F62">
        <v>0.99</v>
      </c>
      <c r="G62">
        <f t="shared" si="1"/>
        <v>4891</v>
      </c>
      <c r="H62">
        <v>1</v>
      </c>
      <c r="I62">
        <f t="shared" si="2"/>
        <v>4940</v>
      </c>
      <c r="J62" t="str">
        <f t="shared" si="3"/>
        <v>Normal</v>
      </c>
      <c r="K62">
        <f t="shared" si="4"/>
        <v>4891</v>
      </c>
      <c r="L62">
        <f t="shared" si="5"/>
        <v>-49</v>
      </c>
      <c r="M62" s="2">
        <f t="shared" si="6"/>
        <v>-9.9190283400809719E-3</v>
      </c>
      <c r="N62">
        <f t="shared" si="7"/>
        <v>49</v>
      </c>
    </row>
    <row r="63" spans="1:14">
      <c r="A63" s="1" cm="1">
        <f t="array" ref="A63">INDEX(tblWeeks[Week_Start],INT((ROW()-2)/20)+1)</f>
        <v>46048</v>
      </c>
      <c r="B63" t="str" cm="1">
        <f t="array" ref="B63">INDEX(tblDemandAssumptions[Customer_ID],MOD(ROW()-2,20)+1)</f>
        <v>C001</v>
      </c>
      <c r="C63" t="str" cm="1">
        <f t="array" ref="C63">INDEX(tblDemandAssumptions[Product_ID],MOD(ROW()-2,20)+1)</f>
        <v>P002</v>
      </c>
      <c r="D63" cm="1">
        <f t="array" ref="D63">INDEX(tblDemandAssumptions[Baseline_Weekly_Qty],MOD(ROW()-2,20)+1)</f>
        <v>4100</v>
      </c>
      <c r="E63">
        <f t="shared" si="0"/>
        <v>0.95</v>
      </c>
      <c r="F63">
        <v>1.02</v>
      </c>
      <c r="G63">
        <f t="shared" si="1"/>
        <v>3973</v>
      </c>
      <c r="H63">
        <v>1</v>
      </c>
      <c r="I63">
        <f t="shared" si="2"/>
        <v>3895</v>
      </c>
      <c r="J63" t="str">
        <f t="shared" si="3"/>
        <v>Normal</v>
      </c>
      <c r="K63">
        <f t="shared" si="4"/>
        <v>3973</v>
      </c>
      <c r="L63">
        <f t="shared" si="5"/>
        <v>78</v>
      </c>
      <c r="M63" s="2">
        <f t="shared" si="6"/>
        <v>2.0025673940949937E-2</v>
      </c>
      <c r="N63">
        <f t="shared" si="7"/>
        <v>78</v>
      </c>
    </row>
    <row r="64" spans="1:14">
      <c r="A64" s="1" cm="1">
        <f t="array" ref="A64">INDEX(tblWeeks[Week_Start],INT((ROW()-2)/20)+1)</f>
        <v>46048</v>
      </c>
      <c r="B64" t="str" cm="1">
        <f t="array" ref="B64">INDEX(tblDemandAssumptions[Customer_ID],MOD(ROW()-2,20)+1)</f>
        <v>C001</v>
      </c>
      <c r="C64" t="str" cm="1">
        <f t="array" ref="C64">INDEX(tblDemandAssumptions[Product_ID],MOD(ROW()-2,20)+1)</f>
        <v>P003</v>
      </c>
      <c r="D64" cm="1">
        <f t="array" ref="D64">INDEX(tblDemandAssumptions[Baseline_Weekly_Qty],MOD(ROW()-2,20)+1)</f>
        <v>3300</v>
      </c>
      <c r="E64">
        <f t="shared" si="0"/>
        <v>0.95</v>
      </c>
      <c r="F64">
        <v>0.97</v>
      </c>
      <c r="G64">
        <f t="shared" si="1"/>
        <v>3041</v>
      </c>
      <c r="H64">
        <v>1.03</v>
      </c>
      <c r="I64">
        <f t="shared" si="2"/>
        <v>3229</v>
      </c>
      <c r="J64" t="str">
        <f t="shared" si="3"/>
        <v>Normal</v>
      </c>
      <c r="K64">
        <f t="shared" si="4"/>
        <v>3041</v>
      </c>
      <c r="L64">
        <f t="shared" si="5"/>
        <v>-188</v>
      </c>
      <c r="M64" s="2">
        <f t="shared" si="6"/>
        <v>-5.8222359863734904E-2</v>
      </c>
      <c r="N64">
        <f t="shared" si="7"/>
        <v>188</v>
      </c>
    </row>
    <row r="65" spans="1:14">
      <c r="A65" s="1" cm="1">
        <f t="array" ref="A65">INDEX(tblWeeks[Week_Start],INT((ROW()-2)/20)+1)</f>
        <v>46048</v>
      </c>
      <c r="B65" t="str" cm="1">
        <f t="array" ref="B65">INDEX(tblDemandAssumptions[Customer_ID],MOD(ROW()-2,20)+1)</f>
        <v>C001</v>
      </c>
      <c r="C65" t="str" cm="1">
        <f t="array" ref="C65">INDEX(tblDemandAssumptions[Product_ID],MOD(ROW()-2,20)+1)</f>
        <v>P004</v>
      </c>
      <c r="D65" cm="1">
        <f t="array" ref="D65">INDEX(tblDemandAssumptions[Baseline_Weekly_Qty],MOD(ROW()-2,20)+1)</f>
        <v>3600</v>
      </c>
      <c r="E65">
        <f t="shared" si="0"/>
        <v>0.95</v>
      </c>
      <c r="F65">
        <v>0.96</v>
      </c>
      <c r="G65">
        <f t="shared" si="1"/>
        <v>3283</v>
      </c>
      <c r="H65">
        <v>1.03</v>
      </c>
      <c r="I65">
        <f t="shared" si="2"/>
        <v>3523</v>
      </c>
      <c r="J65" t="str">
        <f t="shared" si="3"/>
        <v>Normal</v>
      </c>
      <c r="K65">
        <f t="shared" si="4"/>
        <v>3283</v>
      </c>
      <c r="L65">
        <f t="shared" si="5"/>
        <v>-240</v>
      </c>
      <c r="M65" s="2">
        <f t="shared" si="6"/>
        <v>-6.8123758160658535E-2</v>
      </c>
      <c r="N65">
        <f t="shared" si="7"/>
        <v>240</v>
      </c>
    </row>
    <row r="66" spans="1:14">
      <c r="A66" s="1" cm="1">
        <f t="array" ref="A66">INDEX(tblWeeks[Week_Start],INT((ROW()-2)/20)+1)</f>
        <v>46048</v>
      </c>
      <c r="B66" t="str" cm="1">
        <f t="array" ref="B66">INDEX(tblDemandAssumptions[Customer_ID],MOD(ROW()-2,20)+1)</f>
        <v>C001</v>
      </c>
      <c r="C66" t="str" cm="1">
        <f t="array" ref="C66">INDEX(tblDemandAssumptions[Product_ID],MOD(ROW()-2,20)+1)</f>
        <v>P005</v>
      </c>
      <c r="D66" cm="1">
        <f t="array" ref="D66">INDEX(tblDemandAssumptions[Baseline_Weekly_Qty],MOD(ROW()-2,20)+1)</f>
        <v>2800</v>
      </c>
      <c r="E66">
        <f t="shared" ref="E66:E129" si="8">IF(MONTH(A66)&lt;=2,0.95,IF(MONTH(A66)&lt;=4,1,IF(MONTH(A66)&lt;=6,1.05,IF(MONTH(A66)&lt;=8,1.1,IF(MONTH(A66)&lt;=10,1,IF(MONTH(A66)=11,1.05,1.2))))))</f>
        <v>0.95</v>
      </c>
      <c r="F66">
        <v>1.04</v>
      </c>
      <c r="G66">
        <f t="shared" ref="G66:G129" si="9">ROUND(D66*E66*F66,0)</f>
        <v>2766</v>
      </c>
      <c r="H66">
        <v>1.02</v>
      </c>
      <c r="I66">
        <f t="shared" ref="I66:I129" si="10">ROUND(D66*E66*H66,0)</f>
        <v>2713</v>
      </c>
      <c r="J66" t="str">
        <f t="shared" ref="J66:J129" si="11">IF(AND(A66=DATE(2026,3,16),B66="C001",C66="P001"),"Promotion_Demand_Spike",IF(AND(A66=DATE(2026,6,8),B66="C002",C66="P004"),"Under_Forecast",IF(AND(A66=DATE(2026,7,20),B66="C003",C66="P003"),"Over_Forecast","Normal")))</f>
        <v>Normal</v>
      </c>
      <c r="K66">
        <f t="shared" ref="K66:K129" si="12">IF(J66="Promotion_Demand_Spike",ROUND(G66*1.35,0),IF(J66="Under_Forecast",ROUND(I66*1.25,0),IF(J66="Over_Forecast",ROUND(I66*0.72,0),G66)))</f>
        <v>2766</v>
      </c>
      <c r="L66">
        <f t="shared" ref="L66:L129" si="13">K66-I66</f>
        <v>53</v>
      </c>
      <c r="M66" s="2">
        <f t="shared" ref="M66:M129" si="14">IF(I66=0,0,L66/I66)</f>
        <v>1.9535569480280134E-2</v>
      </c>
      <c r="N66">
        <f t="shared" ref="N66:N129" si="15">ABS(L66)</f>
        <v>53</v>
      </c>
    </row>
    <row r="67" spans="1:14">
      <c r="A67" s="1" cm="1">
        <f t="array" ref="A67">INDEX(tblWeeks[Week_Start],INT((ROW()-2)/20)+1)</f>
        <v>46048</v>
      </c>
      <c r="B67" t="str" cm="1">
        <f t="array" ref="B67">INDEX(tblDemandAssumptions[Customer_ID],MOD(ROW()-2,20)+1)</f>
        <v>C002</v>
      </c>
      <c r="C67" t="str" cm="1">
        <f t="array" ref="C67">INDEX(tblDemandAssumptions[Product_ID],MOD(ROW()-2,20)+1)</f>
        <v>P001</v>
      </c>
      <c r="D67" cm="1">
        <f t="array" ref="D67">INDEX(tblDemandAssumptions[Baseline_Weekly_Qty],MOD(ROW()-2,20)+1)</f>
        <v>3400</v>
      </c>
      <c r="E67">
        <f t="shared" si="8"/>
        <v>0.95</v>
      </c>
      <c r="F67">
        <v>0.96</v>
      </c>
      <c r="G67">
        <f t="shared" si="9"/>
        <v>3101</v>
      </c>
      <c r="H67">
        <v>1</v>
      </c>
      <c r="I67">
        <f t="shared" si="10"/>
        <v>3230</v>
      </c>
      <c r="J67" t="str">
        <f t="shared" si="11"/>
        <v>Normal</v>
      </c>
      <c r="K67">
        <f t="shared" si="12"/>
        <v>3101</v>
      </c>
      <c r="L67">
        <f t="shared" si="13"/>
        <v>-129</v>
      </c>
      <c r="M67" s="2">
        <f t="shared" si="14"/>
        <v>-3.9938080495356035E-2</v>
      </c>
      <c r="N67">
        <f t="shared" si="15"/>
        <v>129</v>
      </c>
    </row>
    <row r="68" spans="1:14">
      <c r="A68" s="1" cm="1">
        <f t="array" ref="A68">INDEX(tblWeeks[Week_Start],INT((ROW()-2)/20)+1)</f>
        <v>46048</v>
      </c>
      <c r="B68" t="str" cm="1">
        <f t="array" ref="B68">INDEX(tblDemandAssumptions[Customer_ID],MOD(ROW()-2,20)+1)</f>
        <v>C002</v>
      </c>
      <c r="C68" t="str" cm="1">
        <f t="array" ref="C68">INDEX(tblDemandAssumptions[Product_ID],MOD(ROW()-2,20)+1)</f>
        <v>P002</v>
      </c>
      <c r="D68" cm="1">
        <f t="array" ref="D68">INDEX(tblDemandAssumptions[Baseline_Weekly_Qty],MOD(ROW()-2,20)+1)</f>
        <v>3200</v>
      </c>
      <c r="E68">
        <f t="shared" si="8"/>
        <v>0.95</v>
      </c>
      <c r="F68">
        <v>1.03</v>
      </c>
      <c r="G68">
        <f t="shared" si="9"/>
        <v>3131</v>
      </c>
      <c r="H68">
        <v>1</v>
      </c>
      <c r="I68">
        <f t="shared" si="10"/>
        <v>3040</v>
      </c>
      <c r="J68" t="str">
        <f t="shared" si="11"/>
        <v>Normal</v>
      </c>
      <c r="K68">
        <f t="shared" si="12"/>
        <v>3131</v>
      </c>
      <c r="L68">
        <f t="shared" si="13"/>
        <v>91</v>
      </c>
      <c r="M68" s="2">
        <f t="shared" si="14"/>
        <v>2.9934210526315789E-2</v>
      </c>
      <c r="N68">
        <f t="shared" si="15"/>
        <v>91</v>
      </c>
    </row>
    <row r="69" spans="1:14">
      <c r="A69" s="1" cm="1">
        <f t="array" ref="A69">INDEX(tblWeeks[Week_Start],INT((ROW()-2)/20)+1)</f>
        <v>46048</v>
      </c>
      <c r="B69" t="str" cm="1">
        <f t="array" ref="B69">INDEX(tblDemandAssumptions[Customer_ID],MOD(ROW()-2,20)+1)</f>
        <v>C002</v>
      </c>
      <c r="C69" t="str" cm="1">
        <f t="array" ref="C69">INDEX(tblDemandAssumptions[Product_ID],MOD(ROW()-2,20)+1)</f>
        <v>P003</v>
      </c>
      <c r="D69" cm="1">
        <f t="array" ref="D69">INDEX(tblDemandAssumptions[Baseline_Weekly_Qty],MOD(ROW()-2,20)+1)</f>
        <v>2600</v>
      </c>
      <c r="E69">
        <f t="shared" si="8"/>
        <v>0.95</v>
      </c>
      <c r="F69">
        <v>1.01</v>
      </c>
      <c r="G69">
        <f t="shared" si="9"/>
        <v>2495</v>
      </c>
      <c r="H69">
        <v>1.03</v>
      </c>
      <c r="I69">
        <f t="shared" si="10"/>
        <v>2544</v>
      </c>
      <c r="J69" t="str">
        <f t="shared" si="11"/>
        <v>Normal</v>
      </c>
      <c r="K69">
        <f t="shared" si="12"/>
        <v>2495</v>
      </c>
      <c r="L69">
        <f t="shared" si="13"/>
        <v>-49</v>
      </c>
      <c r="M69" s="2">
        <f t="shared" si="14"/>
        <v>-1.9261006289308175E-2</v>
      </c>
      <c r="N69">
        <f t="shared" si="15"/>
        <v>49</v>
      </c>
    </row>
    <row r="70" spans="1:14">
      <c r="A70" s="1" cm="1">
        <f t="array" ref="A70">INDEX(tblWeeks[Week_Start],INT((ROW()-2)/20)+1)</f>
        <v>46048</v>
      </c>
      <c r="B70" t="str" cm="1">
        <f t="array" ref="B70">INDEX(tblDemandAssumptions[Customer_ID],MOD(ROW()-2,20)+1)</f>
        <v>C002</v>
      </c>
      <c r="C70" t="str" cm="1">
        <f t="array" ref="C70">INDEX(tblDemandAssumptions[Product_ID],MOD(ROW()-2,20)+1)</f>
        <v>P004</v>
      </c>
      <c r="D70" cm="1">
        <f t="array" ref="D70">INDEX(tblDemandAssumptions[Baseline_Weekly_Qty],MOD(ROW()-2,20)+1)</f>
        <v>2900</v>
      </c>
      <c r="E70">
        <f t="shared" si="8"/>
        <v>0.95</v>
      </c>
      <c r="F70">
        <v>1.05</v>
      </c>
      <c r="G70">
        <f t="shared" si="9"/>
        <v>2893</v>
      </c>
      <c r="H70">
        <v>0.98</v>
      </c>
      <c r="I70">
        <f t="shared" si="10"/>
        <v>2700</v>
      </c>
      <c r="J70" t="str">
        <f t="shared" si="11"/>
        <v>Normal</v>
      </c>
      <c r="K70">
        <f t="shared" si="12"/>
        <v>2893</v>
      </c>
      <c r="L70">
        <f t="shared" si="13"/>
        <v>193</v>
      </c>
      <c r="M70" s="2">
        <f t="shared" si="14"/>
        <v>7.1481481481481479E-2</v>
      </c>
      <c r="N70">
        <f t="shared" si="15"/>
        <v>193</v>
      </c>
    </row>
    <row r="71" spans="1:14">
      <c r="A71" s="1" cm="1">
        <f t="array" ref="A71">INDEX(tblWeeks[Week_Start],INT((ROW()-2)/20)+1)</f>
        <v>46048</v>
      </c>
      <c r="B71" t="str" cm="1">
        <f t="array" ref="B71">INDEX(tblDemandAssumptions[Customer_ID],MOD(ROW()-2,20)+1)</f>
        <v>C002</v>
      </c>
      <c r="C71" t="str" cm="1">
        <f t="array" ref="C71">INDEX(tblDemandAssumptions[Product_ID],MOD(ROW()-2,20)+1)</f>
        <v>P005</v>
      </c>
      <c r="D71" cm="1">
        <f t="array" ref="D71">INDEX(tblDemandAssumptions[Baseline_Weekly_Qty],MOD(ROW()-2,20)+1)</f>
        <v>2200</v>
      </c>
      <c r="E71">
        <f t="shared" si="8"/>
        <v>0.95</v>
      </c>
      <c r="F71">
        <v>0.99</v>
      </c>
      <c r="G71">
        <f t="shared" si="9"/>
        <v>2069</v>
      </c>
      <c r="H71">
        <v>0.96</v>
      </c>
      <c r="I71">
        <f t="shared" si="10"/>
        <v>2006</v>
      </c>
      <c r="J71" t="str">
        <f t="shared" si="11"/>
        <v>Normal</v>
      </c>
      <c r="K71">
        <f t="shared" si="12"/>
        <v>2069</v>
      </c>
      <c r="L71">
        <f t="shared" si="13"/>
        <v>63</v>
      </c>
      <c r="M71" s="2">
        <f t="shared" si="14"/>
        <v>3.140578265204387E-2</v>
      </c>
      <c r="N71">
        <f t="shared" si="15"/>
        <v>63</v>
      </c>
    </row>
    <row r="72" spans="1:14">
      <c r="A72" s="1" cm="1">
        <f t="array" ref="A72">INDEX(tblWeeks[Week_Start],INT((ROW()-2)/20)+1)</f>
        <v>46048</v>
      </c>
      <c r="B72" t="str" cm="1">
        <f t="array" ref="B72">INDEX(tblDemandAssumptions[Customer_ID],MOD(ROW()-2,20)+1)</f>
        <v>C003</v>
      </c>
      <c r="C72" t="str" cm="1">
        <f t="array" ref="C72">INDEX(tblDemandAssumptions[Product_ID],MOD(ROW()-2,20)+1)</f>
        <v>P001</v>
      </c>
      <c r="D72" cm="1">
        <f t="array" ref="D72">INDEX(tblDemandAssumptions[Baseline_Weekly_Qty],MOD(ROW()-2,20)+1)</f>
        <v>3000</v>
      </c>
      <c r="E72">
        <f t="shared" si="8"/>
        <v>0.95</v>
      </c>
      <c r="F72">
        <v>1.02</v>
      </c>
      <c r="G72">
        <f t="shared" si="9"/>
        <v>2907</v>
      </c>
      <c r="H72">
        <v>1.04</v>
      </c>
      <c r="I72">
        <f t="shared" si="10"/>
        <v>2964</v>
      </c>
      <c r="J72" t="str">
        <f t="shared" si="11"/>
        <v>Normal</v>
      </c>
      <c r="K72">
        <f t="shared" si="12"/>
        <v>2907</v>
      </c>
      <c r="L72">
        <f t="shared" si="13"/>
        <v>-57</v>
      </c>
      <c r="M72" s="2">
        <f t="shared" si="14"/>
        <v>-1.9230769230769232E-2</v>
      </c>
      <c r="N72">
        <f t="shared" si="15"/>
        <v>57</v>
      </c>
    </row>
    <row r="73" spans="1:14">
      <c r="A73" s="1" cm="1">
        <f t="array" ref="A73">INDEX(tblWeeks[Week_Start],INT((ROW()-2)/20)+1)</f>
        <v>46048</v>
      </c>
      <c r="B73" t="str" cm="1">
        <f t="array" ref="B73">INDEX(tblDemandAssumptions[Customer_ID],MOD(ROW()-2,20)+1)</f>
        <v>C003</v>
      </c>
      <c r="C73" t="str" cm="1">
        <f t="array" ref="C73">INDEX(tblDemandAssumptions[Product_ID],MOD(ROW()-2,20)+1)</f>
        <v>P002</v>
      </c>
      <c r="D73" cm="1">
        <f t="array" ref="D73">INDEX(tblDemandAssumptions[Baseline_Weekly_Qty],MOD(ROW()-2,20)+1)</f>
        <v>2700</v>
      </c>
      <c r="E73">
        <f t="shared" si="8"/>
        <v>0.95</v>
      </c>
      <c r="F73">
        <v>1.04</v>
      </c>
      <c r="G73">
        <f t="shared" si="9"/>
        <v>2668</v>
      </c>
      <c r="H73">
        <v>1.01</v>
      </c>
      <c r="I73">
        <f t="shared" si="10"/>
        <v>2591</v>
      </c>
      <c r="J73" t="str">
        <f t="shared" si="11"/>
        <v>Normal</v>
      </c>
      <c r="K73">
        <f t="shared" si="12"/>
        <v>2668</v>
      </c>
      <c r="L73">
        <f t="shared" si="13"/>
        <v>77</v>
      </c>
      <c r="M73" s="2">
        <f t="shared" si="14"/>
        <v>2.9718255499807025E-2</v>
      </c>
      <c r="N73">
        <f t="shared" si="15"/>
        <v>77</v>
      </c>
    </row>
    <row r="74" spans="1:14">
      <c r="A74" s="1" cm="1">
        <f t="array" ref="A74">INDEX(tblWeeks[Week_Start],INT((ROW()-2)/20)+1)</f>
        <v>46048</v>
      </c>
      <c r="B74" t="str" cm="1">
        <f t="array" ref="B74">INDEX(tblDemandAssumptions[Customer_ID],MOD(ROW()-2,20)+1)</f>
        <v>C003</v>
      </c>
      <c r="C74" t="str" cm="1">
        <f t="array" ref="C74">INDEX(tblDemandAssumptions[Product_ID],MOD(ROW()-2,20)+1)</f>
        <v>P003</v>
      </c>
      <c r="D74" cm="1">
        <f t="array" ref="D74">INDEX(tblDemandAssumptions[Baseline_Weekly_Qty],MOD(ROW()-2,20)+1)</f>
        <v>2800</v>
      </c>
      <c r="E74">
        <f t="shared" si="8"/>
        <v>0.95</v>
      </c>
      <c r="F74">
        <v>1.02</v>
      </c>
      <c r="G74">
        <f t="shared" si="9"/>
        <v>2713</v>
      </c>
      <c r="H74">
        <v>0.97</v>
      </c>
      <c r="I74">
        <f t="shared" si="10"/>
        <v>2580</v>
      </c>
      <c r="J74" t="str">
        <f t="shared" si="11"/>
        <v>Normal</v>
      </c>
      <c r="K74">
        <f t="shared" si="12"/>
        <v>2713</v>
      </c>
      <c r="L74">
        <f t="shared" si="13"/>
        <v>133</v>
      </c>
      <c r="M74" s="2">
        <f t="shared" si="14"/>
        <v>5.1550387596899228E-2</v>
      </c>
      <c r="N74">
        <f t="shared" si="15"/>
        <v>133</v>
      </c>
    </row>
    <row r="75" spans="1:14">
      <c r="A75" s="1" cm="1">
        <f t="array" ref="A75">INDEX(tblWeeks[Week_Start],INT((ROW()-2)/20)+1)</f>
        <v>46048</v>
      </c>
      <c r="B75" t="str" cm="1">
        <f t="array" ref="B75">INDEX(tblDemandAssumptions[Customer_ID],MOD(ROW()-2,20)+1)</f>
        <v>C003</v>
      </c>
      <c r="C75" t="str" cm="1">
        <f t="array" ref="C75">INDEX(tblDemandAssumptions[Product_ID],MOD(ROW()-2,20)+1)</f>
        <v>P004</v>
      </c>
      <c r="D75" cm="1">
        <f t="array" ref="D75">INDEX(tblDemandAssumptions[Baseline_Weekly_Qty],MOD(ROW()-2,20)+1)</f>
        <v>2400</v>
      </c>
      <c r="E75">
        <f t="shared" si="8"/>
        <v>0.95</v>
      </c>
      <c r="F75">
        <v>1</v>
      </c>
      <c r="G75">
        <f t="shared" si="9"/>
        <v>2280</v>
      </c>
      <c r="H75">
        <v>1.03</v>
      </c>
      <c r="I75">
        <f t="shared" si="10"/>
        <v>2348</v>
      </c>
      <c r="J75" t="str">
        <f t="shared" si="11"/>
        <v>Normal</v>
      </c>
      <c r="K75">
        <f t="shared" si="12"/>
        <v>2280</v>
      </c>
      <c r="L75">
        <f t="shared" si="13"/>
        <v>-68</v>
      </c>
      <c r="M75" s="2">
        <f t="shared" si="14"/>
        <v>-2.8960817717206135E-2</v>
      </c>
      <c r="N75">
        <f t="shared" si="15"/>
        <v>68</v>
      </c>
    </row>
    <row r="76" spans="1:14">
      <c r="A76" s="1" cm="1">
        <f t="array" ref="A76">INDEX(tblWeeks[Week_Start],INT((ROW()-2)/20)+1)</f>
        <v>46048</v>
      </c>
      <c r="B76" t="str" cm="1">
        <f t="array" ref="B76">INDEX(tblDemandAssumptions[Customer_ID],MOD(ROW()-2,20)+1)</f>
        <v>C003</v>
      </c>
      <c r="C76" t="str" cm="1">
        <f t="array" ref="C76">INDEX(tblDemandAssumptions[Product_ID],MOD(ROW()-2,20)+1)</f>
        <v>P005</v>
      </c>
      <c r="D76" cm="1">
        <f t="array" ref="D76">INDEX(tblDemandAssumptions[Baseline_Weekly_Qty],MOD(ROW()-2,20)+1)</f>
        <v>1900</v>
      </c>
      <c r="E76">
        <f t="shared" si="8"/>
        <v>0.95</v>
      </c>
      <c r="F76">
        <v>1</v>
      </c>
      <c r="G76">
        <f t="shared" si="9"/>
        <v>1805</v>
      </c>
      <c r="H76">
        <v>0.96</v>
      </c>
      <c r="I76">
        <f t="shared" si="10"/>
        <v>1733</v>
      </c>
      <c r="J76" t="str">
        <f t="shared" si="11"/>
        <v>Normal</v>
      </c>
      <c r="K76">
        <f t="shared" si="12"/>
        <v>1805</v>
      </c>
      <c r="L76">
        <f t="shared" si="13"/>
        <v>72</v>
      </c>
      <c r="M76" s="2">
        <f t="shared" si="14"/>
        <v>4.15464512406232E-2</v>
      </c>
      <c r="N76">
        <f t="shared" si="15"/>
        <v>72</v>
      </c>
    </row>
    <row r="77" spans="1:14">
      <c r="A77" s="1" cm="1">
        <f t="array" ref="A77">INDEX(tblWeeks[Week_Start],INT((ROW()-2)/20)+1)</f>
        <v>46048</v>
      </c>
      <c r="B77" t="str" cm="1">
        <f t="array" ref="B77">INDEX(tblDemandAssumptions[Customer_ID],MOD(ROW()-2,20)+1)</f>
        <v>C004</v>
      </c>
      <c r="C77" t="str" cm="1">
        <f t="array" ref="C77">INDEX(tblDemandAssumptions[Product_ID],MOD(ROW()-2,20)+1)</f>
        <v>P001</v>
      </c>
      <c r="D77" cm="1">
        <f t="array" ref="D77">INDEX(tblDemandAssumptions[Baseline_Weekly_Qty],MOD(ROW()-2,20)+1)</f>
        <v>2700</v>
      </c>
      <c r="E77">
        <f t="shared" si="8"/>
        <v>0.95</v>
      </c>
      <c r="F77">
        <v>1.01</v>
      </c>
      <c r="G77">
        <f t="shared" si="9"/>
        <v>2591</v>
      </c>
      <c r="H77">
        <v>1.02</v>
      </c>
      <c r="I77">
        <f t="shared" si="10"/>
        <v>2616</v>
      </c>
      <c r="J77" t="str">
        <f t="shared" si="11"/>
        <v>Normal</v>
      </c>
      <c r="K77">
        <f t="shared" si="12"/>
        <v>2591</v>
      </c>
      <c r="L77">
        <f t="shared" si="13"/>
        <v>-25</v>
      </c>
      <c r="M77" s="2">
        <f t="shared" si="14"/>
        <v>-9.5565749235474E-3</v>
      </c>
      <c r="N77">
        <f t="shared" si="15"/>
        <v>25</v>
      </c>
    </row>
    <row r="78" spans="1:14">
      <c r="A78" s="1" cm="1">
        <f t="array" ref="A78">INDEX(tblWeeks[Week_Start],INT((ROW()-2)/20)+1)</f>
        <v>46048</v>
      </c>
      <c r="B78" t="str" cm="1">
        <f t="array" ref="B78">INDEX(tblDemandAssumptions[Customer_ID],MOD(ROW()-2,20)+1)</f>
        <v>C004</v>
      </c>
      <c r="C78" t="str" cm="1">
        <f t="array" ref="C78">INDEX(tblDemandAssumptions[Product_ID],MOD(ROW()-2,20)+1)</f>
        <v>P002</v>
      </c>
      <c r="D78" cm="1">
        <f t="array" ref="D78">INDEX(tblDemandAssumptions[Baseline_Weekly_Qty],MOD(ROW()-2,20)+1)</f>
        <v>2400</v>
      </c>
      <c r="E78">
        <f t="shared" si="8"/>
        <v>0.95</v>
      </c>
      <c r="F78">
        <v>1.03</v>
      </c>
      <c r="G78">
        <f t="shared" si="9"/>
        <v>2348</v>
      </c>
      <c r="H78">
        <v>0.96</v>
      </c>
      <c r="I78">
        <f t="shared" si="10"/>
        <v>2189</v>
      </c>
      <c r="J78" t="str">
        <f t="shared" si="11"/>
        <v>Normal</v>
      </c>
      <c r="K78">
        <f t="shared" si="12"/>
        <v>2348</v>
      </c>
      <c r="L78">
        <f t="shared" si="13"/>
        <v>159</v>
      </c>
      <c r="M78" s="2">
        <f t="shared" si="14"/>
        <v>7.2635906806761075E-2</v>
      </c>
      <c r="N78">
        <f t="shared" si="15"/>
        <v>159</v>
      </c>
    </row>
    <row r="79" spans="1:14">
      <c r="A79" s="1" cm="1">
        <f t="array" ref="A79">INDEX(tblWeeks[Week_Start],INT((ROW()-2)/20)+1)</f>
        <v>46048</v>
      </c>
      <c r="B79" t="str" cm="1">
        <f t="array" ref="B79">INDEX(tblDemandAssumptions[Customer_ID],MOD(ROW()-2,20)+1)</f>
        <v>C004</v>
      </c>
      <c r="C79" t="str" cm="1">
        <f t="array" ref="C79">INDEX(tblDemandAssumptions[Product_ID],MOD(ROW()-2,20)+1)</f>
        <v>P003</v>
      </c>
      <c r="D79" cm="1">
        <f t="array" ref="D79">INDEX(tblDemandAssumptions[Baseline_Weekly_Qty],MOD(ROW()-2,20)+1)</f>
        <v>2100</v>
      </c>
      <c r="E79">
        <f t="shared" si="8"/>
        <v>0.95</v>
      </c>
      <c r="F79">
        <v>1.02</v>
      </c>
      <c r="G79">
        <f t="shared" si="9"/>
        <v>2035</v>
      </c>
      <c r="H79">
        <v>0.99</v>
      </c>
      <c r="I79">
        <f t="shared" si="10"/>
        <v>1975</v>
      </c>
      <c r="J79" t="str">
        <f t="shared" si="11"/>
        <v>Normal</v>
      </c>
      <c r="K79">
        <f t="shared" si="12"/>
        <v>2035</v>
      </c>
      <c r="L79">
        <f t="shared" si="13"/>
        <v>60</v>
      </c>
      <c r="M79" s="2">
        <f t="shared" si="14"/>
        <v>3.0379746835443037E-2</v>
      </c>
      <c r="N79">
        <f t="shared" si="15"/>
        <v>60</v>
      </c>
    </row>
    <row r="80" spans="1:14">
      <c r="A80" s="1" cm="1">
        <f t="array" ref="A80">INDEX(tblWeeks[Week_Start],INT((ROW()-2)/20)+1)</f>
        <v>46048</v>
      </c>
      <c r="B80" t="str" cm="1">
        <f t="array" ref="B80">INDEX(tblDemandAssumptions[Customer_ID],MOD(ROW()-2,20)+1)</f>
        <v>C004</v>
      </c>
      <c r="C80" t="str" cm="1">
        <f t="array" ref="C80">INDEX(tblDemandAssumptions[Product_ID],MOD(ROW()-2,20)+1)</f>
        <v>P004</v>
      </c>
      <c r="D80" cm="1">
        <f t="array" ref="D80">INDEX(tblDemandAssumptions[Baseline_Weekly_Qty],MOD(ROW()-2,20)+1)</f>
        <v>2600</v>
      </c>
      <c r="E80">
        <f t="shared" si="8"/>
        <v>0.95</v>
      </c>
      <c r="F80">
        <v>0.96</v>
      </c>
      <c r="G80">
        <f t="shared" si="9"/>
        <v>2371</v>
      </c>
      <c r="H80">
        <v>0.96</v>
      </c>
      <c r="I80">
        <f t="shared" si="10"/>
        <v>2371</v>
      </c>
      <c r="J80" t="str">
        <f t="shared" si="11"/>
        <v>Normal</v>
      </c>
      <c r="K80">
        <f t="shared" si="12"/>
        <v>2371</v>
      </c>
      <c r="L80">
        <f t="shared" si="13"/>
        <v>0</v>
      </c>
      <c r="M80" s="2">
        <f t="shared" si="14"/>
        <v>0</v>
      </c>
      <c r="N80">
        <f t="shared" si="15"/>
        <v>0</v>
      </c>
    </row>
    <row r="81" spans="1:14">
      <c r="A81" s="1" cm="1">
        <f t="array" ref="A81">INDEX(tblWeeks[Week_Start],INT((ROW()-2)/20)+1)</f>
        <v>46048</v>
      </c>
      <c r="B81" t="str" cm="1">
        <f t="array" ref="B81">INDEX(tblDemandAssumptions[Customer_ID],MOD(ROW()-2,20)+1)</f>
        <v>C004</v>
      </c>
      <c r="C81" t="str" cm="1">
        <f t="array" ref="C81">INDEX(tblDemandAssumptions[Product_ID],MOD(ROW()-2,20)+1)</f>
        <v>P005</v>
      </c>
      <c r="D81" cm="1">
        <f t="array" ref="D81">INDEX(tblDemandAssumptions[Baseline_Weekly_Qty],MOD(ROW()-2,20)+1)</f>
        <v>1800</v>
      </c>
      <c r="E81">
        <f t="shared" si="8"/>
        <v>0.95</v>
      </c>
      <c r="F81">
        <v>1.03</v>
      </c>
      <c r="G81">
        <f t="shared" si="9"/>
        <v>1761</v>
      </c>
      <c r="H81">
        <v>0.98</v>
      </c>
      <c r="I81">
        <f t="shared" si="10"/>
        <v>1676</v>
      </c>
      <c r="J81" t="str">
        <f t="shared" si="11"/>
        <v>Normal</v>
      </c>
      <c r="K81">
        <f t="shared" si="12"/>
        <v>1761</v>
      </c>
      <c r="L81">
        <f t="shared" si="13"/>
        <v>85</v>
      </c>
      <c r="M81" s="2">
        <f t="shared" si="14"/>
        <v>5.0715990453460619E-2</v>
      </c>
      <c r="N81">
        <f t="shared" si="15"/>
        <v>85</v>
      </c>
    </row>
    <row r="82" spans="1:14">
      <c r="A82" s="1" cm="1">
        <f t="array" ref="A82">INDEX(tblWeeks[Week_Start],INT((ROW()-2)/20)+1)</f>
        <v>46055</v>
      </c>
      <c r="B82" t="str" cm="1">
        <f t="array" ref="B82">INDEX(tblDemandAssumptions[Customer_ID],MOD(ROW()-2,20)+1)</f>
        <v>C001</v>
      </c>
      <c r="C82" t="str" cm="1">
        <f t="array" ref="C82">INDEX(tblDemandAssumptions[Product_ID],MOD(ROW()-2,20)+1)</f>
        <v>P001</v>
      </c>
      <c r="D82" cm="1">
        <f t="array" ref="D82">INDEX(tblDemandAssumptions[Baseline_Weekly_Qty],MOD(ROW()-2,20)+1)</f>
        <v>5200</v>
      </c>
      <c r="E82">
        <f t="shared" si="8"/>
        <v>0.95</v>
      </c>
      <c r="F82">
        <v>1.02</v>
      </c>
      <c r="G82">
        <f t="shared" si="9"/>
        <v>5039</v>
      </c>
      <c r="H82">
        <v>1.02</v>
      </c>
      <c r="I82">
        <f t="shared" si="10"/>
        <v>5039</v>
      </c>
      <c r="J82" t="str">
        <f t="shared" si="11"/>
        <v>Normal</v>
      </c>
      <c r="K82">
        <f t="shared" si="12"/>
        <v>5039</v>
      </c>
      <c r="L82">
        <f t="shared" si="13"/>
        <v>0</v>
      </c>
      <c r="M82" s="2">
        <f t="shared" si="14"/>
        <v>0</v>
      </c>
      <c r="N82">
        <f t="shared" si="15"/>
        <v>0</v>
      </c>
    </row>
    <row r="83" spans="1:14">
      <c r="A83" s="1" cm="1">
        <f t="array" ref="A83">INDEX(tblWeeks[Week_Start],INT((ROW()-2)/20)+1)</f>
        <v>46055</v>
      </c>
      <c r="B83" t="str" cm="1">
        <f t="array" ref="B83">INDEX(tblDemandAssumptions[Customer_ID],MOD(ROW()-2,20)+1)</f>
        <v>C001</v>
      </c>
      <c r="C83" t="str" cm="1">
        <f t="array" ref="C83">INDEX(tblDemandAssumptions[Product_ID],MOD(ROW()-2,20)+1)</f>
        <v>P002</v>
      </c>
      <c r="D83" cm="1">
        <f t="array" ref="D83">INDEX(tblDemandAssumptions[Baseline_Weekly_Qty],MOD(ROW()-2,20)+1)</f>
        <v>4100</v>
      </c>
      <c r="E83">
        <f t="shared" si="8"/>
        <v>0.95</v>
      </c>
      <c r="F83">
        <v>0.99</v>
      </c>
      <c r="G83">
        <f t="shared" si="9"/>
        <v>3856</v>
      </c>
      <c r="H83">
        <v>0.98</v>
      </c>
      <c r="I83">
        <f t="shared" si="10"/>
        <v>3817</v>
      </c>
      <c r="J83" t="str">
        <f t="shared" si="11"/>
        <v>Normal</v>
      </c>
      <c r="K83">
        <f t="shared" si="12"/>
        <v>3856</v>
      </c>
      <c r="L83">
        <f t="shared" si="13"/>
        <v>39</v>
      </c>
      <c r="M83" s="2">
        <f t="shared" si="14"/>
        <v>1.0217448257794078E-2</v>
      </c>
      <c r="N83">
        <f t="shared" si="15"/>
        <v>39</v>
      </c>
    </row>
    <row r="84" spans="1:14">
      <c r="A84" s="1" cm="1">
        <f t="array" ref="A84">INDEX(tblWeeks[Week_Start],INT((ROW()-2)/20)+1)</f>
        <v>46055</v>
      </c>
      <c r="B84" t="str" cm="1">
        <f t="array" ref="B84">INDEX(tblDemandAssumptions[Customer_ID],MOD(ROW()-2,20)+1)</f>
        <v>C001</v>
      </c>
      <c r="C84" t="str" cm="1">
        <f t="array" ref="C84">INDEX(tblDemandAssumptions[Product_ID],MOD(ROW()-2,20)+1)</f>
        <v>P003</v>
      </c>
      <c r="D84" cm="1">
        <f t="array" ref="D84">INDEX(tblDemandAssumptions[Baseline_Weekly_Qty],MOD(ROW()-2,20)+1)</f>
        <v>3300</v>
      </c>
      <c r="E84">
        <f t="shared" si="8"/>
        <v>0.95</v>
      </c>
      <c r="F84">
        <v>0.97</v>
      </c>
      <c r="G84">
        <f t="shared" si="9"/>
        <v>3041</v>
      </c>
      <c r="H84">
        <v>1.03</v>
      </c>
      <c r="I84">
        <f t="shared" si="10"/>
        <v>3229</v>
      </c>
      <c r="J84" t="str">
        <f t="shared" si="11"/>
        <v>Normal</v>
      </c>
      <c r="K84">
        <f t="shared" si="12"/>
        <v>3041</v>
      </c>
      <c r="L84">
        <f t="shared" si="13"/>
        <v>-188</v>
      </c>
      <c r="M84" s="2">
        <f t="shared" si="14"/>
        <v>-5.8222359863734904E-2</v>
      </c>
      <c r="N84">
        <f t="shared" si="15"/>
        <v>188</v>
      </c>
    </row>
    <row r="85" spans="1:14">
      <c r="A85" s="1" cm="1">
        <f t="array" ref="A85">INDEX(tblWeeks[Week_Start],INT((ROW()-2)/20)+1)</f>
        <v>46055</v>
      </c>
      <c r="B85" t="str" cm="1">
        <f t="array" ref="B85">INDEX(tblDemandAssumptions[Customer_ID],MOD(ROW()-2,20)+1)</f>
        <v>C001</v>
      </c>
      <c r="C85" t="str" cm="1">
        <f t="array" ref="C85">INDEX(tblDemandAssumptions[Product_ID],MOD(ROW()-2,20)+1)</f>
        <v>P004</v>
      </c>
      <c r="D85" cm="1">
        <f t="array" ref="D85">INDEX(tblDemandAssumptions[Baseline_Weekly_Qty],MOD(ROW()-2,20)+1)</f>
        <v>3600</v>
      </c>
      <c r="E85">
        <f t="shared" si="8"/>
        <v>0.95</v>
      </c>
      <c r="F85">
        <v>1.02</v>
      </c>
      <c r="G85">
        <f t="shared" si="9"/>
        <v>3488</v>
      </c>
      <c r="H85">
        <v>1.01</v>
      </c>
      <c r="I85">
        <f t="shared" si="10"/>
        <v>3454</v>
      </c>
      <c r="J85" t="str">
        <f t="shared" si="11"/>
        <v>Normal</v>
      </c>
      <c r="K85">
        <f t="shared" si="12"/>
        <v>3488</v>
      </c>
      <c r="L85">
        <f t="shared" si="13"/>
        <v>34</v>
      </c>
      <c r="M85" s="2">
        <f t="shared" si="14"/>
        <v>9.8436595251881875E-3</v>
      </c>
      <c r="N85">
        <f t="shared" si="15"/>
        <v>34</v>
      </c>
    </row>
    <row r="86" spans="1:14">
      <c r="A86" s="1" cm="1">
        <f t="array" ref="A86">INDEX(tblWeeks[Week_Start],INT((ROW()-2)/20)+1)</f>
        <v>46055</v>
      </c>
      <c r="B86" t="str" cm="1">
        <f t="array" ref="B86">INDEX(tblDemandAssumptions[Customer_ID],MOD(ROW()-2,20)+1)</f>
        <v>C001</v>
      </c>
      <c r="C86" t="str" cm="1">
        <f t="array" ref="C86">INDEX(tblDemandAssumptions[Product_ID],MOD(ROW()-2,20)+1)</f>
        <v>P005</v>
      </c>
      <c r="D86" cm="1">
        <f t="array" ref="D86">INDEX(tblDemandAssumptions[Baseline_Weekly_Qty],MOD(ROW()-2,20)+1)</f>
        <v>2800</v>
      </c>
      <c r="E86">
        <f t="shared" si="8"/>
        <v>0.95</v>
      </c>
      <c r="F86">
        <v>1.05</v>
      </c>
      <c r="G86">
        <f t="shared" si="9"/>
        <v>2793</v>
      </c>
      <c r="H86">
        <v>1.02</v>
      </c>
      <c r="I86">
        <f t="shared" si="10"/>
        <v>2713</v>
      </c>
      <c r="J86" t="str">
        <f t="shared" si="11"/>
        <v>Normal</v>
      </c>
      <c r="K86">
        <f t="shared" si="12"/>
        <v>2793</v>
      </c>
      <c r="L86">
        <f t="shared" si="13"/>
        <v>80</v>
      </c>
      <c r="M86" s="2">
        <f t="shared" si="14"/>
        <v>2.9487652045705862E-2</v>
      </c>
      <c r="N86">
        <f t="shared" si="15"/>
        <v>80</v>
      </c>
    </row>
    <row r="87" spans="1:14">
      <c r="A87" s="1" cm="1">
        <f t="array" ref="A87">INDEX(tblWeeks[Week_Start],INT((ROW()-2)/20)+1)</f>
        <v>46055</v>
      </c>
      <c r="B87" t="str" cm="1">
        <f t="array" ref="B87">INDEX(tblDemandAssumptions[Customer_ID],MOD(ROW()-2,20)+1)</f>
        <v>C002</v>
      </c>
      <c r="C87" t="str" cm="1">
        <f t="array" ref="C87">INDEX(tblDemandAssumptions[Product_ID],MOD(ROW()-2,20)+1)</f>
        <v>P001</v>
      </c>
      <c r="D87" cm="1">
        <f t="array" ref="D87">INDEX(tblDemandAssumptions[Baseline_Weekly_Qty],MOD(ROW()-2,20)+1)</f>
        <v>3400</v>
      </c>
      <c r="E87">
        <f t="shared" si="8"/>
        <v>0.95</v>
      </c>
      <c r="F87">
        <v>0.99</v>
      </c>
      <c r="G87">
        <f t="shared" si="9"/>
        <v>3198</v>
      </c>
      <c r="H87">
        <v>1</v>
      </c>
      <c r="I87">
        <f t="shared" si="10"/>
        <v>3230</v>
      </c>
      <c r="J87" t="str">
        <f t="shared" si="11"/>
        <v>Normal</v>
      </c>
      <c r="K87">
        <f t="shared" si="12"/>
        <v>3198</v>
      </c>
      <c r="L87">
        <f t="shared" si="13"/>
        <v>-32</v>
      </c>
      <c r="M87" s="2">
        <f t="shared" si="14"/>
        <v>-9.9071207430340563E-3</v>
      </c>
      <c r="N87">
        <f t="shared" si="15"/>
        <v>32</v>
      </c>
    </row>
    <row r="88" spans="1:14">
      <c r="A88" s="1" cm="1">
        <f t="array" ref="A88">INDEX(tblWeeks[Week_Start],INT((ROW()-2)/20)+1)</f>
        <v>46055</v>
      </c>
      <c r="B88" t="str" cm="1">
        <f t="array" ref="B88">INDEX(tblDemandAssumptions[Customer_ID],MOD(ROW()-2,20)+1)</f>
        <v>C002</v>
      </c>
      <c r="C88" t="str" cm="1">
        <f t="array" ref="C88">INDEX(tblDemandAssumptions[Product_ID],MOD(ROW()-2,20)+1)</f>
        <v>P002</v>
      </c>
      <c r="D88" cm="1">
        <f t="array" ref="D88">INDEX(tblDemandAssumptions[Baseline_Weekly_Qty],MOD(ROW()-2,20)+1)</f>
        <v>3200</v>
      </c>
      <c r="E88">
        <f t="shared" si="8"/>
        <v>0.95</v>
      </c>
      <c r="F88">
        <v>1.04</v>
      </c>
      <c r="G88">
        <f t="shared" si="9"/>
        <v>3162</v>
      </c>
      <c r="H88">
        <v>0.99</v>
      </c>
      <c r="I88">
        <f t="shared" si="10"/>
        <v>3010</v>
      </c>
      <c r="J88" t="str">
        <f t="shared" si="11"/>
        <v>Normal</v>
      </c>
      <c r="K88">
        <f t="shared" si="12"/>
        <v>3162</v>
      </c>
      <c r="L88">
        <f t="shared" si="13"/>
        <v>152</v>
      </c>
      <c r="M88" s="2">
        <f t="shared" si="14"/>
        <v>5.0498338870431897E-2</v>
      </c>
      <c r="N88">
        <f t="shared" si="15"/>
        <v>152</v>
      </c>
    </row>
    <row r="89" spans="1:14">
      <c r="A89" s="1" cm="1">
        <f t="array" ref="A89">INDEX(tblWeeks[Week_Start],INT((ROW()-2)/20)+1)</f>
        <v>46055</v>
      </c>
      <c r="B89" t="str" cm="1">
        <f t="array" ref="B89">INDEX(tblDemandAssumptions[Customer_ID],MOD(ROW()-2,20)+1)</f>
        <v>C002</v>
      </c>
      <c r="C89" t="str" cm="1">
        <f t="array" ref="C89">INDEX(tblDemandAssumptions[Product_ID],MOD(ROW()-2,20)+1)</f>
        <v>P003</v>
      </c>
      <c r="D89" cm="1">
        <f t="array" ref="D89">INDEX(tblDemandAssumptions[Baseline_Weekly_Qty],MOD(ROW()-2,20)+1)</f>
        <v>2600</v>
      </c>
      <c r="E89">
        <f t="shared" si="8"/>
        <v>0.95</v>
      </c>
      <c r="F89">
        <v>1.04</v>
      </c>
      <c r="G89">
        <f t="shared" si="9"/>
        <v>2569</v>
      </c>
      <c r="H89">
        <v>1.03</v>
      </c>
      <c r="I89">
        <f t="shared" si="10"/>
        <v>2544</v>
      </c>
      <c r="J89" t="str">
        <f t="shared" si="11"/>
        <v>Normal</v>
      </c>
      <c r="K89">
        <f t="shared" si="12"/>
        <v>2569</v>
      </c>
      <c r="L89">
        <f t="shared" si="13"/>
        <v>25</v>
      </c>
      <c r="M89" s="2">
        <f t="shared" si="14"/>
        <v>9.8270440251572323E-3</v>
      </c>
      <c r="N89">
        <f t="shared" si="15"/>
        <v>25</v>
      </c>
    </row>
    <row r="90" spans="1:14">
      <c r="A90" s="1" cm="1">
        <f t="array" ref="A90">INDEX(tblWeeks[Week_Start],INT((ROW()-2)/20)+1)</f>
        <v>46055</v>
      </c>
      <c r="B90" t="str" cm="1">
        <f t="array" ref="B90">INDEX(tblDemandAssumptions[Customer_ID],MOD(ROW()-2,20)+1)</f>
        <v>C002</v>
      </c>
      <c r="C90" t="str" cm="1">
        <f t="array" ref="C90">INDEX(tblDemandAssumptions[Product_ID],MOD(ROW()-2,20)+1)</f>
        <v>P004</v>
      </c>
      <c r="D90" cm="1">
        <f t="array" ref="D90">INDEX(tblDemandAssumptions[Baseline_Weekly_Qty],MOD(ROW()-2,20)+1)</f>
        <v>2900</v>
      </c>
      <c r="E90">
        <f t="shared" si="8"/>
        <v>0.95</v>
      </c>
      <c r="F90">
        <v>1.02</v>
      </c>
      <c r="G90">
        <f t="shared" si="9"/>
        <v>2810</v>
      </c>
      <c r="H90">
        <v>0.96</v>
      </c>
      <c r="I90">
        <f t="shared" si="10"/>
        <v>2645</v>
      </c>
      <c r="J90" t="str">
        <f t="shared" si="11"/>
        <v>Normal</v>
      </c>
      <c r="K90">
        <f t="shared" si="12"/>
        <v>2810</v>
      </c>
      <c r="L90">
        <f t="shared" si="13"/>
        <v>165</v>
      </c>
      <c r="M90" s="2">
        <f t="shared" si="14"/>
        <v>6.2381852551984876E-2</v>
      </c>
      <c r="N90">
        <f t="shared" si="15"/>
        <v>165</v>
      </c>
    </row>
    <row r="91" spans="1:14">
      <c r="A91" s="1" cm="1">
        <f t="array" ref="A91">INDEX(tblWeeks[Week_Start],INT((ROW()-2)/20)+1)</f>
        <v>46055</v>
      </c>
      <c r="B91" t="str" cm="1">
        <f t="array" ref="B91">INDEX(tblDemandAssumptions[Customer_ID],MOD(ROW()-2,20)+1)</f>
        <v>C002</v>
      </c>
      <c r="C91" t="str" cm="1">
        <f t="array" ref="C91">INDEX(tblDemandAssumptions[Product_ID],MOD(ROW()-2,20)+1)</f>
        <v>P005</v>
      </c>
      <c r="D91" cm="1">
        <f t="array" ref="D91">INDEX(tblDemandAssumptions[Baseline_Weekly_Qty],MOD(ROW()-2,20)+1)</f>
        <v>2200</v>
      </c>
      <c r="E91">
        <f t="shared" si="8"/>
        <v>0.95</v>
      </c>
      <c r="F91">
        <v>0.95</v>
      </c>
      <c r="G91">
        <f t="shared" si="9"/>
        <v>1986</v>
      </c>
      <c r="H91">
        <v>1.04</v>
      </c>
      <c r="I91">
        <f t="shared" si="10"/>
        <v>2174</v>
      </c>
      <c r="J91" t="str">
        <f t="shared" si="11"/>
        <v>Normal</v>
      </c>
      <c r="K91">
        <f t="shared" si="12"/>
        <v>1986</v>
      </c>
      <c r="L91">
        <f t="shared" si="13"/>
        <v>-188</v>
      </c>
      <c r="M91" s="2">
        <f t="shared" si="14"/>
        <v>-8.6476540938362462E-2</v>
      </c>
      <c r="N91">
        <f t="shared" si="15"/>
        <v>188</v>
      </c>
    </row>
    <row r="92" spans="1:14">
      <c r="A92" s="1" cm="1">
        <f t="array" ref="A92">INDEX(tblWeeks[Week_Start],INT((ROW()-2)/20)+1)</f>
        <v>46055</v>
      </c>
      <c r="B92" t="str" cm="1">
        <f t="array" ref="B92">INDEX(tblDemandAssumptions[Customer_ID],MOD(ROW()-2,20)+1)</f>
        <v>C003</v>
      </c>
      <c r="C92" t="str" cm="1">
        <f t="array" ref="C92">INDEX(tblDemandAssumptions[Product_ID],MOD(ROW()-2,20)+1)</f>
        <v>P001</v>
      </c>
      <c r="D92" cm="1">
        <f t="array" ref="D92">INDEX(tblDemandAssumptions[Baseline_Weekly_Qty],MOD(ROW()-2,20)+1)</f>
        <v>3000</v>
      </c>
      <c r="E92">
        <f t="shared" si="8"/>
        <v>0.95</v>
      </c>
      <c r="F92">
        <v>0.97</v>
      </c>
      <c r="G92">
        <f t="shared" si="9"/>
        <v>2765</v>
      </c>
      <c r="H92">
        <v>1.02</v>
      </c>
      <c r="I92">
        <f t="shared" si="10"/>
        <v>2907</v>
      </c>
      <c r="J92" t="str">
        <f t="shared" si="11"/>
        <v>Normal</v>
      </c>
      <c r="K92">
        <f t="shared" si="12"/>
        <v>2765</v>
      </c>
      <c r="L92">
        <f t="shared" si="13"/>
        <v>-142</v>
      </c>
      <c r="M92" s="2">
        <f t="shared" si="14"/>
        <v>-4.8847609219126245E-2</v>
      </c>
      <c r="N92">
        <f t="shared" si="15"/>
        <v>142</v>
      </c>
    </row>
    <row r="93" spans="1:14">
      <c r="A93" s="1" cm="1">
        <f t="array" ref="A93">INDEX(tblWeeks[Week_Start],INT((ROW()-2)/20)+1)</f>
        <v>46055</v>
      </c>
      <c r="B93" t="str" cm="1">
        <f t="array" ref="B93">INDEX(tblDemandAssumptions[Customer_ID],MOD(ROW()-2,20)+1)</f>
        <v>C003</v>
      </c>
      <c r="C93" t="str" cm="1">
        <f t="array" ref="C93">INDEX(tblDemandAssumptions[Product_ID],MOD(ROW()-2,20)+1)</f>
        <v>P002</v>
      </c>
      <c r="D93" cm="1">
        <f t="array" ref="D93">INDEX(tblDemandAssumptions[Baseline_Weekly_Qty],MOD(ROW()-2,20)+1)</f>
        <v>2700</v>
      </c>
      <c r="E93">
        <f t="shared" si="8"/>
        <v>0.95</v>
      </c>
      <c r="F93">
        <v>1.03</v>
      </c>
      <c r="G93">
        <f t="shared" si="9"/>
        <v>2642</v>
      </c>
      <c r="H93">
        <v>1</v>
      </c>
      <c r="I93">
        <f t="shared" si="10"/>
        <v>2565</v>
      </c>
      <c r="J93" t="str">
        <f t="shared" si="11"/>
        <v>Normal</v>
      </c>
      <c r="K93">
        <f t="shared" si="12"/>
        <v>2642</v>
      </c>
      <c r="L93">
        <f t="shared" si="13"/>
        <v>77</v>
      </c>
      <c r="M93" s="2">
        <f t="shared" si="14"/>
        <v>3.0019493177387915E-2</v>
      </c>
      <c r="N93">
        <f t="shared" si="15"/>
        <v>77</v>
      </c>
    </row>
    <row r="94" spans="1:14">
      <c r="A94" s="1" cm="1">
        <f t="array" ref="A94">INDEX(tblWeeks[Week_Start],INT((ROW()-2)/20)+1)</f>
        <v>46055</v>
      </c>
      <c r="B94" t="str" cm="1">
        <f t="array" ref="B94">INDEX(tblDemandAssumptions[Customer_ID],MOD(ROW()-2,20)+1)</f>
        <v>C003</v>
      </c>
      <c r="C94" t="str" cm="1">
        <f t="array" ref="C94">INDEX(tblDemandAssumptions[Product_ID],MOD(ROW()-2,20)+1)</f>
        <v>P003</v>
      </c>
      <c r="D94" cm="1">
        <f t="array" ref="D94">INDEX(tblDemandAssumptions[Baseline_Weekly_Qty],MOD(ROW()-2,20)+1)</f>
        <v>2800</v>
      </c>
      <c r="E94">
        <f t="shared" si="8"/>
        <v>0.95</v>
      </c>
      <c r="F94">
        <v>1.05</v>
      </c>
      <c r="G94">
        <f t="shared" si="9"/>
        <v>2793</v>
      </c>
      <c r="H94">
        <v>0.98</v>
      </c>
      <c r="I94">
        <f t="shared" si="10"/>
        <v>2607</v>
      </c>
      <c r="J94" t="str">
        <f t="shared" si="11"/>
        <v>Normal</v>
      </c>
      <c r="K94">
        <f t="shared" si="12"/>
        <v>2793</v>
      </c>
      <c r="L94">
        <f t="shared" si="13"/>
        <v>186</v>
      </c>
      <c r="M94" s="2">
        <f t="shared" si="14"/>
        <v>7.1346375143843496E-2</v>
      </c>
      <c r="N94">
        <f t="shared" si="15"/>
        <v>186</v>
      </c>
    </row>
    <row r="95" spans="1:14">
      <c r="A95" s="1" cm="1">
        <f t="array" ref="A95">INDEX(tblWeeks[Week_Start],INT((ROW()-2)/20)+1)</f>
        <v>46055</v>
      </c>
      <c r="B95" t="str" cm="1">
        <f t="array" ref="B95">INDEX(tblDemandAssumptions[Customer_ID],MOD(ROW()-2,20)+1)</f>
        <v>C003</v>
      </c>
      <c r="C95" t="str" cm="1">
        <f t="array" ref="C95">INDEX(tblDemandAssumptions[Product_ID],MOD(ROW()-2,20)+1)</f>
        <v>P004</v>
      </c>
      <c r="D95" cm="1">
        <f t="array" ref="D95">INDEX(tblDemandAssumptions[Baseline_Weekly_Qty],MOD(ROW()-2,20)+1)</f>
        <v>2400</v>
      </c>
      <c r="E95">
        <f t="shared" si="8"/>
        <v>0.95</v>
      </c>
      <c r="F95">
        <v>1.01</v>
      </c>
      <c r="G95">
        <f t="shared" si="9"/>
        <v>2303</v>
      </c>
      <c r="H95">
        <v>1.04</v>
      </c>
      <c r="I95">
        <f t="shared" si="10"/>
        <v>2371</v>
      </c>
      <c r="J95" t="str">
        <f t="shared" si="11"/>
        <v>Normal</v>
      </c>
      <c r="K95">
        <f t="shared" si="12"/>
        <v>2303</v>
      </c>
      <c r="L95">
        <f t="shared" si="13"/>
        <v>-68</v>
      </c>
      <c r="M95" s="2">
        <f t="shared" si="14"/>
        <v>-2.867988190636862E-2</v>
      </c>
      <c r="N95">
        <f t="shared" si="15"/>
        <v>68</v>
      </c>
    </row>
    <row r="96" spans="1:14">
      <c r="A96" s="1" cm="1">
        <f t="array" ref="A96">INDEX(tblWeeks[Week_Start],INT((ROW()-2)/20)+1)</f>
        <v>46055</v>
      </c>
      <c r="B96" t="str" cm="1">
        <f t="array" ref="B96">INDEX(tblDemandAssumptions[Customer_ID],MOD(ROW()-2,20)+1)</f>
        <v>C003</v>
      </c>
      <c r="C96" t="str" cm="1">
        <f t="array" ref="C96">INDEX(tblDemandAssumptions[Product_ID],MOD(ROW()-2,20)+1)</f>
        <v>P005</v>
      </c>
      <c r="D96" cm="1">
        <f t="array" ref="D96">INDEX(tblDemandAssumptions[Baseline_Weekly_Qty],MOD(ROW()-2,20)+1)</f>
        <v>1900</v>
      </c>
      <c r="E96">
        <f t="shared" si="8"/>
        <v>0.95</v>
      </c>
      <c r="F96">
        <v>1.05</v>
      </c>
      <c r="G96">
        <f t="shared" si="9"/>
        <v>1895</v>
      </c>
      <c r="H96">
        <v>1.04</v>
      </c>
      <c r="I96">
        <f t="shared" si="10"/>
        <v>1877</v>
      </c>
      <c r="J96" t="str">
        <f t="shared" si="11"/>
        <v>Normal</v>
      </c>
      <c r="K96">
        <f t="shared" si="12"/>
        <v>1895</v>
      </c>
      <c r="L96">
        <f t="shared" si="13"/>
        <v>18</v>
      </c>
      <c r="M96" s="2">
        <f t="shared" si="14"/>
        <v>9.5897709110282364E-3</v>
      </c>
      <c r="N96">
        <f t="shared" si="15"/>
        <v>18</v>
      </c>
    </row>
    <row r="97" spans="1:14">
      <c r="A97" s="1" cm="1">
        <f t="array" ref="A97">INDEX(tblWeeks[Week_Start],INT((ROW()-2)/20)+1)</f>
        <v>46055</v>
      </c>
      <c r="B97" t="str" cm="1">
        <f t="array" ref="B97">INDEX(tblDemandAssumptions[Customer_ID],MOD(ROW()-2,20)+1)</f>
        <v>C004</v>
      </c>
      <c r="C97" t="str" cm="1">
        <f t="array" ref="C97">INDEX(tblDemandAssumptions[Product_ID],MOD(ROW()-2,20)+1)</f>
        <v>P001</v>
      </c>
      <c r="D97" cm="1">
        <f t="array" ref="D97">INDEX(tblDemandAssumptions[Baseline_Weekly_Qty],MOD(ROW()-2,20)+1)</f>
        <v>2700</v>
      </c>
      <c r="E97">
        <f t="shared" si="8"/>
        <v>0.95</v>
      </c>
      <c r="F97">
        <v>0.98</v>
      </c>
      <c r="G97">
        <f t="shared" si="9"/>
        <v>2514</v>
      </c>
      <c r="H97">
        <v>1.01</v>
      </c>
      <c r="I97">
        <f t="shared" si="10"/>
        <v>2591</v>
      </c>
      <c r="J97" t="str">
        <f t="shared" si="11"/>
        <v>Normal</v>
      </c>
      <c r="K97">
        <f t="shared" si="12"/>
        <v>2514</v>
      </c>
      <c r="L97">
        <f t="shared" si="13"/>
        <v>-77</v>
      </c>
      <c r="M97" s="2">
        <f t="shared" si="14"/>
        <v>-2.9718255499807025E-2</v>
      </c>
      <c r="N97">
        <f t="shared" si="15"/>
        <v>77</v>
      </c>
    </row>
    <row r="98" spans="1:14">
      <c r="A98" s="1" cm="1">
        <f t="array" ref="A98">INDEX(tblWeeks[Week_Start],INT((ROW()-2)/20)+1)</f>
        <v>46055</v>
      </c>
      <c r="B98" t="str" cm="1">
        <f t="array" ref="B98">INDEX(tblDemandAssumptions[Customer_ID],MOD(ROW()-2,20)+1)</f>
        <v>C004</v>
      </c>
      <c r="C98" t="str" cm="1">
        <f t="array" ref="C98">INDEX(tblDemandAssumptions[Product_ID],MOD(ROW()-2,20)+1)</f>
        <v>P002</v>
      </c>
      <c r="D98" cm="1">
        <f t="array" ref="D98">INDEX(tblDemandAssumptions[Baseline_Weekly_Qty],MOD(ROW()-2,20)+1)</f>
        <v>2400</v>
      </c>
      <c r="E98">
        <f t="shared" si="8"/>
        <v>0.95</v>
      </c>
      <c r="F98">
        <v>1.04</v>
      </c>
      <c r="G98">
        <f t="shared" si="9"/>
        <v>2371</v>
      </c>
      <c r="H98">
        <v>1.02</v>
      </c>
      <c r="I98">
        <f t="shared" si="10"/>
        <v>2326</v>
      </c>
      <c r="J98" t="str">
        <f t="shared" si="11"/>
        <v>Normal</v>
      </c>
      <c r="K98">
        <f t="shared" si="12"/>
        <v>2371</v>
      </c>
      <c r="L98">
        <f t="shared" si="13"/>
        <v>45</v>
      </c>
      <c r="M98" s="2">
        <f t="shared" si="14"/>
        <v>1.9346517626827171E-2</v>
      </c>
      <c r="N98">
        <f t="shared" si="15"/>
        <v>45</v>
      </c>
    </row>
    <row r="99" spans="1:14">
      <c r="A99" s="1" cm="1">
        <f t="array" ref="A99">INDEX(tblWeeks[Week_Start],INT((ROW()-2)/20)+1)</f>
        <v>46055</v>
      </c>
      <c r="B99" t="str" cm="1">
        <f t="array" ref="B99">INDEX(tblDemandAssumptions[Customer_ID],MOD(ROW()-2,20)+1)</f>
        <v>C004</v>
      </c>
      <c r="C99" t="str" cm="1">
        <f t="array" ref="C99">INDEX(tblDemandAssumptions[Product_ID],MOD(ROW()-2,20)+1)</f>
        <v>P003</v>
      </c>
      <c r="D99" cm="1">
        <f t="array" ref="D99">INDEX(tblDemandAssumptions[Baseline_Weekly_Qty],MOD(ROW()-2,20)+1)</f>
        <v>2100</v>
      </c>
      <c r="E99">
        <f t="shared" si="8"/>
        <v>0.95</v>
      </c>
      <c r="F99">
        <v>1</v>
      </c>
      <c r="G99">
        <f t="shared" si="9"/>
        <v>1995</v>
      </c>
      <c r="H99">
        <v>0.96</v>
      </c>
      <c r="I99">
        <f t="shared" si="10"/>
        <v>1915</v>
      </c>
      <c r="J99" t="str">
        <f t="shared" si="11"/>
        <v>Normal</v>
      </c>
      <c r="K99">
        <f t="shared" si="12"/>
        <v>1995</v>
      </c>
      <c r="L99">
        <f t="shared" si="13"/>
        <v>80</v>
      </c>
      <c r="M99" s="2">
        <f t="shared" si="14"/>
        <v>4.1775456919060053E-2</v>
      </c>
      <c r="N99">
        <f t="shared" si="15"/>
        <v>80</v>
      </c>
    </row>
    <row r="100" spans="1:14">
      <c r="A100" s="1" cm="1">
        <f t="array" ref="A100">INDEX(tblWeeks[Week_Start],INT((ROW()-2)/20)+1)</f>
        <v>46055</v>
      </c>
      <c r="B100" t="str" cm="1">
        <f t="array" ref="B100">INDEX(tblDemandAssumptions[Customer_ID],MOD(ROW()-2,20)+1)</f>
        <v>C004</v>
      </c>
      <c r="C100" t="str" cm="1">
        <f t="array" ref="C100">INDEX(tblDemandAssumptions[Product_ID],MOD(ROW()-2,20)+1)</f>
        <v>P004</v>
      </c>
      <c r="D100" cm="1">
        <f t="array" ref="D100">INDEX(tblDemandAssumptions[Baseline_Weekly_Qty],MOD(ROW()-2,20)+1)</f>
        <v>2600</v>
      </c>
      <c r="E100">
        <f t="shared" si="8"/>
        <v>0.95</v>
      </c>
      <c r="F100">
        <v>0.95</v>
      </c>
      <c r="G100">
        <f t="shared" si="9"/>
        <v>2347</v>
      </c>
      <c r="H100">
        <v>1.02</v>
      </c>
      <c r="I100">
        <f t="shared" si="10"/>
        <v>2519</v>
      </c>
      <c r="J100" t="str">
        <f t="shared" si="11"/>
        <v>Normal</v>
      </c>
      <c r="K100">
        <f t="shared" si="12"/>
        <v>2347</v>
      </c>
      <c r="L100">
        <f t="shared" si="13"/>
        <v>-172</v>
      </c>
      <c r="M100" s="2">
        <f t="shared" si="14"/>
        <v>-6.8281063914251691E-2</v>
      </c>
      <c r="N100">
        <f t="shared" si="15"/>
        <v>172</v>
      </c>
    </row>
    <row r="101" spans="1:14">
      <c r="A101" s="1" cm="1">
        <f t="array" ref="A101">INDEX(tblWeeks[Week_Start],INT((ROW()-2)/20)+1)</f>
        <v>46055</v>
      </c>
      <c r="B101" t="str" cm="1">
        <f t="array" ref="B101">INDEX(tblDemandAssumptions[Customer_ID],MOD(ROW()-2,20)+1)</f>
        <v>C004</v>
      </c>
      <c r="C101" t="str" cm="1">
        <f t="array" ref="C101">INDEX(tblDemandAssumptions[Product_ID],MOD(ROW()-2,20)+1)</f>
        <v>P005</v>
      </c>
      <c r="D101" cm="1">
        <f t="array" ref="D101">INDEX(tblDemandAssumptions[Baseline_Weekly_Qty],MOD(ROW()-2,20)+1)</f>
        <v>1800</v>
      </c>
      <c r="E101">
        <f t="shared" si="8"/>
        <v>0.95</v>
      </c>
      <c r="F101">
        <v>0.97</v>
      </c>
      <c r="G101">
        <f t="shared" si="9"/>
        <v>1659</v>
      </c>
      <c r="H101">
        <v>1.01</v>
      </c>
      <c r="I101">
        <f t="shared" si="10"/>
        <v>1727</v>
      </c>
      <c r="J101" t="str">
        <f t="shared" si="11"/>
        <v>Normal</v>
      </c>
      <c r="K101">
        <f t="shared" si="12"/>
        <v>1659</v>
      </c>
      <c r="L101">
        <f t="shared" si="13"/>
        <v>-68</v>
      </c>
      <c r="M101" s="2">
        <f t="shared" si="14"/>
        <v>-3.937463810075275E-2</v>
      </c>
      <c r="N101">
        <f t="shared" si="15"/>
        <v>68</v>
      </c>
    </row>
    <row r="102" spans="1:14">
      <c r="A102" s="1" cm="1">
        <f t="array" ref="A102">INDEX(tblWeeks[Week_Start],INT((ROW()-2)/20)+1)</f>
        <v>46062</v>
      </c>
      <c r="B102" t="str" cm="1">
        <f t="array" ref="B102">INDEX(tblDemandAssumptions[Customer_ID],MOD(ROW()-2,20)+1)</f>
        <v>C001</v>
      </c>
      <c r="C102" t="str" cm="1">
        <f t="array" ref="C102">INDEX(tblDemandAssumptions[Product_ID],MOD(ROW()-2,20)+1)</f>
        <v>P001</v>
      </c>
      <c r="D102" cm="1">
        <f t="array" ref="D102">INDEX(tblDemandAssumptions[Baseline_Weekly_Qty],MOD(ROW()-2,20)+1)</f>
        <v>5200</v>
      </c>
      <c r="E102">
        <f t="shared" si="8"/>
        <v>0.95</v>
      </c>
      <c r="F102">
        <v>0.97</v>
      </c>
      <c r="G102">
        <f t="shared" si="9"/>
        <v>4792</v>
      </c>
      <c r="H102">
        <v>0.97</v>
      </c>
      <c r="I102">
        <f t="shared" si="10"/>
        <v>4792</v>
      </c>
      <c r="J102" t="str">
        <f t="shared" si="11"/>
        <v>Normal</v>
      </c>
      <c r="K102">
        <f t="shared" si="12"/>
        <v>4792</v>
      </c>
      <c r="L102">
        <f t="shared" si="13"/>
        <v>0</v>
      </c>
      <c r="M102" s="2">
        <f t="shared" si="14"/>
        <v>0</v>
      </c>
      <c r="N102">
        <f t="shared" si="15"/>
        <v>0</v>
      </c>
    </row>
    <row r="103" spans="1:14">
      <c r="A103" s="1" cm="1">
        <f t="array" ref="A103">INDEX(tblWeeks[Week_Start],INT((ROW()-2)/20)+1)</f>
        <v>46062</v>
      </c>
      <c r="B103" t="str" cm="1">
        <f t="array" ref="B103">INDEX(tblDemandAssumptions[Customer_ID],MOD(ROW()-2,20)+1)</f>
        <v>C001</v>
      </c>
      <c r="C103" t="str" cm="1">
        <f t="array" ref="C103">INDEX(tblDemandAssumptions[Product_ID],MOD(ROW()-2,20)+1)</f>
        <v>P002</v>
      </c>
      <c r="D103" cm="1">
        <f t="array" ref="D103">INDEX(tblDemandAssumptions[Baseline_Weekly_Qty],MOD(ROW()-2,20)+1)</f>
        <v>4100</v>
      </c>
      <c r="E103">
        <f t="shared" si="8"/>
        <v>0.95</v>
      </c>
      <c r="F103">
        <v>1.05</v>
      </c>
      <c r="G103">
        <f t="shared" si="9"/>
        <v>4090</v>
      </c>
      <c r="H103">
        <v>1</v>
      </c>
      <c r="I103">
        <f t="shared" si="10"/>
        <v>3895</v>
      </c>
      <c r="J103" t="str">
        <f t="shared" si="11"/>
        <v>Normal</v>
      </c>
      <c r="K103">
        <f t="shared" si="12"/>
        <v>4090</v>
      </c>
      <c r="L103">
        <f t="shared" si="13"/>
        <v>195</v>
      </c>
      <c r="M103" s="2">
        <f t="shared" si="14"/>
        <v>5.0064184852374842E-2</v>
      </c>
      <c r="N103">
        <f t="shared" si="15"/>
        <v>195</v>
      </c>
    </row>
    <row r="104" spans="1:14">
      <c r="A104" s="1" cm="1">
        <f t="array" ref="A104">INDEX(tblWeeks[Week_Start],INT((ROW()-2)/20)+1)</f>
        <v>46062</v>
      </c>
      <c r="B104" t="str" cm="1">
        <f t="array" ref="B104">INDEX(tblDemandAssumptions[Customer_ID],MOD(ROW()-2,20)+1)</f>
        <v>C001</v>
      </c>
      <c r="C104" t="str" cm="1">
        <f t="array" ref="C104">INDEX(tblDemandAssumptions[Product_ID],MOD(ROW()-2,20)+1)</f>
        <v>P003</v>
      </c>
      <c r="D104" cm="1">
        <f t="array" ref="D104">INDEX(tblDemandAssumptions[Baseline_Weekly_Qty],MOD(ROW()-2,20)+1)</f>
        <v>3300</v>
      </c>
      <c r="E104">
        <f t="shared" si="8"/>
        <v>0.95</v>
      </c>
      <c r="F104">
        <v>0.95</v>
      </c>
      <c r="G104">
        <f t="shared" si="9"/>
        <v>2978</v>
      </c>
      <c r="H104">
        <v>0.97</v>
      </c>
      <c r="I104">
        <f t="shared" si="10"/>
        <v>3041</v>
      </c>
      <c r="J104" t="str">
        <f t="shared" si="11"/>
        <v>Normal</v>
      </c>
      <c r="K104">
        <f t="shared" si="12"/>
        <v>2978</v>
      </c>
      <c r="L104">
        <f t="shared" si="13"/>
        <v>-63</v>
      </c>
      <c r="M104" s="2">
        <f t="shared" si="14"/>
        <v>-2.0716869450838539E-2</v>
      </c>
      <c r="N104">
        <f t="shared" si="15"/>
        <v>63</v>
      </c>
    </row>
    <row r="105" spans="1:14">
      <c r="A105" s="1" cm="1">
        <f t="array" ref="A105">INDEX(tblWeeks[Week_Start],INT((ROW()-2)/20)+1)</f>
        <v>46062</v>
      </c>
      <c r="B105" t="str" cm="1">
        <f t="array" ref="B105">INDEX(tblDemandAssumptions[Customer_ID],MOD(ROW()-2,20)+1)</f>
        <v>C001</v>
      </c>
      <c r="C105" t="str" cm="1">
        <f t="array" ref="C105">INDEX(tblDemandAssumptions[Product_ID],MOD(ROW()-2,20)+1)</f>
        <v>P004</v>
      </c>
      <c r="D105" cm="1">
        <f t="array" ref="D105">INDEX(tblDemandAssumptions[Baseline_Weekly_Qty],MOD(ROW()-2,20)+1)</f>
        <v>3600</v>
      </c>
      <c r="E105">
        <f t="shared" si="8"/>
        <v>0.95</v>
      </c>
      <c r="F105">
        <v>1</v>
      </c>
      <c r="G105">
        <f t="shared" si="9"/>
        <v>3420</v>
      </c>
      <c r="H105">
        <v>1.02</v>
      </c>
      <c r="I105">
        <f t="shared" si="10"/>
        <v>3488</v>
      </c>
      <c r="J105" t="str">
        <f t="shared" si="11"/>
        <v>Normal</v>
      </c>
      <c r="K105">
        <f t="shared" si="12"/>
        <v>3420</v>
      </c>
      <c r="L105">
        <f t="shared" si="13"/>
        <v>-68</v>
      </c>
      <c r="M105" s="2">
        <f t="shared" si="14"/>
        <v>-1.9495412844036698E-2</v>
      </c>
      <c r="N105">
        <f t="shared" si="15"/>
        <v>68</v>
      </c>
    </row>
    <row r="106" spans="1:14">
      <c r="A106" s="1" cm="1">
        <f t="array" ref="A106">INDEX(tblWeeks[Week_Start],INT((ROW()-2)/20)+1)</f>
        <v>46062</v>
      </c>
      <c r="B106" t="str" cm="1">
        <f t="array" ref="B106">INDEX(tblDemandAssumptions[Customer_ID],MOD(ROW()-2,20)+1)</f>
        <v>C001</v>
      </c>
      <c r="C106" t="str" cm="1">
        <f t="array" ref="C106">INDEX(tblDemandAssumptions[Product_ID],MOD(ROW()-2,20)+1)</f>
        <v>P005</v>
      </c>
      <c r="D106" cm="1">
        <f t="array" ref="D106">INDEX(tblDemandAssumptions[Baseline_Weekly_Qty],MOD(ROW()-2,20)+1)</f>
        <v>2800</v>
      </c>
      <c r="E106">
        <f t="shared" si="8"/>
        <v>0.95</v>
      </c>
      <c r="F106">
        <v>1.01</v>
      </c>
      <c r="G106">
        <f t="shared" si="9"/>
        <v>2687</v>
      </c>
      <c r="H106">
        <v>1.02</v>
      </c>
      <c r="I106">
        <f t="shared" si="10"/>
        <v>2713</v>
      </c>
      <c r="J106" t="str">
        <f t="shared" si="11"/>
        <v>Normal</v>
      </c>
      <c r="K106">
        <f t="shared" si="12"/>
        <v>2687</v>
      </c>
      <c r="L106">
        <f t="shared" si="13"/>
        <v>-26</v>
      </c>
      <c r="M106" s="2">
        <f t="shared" si="14"/>
        <v>-9.5834869148544045E-3</v>
      </c>
      <c r="N106">
        <f t="shared" si="15"/>
        <v>26</v>
      </c>
    </row>
    <row r="107" spans="1:14">
      <c r="A107" s="1" cm="1">
        <f t="array" ref="A107">INDEX(tblWeeks[Week_Start],INT((ROW()-2)/20)+1)</f>
        <v>46062</v>
      </c>
      <c r="B107" t="str" cm="1">
        <f t="array" ref="B107">INDEX(tblDemandAssumptions[Customer_ID],MOD(ROW()-2,20)+1)</f>
        <v>C002</v>
      </c>
      <c r="C107" t="str" cm="1">
        <f t="array" ref="C107">INDEX(tblDemandAssumptions[Product_ID],MOD(ROW()-2,20)+1)</f>
        <v>P001</v>
      </c>
      <c r="D107" cm="1">
        <f t="array" ref="D107">INDEX(tblDemandAssumptions[Baseline_Weekly_Qty],MOD(ROW()-2,20)+1)</f>
        <v>3400</v>
      </c>
      <c r="E107">
        <f t="shared" si="8"/>
        <v>0.95</v>
      </c>
      <c r="F107">
        <v>0.99</v>
      </c>
      <c r="G107">
        <f t="shared" si="9"/>
        <v>3198</v>
      </c>
      <c r="H107">
        <v>0.97</v>
      </c>
      <c r="I107">
        <f t="shared" si="10"/>
        <v>3133</v>
      </c>
      <c r="J107" t="str">
        <f t="shared" si="11"/>
        <v>Normal</v>
      </c>
      <c r="K107">
        <f t="shared" si="12"/>
        <v>3198</v>
      </c>
      <c r="L107">
        <f t="shared" si="13"/>
        <v>65</v>
      </c>
      <c r="M107" s="2">
        <f t="shared" si="14"/>
        <v>2.0746887966804978E-2</v>
      </c>
      <c r="N107">
        <f t="shared" si="15"/>
        <v>65</v>
      </c>
    </row>
    <row r="108" spans="1:14">
      <c r="A108" s="1" cm="1">
        <f t="array" ref="A108">INDEX(tblWeeks[Week_Start],INT((ROW()-2)/20)+1)</f>
        <v>46062</v>
      </c>
      <c r="B108" t="str" cm="1">
        <f t="array" ref="B108">INDEX(tblDemandAssumptions[Customer_ID],MOD(ROW()-2,20)+1)</f>
        <v>C002</v>
      </c>
      <c r="C108" t="str" cm="1">
        <f t="array" ref="C108">INDEX(tblDemandAssumptions[Product_ID],MOD(ROW()-2,20)+1)</f>
        <v>P002</v>
      </c>
      <c r="D108" cm="1">
        <f t="array" ref="D108">INDEX(tblDemandAssumptions[Baseline_Weekly_Qty],MOD(ROW()-2,20)+1)</f>
        <v>3200</v>
      </c>
      <c r="E108">
        <f t="shared" si="8"/>
        <v>0.95</v>
      </c>
      <c r="F108">
        <v>1.05</v>
      </c>
      <c r="G108">
        <f t="shared" si="9"/>
        <v>3192</v>
      </c>
      <c r="H108">
        <v>0.97</v>
      </c>
      <c r="I108">
        <f t="shared" si="10"/>
        <v>2949</v>
      </c>
      <c r="J108" t="str">
        <f t="shared" si="11"/>
        <v>Normal</v>
      </c>
      <c r="K108">
        <f t="shared" si="12"/>
        <v>3192</v>
      </c>
      <c r="L108">
        <f t="shared" si="13"/>
        <v>243</v>
      </c>
      <c r="M108" s="2">
        <f t="shared" si="14"/>
        <v>8.2400813835198372E-2</v>
      </c>
      <c r="N108">
        <f t="shared" si="15"/>
        <v>243</v>
      </c>
    </row>
    <row r="109" spans="1:14">
      <c r="A109" s="1" cm="1">
        <f t="array" ref="A109">INDEX(tblWeeks[Week_Start],INT((ROW()-2)/20)+1)</f>
        <v>46062</v>
      </c>
      <c r="B109" t="str" cm="1">
        <f t="array" ref="B109">INDEX(tblDemandAssumptions[Customer_ID],MOD(ROW()-2,20)+1)</f>
        <v>C002</v>
      </c>
      <c r="C109" t="str" cm="1">
        <f t="array" ref="C109">INDEX(tblDemandAssumptions[Product_ID],MOD(ROW()-2,20)+1)</f>
        <v>P003</v>
      </c>
      <c r="D109" cm="1">
        <f t="array" ref="D109">INDEX(tblDemandAssumptions[Baseline_Weekly_Qty],MOD(ROW()-2,20)+1)</f>
        <v>2600</v>
      </c>
      <c r="E109">
        <f t="shared" si="8"/>
        <v>0.95</v>
      </c>
      <c r="F109">
        <v>1.02</v>
      </c>
      <c r="G109">
        <f t="shared" si="9"/>
        <v>2519</v>
      </c>
      <c r="H109">
        <v>0.97</v>
      </c>
      <c r="I109">
        <f t="shared" si="10"/>
        <v>2396</v>
      </c>
      <c r="J109" t="str">
        <f t="shared" si="11"/>
        <v>Normal</v>
      </c>
      <c r="K109">
        <f t="shared" si="12"/>
        <v>2519</v>
      </c>
      <c r="L109">
        <f t="shared" si="13"/>
        <v>123</v>
      </c>
      <c r="M109" s="2">
        <f t="shared" si="14"/>
        <v>5.1335559265442407E-2</v>
      </c>
      <c r="N109">
        <f t="shared" si="15"/>
        <v>123</v>
      </c>
    </row>
    <row r="110" spans="1:14">
      <c r="A110" s="1" cm="1">
        <f t="array" ref="A110">INDEX(tblWeeks[Week_Start],INT((ROW()-2)/20)+1)</f>
        <v>46062</v>
      </c>
      <c r="B110" t="str" cm="1">
        <f t="array" ref="B110">INDEX(tblDemandAssumptions[Customer_ID],MOD(ROW()-2,20)+1)</f>
        <v>C002</v>
      </c>
      <c r="C110" t="str" cm="1">
        <f t="array" ref="C110">INDEX(tblDemandAssumptions[Product_ID],MOD(ROW()-2,20)+1)</f>
        <v>P004</v>
      </c>
      <c r="D110" cm="1">
        <f t="array" ref="D110">INDEX(tblDemandAssumptions[Baseline_Weekly_Qty],MOD(ROW()-2,20)+1)</f>
        <v>2900</v>
      </c>
      <c r="E110">
        <f t="shared" si="8"/>
        <v>0.95</v>
      </c>
      <c r="F110">
        <v>1.01</v>
      </c>
      <c r="G110">
        <f t="shared" si="9"/>
        <v>2783</v>
      </c>
      <c r="H110">
        <v>0.99</v>
      </c>
      <c r="I110">
        <f t="shared" si="10"/>
        <v>2727</v>
      </c>
      <c r="J110" t="str">
        <f t="shared" si="11"/>
        <v>Normal</v>
      </c>
      <c r="K110">
        <f t="shared" si="12"/>
        <v>2783</v>
      </c>
      <c r="L110">
        <f t="shared" si="13"/>
        <v>56</v>
      </c>
      <c r="M110" s="2">
        <f t="shared" si="14"/>
        <v>2.0535386872020535E-2</v>
      </c>
      <c r="N110">
        <f t="shared" si="15"/>
        <v>56</v>
      </c>
    </row>
    <row r="111" spans="1:14">
      <c r="A111" s="1" cm="1">
        <f t="array" ref="A111">INDEX(tblWeeks[Week_Start],INT((ROW()-2)/20)+1)</f>
        <v>46062</v>
      </c>
      <c r="B111" t="str" cm="1">
        <f t="array" ref="B111">INDEX(tblDemandAssumptions[Customer_ID],MOD(ROW()-2,20)+1)</f>
        <v>C002</v>
      </c>
      <c r="C111" t="str" cm="1">
        <f t="array" ref="C111">INDEX(tblDemandAssumptions[Product_ID],MOD(ROW()-2,20)+1)</f>
        <v>P005</v>
      </c>
      <c r="D111" cm="1">
        <f t="array" ref="D111">INDEX(tblDemandAssumptions[Baseline_Weekly_Qty],MOD(ROW()-2,20)+1)</f>
        <v>2200</v>
      </c>
      <c r="E111">
        <f t="shared" si="8"/>
        <v>0.95</v>
      </c>
      <c r="F111">
        <v>1</v>
      </c>
      <c r="G111">
        <f t="shared" si="9"/>
        <v>2090</v>
      </c>
      <c r="H111">
        <v>1.02</v>
      </c>
      <c r="I111">
        <f t="shared" si="10"/>
        <v>2132</v>
      </c>
      <c r="J111" t="str">
        <f t="shared" si="11"/>
        <v>Normal</v>
      </c>
      <c r="K111">
        <f t="shared" si="12"/>
        <v>2090</v>
      </c>
      <c r="L111">
        <f t="shared" si="13"/>
        <v>-42</v>
      </c>
      <c r="M111" s="2">
        <f t="shared" si="14"/>
        <v>-1.9699812382739212E-2</v>
      </c>
      <c r="N111">
        <f t="shared" si="15"/>
        <v>42</v>
      </c>
    </row>
    <row r="112" spans="1:14">
      <c r="A112" s="1" cm="1">
        <f t="array" ref="A112">INDEX(tblWeeks[Week_Start],INT((ROW()-2)/20)+1)</f>
        <v>46062</v>
      </c>
      <c r="B112" t="str" cm="1">
        <f t="array" ref="B112">INDEX(tblDemandAssumptions[Customer_ID],MOD(ROW()-2,20)+1)</f>
        <v>C003</v>
      </c>
      <c r="C112" t="str" cm="1">
        <f t="array" ref="C112">INDEX(tblDemandAssumptions[Product_ID],MOD(ROW()-2,20)+1)</f>
        <v>P001</v>
      </c>
      <c r="D112" cm="1">
        <f t="array" ref="D112">INDEX(tblDemandAssumptions[Baseline_Weekly_Qty],MOD(ROW()-2,20)+1)</f>
        <v>3000</v>
      </c>
      <c r="E112">
        <f t="shared" si="8"/>
        <v>0.95</v>
      </c>
      <c r="F112">
        <v>1.01</v>
      </c>
      <c r="G112">
        <f t="shared" si="9"/>
        <v>2879</v>
      </c>
      <c r="H112">
        <v>1.03</v>
      </c>
      <c r="I112">
        <f t="shared" si="10"/>
        <v>2936</v>
      </c>
      <c r="J112" t="str">
        <f t="shared" si="11"/>
        <v>Normal</v>
      </c>
      <c r="K112">
        <f t="shared" si="12"/>
        <v>2879</v>
      </c>
      <c r="L112">
        <f t="shared" si="13"/>
        <v>-57</v>
      </c>
      <c r="M112" s="2">
        <f t="shared" si="14"/>
        <v>-1.9414168937329699E-2</v>
      </c>
      <c r="N112">
        <f t="shared" si="15"/>
        <v>57</v>
      </c>
    </row>
    <row r="113" spans="1:14">
      <c r="A113" s="1" cm="1">
        <f t="array" ref="A113">INDEX(tblWeeks[Week_Start],INT((ROW()-2)/20)+1)</f>
        <v>46062</v>
      </c>
      <c r="B113" t="str" cm="1">
        <f t="array" ref="B113">INDEX(tblDemandAssumptions[Customer_ID],MOD(ROW()-2,20)+1)</f>
        <v>C003</v>
      </c>
      <c r="C113" t="str" cm="1">
        <f t="array" ref="C113">INDEX(tblDemandAssumptions[Product_ID],MOD(ROW()-2,20)+1)</f>
        <v>P002</v>
      </c>
      <c r="D113" cm="1">
        <f t="array" ref="D113">INDEX(tblDemandAssumptions[Baseline_Weekly_Qty],MOD(ROW()-2,20)+1)</f>
        <v>2700</v>
      </c>
      <c r="E113">
        <f t="shared" si="8"/>
        <v>0.95</v>
      </c>
      <c r="F113">
        <v>0.99</v>
      </c>
      <c r="G113">
        <f t="shared" si="9"/>
        <v>2539</v>
      </c>
      <c r="H113">
        <v>1.03</v>
      </c>
      <c r="I113">
        <f t="shared" si="10"/>
        <v>2642</v>
      </c>
      <c r="J113" t="str">
        <f t="shared" si="11"/>
        <v>Normal</v>
      </c>
      <c r="K113">
        <f t="shared" si="12"/>
        <v>2539</v>
      </c>
      <c r="L113">
        <f t="shared" si="13"/>
        <v>-103</v>
      </c>
      <c r="M113" s="2">
        <f t="shared" si="14"/>
        <v>-3.898561695685087E-2</v>
      </c>
      <c r="N113">
        <f t="shared" si="15"/>
        <v>103</v>
      </c>
    </row>
    <row r="114" spans="1:14">
      <c r="A114" s="1" cm="1">
        <f t="array" ref="A114">INDEX(tblWeeks[Week_Start],INT((ROW()-2)/20)+1)</f>
        <v>46062</v>
      </c>
      <c r="B114" t="str" cm="1">
        <f t="array" ref="B114">INDEX(tblDemandAssumptions[Customer_ID],MOD(ROW()-2,20)+1)</f>
        <v>C003</v>
      </c>
      <c r="C114" t="str" cm="1">
        <f t="array" ref="C114">INDEX(tblDemandAssumptions[Product_ID],MOD(ROW()-2,20)+1)</f>
        <v>P003</v>
      </c>
      <c r="D114" cm="1">
        <f t="array" ref="D114">INDEX(tblDemandAssumptions[Baseline_Weekly_Qty],MOD(ROW()-2,20)+1)</f>
        <v>2800</v>
      </c>
      <c r="E114">
        <f t="shared" si="8"/>
        <v>0.95</v>
      </c>
      <c r="F114">
        <v>1.01</v>
      </c>
      <c r="G114">
        <f t="shared" si="9"/>
        <v>2687</v>
      </c>
      <c r="H114">
        <v>1.04</v>
      </c>
      <c r="I114">
        <f t="shared" si="10"/>
        <v>2766</v>
      </c>
      <c r="J114" t="str">
        <f t="shared" si="11"/>
        <v>Normal</v>
      </c>
      <c r="K114">
        <f t="shared" si="12"/>
        <v>2687</v>
      </c>
      <c r="L114">
        <f t="shared" si="13"/>
        <v>-79</v>
      </c>
      <c r="M114" s="2">
        <f t="shared" si="14"/>
        <v>-2.8561099060014462E-2</v>
      </c>
      <c r="N114">
        <f t="shared" si="15"/>
        <v>79</v>
      </c>
    </row>
    <row r="115" spans="1:14">
      <c r="A115" s="1" cm="1">
        <f t="array" ref="A115">INDEX(tblWeeks[Week_Start],INT((ROW()-2)/20)+1)</f>
        <v>46062</v>
      </c>
      <c r="B115" t="str" cm="1">
        <f t="array" ref="B115">INDEX(tblDemandAssumptions[Customer_ID],MOD(ROW()-2,20)+1)</f>
        <v>C003</v>
      </c>
      <c r="C115" t="str" cm="1">
        <f t="array" ref="C115">INDEX(tblDemandAssumptions[Product_ID],MOD(ROW()-2,20)+1)</f>
        <v>P004</v>
      </c>
      <c r="D115" cm="1">
        <f t="array" ref="D115">INDEX(tblDemandAssumptions[Baseline_Weekly_Qty],MOD(ROW()-2,20)+1)</f>
        <v>2400</v>
      </c>
      <c r="E115">
        <f t="shared" si="8"/>
        <v>0.95</v>
      </c>
      <c r="F115">
        <v>1</v>
      </c>
      <c r="G115">
        <f t="shared" si="9"/>
        <v>2280</v>
      </c>
      <c r="H115">
        <v>0.96</v>
      </c>
      <c r="I115">
        <f t="shared" si="10"/>
        <v>2189</v>
      </c>
      <c r="J115" t="str">
        <f t="shared" si="11"/>
        <v>Normal</v>
      </c>
      <c r="K115">
        <f t="shared" si="12"/>
        <v>2280</v>
      </c>
      <c r="L115">
        <f t="shared" si="13"/>
        <v>91</v>
      </c>
      <c r="M115" s="2">
        <f t="shared" si="14"/>
        <v>4.1571493832800364E-2</v>
      </c>
      <c r="N115">
        <f t="shared" si="15"/>
        <v>91</v>
      </c>
    </row>
    <row r="116" spans="1:14">
      <c r="A116" s="1" cm="1">
        <f t="array" ref="A116">INDEX(tblWeeks[Week_Start],INT((ROW()-2)/20)+1)</f>
        <v>46062</v>
      </c>
      <c r="B116" t="str" cm="1">
        <f t="array" ref="B116">INDEX(tblDemandAssumptions[Customer_ID],MOD(ROW()-2,20)+1)</f>
        <v>C003</v>
      </c>
      <c r="C116" t="str" cm="1">
        <f t="array" ref="C116">INDEX(tblDemandAssumptions[Product_ID],MOD(ROW()-2,20)+1)</f>
        <v>P005</v>
      </c>
      <c r="D116" cm="1">
        <f t="array" ref="D116">INDEX(tblDemandAssumptions[Baseline_Weekly_Qty],MOD(ROW()-2,20)+1)</f>
        <v>1900</v>
      </c>
      <c r="E116">
        <f t="shared" si="8"/>
        <v>0.95</v>
      </c>
      <c r="F116">
        <v>0.96</v>
      </c>
      <c r="G116">
        <f t="shared" si="9"/>
        <v>1733</v>
      </c>
      <c r="H116">
        <v>1.04</v>
      </c>
      <c r="I116">
        <f t="shared" si="10"/>
        <v>1877</v>
      </c>
      <c r="J116" t="str">
        <f t="shared" si="11"/>
        <v>Normal</v>
      </c>
      <c r="K116">
        <f t="shared" si="12"/>
        <v>1733</v>
      </c>
      <c r="L116">
        <f t="shared" si="13"/>
        <v>-144</v>
      </c>
      <c r="M116" s="2">
        <f t="shared" si="14"/>
        <v>-7.6718167288225891E-2</v>
      </c>
      <c r="N116">
        <f t="shared" si="15"/>
        <v>144</v>
      </c>
    </row>
    <row r="117" spans="1:14">
      <c r="A117" s="1" cm="1">
        <f t="array" ref="A117">INDEX(tblWeeks[Week_Start],INT((ROW()-2)/20)+1)</f>
        <v>46062</v>
      </c>
      <c r="B117" t="str" cm="1">
        <f t="array" ref="B117">INDEX(tblDemandAssumptions[Customer_ID],MOD(ROW()-2,20)+1)</f>
        <v>C004</v>
      </c>
      <c r="C117" t="str" cm="1">
        <f t="array" ref="C117">INDEX(tblDemandAssumptions[Product_ID],MOD(ROW()-2,20)+1)</f>
        <v>P001</v>
      </c>
      <c r="D117" cm="1">
        <f t="array" ref="D117">INDEX(tblDemandAssumptions[Baseline_Weekly_Qty],MOD(ROW()-2,20)+1)</f>
        <v>2700</v>
      </c>
      <c r="E117">
        <f t="shared" si="8"/>
        <v>0.95</v>
      </c>
      <c r="F117">
        <v>1.04</v>
      </c>
      <c r="G117">
        <f t="shared" si="9"/>
        <v>2668</v>
      </c>
      <c r="H117">
        <v>1</v>
      </c>
      <c r="I117">
        <f t="shared" si="10"/>
        <v>2565</v>
      </c>
      <c r="J117" t="str">
        <f t="shared" si="11"/>
        <v>Normal</v>
      </c>
      <c r="K117">
        <f t="shared" si="12"/>
        <v>2668</v>
      </c>
      <c r="L117">
        <f t="shared" si="13"/>
        <v>103</v>
      </c>
      <c r="M117" s="2">
        <f t="shared" si="14"/>
        <v>4.0155945419103313E-2</v>
      </c>
      <c r="N117">
        <f t="shared" si="15"/>
        <v>103</v>
      </c>
    </row>
    <row r="118" spans="1:14">
      <c r="A118" s="1" cm="1">
        <f t="array" ref="A118">INDEX(tblWeeks[Week_Start],INT((ROW()-2)/20)+1)</f>
        <v>46062</v>
      </c>
      <c r="B118" t="str" cm="1">
        <f t="array" ref="B118">INDEX(tblDemandAssumptions[Customer_ID],MOD(ROW()-2,20)+1)</f>
        <v>C004</v>
      </c>
      <c r="C118" t="str" cm="1">
        <f t="array" ref="C118">INDEX(tblDemandAssumptions[Product_ID],MOD(ROW()-2,20)+1)</f>
        <v>P002</v>
      </c>
      <c r="D118" cm="1">
        <f t="array" ref="D118">INDEX(tblDemandAssumptions[Baseline_Weekly_Qty],MOD(ROW()-2,20)+1)</f>
        <v>2400</v>
      </c>
      <c r="E118">
        <f t="shared" si="8"/>
        <v>0.95</v>
      </c>
      <c r="F118">
        <v>0.98</v>
      </c>
      <c r="G118">
        <f t="shared" si="9"/>
        <v>2234</v>
      </c>
      <c r="H118">
        <v>0.99</v>
      </c>
      <c r="I118">
        <f t="shared" si="10"/>
        <v>2257</v>
      </c>
      <c r="J118" t="str">
        <f t="shared" si="11"/>
        <v>Normal</v>
      </c>
      <c r="K118">
        <f t="shared" si="12"/>
        <v>2234</v>
      </c>
      <c r="L118">
        <f t="shared" si="13"/>
        <v>-23</v>
      </c>
      <c r="M118" s="2">
        <f t="shared" si="14"/>
        <v>-1.0190518387239699E-2</v>
      </c>
      <c r="N118">
        <f t="shared" si="15"/>
        <v>23</v>
      </c>
    </row>
    <row r="119" spans="1:14">
      <c r="A119" s="1" cm="1">
        <f t="array" ref="A119">INDEX(tblWeeks[Week_Start],INT((ROW()-2)/20)+1)</f>
        <v>46062</v>
      </c>
      <c r="B119" t="str" cm="1">
        <f t="array" ref="B119">INDEX(tblDemandAssumptions[Customer_ID],MOD(ROW()-2,20)+1)</f>
        <v>C004</v>
      </c>
      <c r="C119" t="str" cm="1">
        <f t="array" ref="C119">INDEX(tblDemandAssumptions[Product_ID],MOD(ROW()-2,20)+1)</f>
        <v>P003</v>
      </c>
      <c r="D119" cm="1">
        <f t="array" ref="D119">INDEX(tblDemandAssumptions[Baseline_Weekly_Qty],MOD(ROW()-2,20)+1)</f>
        <v>2100</v>
      </c>
      <c r="E119">
        <f t="shared" si="8"/>
        <v>0.95</v>
      </c>
      <c r="F119">
        <v>1.04</v>
      </c>
      <c r="G119">
        <f t="shared" si="9"/>
        <v>2075</v>
      </c>
      <c r="H119">
        <v>1.04</v>
      </c>
      <c r="I119">
        <f t="shared" si="10"/>
        <v>2075</v>
      </c>
      <c r="J119" t="str">
        <f t="shared" si="11"/>
        <v>Normal</v>
      </c>
      <c r="K119">
        <f t="shared" si="12"/>
        <v>2075</v>
      </c>
      <c r="L119">
        <f t="shared" si="13"/>
        <v>0</v>
      </c>
      <c r="M119" s="2">
        <f t="shared" si="14"/>
        <v>0</v>
      </c>
      <c r="N119">
        <f t="shared" si="15"/>
        <v>0</v>
      </c>
    </row>
    <row r="120" spans="1:14">
      <c r="A120" s="1" cm="1">
        <f t="array" ref="A120">INDEX(tblWeeks[Week_Start],INT((ROW()-2)/20)+1)</f>
        <v>46062</v>
      </c>
      <c r="B120" t="str" cm="1">
        <f t="array" ref="B120">INDEX(tblDemandAssumptions[Customer_ID],MOD(ROW()-2,20)+1)</f>
        <v>C004</v>
      </c>
      <c r="C120" t="str" cm="1">
        <f t="array" ref="C120">INDEX(tblDemandAssumptions[Product_ID],MOD(ROW()-2,20)+1)</f>
        <v>P004</v>
      </c>
      <c r="D120" cm="1">
        <f t="array" ref="D120">INDEX(tblDemandAssumptions[Baseline_Weekly_Qty],MOD(ROW()-2,20)+1)</f>
        <v>2600</v>
      </c>
      <c r="E120">
        <f t="shared" si="8"/>
        <v>0.95</v>
      </c>
      <c r="F120">
        <v>1.04</v>
      </c>
      <c r="G120">
        <f t="shared" si="9"/>
        <v>2569</v>
      </c>
      <c r="H120">
        <v>1</v>
      </c>
      <c r="I120">
        <f t="shared" si="10"/>
        <v>2470</v>
      </c>
      <c r="J120" t="str">
        <f t="shared" si="11"/>
        <v>Normal</v>
      </c>
      <c r="K120">
        <f t="shared" si="12"/>
        <v>2569</v>
      </c>
      <c r="L120">
        <f t="shared" si="13"/>
        <v>99</v>
      </c>
      <c r="M120" s="2">
        <f t="shared" si="14"/>
        <v>4.0080971659919029E-2</v>
      </c>
      <c r="N120">
        <f t="shared" si="15"/>
        <v>99</v>
      </c>
    </row>
    <row r="121" spans="1:14">
      <c r="A121" s="1" cm="1">
        <f t="array" ref="A121">INDEX(tblWeeks[Week_Start],INT((ROW()-2)/20)+1)</f>
        <v>46062</v>
      </c>
      <c r="B121" t="str" cm="1">
        <f t="array" ref="B121">INDEX(tblDemandAssumptions[Customer_ID],MOD(ROW()-2,20)+1)</f>
        <v>C004</v>
      </c>
      <c r="C121" t="str" cm="1">
        <f t="array" ref="C121">INDEX(tblDemandAssumptions[Product_ID],MOD(ROW()-2,20)+1)</f>
        <v>P005</v>
      </c>
      <c r="D121" cm="1">
        <f t="array" ref="D121">INDEX(tblDemandAssumptions[Baseline_Weekly_Qty],MOD(ROW()-2,20)+1)</f>
        <v>1800</v>
      </c>
      <c r="E121">
        <f t="shared" si="8"/>
        <v>0.95</v>
      </c>
      <c r="F121">
        <v>1.04</v>
      </c>
      <c r="G121">
        <f t="shared" si="9"/>
        <v>1778</v>
      </c>
      <c r="H121">
        <v>0.98</v>
      </c>
      <c r="I121">
        <f t="shared" si="10"/>
        <v>1676</v>
      </c>
      <c r="J121" t="str">
        <f t="shared" si="11"/>
        <v>Normal</v>
      </c>
      <c r="K121">
        <f t="shared" si="12"/>
        <v>1778</v>
      </c>
      <c r="L121">
        <f t="shared" si="13"/>
        <v>102</v>
      </c>
      <c r="M121" s="2">
        <f t="shared" si="14"/>
        <v>6.0859188544152745E-2</v>
      </c>
      <c r="N121">
        <f t="shared" si="15"/>
        <v>102</v>
      </c>
    </row>
    <row r="122" spans="1:14">
      <c r="A122" s="1" cm="1">
        <f t="array" ref="A122">INDEX(tblWeeks[Week_Start],INT((ROW()-2)/20)+1)</f>
        <v>46069</v>
      </c>
      <c r="B122" t="str" cm="1">
        <f t="array" ref="B122">INDEX(tblDemandAssumptions[Customer_ID],MOD(ROW()-2,20)+1)</f>
        <v>C001</v>
      </c>
      <c r="C122" t="str" cm="1">
        <f t="array" ref="C122">INDEX(tblDemandAssumptions[Product_ID],MOD(ROW()-2,20)+1)</f>
        <v>P001</v>
      </c>
      <c r="D122" cm="1">
        <f t="array" ref="D122">INDEX(tblDemandAssumptions[Baseline_Weekly_Qty],MOD(ROW()-2,20)+1)</f>
        <v>5200</v>
      </c>
      <c r="E122">
        <f t="shared" si="8"/>
        <v>0.95</v>
      </c>
      <c r="F122">
        <v>1.02</v>
      </c>
      <c r="G122">
        <f t="shared" si="9"/>
        <v>5039</v>
      </c>
      <c r="H122">
        <v>0.97</v>
      </c>
      <c r="I122">
        <f t="shared" si="10"/>
        <v>4792</v>
      </c>
      <c r="J122" t="str">
        <f t="shared" si="11"/>
        <v>Normal</v>
      </c>
      <c r="K122">
        <f t="shared" si="12"/>
        <v>5039</v>
      </c>
      <c r="L122">
        <f t="shared" si="13"/>
        <v>247</v>
      </c>
      <c r="M122" s="2">
        <f t="shared" si="14"/>
        <v>5.1544240400667782E-2</v>
      </c>
      <c r="N122">
        <f t="shared" si="15"/>
        <v>247</v>
      </c>
    </row>
    <row r="123" spans="1:14">
      <c r="A123" s="1" cm="1">
        <f t="array" ref="A123">INDEX(tblWeeks[Week_Start],INT((ROW()-2)/20)+1)</f>
        <v>46069</v>
      </c>
      <c r="B123" t="str" cm="1">
        <f t="array" ref="B123">INDEX(tblDemandAssumptions[Customer_ID],MOD(ROW()-2,20)+1)</f>
        <v>C001</v>
      </c>
      <c r="C123" t="str" cm="1">
        <f t="array" ref="C123">INDEX(tblDemandAssumptions[Product_ID],MOD(ROW()-2,20)+1)</f>
        <v>P002</v>
      </c>
      <c r="D123" cm="1">
        <f t="array" ref="D123">INDEX(tblDemandAssumptions[Baseline_Weekly_Qty],MOD(ROW()-2,20)+1)</f>
        <v>4100</v>
      </c>
      <c r="E123">
        <f t="shared" si="8"/>
        <v>0.95</v>
      </c>
      <c r="F123">
        <v>0.96</v>
      </c>
      <c r="G123">
        <f t="shared" si="9"/>
        <v>3739</v>
      </c>
      <c r="H123">
        <v>0.99</v>
      </c>
      <c r="I123">
        <f t="shared" si="10"/>
        <v>3856</v>
      </c>
      <c r="J123" t="str">
        <f t="shared" si="11"/>
        <v>Normal</v>
      </c>
      <c r="K123">
        <f t="shared" si="12"/>
        <v>3739</v>
      </c>
      <c r="L123">
        <f t="shared" si="13"/>
        <v>-117</v>
      </c>
      <c r="M123" s="2">
        <f t="shared" si="14"/>
        <v>-3.0342323651452282E-2</v>
      </c>
      <c r="N123">
        <f t="shared" si="15"/>
        <v>117</v>
      </c>
    </row>
    <row r="124" spans="1:14">
      <c r="A124" s="1" cm="1">
        <f t="array" ref="A124">INDEX(tblWeeks[Week_Start],INT((ROW()-2)/20)+1)</f>
        <v>46069</v>
      </c>
      <c r="B124" t="str" cm="1">
        <f t="array" ref="B124">INDEX(tblDemandAssumptions[Customer_ID],MOD(ROW()-2,20)+1)</f>
        <v>C001</v>
      </c>
      <c r="C124" t="str" cm="1">
        <f t="array" ref="C124">INDEX(tblDemandAssumptions[Product_ID],MOD(ROW()-2,20)+1)</f>
        <v>P003</v>
      </c>
      <c r="D124" cm="1">
        <f t="array" ref="D124">INDEX(tblDemandAssumptions[Baseline_Weekly_Qty],MOD(ROW()-2,20)+1)</f>
        <v>3300</v>
      </c>
      <c r="E124">
        <f t="shared" si="8"/>
        <v>0.95</v>
      </c>
      <c r="F124">
        <v>0.97</v>
      </c>
      <c r="G124">
        <f t="shared" si="9"/>
        <v>3041</v>
      </c>
      <c r="H124">
        <v>1.02</v>
      </c>
      <c r="I124">
        <f t="shared" si="10"/>
        <v>3198</v>
      </c>
      <c r="J124" t="str">
        <f t="shared" si="11"/>
        <v>Normal</v>
      </c>
      <c r="K124">
        <f t="shared" si="12"/>
        <v>3041</v>
      </c>
      <c r="L124">
        <f t="shared" si="13"/>
        <v>-157</v>
      </c>
      <c r="M124" s="2">
        <f t="shared" si="14"/>
        <v>-4.9093183239524704E-2</v>
      </c>
      <c r="N124">
        <f t="shared" si="15"/>
        <v>157</v>
      </c>
    </row>
    <row r="125" spans="1:14">
      <c r="A125" s="1" cm="1">
        <f t="array" ref="A125">INDEX(tblWeeks[Week_Start],INT((ROW()-2)/20)+1)</f>
        <v>46069</v>
      </c>
      <c r="B125" t="str" cm="1">
        <f t="array" ref="B125">INDEX(tblDemandAssumptions[Customer_ID],MOD(ROW()-2,20)+1)</f>
        <v>C001</v>
      </c>
      <c r="C125" t="str" cm="1">
        <f t="array" ref="C125">INDEX(tblDemandAssumptions[Product_ID],MOD(ROW()-2,20)+1)</f>
        <v>P004</v>
      </c>
      <c r="D125" cm="1">
        <f t="array" ref="D125">INDEX(tblDemandAssumptions[Baseline_Weekly_Qty],MOD(ROW()-2,20)+1)</f>
        <v>3600</v>
      </c>
      <c r="E125">
        <f t="shared" si="8"/>
        <v>0.95</v>
      </c>
      <c r="F125">
        <v>0.99</v>
      </c>
      <c r="G125">
        <f t="shared" si="9"/>
        <v>3386</v>
      </c>
      <c r="H125">
        <v>0.99</v>
      </c>
      <c r="I125">
        <f t="shared" si="10"/>
        <v>3386</v>
      </c>
      <c r="J125" t="str">
        <f t="shared" si="11"/>
        <v>Normal</v>
      </c>
      <c r="K125">
        <f t="shared" si="12"/>
        <v>3386</v>
      </c>
      <c r="L125">
        <f t="shared" si="13"/>
        <v>0</v>
      </c>
      <c r="M125" s="2">
        <f t="shared" si="14"/>
        <v>0</v>
      </c>
      <c r="N125">
        <f t="shared" si="15"/>
        <v>0</v>
      </c>
    </row>
    <row r="126" spans="1:14">
      <c r="A126" s="1" cm="1">
        <f t="array" ref="A126">INDEX(tblWeeks[Week_Start],INT((ROW()-2)/20)+1)</f>
        <v>46069</v>
      </c>
      <c r="B126" t="str" cm="1">
        <f t="array" ref="B126">INDEX(tblDemandAssumptions[Customer_ID],MOD(ROW()-2,20)+1)</f>
        <v>C001</v>
      </c>
      <c r="C126" t="str" cm="1">
        <f t="array" ref="C126">INDEX(tblDemandAssumptions[Product_ID],MOD(ROW()-2,20)+1)</f>
        <v>P005</v>
      </c>
      <c r="D126" cm="1">
        <f t="array" ref="D126">INDEX(tblDemandAssumptions[Baseline_Weekly_Qty],MOD(ROW()-2,20)+1)</f>
        <v>2800</v>
      </c>
      <c r="E126">
        <f t="shared" si="8"/>
        <v>0.95</v>
      </c>
      <c r="F126">
        <v>1.04</v>
      </c>
      <c r="G126">
        <f t="shared" si="9"/>
        <v>2766</v>
      </c>
      <c r="H126">
        <v>0.96</v>
      </c>
      <c r="I126">
        <f t="shared" si="10"/>
        <v>2554</v>
      </c>
      <c r="J126" t="str">
        <f t="shared" si="11"/>
        <v>Normal</v>
      </c>
      <c r="K126">
        <f t="shared" si="12"/>
        <v>2766</v>
      </c>
      <c r="L126">
        <f t="shared" si="13"/>
        <v>212</v>
      </c>
      <c r="M126" s="2">
        <f t="shared" si="14"/>
        <v>8.3007047768206735E-2</v>
      </c>
      <c r="N126">
        <f t="shared" si="15"/>
        <v>212</v>
      </c>
    </row>
    <row r="127" spans="1:14">
      <c r="A127" s="1" cm="1">
        <f t="array" ref="A127">INDEX(tblWeeks[Week_Start],INT((ROW()-2)/20)+1)</f>
        <v>46069</v>
      </c>
      <c r="B127" t="str" cm="1">
        <f t="array" ref="B127">INDEX(tblDemandAssumptions[Customer_ID],MOD(ROW()-2,20)+1)</f>
        <v>C002</v>
      </c>
      <c r="C127" t="str" cm="1">
        <f t="array" ref="C127">INDEX(tblDemandAssumptions[Product_ID],MOD(ROW()-2,20)+1)</f>
        <v>P001</v>
      </c>
      <c r="D127" cm="1">
        <f t="array" ref="D127">INDEX(tblDemandAssumptions[Baseline_Weekly_Qty],MOD(ROW()-2,20)+1)</f>
        <v>3400</v>
      </c>
      <c r="E127">
        <f t="shared" si="8"/>
        <v>0.95</v>
      </c>
      <c r="F127">
        <v>0.97</v>
      </c>
      <c r="G127">
        <f t="shared" si="9"/>
        <v>3133</v>
      </c>
      <c r="H127">
        <v>0.96</v>
      </c>
      <c r="I127">
        <f t="shared" si="10"/>
        <v>3101</v>
      </c>
      <c r="J127" t="str">
        <f t="shared" si="11"/>
        <v>Normal</v>
      </c>
      <c r="K127">
        <f t="shared" si="12"/>
        <v>3133</v>
      </c>
      <c r="L127">
        <f t="shared" si="13"/>
        <v>32</v>
      </c>
      <c r="M127" s="2">
        <f t="shared" si="14"/>
        <v>1.0319251854240567E-2</v>
      </c>
      <c r="N127">
        <f t="shared" si="15"/>
        <v>32</v>
      </c>
    </row>
    <row r="128" spans="1:14">
      <c r="A128" s="1" cm="1">
        <f t="array" ref="A128">INDEX(tblWeeks[Week_Start],INT((ROW()-2)/20)+1)</f>
        <v>46069</v>
      </c>
      <c r="B128" t="str" cm="1">
        <f t="array" ref="B128">INDEX(tblDemandAssumptions[Customer_ID],MOD(ROW()-2,20)+1)</f>
        <v>C002</v>
      </c>
      <c r="C128" t="str" cm="1">
        <f t="array" ref="C128">INDEX(tblDemandAssumptions[Product_ID],MOD(ROW()-2,20)+1)</f>
        <v>P002</v>
      </c>
      <c r="D128" cm="1">
        <f t="array" ref="D128">INDEX(tblDemandAssumptions[Baseline_Weekly_Qty],MOD(ROW()-2,20)+1)</f>
        <v>3200</v>
      </c>
      <c r="E128">
        <f t="shared" si="8"/>
        <v>0.95</v>
      </c>
      <c r="F128">
        <v>0.97</v>
      </c>
      <c r="G128">
        <f t="shared" si="9"/>
        <v>2949</v>
      </c>
      <c r="H128">
        <v>0.97</v>
      </c>
      <c r="I128">
        <f t="shared" si="10"/>
        <v>2949</v>
      </c>
      <c r="J128" t="str">
        <f t="shared" si="11"/>
        <v>Normal</v>
      </c>
      <c r="K128">
        <f t="shared" si="12"/>
        <v>2949</v>
      </c>
      <c r="L128">
        <f t="shared" si="13"/>
        <v>0</v>
      </c>
      <c r="M128" s="2">
        <f t="shared" si="14"/>
        <v>0</v>
      </c>
      <c r="N128">
        <f t="shared" si="15"/>
        <v>0</v>
      </c>
    </row>
    <row r="129" spans="1:14">
      <c r="A129" s="1" cm="1">
        <f t="array" ref="A129">INDEX(tblWeeks[Week_Start],INT((ROW()-2)/20)+1)</f>
        <v>46069</v>
      </c>
      <c r="B129" t="str" cm="1">
        <f t="array" ref="B129">INDEX(tblDemandAssumptions[Customer_ID],MOD(ROW()-2,20)+1)</f>
        <v>C002</v>
      </c>
      <c r="C129" t="str" cm="1">
        <f t="array" ref="C129">INDEX(tblDemandAssumptions[Product_ID],MOD(ROW()-2,20)+1)</f>
        <v>P003</v>
      </c>
      <c r="D129" cm="1">
        <f t="array" ref="D129">INDEX(tblDemandAssumptions[Baseline_Weekly_Qty],MOD(ROW()-2,20)+1)</f>
        <v>2600</v>
      </c>
      <c r="E129">
        <f t="shared" si="8"/>
        <v>0.95</v>
      </c>
      <c r="F129">
        <v>1</v>
      </c>
      <c r="G129">
        <f t="shared" si="9"/>
        <v>2470</v>
      </c>
      <c r="H129">
        <v>1.04</v>
      </c>
      <c r="I129">
        <f t="shared" si="10"/>
        <v>2569</v>
      </c>
      <c r="J129" t="str">
        <f t="shared" si="11"/>
        <v>Normal</v>
      </c>
      <c r="K129">
        <f t="shared" si="12"/>
        <v>2470</v>
      </c>
      <c r="L129">
        <f t="shared" si="13"/>
        <v>-99</v>
      </c>
      <c r="M129" s="2">
        <f t="shared" si="14"/>
        <v>-3.8536395484624369E-2</v>
      </c>
      <c r="N129">
        <f t="shared" si="15"/>
        <v>99</v>
      </c>
    </row>
    <row r="130" spans="1:14">
      <c r="A130" s="1" cm="1">
        <f t="array" ref="A130">INDEX(tblWeeks[Week_Start],INT((ROW()-2)/20)+1)</f>
        <v>46069</v>
      </c>
      <c r="B130" t="str" cm="1">
        <f t="array" ref="B130">INDEX(tblDemandAssumptions[Customer_ID],MOD(ROW()-2,20)+1)</f>
        <v>C002</v>
      </c>
      <c r="C130" t="str" cm="1">
        <f t="array" ref="C130">INDEX(tblDemandAssumptions[Product_ID],MOD(ROW()-2,20)+1)</f>
        <v>P004</v>
      </c>
      <c r="D130" cm="1">
        <f t="array" ref="D130">INDEX(tblDemandAssumptions[Baseline_Weekly_Qty],MOD(ROW()-2,20)+1)</f>
        <v>2900</v>
      </c>
      <c r="E130">
        <f t="shared" ref="E130:E193" si="16">IF(MONTH(A130)&lt;=2,0.95,IF(MONTH(A130)&lt;=4,1,IF(MONTH(A130)&lt;=6,1.05,IF(MONTH(A130)&lt;=8,1.1,IF(MONTH(A130)&lt;=10,1,IF(MONTH(A130)=11,1.05,1.2))))))</f>
        <v>0.95</v>
      </c>
      <c r="F130">
        <v>1.03</v>
      </c>
      <c r="G130">
        <f t="shared" ref="G130:G193" si="17">ROUND(D130*E130*F130,0)</f>
        <v>2838</v>
      </c>
      <c r="H130">
        <v>0.97</v>
      </c>
      <c r="I130">
        <f t="shared" ref="I130:I193" si="18">ROUND(D130*E130*H130,0)</f>
        <v>2672</v>
      </c>
      <c r="J130" t="str">
        <f t="shared" ref="J130:J193" si="19">IF(AND(A130=DATE(2026,3,16),B130="C001",C130="P001"),"Promotion_Demand_Spike",IF(AND(A130=DATE(2026,6,8),B130="C002",C130="P004"),"Under_Forecast",IF(AND(A130=DATE(2026,7,20),B130="C003",C130="P003"),"Over_Forecast","Normal")))</f>
        <v>Normal</v>
      </c>
      <c r="K130">
        <f t="shared" ref="K130:K193" si="20">IF(J130="Promotion_Demand_Spike",ROUND(G130*1.35,0),IF(J130="Under_Forecast",ROUND(I130*1.25,0),IF(J130="Over_Forecast",ROUND(I130*0.72,0),G130)))</f>
        <v>2838</v>
      </c>
      <c r="L130">
        <f t="shared" ref="L130:L193" si="21">K130-I130</f>
        <v>166</v>
      </c>
      <c r="M130" s="2">
        <f t="shared" ref="M130:M193" si="22">IF(I130=0,0,L130/I130)</f>
        <v>6.2125748502994009E-2</v>
      </c>
      <c r="N130">
        <f t="shared" ref="N130:N193" si="23">ABS(L130)</f>
        <v>166</v>
      </c>
    </row>
    <row r="131" spans="1:14">
      <c r="A131" s="1" cm="1">
        <f t="array" ref="A131">INDEX(tblWeeks[Week_Start],INT((ROW()-2)/20)+1)</f>
        <v>46069</v>
      </c>
      <c r="B131" t="str" cm="1">
        <f t="array" ref="B131">INDEX(tblDemandAssumptions[Customer_ID],MOD(ROW()-2,20)+1)</f>
        <v>C002</v>
      </c>
      <c r="C131" t="str" cm="1">
        <f t="array" ref="C131">INDEX(tblDemandAssumptions[Product_ID],MOD(ROW()-2,20)+1)</f>
        <v>P005</v>
      </c>
      <c r="D131" cm="1">
        <f t="array" ref="D131">INDEX(tblDemandAssumptions[Baseline_Weekly_Qty],MOD(ROW()-2,20)+1)</f>
        <v>2200</v>
      </c>
      <c r="E131">
        <f t="shared" si="16"/>
        <v>0.95</v>
      </c>
      <c r="F131">
        <v>1.04</v>
      </c>
      <c r="G131">
        <f t="shared" si="17"/>
        <v>2174</v>
      </c>
      <c r="H131">
        <v>0.98</v>
      </c>
      <c r="I131">
        <f t="shared" si="18"/>
        <v>2048</v>
      </c>
      <c r="J131" t="str">
        <f t="shared" si="19"/>
        <v>Normal</v>
      </c>
      <c r="K131">
        <f t="shared" si="20"/>
        <v>2174</v>
      </c>
      <c r="L131">
        <f t="shared" si="21"/>
        <v>126</v>
      </c>
      <c r="M131" s="2">
        <f t="shared" si="22"/>
        <v>6.15234375E-2</v>
      </c>
      <c r="N131">
        <f t="shared" si="23"/>
        <v>126</v>
      </c>
    </row>
    <row r="132" spans="1:14">
      <c r="A132" s="1" cm="1">
        <f t="array" ref="A132">INDEX(tblWeeks[Week_Start],INT((ROW()-2)/20)+1)</f>
        <v>46069</v>
      </c>
      <c r="B132" t="str" cm="1">
        <f t="array" ref="B132">INDEX(tblDemandAssumptions[Customer_ID],MOD(ROW()-2,20)+1)</f>
        <v>C003</v>
      </c>
      <c r="C132" t="str" cm="1">
        <f t="array" ref="C132">INDEX(tblDemandAssumptions[Product_ID],MOD(ROW()-2,20)+1)</f>
        <v>P001</v>
      </c>
      <c r="D132" cm="1">
        <f t="array" ref="D132">INDEX(tblDemandAssumptions[Baseline_Weekly_Qty],MOD(ROW()-2,20)+1)</f>
        <v>3000</v>
      </c>
      <c r="E132">
        <f t="shared" si="16"/>
        <v>0.95</v>
      </c>
      <c r="F132">
        <v>0.95</v>
      </c>
      <c r="G132">
        <f t="shared" si="17"/>
        <v>2708</v>
      </c>
      <c r="H132">
        <v>1.03</v>
      </c>
      <c r="I132">
        <f t="shared" si="18"/>
        <v>2936</v>
      </c>
      <c r="J132" t="str">
        <f t="shared" si="19"/>
        <v>Normal</v>
      </c>
      <c r="K132">
        <f t="shared" si="20"/>
        <v>2708</v>
      </c>
      <c r="L132">
        <f t="shared" si="21"/>
        <v>-228</v>
      </c>
      <c r="M132" s="2">
        <f t="shared" si="22"/>
        <v>-7.7656675749318796E-2</v>
      </c>
      <c r="N132">
        <f t="shared" si="23"/>
        <v>228</v>
      </c>
    </row>
    <row r="133" spans="1:14">
      <c r="A133" s="1" cm="1">
        <f t="array" ref="A133">INDEX(tblWeeks[Week_Start],INT((ROW()-2)/20)+1)</f>
        <v>46069</v>
      </c>
      <c r="B133" t="str" cm="1">
        <f t="array" ref="B133">INDEX(tblDemandAssumptions[Customer_ID],MOD(ROW()-2,20)+1)</f>
        <v>C003</v>
      </c>
      <c r="C133" t="str" cm="1">
        <f t="array" ref="C133">INDEX(tblDemandAssumptions[Product_ID],MOD(ROW()-2,20)+1)</f>
        <v>P002</v>
      </c>
      <c r="D133" cm="1">
        <f t="array" ref="D133">INDEX(tblDemandAssumptions[Baseline_Weekly_Qty],MOD(ROW()-2,20)+1)</f>
        <v>2700</v>
      </c>
      <c r="E133">
        <f t="shared" si="16"/>
        <v>0.95</v>
      </c>
      <c r="F133">
        <v>1.02</v>
      </c>
      <c r="G133">
        <f t="shared" si="17"/>
        <v>2616</v>
      </c>
      <c r="H133">
        <v>1.04</v>
      </c>
      <c r="I133">
        <f t="shared" si="18"/>
        <v>2668</v>
      </c>
      <c r="J133" t="str">
        <f t="shared" si="19"/>
        <v>Normal</v>
      </c>
      <c r="K133">
        <f t="shared" si="20"/>
        <v>2616</v>
      </c>
      <c r="L133">
        <f t="shared" si="21"/>
        <v>-52</v>
      </c>
      <c r="M133" s="2">
        <f t="shared" si="22"/>
        <v>-1.9490254872563718E-2</v>
      </c>
      <c r="N133">
        <f t="shared" si="23"/>
        <v>52</v>
      </c>
    </row>
    <row r="134" spans="1:14">
      <c r="A134" s="1" cm="1">
        <f t="array" ref="A134">INDEX(tblWeeks[Week_Start],INT((ROW()-2)/20)+1)</f>
        <v>46069</v>
      </c>
      <c r="B134" t="str" cm="1">
        <f t="array" ref="B134">INDEX(tblDemandAssumptions[Customer_ID],MOD(ROW()-2,20)+1)</f>
        <v>C003</v>
      </c>
      <c r="C134" t="str" cm="1">
        <f t="array" ref="C134">INDEX(tblDemandAssumptions[Product_ID],MOD(ROW()-2,20)+1)</f>
        <v>P003</v>
      </c>
      <c r="D134" cm="1">
        <f t="array" ref="D134">INDEX(tblDemandAssumptions[Baseline_Weekly_Qty],MOD(ROW()-2,20)+1)</f>
        <v>2800</v>
      </c>
      <c r="E134">
        <f t="shared" si="16"/>
        <v>0.95</v>
      </c>
      <c r="F134">
        <v>0.95</v>
      </c>
      <c r="G134">
        <f t="shared" si="17"/>
        <v>2527</v>
      </c>
      <c r="H134">
        <v>0.98</v>
      </c>
      <c r="I134">
        <f t="shared" si="18"/>
        <v>2607</v>
      </c>
      <c r="J134" t="str">
        <f t="shared" si="19"/>
        <v>Normal</v>
      </c>
      <c r="K134">
        <f t="shared" si="20"/>
        <v>2527</v>
      </c>
      <c r="L134">
        <f t="shared" si="21"/>
        <v>-80</v>
      </c>
      <c r="M134" s="2">
        <f t="shared" si="22"/>
        <v>-3.0686612965093979E-2</v>
      </c>
      <c r="N134">
        <f t="shared" si="23"/>
        <v>80</v>
      </c>
    </row>
    <row r="135" spans="1:14">
      <c r="A135" s="1" cm="1">
        <f t="array" ref="A135">INDEX(tblWeeks[Week_Start],INT((ROW()-2)/20)+1)</f>
        <v>46069</v>
      </c>
      <c r="B135" t="str" cm="1">
        <f t="array" ref="B135">INDEX(tblDemandAssumptions[Customer_ID],MOD(ROW()-2,20)+1)</f>
        <v>C003</v>
      </c>
      <c r="C135" t="str" cm="1">
        <f t="array" ref="C135">INDEX(tblDemandAssumptions[Product_ID],MOD(ROW()-2,20)+1)</f>
        <v>P004</v>
      </c>
      <c r="D135" cm="1">
        <f t="array" ref="D135">INDEX(tblDemandAssumptions[Baseline_Weekly_Qty],MOD(ROW()-2,20)+1)</f>
        <v>2400</v>
      </c>
      <c r="E135">
        <f t="shared" si="16"/>
        <v>0.95</v>
      </c>
      <c r="F135">
        <v>1.04</v>
      </c>
      <c r="G135">
        <f t="shared" si="17"/>
        <v>2371</v>
      </c>
      <c r="H135">
        <v>1.01</v>
      </c>
      <c r="I135">
        <f t="shared" si="18"/>
        <v>2303</v>
      </c>
      <c r="J135" t="str">
        <f t="shared" si="19"/>
        <v>Normal</v>
      </c>
      <c r="K135">
        <f t="shared" si="20"/>
        <v>2371</v>
      </c>
      <c r="L135">
        <f t="shared" si="21"/>
        <v>68</v>
      </c>
      <c r="M135" s="2">
        <f t="shared" si="22"/>
        <v>2.9526704298740773E-2</v>
      </c>
      <c r="N135">
        <f t="shared" si="23"/>
        <v>68</v>
      </c>
    </row>
    <row r="136" spans="1:14">
      <c r="A136" s="1" cm="1">
        <f t="array" ref="A136">INDEX(tblWeeks[Week_Start],INT((ROW()-2)/20)+1)</f>
        <v>46069</v>
      </c>
      <c r="B136" t="str" cm="1">
        <f t="array" ref="B136">INDEX(tblDemandAssumptions[Customer_ID],MOD(ROW()-2,20)+1)</f>
        <v>C003</v>
      </c>
      <c r="C136" t="str" cm="1">
        <f t="array" ref="C136">INDEX(tblDemandAssumptions[Product_ID],MOD(ROW()-2,20)+1)</f>
        <v>P005</v>
      </c>
      <c r="D136" cm="1">
        <f t="array" ref="D136">INDEX(tblDemandAssumptions[Baseline_Weekly_Qty],MOD(ROW()-2,20)+1)</f>
        <v>1900</v>
      </c>
      <c r="E136">
        <f t="shared" si="16"/>
        <v>0.95</v>
      </c>
      <c r="F136">
        <v>0.95</v>
      </c>
      <c r="G136">
        <f t="shared" si="17"/>
        <v>1715</v>
      </c>
      <c r="H136">
        <v>0.98</v>
      </c>
      <c r="I136">
        <f t="shared" si="18"/>
        <v>1769</v>
      </c>
      <c r="J136" t="str">
        <f t="shared" si="19"/>
        <v>Normal</v>
      </c>
      <c r="K136">
        <f t="shared" si="20"/>
        <v>1715</v>
      </c>
      <c r="L136">
        <f t="shared" si="21"/>
        <v>-54</v>
      </c>
      <c r="M136" s="2">
        <f t="shared" si="22"/>
        <v>-3.0525720746184284E-2</v>
      </c>
      <c r="N136">
        <f t="shared" si="23"/>
        <v>54</v>
      </c>
    </row>
    <row r="137" spans="1:14">
      <c r="A137" s="1" cm="1">
        <f t="array" ref="A137">INDEX(tblWeeks[Week_Start],INT((ROW()-2)/20)+1)</f>
        <v>46069</v>
      </c>
      <c r="B137" t="str" cm="1">
        <f t="array" ref="B137">INDEX(tblDemandAssumptions[Customer_ID],MOD(ROW()-2,20)+1)</f>
        <v>C004</v>
      </c>
      <c r="C137" t="str" cm="1">
        <f t="array" ref="C137">INDEX(tblDemandAssumptions[Product_ID],MOD(ROW()-2,20)+1)</f>
        <v>P001</v>
      </c>
      <c r="D137" cm="1">
        <f t="array" ref="D137">INDEX(tblDemandAssumptions[Baseline_Weekly_Qty],MOD(ROW()-2,20)+1)</f>
        <v>2700</v>
      </c>
      <c r="E137">
        <f t="shared" si="16"/>
        <v>0.95</v>
      </c>
      <c r="F137">
        <v>1.05</v>
      </c>
      <c r="G137">
        <f t="shared" si="17"/>
        <v>2693</v>
      </c>
      <c r="H137">
        <v>1.02</v>
      </c>
      <c r="I137">
        <f t="shared" si="18"/>
        <v>2616</v>
      </c>
      <c r="J137" t="str">
        <f t="shared" si="19"/>
        <v>Normal</v>
      </c>
      <c r="K137">
        <f t="shared" si="20"/>
        <v>2693</v>
      </c>
      <c r="L137">
        <f t="shared" si="21"/>
        <v>77</v>
      </c>
      <c r="M137" s="2">
        <f t="shared" si="22"/>
        <v>2.9434250764525993E-2</v>
      </c>
      <c r="N137">
        <f t="shared" si="23"/>
        <v>77</v>
      </c>
    </row>
    <row r="138" spans="1:14">
      <c r="A138" s="1" cm="1">
        <f t="array" ref="A138">INDEX(tblWeeks[Week_Start],INT((ROW()-2)/20)+1)</f>
        <v>46069</v>
      </c>
      <c r="B138" t="str" cm="1">
        <f t="array" ref="B138">INDEX(tblDemandAssumptions[Customer_ID],MOD(ROW()-2,20)+1)</f>
        <v>C004</v>
      </c>
      <c r="C138" t="str" cm="1">
        <f t="array" ref="C138">INDEX(tblDemandAssumptions[Product_ID],MOD(ROW()-2,20)+1)</f>
        <v>P002</v>
      </c>
      <c r="D138" cm="1">
        <f t="array" ref="D138">INDEX(tblDemandAssumptions[Baseline_Weekly_Qty],MOD(ROW()-2,20)+1)</f>
        <v>2400</v>
      </c>
      <c r="E138">
        <f t="shared" si="16"/>
        <v>0.95</v>
      </c>
      <c r="F138">
        <v>0.96</v>
      </c>
      <c r="G138">
        <f t="shared" si="17"/>
        <v>2189</v>
      </c>
      <c r="H138">
        <v>0.98</v>
      </c>
      <c r="I138">
        <f t="shared" si="18"/>
        <v>2234</v>
      </c>
      <c r="J138" t="str">
        <f t="shared" si="19"/>
        <v>Normal</v>
      </c>
      <c r="K138">
        <f t="shared" si="20"/>
        <v>2189</v>
      </c>
      <c r="L138">
        <f t="shared" si="21"/>
        <v>-45</v>
      </c>
      <c r="M138" s="2">
        <f t="shared" si="22"/>
        <v>-2.0143240823634737E-2</v>
      </c>
      <c r="N138">
        <f t="shared" si="23"/>
        <v>45</v>
      </c>
    </row>
    <row r="139" spans="1:14">
      <c r="A139" s="1" cm="1">
        <f t="array" ref="A139">INDEX(tblWeeks[Week_Start],INT((ROW()-2)/20)+1)</f>
        <v>46069</v>
      </c>
      <c r="B139" t="str" cm="1">
        <f t="array" ref="B139">INDEX(tblDemandAssumptions[Customer_ID],MOD(ROW()-2,20)+1)</f>
        <v>C004</v>
      </c>
      <c r="C139" t="str" cm="1">
        <f t="array" ref="C139">INDEX(tblDemandAssumptions[Product_ID],MOD(ROW()-2,20)+1)</f>
        <v>P003</v>
      </c>
      <c r="D139" cm="1">
        <f t="array" ref="D139">INDEX(tblDemandAssumptions[Baseline_Weekly_Qty],MOD(ROW()-2,20)+1)</f>
        <v>2100</v>
      </c>
      <c r="E139">
        <f t="shared" si="16"/>
        <v>0.95</v>
      </c>
      <c r="F139">
        <v>0.96</v>
      </c>
      <c r="G139">
        <f t="shared" si="17"/>
        <v>1915</v>
      </c>
      <c r="H139">
        <v>1.02</v>
      </c>
      <c r="I139">
        <f t="shared" si="18"/>
        <v>2035</v>
      </c>
      <c r="J139" t="str">
        <f t="shared" si="19"/>
        <v>Normal</v>
      </c>
      <c r="K139">
        <f t="shared" si="20"/>
        <v>1915</v>
      </c>
      <c r="L139">
        <f t="shared" si="21"/>
        <v>-120</v>
      </c>
      <c r="M139" s="2">
        <f t="shared" si="22"/>
        <v>-5.896805896805897E-2</v>
      </c>
      <c r="N139">
        <f t="shared" si="23"/>
        <v>120</v>
      </c>
    </row>
    <row r="140" spans="1:14">
      <c r="A140" s="1" cm="1">
        <f t="array" ref="A140">INDEX(tblWeeks[Week_Start],INT((ROW()-2)/20)+1)</f>
        <v>46069</v>
      </c>
      <c r="B140" t="str" cm="1">
        <f t="array" ref="B140">INDEX(tblDemandAssumptions[Customer_ID],MOD(ROW()-2,20)+1)</f>
        <v>C004</v>
      </c>
      <c r="C140" t="str" cm="1">
        <f t="array" ref="C140">INDEX(tblDemandAssumptions[Product_ID],MOD(ROW()-2,20)+1)</f>
        <v>P004</v>
      </c>
      <c r="D140" cm="1">
        <f t="array" ref="D140">INDEX(tblDemandAssumptions[Baseline_Weekly_Qty],MOD(ROW()-2,20)+1)</f>
        <v>2600</v>
      </c>
      <c r="E140">
        <f t="shared" si="16"/>
        <v>0.95</v>
      </c>
      <c r="F140">
        <v>1.01</v>
      </c>
      <c r="G140">
        <f t="shared" si="17"/>
        <v>2495</v>
      </c>
      <c r="H140">
        <v>0.98</v>
      </c>
      <c r="I140">
        <f t="shared" si="18"/>
        <v>2421</v>
      </c>
      <c r="J140" t="str">
        <f t="shared" si="19"/>
        <v>Normal</v>
      </c>
      <c r="K140">
        <f t="shared" si="20"/>
        <v>2495</v>
      </c>
      <c r="L140">
        <f t="shared" si="21"/>
        <v>74</v>
      </c>
      <c r="M140" s="2">
        <f t="shared" si="22"/>
        <v>3.0565881866997109E-2</v>
      </c>
      <c r="N140">
        <f t="shared" si="23"/>
        <v>74</v>
      </c>
    </row>
    <row r="141" spans="1:14">
      <c r="A141" s="1" cm="1">
        <f t="array" ref="A141">INDEX(tblWeeks[Week_Start],INT((ROW()-2)/20)+1)</f>
        <v>46069</v>
      </c>
      <c r="B141" t="str" cm="1">
        <f t="array" ref="B141">INDEX(tblDemandAssumptions[Customer_ID],MOD(ROW()-2,20)+1)</f>
        <v>C004</v>
      </c>
      <c r="C141" t="str" cm="1">
        <f t="array" ref="C141">INDEX(tblDemandAssumptions[Product_ID],MOD(ROW()-2,20)+1)</f>
        <v>P005</v>
      </c>
      <c r="D141" cm="1">
        <f t="array" ref="D141">INDEX(tblDemandAssumptions[Baseline_Weekly_Qty],MOD(ROW()-2,20)+1)</f>
        <v>1800</v>
      </c>
      <c r="E141">
        <f t="shared" si="16"/>
        <v>0.95</v>
      </c>
      <c r="F141">
        <v>1</v>
      </c>
      <c r="G141">
        <f t="shared" si="17"/>
        <v>1710</v>
      </c>
      <c r="H141">
        <v>1</v>
      </c>
      <c r="I141">
        <f t="shared" si="18"/>
        <v>1710</v>
      </c>
      <c r="J141" t="str">
        <f t="shared" si="19"/>
        <v>Normal</v>
      </c>
      <c r="K141">
        <f t="shared" si="20"/>
        <v>1710</v>
      </c>
      <c r="L141">
        <f t="shared" si="21"/>
        <v>0</v>
      </c>
      <c r="M141" s="2">
        <f t="shared" si="22"/>
        <v>0</v>
      </c>
      <c r="N141">
        <f t="shared" si="23"/>
        <v>0</v>
      </c>
    </row>
    <row r="142" spans="1:14">
      <c r="A142" s="1" cm="1">
        <f t="array" ref="A142">INDEX(tblWeeks[Week_Start],INT((ROW()-2)/20)+1)</f>
        <v>46076</v>
      </c>
      <c r="B142" t="str" cm="1">
        <f t="array" ref="B142">INDEX(tblDemandAssumptions[Customer_ID],MOD(ROW()-2,20)+1)</f>
        <v>C001</v>
      </c>
      <c r="C142" t="str" cm="1">
        <f t="array" ref="C142">INDEX(tblDemandAssumptions[Product_ID],MOD(ROW()-2,20)+1)</f>
        <v>P001</v>
      </c>
      <c r="D142" cm="1">
        <f t="array" ref="D142">INDEX(tblDemandAssumptions[Baseline_Weekly_Qty],MOD(ROW()-2,20)+1)</f>
        <v>5200</v>
      </c>
      <c r="E142">
        <f t="shared" si="16"/>
        <v>0.95</v>
      </c>
      <c r="F142">
        <v>0.95</v>
      </c>
      <c r="G142">
        <f t="shared" si="17"/>
        <v>4693</v>
      </c>
      <c r="H142">
        <v>1.03</v>
      </c>
      <c r="I142">
        <f t="shared" si="18"/>
        <v>5088</v>
      </c>
      <c r="J142" t="str">
        <f t="shared" si="19"/>
        <v>Normal</v>
      </c>
      <c r="K142">
        <f t="shared" si="20"/>
        <v>4693</v>
      </c>
      <c r="L142">
        <f t="shared" si="21"/>
        <v>-395</v>
      </c>
      <c r="M142" s="2">
        <f t="shared" si="22"/>
        <v>-7.7633647798742142E-2</v>
      </c>
      <c r="N142">
        <f t="shared" si="23"/>
        <v>395</v>
      </c>
    </row>
    <row r="143" spans="1:14">
      <c r="A143" s="1" cm="1">
        <f t="array" ref="A143">INDEX(tblWeeks[Week_Start],INT((ROW()-2)/20)+1)</f>
        <v>46076</v>
      </c>
      <c r="B143" t="str" cm="1">
        <f t="array" ref="B143">INDEX(tblDemandAssumptions[Customer_ID],MOD(ROW()-2,20)+1)</f>
        <v>C001</v>
      </c>
      <c r="C143" t="str" cm="1">
        <f t="array" ref="C143">INDEX(tblDemandAssumptions[Product_ID],MOD(ROW()-2,20)+1)</f>
        <v>P002</v>
      </c>
      <c r="D143" cm="1">
        <f t="array" ref="D143">INDEX(tblDemandAssumptions[Baseline_Weekly_Qty],MOD(ROW()-2,20)+1)</f>
        <v>4100</v>
      </c>
      <c r="E143">
        <f t="shared" si="16"/>
        <v>0.95</v>
      </c>
      <c r="F143">
        <v>0.99</v>
      </c>
      <c r="G143">
        <f t="shared" si="17"/>
        <v>3856</v>
      </c>
      <c r="H143">
        <v>0.97</v>
      </c>
      <c r="I143">
        <f t="shared" si="18"/>
        <v>3778</v>
      </c>
      <c r="J143" t="str">
        <f t="shared" si="19"/>
        <v>Normal</v>
      </c>
      <c r="K143">
        <f t="shared" si="20"/>
        <v>3856</v>
      </c>
      <c r="L143">
        <f t="shared" si="21"/>
        <v>78</v>
      </c>
      <c r="M143" s="2">
        <f t="shared" si="22"/>
        <v>2.0645844362096346E-2</v>
      </c>
      <c r="N143">
        <f t="shared" si="23"/>
        <v>78</v>
      </c>
    </row>
    <row r="144" spans="1:14">
      <c r="A144" s="1" cm="1">
        <f t="array" ref="A144">INDEX(tblWeeks[Week_Start],INT((ROW()-2)/20)+1)</f>
        <v>46076</v>
      </c>
      <c r="B144" t="str" cm="1">
        <f t="array" ref="B144">INDEX(tblDemandAssumptions[Customer_ID],MOD(ROW()-2,20)+1)</f>
        <v>C001</v>
      </c>
      <c r="C144" t="str" cm="1">
        <f t="array" ref="C144">INDEX(tblDemandAssumptions[Product_ID],MOD(ROW()-2,20)+1)</f>
        <v>P003</v>
      </c>
      <c r="D144" cm="1">
        <f t="array" ref="D144">INDEX(tblDemandAssumptions[Baseline_Weekly_Qty],MOD(ROW()-2,20)+1)</f>
        <v>3300</v>
      </c>
      <c r="E144">
        <f t="shared" si="16"/>
        <v>0.95</v>
      </c>
      <c r="F144">
        <v>0.98</v>
      </c>
      <c r="G144">
        <f t="shared" si="17"/>
        <v>3072</v>
      </c>
      <c r="H144">
        <v>0.96</v>
      </c>
      <c r="I144">
        <f t="shared" si="18"/>
        <v>3010</v>
      </c>
      <c r="J144" t="str">
        <f t="shared" si="19"/>
        <v>Normal</v>
      </c>
      <c r="K144">
        <f t="shared" si="20"/>
        <v>3072</v>
      </c>
      <c r="L144">
        <f t="shared" si="21"/>
        <v>62</v>
      </c>
      <c r="M144" s="2">
        <f t="shared" si="22"/>
        <v>2.0598006644518274E-2</v>
      </c>
      <c r="N144">
        <f t="shared" si="23"/>
        <v>62</v>
      </c>
    </row>
    <row r="145" spans="1:14">
      <c r="A145" s="1" cm="1">
        <f t="array" ref="A145">INDEX(tblWeeks[Week_Start],INT((ROW()-2)/20)+1)</f>
        <v>46076</v>
      </c>
      <c r="B145" t="str" cm="1">
        <f t="array" ref="B145">INDEX(tblDemandAssumptions[Customer_ID],MOD(ROW()-2,20)+1)</f>
        <v>C001</v>
      </c>
      <c r="C145" t="str" cm="1">
        <f t="array" ref="C145">INDEX(tblDemandAssumptions[Product_ID],MOD(ROW()-2,20)+1)</f>
        <v>P004</v>
      </c>
      <c r="D145" cm="1">
        <f t="array" ref="D145">INDEX(tblDemandAssumptions[Baseline_Weekly_Qty],MOD(ROW()-2,20)+1)</f>
        <v>3600</v>
      </c>
      <c r="E145">
        <f t="shared" si="16"/>
        <v>0.95</v>
      </c>
      <c r="F145">
        <v>0.97</v>
      </c>
      <c r="G145">
        <f t="shared" si="17"/>
        <v>3317</v>
      </c>
      <c r="H145">
        <v>1.04</v>
      </c>
      <c r="I145">
        <f t="shared" si="18"/>
        <v>3557</v>
      </c>
      <c r="J145" t="str">
        <f t="shared" si="19"/>
        <v>Normal</v>
      </c>
      <c r="K145">
        <f t="shared" si="20"/>
        <v>3317</v>
      </c>
      <c r="L145">
        <f t="shared" si="21"/>
        <v>-240</v>
      </c>
      <c r="M145" s="2">
        <f t="shared" si="22"/>
        <v>-6.7472589260612878E-2</v>
      </c>
      <c r="N145">
        <f t="shared" si="23"/>
        <v>240</v>
      </c>
    </row>
    <row r="146" spans="1:14">
      <c r="A146" s="1" cm="1">
        <f t="array" ref="A146">INDEX(tblWeeks[Week_Start],INT((ROW()-2)/20)+1)</f>
        <v>46076</v>
      </c>
      <c r="B146" t="str" cm="1">
        <f t="array" ref="B146">INDEX(tblDemandAssumptions[Customer_ID],MOD(ROW()-2,20)+1)</f>
        <v>C001</v>
      </c>
      <c r="C146" t="str" cm="1">
        <f t="array" ref="C146">INDEX(tblDemandAssumptions[Product_ID],MOD(ROW()-2,20)+1)</f>
        <v>P005</v>
      </c>
      <c r="D146" cm="1">
        <f t="array" ref="D146">INDEX(tblDemandAssumptions[Baseline_Weekly_Qty],MOD(ROW()-2,20)+1)</f>
        <v>2800</v>
      </c>
      <c r="E146">
        <f t="shared" si="16"/>
        <v>0.95</v>
      </c>
      <c r="F146">
        <v>1.03</v>
      </c>
      <c r="G146">
        <f t="shared" si="17"/>
        <v>2740</v>
      </c>
      <c r="H146">
        <v>0.97</v>
      </c>
      <c r="I146">
        <f t="shared" si="18"/>
        <v>2580</v>
      </c>
      <c r="J146" t="str">
        <f t="shared" si="19"/>
        <v>Normal</v>
      </c>
      <c r="K146">
        <f t="shared" si="20"/>
        <v>2740</v>
      </c>
      <c r="L146">
        <f t="shared" si="21"/>
        <v>160</v>
      </c>
      <c r="M146" s="2">
        <f t="shared" si="22"/>
        <v>6.2015503875968991E-2</v>
      </c>
      <c r="N146">
        <f t="shared" si="23"/>
        <v>160</v>
      </c>
    </row>
    <row r="147" spans="1:14">
      <c r="A147" s="1" cm="1">
        <f t="array" ref="A147">INDEX(tblWeeks[Week_Start],INT((ROW()-2)/20)+1)</f>
        <v>46076</v>
      </c>
      <c r="B147" t="str" cm="1">
        <f t="array" ref="B147">INDEX(tblDemandAssumptions[Customer_ID],MOD(ROW()-2,20)+1)</f>
        <v>C002</v>
      </c>
      <c r="C147" t="str" cm="1">
        <f t="array" ref="C147">INDEX(tblDemandAssumptions[Product_ID],MOD(ROW()-2,20)+1)</f>
        <v>P001</v>
      </c>
      <c r="D147" cm="1">
        <f t="array" ref="D147">INDEX(tblDemandAssumptions[Baseline_Weekly_Qty],MOD(ROW()-2,20)+1)</f>
        <v>3400</v>
      </c>
      <c r="E147">
        <f t="shared" si="16"/>
        <v>0.95</v>
      </c>
      <c r="F147">
        <v>0.98</v>
      </c>
      <c r="G147">
        <f t="shared" si="17"/>
        <v>3165</v>
      </c>
      <c r="H147">
        <v>0.96</v>
      </c>
      <c r="I147">
        <f t="shared" si="18"/>
        <v>3101</v>
      </c>
      <c r="J147" t="str">
        <f t="shared" si="19"/>
        <v>Normal</v>
      </c>
      <c r="K147">
        <f t="shared" si="20"/>
        <v>3165</v>
      </c>
      <c r="L147">
        <f t="shared" si="21"/>
        <v>64</v>
      </c>
      <c r="M147" s="2">
        <f t="shared" si="22"/>
        <v>2.0638503708481134E-2</v>
      </c>
      <c r="N147">
        <f t="shared" si="23"/>
        <v>64</v>
      </c>
    </row>
    <row r="148" spans="1:14">
      <c r="A148" s="1" cm="1">
        <f t="array" ref="A148">INDEX(tblWeeks[Week_Start],INT((ROW()-2)/20)+1)</f>
        <v>46076</v>
      </c>
      <c r="B148" t="str" cm="1">
        <f t="array" ref="B148">INDEX(tblDemandAssumptions[Customer_ID],MOD(ROW()-2,20)+1)</f>
        <v>C002</v>
      </c>
      <c r="C148" t="str" cm="1">
        <f t="array" ref="C148">INDEX(tblDemandAssumptions[Product_ID],MOD(ROW()-2,20)+1)</f>
        <v>P002</v>
      </c>
      <c r="D148" cm="1">
        <f t="array" ref="D148">INDEX(tblDemandAssumptions[Baseline_Weekly_Qty],MOD(ROW()-2,20)+1)</f>
        <v>3200</v>
      </c>
      <c r="E148">
        <f t="shared" si="16"/>
        <v>0.95</v>
      </c>
      <c r="F148">
        <v>0.98</v>
      </c>
      <c r="G148">
        <f t="shared" si="17"/>
        <v>2979</v>
      </c>
      <c r="H148">
        <v>1.01</v>
      </c>
      <c r="I148">
        <f t="shared" si="18"/>
        <v>3070</v>
      </c>
      <c r="J148" t="str">
        <f t="shared" si="19"/>
        <v>Normal</v>
      </c>
      <c r="K148">
        <f t="shared" si="20"/>
        <v>2979</v>
      </c>
      <c r="L148">
        <f t="shared" si="21"/>
        <v>-91</v>
      </c>
      <c r="M148" s="2">
        <f t="shared" si="22"/>
        <v>-2.9641693811074919E-2</v>
      </c>
      <c r="N148">
        <f t="shared" si="23"/>
        <v>91</v>
      </c>
    </row>
    <row r="149" spans="1:14">
      <c r="A149" s="1" cm="1">
        <f t="array" ref="A149">INDEX(tblWeeks[Week_Start],INT((ROW()-2)/20)+1)</f>
        <v>46076</v>
      </c>
      <c r="B149" t="str" cm="1">
        <f t="array" ref="B149">INDEX(tblDemandAssumptions[Customer_ID],MOD(ROW()-2,20)+1)</f>
        <v>C002</v>
      </c>
      <c r="C149" t="str" cm="1">
        <f t="array" ref="C149">INDEX(tblDemandAssumptions[Product_ID],MOD(ROW()-2,20)+1)</f>
        <v>P003</v>
      </c>
      <c r="D149" cm="1">
        <f t="array" ref="D149">INDEX(tblDemandAssumptions[Baseline_Weekly_Qty],MOD(ROW()-2,20)+1)</f>
        <v>2600</v>
      </c>
      <c r="E149">
        <f t="shared" si="16"/>
        <v>0.95</v>
      </c>
      <c r="F149">
        <v>1.02</v>
      </c>
      <c r="G149">
        <f t="shared" si="17"/>
        <v>2519</v>
      </c>
      <c r="H149">
        <v>0.98</v>
      </c>
      <c r="I149">
        <f t="shared" si="18"/>
        <v>2421</v>
      </c>
      <c r="J149" t="str">
        <f t="shared" si="19"/>
        <v>Normal</v>
      </c>
      <c r="K149">
        <f t="shared" si="20"/>
        <v>2519</v>
      </c>
      <c r="L149">
        <f t="shared" si="21"/>
        <v>98</v>
      </c>
      <c r="M149" s="2">
        <f t="shared" si="22"/>
        <v>4.0479140850888065E-2</v>
      </c>
      <c r="N149">
        <f t="shared" si="23"/>
        <v>98</v>
      </c>
    </row>
    <row r="150" spans="1:14">
      <c r="A150" s="1" cm="1">
        <f t="array" ref="A150">INDEX(tblWeeks[Week_Start],INT((ROW()-2)/20)+1)</f>
        <v>46076</v>
      </c>
      <c r="B150" t="str" cm="1">
        <f t="array" ref="B150">INDEX(tblDemandAssumptions[Customer_ID],MOD(ROW()-2,20)+1)</f>
        <v>C002</v>
      </c>
      <c r="C150" t="str" cm="1">
        <f t="array" ref="C150">INDEX(tblDemandAssumptions[Product_ID],MOD(ROW()-2,20)+1)</f>
        <v>P004</v>
      </c>
      <c r="D150" cm="1">
        <f t="array" ref="D150">INDEX(tblDemandAssumptions[Baseline_Weekly_Qty],MOD(ROW()-2,20)+1)</f>
        <v>2900</v>
      </c>
      <c r="E150">
        <f t="shared" si="16"/>
        <v>0.95</v>
      </c>
      <c r="F150">
        <v>1.01</v>
      </c>
      <c r="G150">
        <f t="shared" si="17"/>
        <v>2783</v>
      </c>
      <c r="H150">
        <v>0.97</v>
      </c>
      <c r="I150">
        <f t="shared" si="18"/>
        <v>2672</v>
      </c>
      <c r="J150" t="str">
        <f t="shared" si="19"/>
        <v>Normal</v>
      </c>
      <c r="K150">
        <f t="shared" si="20"/>
        <v>2783</v>
      </c>
      <c r="L150">
        <f t="shared" si="21"/>
        <v>111</v>
      </c>
      <c r="M150" s="2">
        <f t="shared" si="22"/>
        <v>4.1541916167664672E-2</v>
      </c>
      <c r="N150">
        <f t="shared" si="23"/>
        <v>111</v>
      </c>
    </row>
    <row r="151" spans="1:14">
      <c r="A151" s="1" cm="1">
        <f t="array" ref="A151">INDEX(tblWeeks[Week_Start],INT((ROW()-2)/20)+1)</f>
        <v>46076</v>
      </c>
      <c r="B151" t="str" cm="1">
        <f t="array" ref="B151">INDEX(tblDemandAssumptions[Customer_ID],MOD(ROW()-2,20)+1)</f>
        <v>C002</v>
      </c>
      <c r="C151" t="str" cm="1">
        <f t="array" ref="C151">INDEX(tblDemandAssumptions[Product_ID],MOD(ROW()-2,20)+1)</f>
        <v>P005</v>
      </c>
      <c r="D151" cm="1">
        <f t="array" ref="D151">INDEX(tblDemandAssumptions[Baseline_Weekly_Qty],MOD(ROW()-2,20)+1)</f>
        <v>2200</v>
      </c>
      <c r="E151">
        <f t="shared" si="16"/>
        <v>0.95</v>
      </c>
      <c r="F151">
        <v>0.99</v>
      </c>
      <c r="G151">
        <f t="shared" si="17"/>
        <v>2069</v>
      </c>
      <c r="H151">
        <v>1.01</v>
      </c>
      <c r="I151">
        <f t="shared" si="18"/>
        <v>2111</v>
      </c>
      <c r="J151" t="str">
        <f t="shared" si="19"/>
        <v>Normal</v>
      </c>
      <c r="K151">
        <f t="shared" si="20"/>
        <v>2069</v>
      </c>
      <c r="L151">
        <f t="shared" si="21"/>
        <v>-42</v>
      </c>
      <c r="M151" s="2">
        <f t="shared" si="22"/>
        <v>-1.9895783988630979E-2</v>
      </c>
      <c r="N151">
        <f t="shared" si="23"/>
        <v>42</v>
      </c>
    </row>
    <row r="152" spans="1:14">
      <c r="A152" s="1" cm="1">
        <f t="array" ref="A152">INDEX(tblWeeks[Week_Start],INT((ROW()-2)/20)+1)</f>
        <v>46076</v>
      </c>
      <c r="B152" t="str" cm="1">
        <f t="array" ref="B152">INDEX(tblDemandAssumptions[Customer_ID],MOD(ROW()-2,20)+1)</f>
        <v>C003</v>
      </c>
      <c r="C152" t="str" cm="1">
        <f t="array" ref="C152">INDEX(tblDemandAssumptions[Product_ID],MOD(ROW()-2,20)+1)</f>
        <v>P001</v>
      </c>
      <c r="D152" cm="1">
        <f t="array" ref="D152">INDEX(tblDemandAssumptions[Baseline_Weekly_Qty],MOD(ROW()-2,20)+1)</f>
        <v>3000</v>
      </c>
      <c r="E152">
        <f t="shared" si="16"/>
        <v>0.95</v>
      </c>
      <c r="F152">
        <v>1.02</v>
      </c>
      <c r="G152">
        <f t="shared" si="17"/>
        <v>2907</v>
      </c>
      <c r="H152">
        <v>0.97</v>
      </c>
      <c r="I152">
        <f t="shared" si="18"/>
        <v>2765</v>
      </c>
      <c r="J152" t="str">
        <f t="shared" si="19"/>
        <v>Normal</v>
      </c>
      <c r="K152">
        <f t="shared" si="20"/>
        <v>2907</v>
      </c>
      <c r="L152">
        <f t="shared" si="21"/>
        <v>142</v>
      </c>
      <c r="M152" s="2">
        <f t="shared" si="22"/>
        <v>5.1356238698010849E-2</v>
      </c>
      <c r="N152">
        <f t="shared" si="23"/>
        <v>142</v>
      </c>
    </row>
    <row r="153" spans="1:14">
      <c r="A153" s="1" cm="1">
        <f t="array" ref="A153">INDEX(tblWeeks[Week_Start],INT((ROW()-2)/20)+1)</f>
        <v>46076</v>
      </c>
      <c r="B153" t="str" cm="1">
        <f t="array" ref="B153">INDEX(tblDemandAssumptions[Customer_ID],MOD(ROW()-2,20)+1)</f>
        <v>C003</v>
      </c>
      <c r="C153" t="str" cm="1">
        <f t="array" ref="C153">INDEX(tblDemandAssumptions[Product_ID],MOD(ROW()-2,20)+1)</f>
        <v>P002</v>
      </c>
      <c r="D153" cm="1">
        <f t="array" ref="D153">INDEX(tblDemandAssumptions[Baseline_Weekly_Qty],MOD(ROW()-2,20)+1)</f>
        <v>2700</v>
      </c>
      <c r="E153">
        <f t="shared" si="16"/>
        <v>0.95</v>
      </c>
      <c r="F153">
        <v>1.02</v>
      </c>
      <c r="G153">
        <f t="shared" si="17"/>
        <v>2616</v>
      </c>
      <c r="H153">
        <v>1</v>
      </c>
      <c r="I153">
        <f t="shared" si="18"/>
        <v>2565</v>
      </c>
      <c r="J153" t="str">
        <f t="shared" si="19"/>
        <v>Normal</v>
      </c>
      <c r="K153">
        <f t="shared" si="20"/>
        <v>2616</v>
      </c>
      <c r="L153">
        <f t="shared" si="21"/>
        <v>51</v>
      </c>
      <c r="M153" s="2">
        <f t="shared" si="22"/>
        <v>1.9883040935672516E-2</v>
      </c>
      <c r="N153">
        <f t="shared" si="23"/>
        <v>51</v>
      </c>
    </row>
    <row r="154" spans="1:14">
      <c r="A154" s="1" cm="1">
        <f t="array" ref="A154">INDEX(tblWeeks[Week_Start],INT((ROW()-2)/20)+1)</f>
        <v>46076</v>
      </c>
      <c r="B154" t="str" cm="1">
        <f t="array" ref="B154">INDEX(tblDemandAssumptions[Customer_ID],MOD(ROW()-2,20)+1)</f>
        <v>C003</v>
      </c>
      <c r="C154" t="str" cm="1">
        <f t="array" ref="C154">INDEX(tblDemandAssumptions[Product_ID],MOD(ROW()-2,20)+1)</f>
        <v>P003</v>
      </c>
      <c r="D154" cm="1">
        <f t="array" ref="D154">INDEX(tblDemandAssumptions[Baseline_Weekly_Qty],MOD(ROW()-2,20)+1)</f>
        <v>2800</v>
      </c>
      <c r="E154">
        <f t="shared" si="16"/>
        <v>0.95</v>
      </c>
      <c r="F154">
        <v>1.01</v>
      </c>
      <c r="G154">
        <f t="shared" si="17"/>
        <v>2687</v>
      </c>
      <c r="H154">
        <v>0.99</v>
      </c>
      <c r="I154">
        <f t="shared" si="18"/>
        <v>2633</v>
      </c>
      <c r="J154" t="str">
        <f t="shared" si="19"/>
        <v>Normal</v>
      </c>
      <c r="K154">
        <f t="shared" si="20"/>
        <v>2687</v>
      </c>
      <c r="L154">
        <f t="shared" si="21"/>
        <v>54</v>
      </c>
      <c r="M154" s="2">
        <f t="shared" si="22"/>
        <v>2.0508925180402583E-2</v>
      </c>
      <c r="N154">
        <f t="shared" si="23"/>
        <v>54</v>
      </c>
    </row>
    <row r="155" spans="1:14">
      <c r="A155" s="1" cm="1">
        <f t="array" ref="A155">INDEX(tblWeeks[Week_Start],INT((ROW()-2)/20)+1)</f>
        <v>46076</v>
      </c>
      <c r="B155" t="str" cm="1">
        <f t="array" ref="B155">INDEX(tblDemandAssumptions[Customer_ID],MOD(ROW()-2,20)+1)</f>
        <v>C003</v>
      </c>
      <c r="C155" t="str" cm="1">
        <f t="array" ref="C155">INDEX(tblDemandAssumptions[Product_ID],MOD(ROW()-2,20)+1)</f>
        <v>P004</v>
      </c>
      <c r="D155" cm="1">
        <f t="array" ref="D155">INDEX(tblDemandAssumptions[Baseline_Weekly_Qty],MOD(ROW()-2,20)+1)</f>
        <v>2400</v>
      </c>
      <c r="E155">
        <f t="shared" si="16"/>
        <v>0.95</v>
      </c>
      <c r="F155">
        <v>0.96</v>
      </c>
      <c r="G155">
        <f t="shared" si="17"/>
        <v>2189</v>
      </c>
      <c r="H155">
        <v>1.02</v>
      </c>
      <c r="I155">
        <f t="shared" si="18"/>
        <v>2326</v>
      </c>
      <c r="J155" t="str">
        <f t="shared" si="19"/>
        <v>Normal</v>
      </c>
      <c r="K155">
        <f t="shared" si="20"/>
        <v>2189</v>
      </c>
      <c r="L155">
        <f t="shared" si="21"/>
        <v>-137</v>
      </c>
      <c r="M155" s="2">
        <f t="shared" si="22"/>
        <v>-5.8899398108340502E-2</v>
      </c>
      <c r="N155">
        <f t="shared" si="23"/>
        <v>137</v>
      </c>
    </row>
    <row r="156" spans="1:14">
      <c r="A156" s="1" cm="1">
        <f t="array" ref="A156">INDEX(tblWeeks[Week_Start],INT((ROW()-2)/20)+1)</f>
        <v>46076</v>
      </c>
      <c r="B156" t="str" cm="1">
        <f t="array" ref="B156">INDEX(tblDemandAssumptions[Customer_ID],MOD(ROW()-2,20)+1)</f>
        <v>C003</v>
      </c>
      <c r="C156" t="str" cm="1">
        <f t="array" ref="C156">INDEX(tblDemandAssumptions[Product_ID],MOD(ROW()-2,20)+1)</f>
        <v>P005</v>
      </c>
      <c r="D156" cm="1">
        <f t="array" ref="D156">INDEX(tblDemandAssumptions[Baseline_Weekly_Qty],MOD(ROW()-2,20)+1)</f>
        <v>1900</v>
      </c>
      <c r="E156">
        <f t="shared" si="16"/>
        <v>0.95</v>
      </c>
      <c r="F156">
        <v>0.97</v>
      </c>
      <c r="G156">
        <f t="shared" si="17"/>
        <v>1751</v>
      </c>
      <c r="H156">
        <v>1.04</v>
      </c>
      <c r="I156">
        <f t="shared" si="18"/>
        <v>1877</v>
      </c>
      <c r="J156" t="str">
        <f t="shared" si="19"/>
        <v>Normal</v>
      </c>
      <c r="K156">
        <f t="shared" si="20"/>
        <v>1751</v>
      </c>
      <c r="L156">
        <f t="shared" si="21"/>
        <v>-126</v>
      </c>
      <c r="M156" s="2">
        <f t="shared" si="22"/>
        <v>-6.7128396377197655E-2</v>
      </c>
      <c r="N156">
        <f t="shared" si="23"/>
        <v>126</v>
      </c>
    </row>
    <row r="157" spans="1:14">
      <c r="A157" s="1" cm="1">
        <f t="array" ref="A157">INDEX(tblWeeks[Week_Start],INT((ROW()-2)/20)+1)</f>
        <v>46076</v>
      </c>
      <c r="B157" t="str" cm="1">
        <f t="array" ref="B157">INDEX(tblDemandAssumptions[Customer_ID],MOD(ROW()-2,20)+1)</f>
        <v>C004</v>
      </c>
      <c r="C157" t="str" cm="1">
        <f t="array" ref="C157">INDEX(tblDemandAssumptions[Product_ID],MOD(ROW()-2,20)+1)</f>
        <v>P001</v>
      </c>
      <c r="D157" cm="1">
        <f t="array" ref="D157">INDEX(tblDemandAssumptions[Baseline_Weekly_Qty],MOD(ROW()-2,20)+1)</f>
        <v>2700</v>
      </c>
      <c r="E157">
        <f t="shared" si="16"/>
        <v>0.95</v>
      </c>
      <c r="F157">
        <v>0.97</v>
      </c>
      <c r="G157">
        <f t="shared" si="17"/>
        <v>2488</v>
      </c>
      <c r="H157">
        <v>1.04</v>
      </c>
      <c r="I157">
        <f t="shared" si="18"/>
        <v>2668</v>
      </c>
      <c r="J157" t="str">
        <f t="shared" si="19"/>
        <v>Normal</v>
      </c>
      <c r="K157">
        <f t="shared" si="20"/>
        <v>2488</v>
      </c>
      <c r="L157">
        <f t="shared" si="21"/>
        <v>-180</v>
      </c>
      <c r="M157" s="2">
        <f t="shared" si="22"/>
        <v>-6.7466266866566718E-2</v>
      </c>
      <c r="N157">
        <f t="shared" si="23"/>
        <v>180</v>
      </c>
    </row>
    <row r="158" spans="1:14">
      <c r="A158" s="1" cm="1">
        <f t="array" ref="A158">INDEX(tblWeeks[Week_Start],INT((ROW()-2)/20)+1)</f>
        <v>46076</v>
      </c>
      <c r="B158" t="str" cm="1">
        <f t="array" ref="B158">INDEX(tblDemandAssumptions[Customer_ID],MOD(ROW()-2,20)+1)</f>
        <v>C004</v>
      </c>
      <c r="C158" t="str" cm="1">
        <f t="array" ref="C158">INDEX(tblDemandAssumptions[Product_ID],MOD(ROW()-2,20)+1)</f>
        <v>P002</v>
      </c>
      <c r="D158" cm="1">
        <f t="array" ref="D158">INDEX(tblDemandAssumptions[Baseline_Weekly_Qty],MOD(ROW()-2,20)+1)</f>
        <v>2400</v>
      </c>
      <c r="E158">
        <f t="shared" si="16"/>
        <v>0.95</v>
      </c>
      <c r="F158">
        <v>1.05</v>
      </c>
      <c r="G158">
        <f t="shared" si="17"/>
        <v>2394</v>
      </c>
      <c r="H158">
        <v>1.02</v>
      </c>
      <c r="I158">
        <f t="shared" si="18"/>
        <v>2326</v>
      </c>
      <c r="J158" t="str">
        <f t="shared" si="19"/>
        <v>Normal</v>
      </c>
      <c r="K158">
        <f t="shared" si="20"/>
        <v>2394</v>
      </c>
      <c r="L158">
        <f t="shared" si="21"/>
        <v>68</v>
      </c>
      <c r="M158" s="2">
        <f t="shared" si="22"/>
        <v>2.9234737747205503E-2</v>
      </c>
      <c r="N158">
        <f t="shared" si="23"/>
        <v>68</v>
      </c>
    </row>
    <row r="159" spans="1:14">
      <c r="A159" s="1" cm="1">
        <f t="array" ref="A159">INDEX(tblWeeks[Week_Start],INT((ROW()-2)/20)+1)</f>
        <v>46076</v>
      </c>
      <c r="B159" t="str" cm="1">
        <f t="array" ref="B159">INDEX(tblDemandAssumptions[Customer_ID],MOD(ROW()-2,20)+1)</f>
        <v>C004</v>
      </c>
      <c r="C159" t="str" cm="1">
        <f t="array" ref="C159">INDEX(tblDemandAssumptions[Product_ID],MOD(ROW()-2,20)+1)</f>
        <v>P003</v>
      </c>
      <c r="D159" cm="1">
        <f t="array" ref="D159">INDEX(tblDemandAssumptions[Baseline_Weekly_Qty],MOD(ROW()-2,20)+1)</f>
        <v>2100</v>
      </c>
      <c r="E159">
        <f t="shared" si="16"/>
        <v>0.95</v>
      </c>
      <c r="F159">
        <v>0.96</v>
      </c>
      <c r="G159">
        <f t="shared" si="17"/>
        <v>1915</v>
      </c>
      <c r="H159">
        <v>1.02</v>
      </c>
      <c r="I159">
        <f t="shared" si="18"/>
        <v>2035</v>
      </c>
      <c r="J159" t="str">
        <f t="shared" si="19"/>
        <v>Normal</v>
      </c>
      <c r="K159">
        <f t="shared" si="20"/>
        <v>1915</v>
      </c>
      <c r="L159">
        <f t="shared" si="21"/>
        <v>-120</v>
      </c>
      <c r="M159" s="2">
        <f t="shared" si="22"/>
        <v>-5.896805896805897E-2</v>
      </c>
      <c r="N159">
        <f t="shared" si="23"/>
        <v>120</v>
      </c>
    </row>
    <row r="160" spans="1:14">
      <c r="A160" s="1" cm="1">
        <f t="array" ref="A160">INDEX(tblWeeks[Week_Start],INT((ROW()-2)/20)+1)</f>
        <v>46076</v>
      </c>
      <c r="B160" t="str" cm="1">
        <f t="array" ref="B160">INDEX(tblDemandAssumptions[Customer_ID],MOD(ROW()-2,20)+1)</f>
        <v>C004</v>
      </c>
      <c r="C160" t="str" cm="1">
        <f t="array" ref="C160">INDEX(tblDemandAssumptions[Product_ID],MOD(ROW()-2,20)+1)</f>
        <v>P004</v>
      </c>
      <c r="D160" cm="1">
        <f t="array" ref="D160">INDEX(tblDemandAssumptions[Baseline_Weekly_Qty],MOD(ROW()-2,20)+1)</f>
        <v>2600</v>
      </c>
      <c r="E160">
        <f t="shared" si="16"/>
        <v>0.95</v>
      </c>
      <c r="F160">
        <v>0.95</v>
      </c>
      <c r="G160">
        <f t="shared" si="17"/>
        <v>2347</v>
      </c>
      <c r="H160">
        <v>0.96</v>
      </c>
      <c r="I160">
        <f t="shared" si="18"/>
        <v>2371</v>
      </c>
      <c r="J160" t="str">
        <f t="shared" si="19"/>
        <v>Normal</v>
      </c>
      <c r="K160">
        <f t="shared" si="20"/>
        <v>2347</v>
      </c>
      <c r="L160">
        <f t="shared" si="21"/>
        <v>-24</v>
      </c>
      <c r="M160" s="2">
        <f t="shared" si="22"/>
        <v>-1.0122311261071278E-2</v>
      </c>
      <c r="N160">
        <f t="shared" si="23"/>
        <v>24</v>
      </c>
    </row>
    <row r="161" spans="1:14">
      <c r="A161" s="1" cm="1">
        <f t="array" ref="A161">INDEX(tblWeeks[Week_Start],INT((ROW()-2)/20)+1)</f>
        <v>46076</v>
      </c>
      <c r="B161" t="str" cm="1">
        <f t="array" ref="B161">INDEX(tblDemandAssumptions[Customer_ID],MOD(ROW()-2,20)+1)</f>
        <v>C004</v>
      </c>
      <c r="C161" t="str" cm="1">
        <f t="array" ref="C161">INDEX(tblDemandAssumptions[Product_ID],MOD(ROW()-2,20)+1)</f>
        <v>P005</v>
      </c>
      <c r="D161" cm="1">
        <f t="array" ref="D161">INDEX(tblDemandAssumptions[Baseline_Weekly_Qty],MOD(ROW()-2,20)+1)</f>
        <v>1800</v>
      </c>
      <c r="E161">
        <f t="shared" si="16"/>
        <v>0.95</v>
      </c>
      <c r="F161">
        <v>1.02</v>
      </c>
      <c r="G161">
        <f t="shared" si="17"/>
        <v>1744</v>
      </c>
      <c r="H161">
        <v>0.97</v>
      </c>
      <c r="I161">
        <f t="shared" si="18"/>
        <v>1659</v>
      </c>
      <c r="J161" t="str">
        <f t="shared" si="19"/>
        <v>Normal</v>
      </c>
      <c r="K161">
        <f t="shared" si="20"/>
        <v>1744</v>
      </c>
      <c r="L161">
        <f t="shared" si="21"/>
        <v>85</v>
      </c>
      <c r="M161" s="2">
        <f t="shared" si="22"/>
        <v>5.1235684147076549E-2</v>
      </c>
      <c r="N161">
        <f t="shared" si="23"/>
        <v>85</v>
      </c>
    </row>
    <row r="162" spans="1:14">
      <c r="A162" s="1" cm="1">
        <f t="array" ref="A162">INDEX(tblWeeks[Week_Start],INT((ROW()-2)/20)+1)</f>
        <v>46083</v>
      </c>
      <c r="B162" t="str" cm="1">
        <f t="array" ref="B162">INDEX(tblDemandAssumptions[Customer_ID],MOD(ROW()-2,20)+1)</f>
        <v>C001</v>
      </c>
      <c r="C162" t="str" cm="1">
        <f t="array" ref="C162">INDEX(tblDemandAssumptions[Product_ID],MOD(ROW()-2,20)+1)</f>
        <v>P001</v>
      </c>
      <c r="D162" cm="1">
        <f t="array" ref="D162">INDEX(tblDemandAssumptions[Baseline_Weekly_Qty],MOD(ROW()-2,20)+1)</f>
        <v>5200</v>
      </c>
      <c r="E162">
        <f t="shared" si="16"/>
        <v>1</v>
      </c>
      <c r="F162">
        <v>1.03</v>
      </c>
      <c r="G162">
        <f t="shared" si="17"/>
        <v>5356</v>
      </c>
      <c r="H162">
        <v>0.98</v>
      </c>
      <c r="I162">
        <f t="shared" si="18"/>
        <v>5096</v>
      </c>
      <c r="J162" t="str">
        <f t="shared" si="19"/>
        <v>Normal</v>
      </c>
      <c r="K162">
        <f t="shared" si="20"/>
        <v>5356</v>
      </c>
      <c r="L162">
        <f t="shared" si="21"/>
        <v>260</v>
      </c>
      <c r="M162" s="2">
        <f t="shared" si="22"/>
        <v>5.1020408163265307E-2</v>
      </c>
      <c r="N162">
        <f t="shared" si="23"/>
        <v>260</v>
      </c>
    </row>
    <row r="163" spans="1:14">
      <c r="A163" s="1" cm="1">
        <f t="array" ref="A163">INDEX(tblWeeks[Week_Start],INT((ROW()-2)/20)+1)</f>
        <v>46083</v>
      </c>
      <c r="B163" t="str" cm="1">
        <f t="array" ref="B163">INDEX(tblDemandAssumptions[Customer_ID],MOD(ROW()-2,20)+1)</f>
        <v>C001</v>
      </c>
      <c r="C163" t="str" cm="1">
        <f t="array" ref="C163">INDEX(tblDemandAssumptions[Product_ID],MOD(ROW()-2,20)+1)</f>
        <v>P002</v>
      </c>
      <c r="D163" cm="1">
        <f t="array" ref="D163">INDEX(tblDemandAssumptions[Baseline_Weekly_Qty],MOD(ROW()-2,20)+1)</f>
        <v>4100</v>
      </c>
      <c r="E163">
        <f t="shared" si="16"/>
        <v>1</v>
      </c>
      <c r="F163">
        <v>1.02</v>
      </c>
      <c r="G163">
        <f t="shared" si="17"/>
        <v>4182</v>
      </c>
      <c r="H163">
        <v>0.96</v>
      </c>
      <c r="I163">
        <f t="shared" si="18"/>
        <v>3936</v>
      </c>
      <c r="J163" t="str">
        <f t="shared" si="19"/>
        <v>Normal</v>
      </c>
      <c r="K163">
        <f t="shared" si="20"/>
        <v>4182</v>
      </c>
      <c r="L163">
        <f t="shared" si="21"/>
        <v>246</v>
      </c>
      <c r="M163" s="2">
        <f t="shared" si="22"/>
        <v>6.25E-2</v>
      </c>
      <c r="N163">
        <f t="shared" si="23"/>
        <v>246</v>
      </c>
    </row>
    <row r="164" spans="1:14">
      <c r="A164" s="1" cm="1">
        <f t="array" ref="A164">INDEX(tblWeeks[Week_Start],INT((ROW()-2)/20)+1)</f>
        <v>46083</v>
      </c>
      <c r="B164" t="str" cm="1">
        <f t="array" ref="B164">INDEX(tblDemandAssumptions[Customer_ID],MOD(ROW()-2,20)+1)</f>
        <v>C001</v>
      </c>
      <c r="C164" t="str" cm="1">
        <f t="array" ref="C164">INDEX(tblDemandAssumptions[Product_ID],MOD(ROW()-2,20)+1)</f>
        <v>P003</v>
      </c>
      <c r="D164" cm="1">
        <f t="array" ref="D164">INDEX(tblDemandAssumptions[Baseline_Weekly_Qty],MOD(ROW()-2,20)+1)</f>
        <v>3300</v>
      </c>
      <c r="E164">
        <f t="shared" si="16"/>
        <v>1</v>
      </c>
      <c r="F164">
        <v>1.03</v>
      </c>
      <c r="G164">
        <f t="shared" si="17"/>
        <v>3399</v>
      </c>
      <c r="H164">
        <v>0.96</v>
      </c>
      <c r="I164">
        <f t="shared" si="18"/>
        <v>3168</v>
      </c>
      <c r="J164" t="str">
        <f t="shared" si="19"/>
        <v>Normal</v>
      </c>
      <c r="K164">
        <f t="shared" si="20"/>
        <v>3399</v>
      </c>
      <c r="L164">
        <f t="shared" si="21"/>
        <v>231</v>
      </c>
      <c r="M164" s="2">
        <f t="shared" si="22"/>
        <v>7.2916666666666671E-2</v>
      </c>
      <c r="N164">
        <f t="shared" si="23"/>
        <v>231</v>
      </c>
    </row>
    <row r="165" spans="1:14">
      <c r="A165" s="1" cm="1">
        <f t="array" ref="A165">INDEX(tblWeeks[Week_Start],INT((ROW()-2)/20)+1)</f>
        <v>46083</v>
      </c>
      <c r="B165" t="str" cm="1">
        <f t="array" ref="B165">INDEX(tblDemandAssumptions[Customer_ID],MOD(ROW()-2,20)+1)</f>
        <v>C001</v>
      </c>
      <c r="C165" t="str" cm="1">
        <f t="array" ref="C165">INDEX(tblDemandAssumptions[Product_ID],MOD(ROW()-2,20)+1)</f>
        <v>P004</v>
      </c>
      <c r="D165" cm="1">
        <f t="array" ref="D165">INDEX(tblDemandAssumptions[Baseline_Weekly_Qty],MOD(ROW()-2,20)+1)</f>
        <v>3600</v>
      </c>
      <c r="E165">
        <f t="shared" si="16"/>
        <v>1</v>
      </c>
      <c r="F165">
        <v>1.03</v>
      </c>
      <c r="G165">
        <f t="shared" si="17"/>
        <v>3708</v>
      </c>
      <c r="H165">
        <v>1</v>
      </c>
      <c r="I165">
        <f t="shared" si="18"/>
        <v>3600</v>
      </c>
      <c r="J165" t="str">
        <f t="shared" si="19"/>
        <v>Normal</v>
      </c>
      <c r="K165">
        <f t="shared" si="20"/>
        <v>3708</v>
      </c>
      <c r="L165">
        <f t="shared" si="21"/>
        <v>108</v>
      </c>
      <c r="M165" s="2">
        <f t="shared" si="22"/>
        <v>0.03</v>
      </c>
      <c r="N165">
        <f t="shared" si="23"/>
        <v>108</v>
      </c>
    </row>
    <row r="166" spans="1:14">
      <c r="A166" s="1" cm="1">
        <f t="array" ref="A166">INDEX(tblWeeks[Week_Start],INT((ROW()-2)/20)+1)</f>
        <v>46083</v>
      </c>
      <c r="B166" t="str" cm="1">
        <f t="array" ref="B166">INDEX(tblDemandAssumptions[Customer_ID],MOD(ROW()-2,20)+1)</f>
        <v>C001</v>
      </c>
      <c r="C166" t="str" cm="1">
        <f t="array" ref="C166">INDEX(tblDemandAssumptions[Product_ID],MOD(ROW()-2,20)+1)</f>
        <v>P005</v>
      </c>
      <c r="D166" cm="1">
        <f t="array" ref="D166">INDEX(tblDemandAssumptions[Baseline_Weekly_Qty],MOD(ROW()-2,20)+1)</f>
        <v>2800</v>
      </c>
      <c r="E166">
        <f t="shared" si="16"/>
        <v>1</v>
      </c>
      <c r="F166">
        <v>1.05</v>
      </c>
      <c r="G166">
        <f t="shared" si="17"/>
        <v>2940</v>
      </c>
      <c r="H166">
        <v>1.03</v>
      </c>
      <c r="I166">
        <f t="shared" si="18"/>
        <v>2884</v>
      </c>
      <c r="J166" t="str">
        <f t="shared" si="19"/>
        <v>Normal</v>
      </c>
      <c r="K166">
        <f t="shared" si="20"/>
        <v>2940</v>
      </c>
      <c r="L166">
        <f t="shared" si="21"/>
        <v>56</v>
      </c>
      <c r="M166" s="2">
        <f t="shared" si="22"/>
        <v>1.9417475728155338E-2</v>
      </c>
      <c r="N166">
        <f t="shared" si="23"/>
        <v>56</v>
      </c>
    </row>
    <row r="167" spans="1:14">
      <c r="A167" s="1" cm="1">
        <f t="array" ref="A167">INDEX(tblWeeks[Week_Start],INT((ROW()-2)/20)+1)</f>
        <v>46083</v>
      </c>
      <c r="B167" t="str" cm="1">
        <f t="array" ref="B167">INDEX(tblDemandAssumptions[Customer_ID],MOD(ROW()-2,20)+1)</f>
        <v>C002</v>
      </c>
      <c r="C167" t="str" cm="1">
        <f t="array" ref="C167">INDEX(tblDemandAssumptions[Product_ID],MOD(ROW()-2,20)+1)</f>
        <v>P001</v>
      </c>
      <c r="D167" cm="1">
        <f t="array" ref="D167">INDEX(tblDemandAssumptions[Baseline_Weekly_Qty],MOD(ROW()-2,20)+1)</f>
        <v>3400</v>
      </c>
      <c r="E167">
        <f t="shared" si="16"/>
        <v>1</v>
      </c>
      <c r="F167">
        <v>0.96</v>
      </c>
      <c r="G167">
        <f t="shared" si="17"/>
        <v>3264</v>
      </c>
      <c r="H167">
        <v>0.98</v>
      </c>
      <c r="I167">
        <f t="shared" si="18"/>
        <v>3332</v>
      </c>
      <c r="J167" t="str">
        <f t="shared" si="19"/>
        <v>Normal</v>
      </c>
      <c r="K167">
        <f t="shared" si="20"/>
        <v>3264</v>
      </c>
      <c r="L167">
        <f t="shared" si="21"/>
        <v>-68</v>
      </c>
      <c r="M167" s="2">
        <f t="shared" si="22"/>
        <v>-2.0408163265306121E-2</v>
      </c>
      <c r="N167">
        <f t="shared" si="23"/>
        <v>68</v>
      </c>
    </row>
    <row r="168" spans="1:14">
      <c r="A168" s="1" cm="1">
        <f t="array" ref="A168">INDEX(tblWeeks[Week_Start],INT((ROW()-2)/20)+1)</f>
        <v>46083</v>
      </c>
      <c r="B168" t="str" cm="1">
        <f t="array" ref="B168">INDEX(tblDemandAssumptions[Customer_ID],MOD(ROW()-2,20)+1)</f>
        <v>C002</v>
      </c>
      <c r="C168" t="str" cm="1">
        <f t="array" ref="C168">INDEX(tblDemandAssumptions[Product_ID],MOD(ROW()-2,20)+1)</f>
        <v>P002</v>
      </c>
      <c r="D168" cm="1">
        <f t="array" ref="D168">INDEX(tblDemandAssumptions[Baseline_Weekly_Qty],MOD(ROW()-2,20)+1)</f>
        <v>3200</v>
      </c>
      <c r="E168">
        <f t="shared" si="16"/>
        <v>1</v>
      </c>
      <c r="F168">
        <v>1.03</v>
      </c>
      <c r="G168">
        <f t="shared" si="17"/>
        <v>3296</v>
      </c>
      <c r="H168">
        <v>1.02</v>
      </c>
      <c r="I168">
        <f t="shared" si="18"/>
        <v>3264</v>
      </c>
      <c r="J168" t="str">
        <f t="shared" si="19"/>
        <v>Normal</v>
      </c>
      <c r="K168">
        <f t="shared" si="20"/>
        <v>3296</v>
      </c>
      <c r="L168">
        <f t="shared" si="21"/>
        <v>32</v>
      </c>
      <c r="M168" s="2">
        <f t="shared" si="22"/>
        <v>9.8039215686274508E-3</v>
      </c>
      <c r="N168">
        <f t="shared" si="23"/>
        <v>32</v>
      </c>
    </row>
    <row r="169" spans="1:14">
      <c r="A169" s="1" cm="1">
        <f t="array" ref="A169">INDEX(tblWeeks[Week_Start],INT((ROW()-2)/20)+1)</f>
        <v>46083</v>
      </c>
      <c r="B169" t="str" cm="1">
        <f t="array" ref="B169">INDEX(tblDemandAssumptions[Customer_ID],MOD(ROW()-2,20)+1)</f>
        <v>C002</v>
      </c>
      <c r="C169" t="str" cm="1">
        <f t="array" ref="C169">INDEX(tblDemandAssumptions[Product_ID],MOD(ROW()-2,20)+1)</f>
        <v>P003</v>
      </c>
      <c r="D169" cm="1">
        <f t="array" ref="D169">INDEX(tblDemandAssumptions[Baseline_Weekly_Qty],MOD(ROW()-2,20)+1)</f>
        <v>2600</v>
      </c>
      <c r="E169">
        <f t="shared" si="16"/>
        <v>1</v>
      </c>
      <c r="F169">
        <v>1.01</v>
      </c>
      <c r="G169">
        <f t="shared" si="17"/>
        <v>2626</v>
      </c>
      <c r="H169">
        <v>1.04</v>
      </c>
      <c r="I169">
        <f t="shared" si="18"/>
        <v>2704</v>
      </c>
      <c r="J169" t="str">
        <f t="shared" si="19"/>
        <v>Normal</v>
      </c>
      <c r="K169">
        <f t="shared" si="20"/>
        <v>2626</v>
      </c>
      <c r="L169">
        <f t="shared" si="21"/>
        <v>-78</v>
      </c>
      <c r="M169" s="2">
        <f t="shared" si="22"/>
        <v>-2.8846153846153848E-2</v>
      </c>
      <c r="N169">
        <f t="shared" si="23"/>
        <v>78</v>
      </c>
    </row>
    <row r="170" spans="1:14">
      <c r="A170" s="1" cm="1">
        <f t="array" ref="A170">INDEX(tblWeeks[Week_Start],INT((ROW()-2)/20)+1)</f>
        <v>46083</v>
      </c>
      <c r="B170" t="str" cm="1">
        <f t="array" ref="B170">INDEX(tblDemandAssumptions[Customer_ID],MOD(ROW()-2,20)+1)</f>
        <v>C002</v>
      </c>
      <c r="C170" t="str" cm="1">
        <f t="array" ref="C170">INDEX(tblDemandAssumptions[Product_ID],MOD(ROW()-2,20)+1)</f>
        <v>P004</v>
      </c>
      <c r="D170" cm="1">
        <f t="array" ref="D170">INDEX(tblDemandAssumptions[Baseline_Weekly_Qty],MOD(ROW()-2,20)+1)</f>
        <v>2900</v>
      </c>
      <c r="E170">
        <f t="shared" si="16"/>
        <v>1</v>
      </c>
      <c r="F170">
        <v>1.02</v>
      </c>
      <c r="G170">
        <f t="shared" si="17"/>
        <v>2958</v>
      </c>
      <c r="H170">
        <v>1.04</v>
      </c>
      <c r="I170">
        <f t="shared" si="18"/>
        <v>3016</v>
      </c>
      <c r="J170" t="str">
        <f t="shared" si="19"/>
        <v>Normal</v>
      </c>
      <c r="K170">
        <f t="shared" si="20"/>
        <v>2958</v>
      </c>
      <c r="L170">
        <f t="shared" si="21"/>
        <v>-58</v>
      </c>
      <c r="M170" s="2">
        <f t="shared" si="22"/>
        <v>-1.9230769230769232E-2</v>
      </c>
      <c r="N170">
        <f t="shared" si="23"/>
        <v>58</v>
      </c>
    </row>
    <row r="171" spans="1:14">
      <c r="A171" s="1" cm="1">
        <f t="array" ref="A171">INDEX(tblWeeks[Week_Start],INT((ROW()-2)/20)+1)</f>
        <v>46083</v>
      </c>
      <c r="B171" t="str" cm="1">
        <f t="array" ref="B171">INDEX(tblDemandAssumptions[Customer_ID],MOD(ROW()-2,20)+1)</f>
        <v>C002</v>
      </c>
      <c r="C171" t="str" cm="1">
        <f t="array" ref="C171">INDEX(tblDemandAssumptions[Product_ID],MOD(ROW()-2,20)+1)</f>
        <v>P005</v>
      </c>
      <c r="D171" cm="1">
        <f t="array" ref="D171">INDEX(tblDemandAssumptions[Baseline_Weekly_Qty],MOD(ROW()-2,20)+1)</f>
        <v>2200</v>
      </c>
      <c r="E171">
        <f t="shared" si="16"/>
        <v>1</v>
      </c>
      <c r="F171">
        <v>1.03</v>
      </c>
      <c r="G171">
        <f t="shared" si="17"/>
        <v>2266</v>
      </c>
      <c r="H171">
        <v>0.97</v>
      </c>
      <c r="I171">
        <f t="shared" si="18"/>
        <v>2134</v>
      </c>
      <c r="J171" t="str">
        <f t="shared" si="19"/>
        <v>Normal</v>
      </c>
      <c r="K171">
        <f t="shared" si="20"/>
        <v>2266</v>
      </c>
      <c r="L171">
        <f t="shared" si="21"/>
        <v>132</v>
      </c>
      <c r="M171" s="2">
        <f t="shared" si="22"/>
        <v>6.1855670103092786E-2</v>
      </c>
      <c r="N171">
        <f t="shared" si="23"/>
        <v>132</v>
      </c>
    </row>
    <row r="172" spans="1:14">
      <c r="A172" s="1" cm="1">
        <f t="array" ref="A172">INDEX(tblWeeks[Week_Start],INT((ROW()-2)/20)+1)</f>
        <v>46083</v>
      </c>
      <c r="B172" t="str" cm="1">
        <f t="array" ref="B172">INDEX(tblDemandAssumptions[Customer_ID],MOD(ROW()-2,20)+1)</f>
        <v>C003</v>
      </c>
      <c r="C172" t="str" cm="1">
        <f t="array" ref="C172">INDEX(tblDemandAssumptions[Product_ID],MOD(ROW()-2,20)+1)</f>
        <v>P001</v>
      </c>
      <c r="D172" cm="1">
        <f t="array" ref="D172">INDEX(tblDemandAssumptions[Baseline_Weekly_Qty],MOD(ROW()-2,20)+1)</f>
        <v>3000</v>
      </c>
      <c r="E172">
        <f t="shared" si="16"/>
        <v>1</v>
      </c>
      <c r="F172">
        <v>1</v>
      </c>
      <c r="G172">
        <f t="shared" si="17"/>
        <v>3000</v>
      </c>
      <c r="H172">
        <v>1.04</v>
      </c>
      <c r="I172">
        <f t="shared" si="18"/>
        <v>3120</v>
      </c>
      <c r="J172" t="str">
        <f t="shared" si="19"/>
        <v>Normal</v>
      </c>
      <c r="K172">
        <f t="shared" si="20"/>
        <v>3000</v>
      </c>
      <c r="L172">
        <f t="shared" si="21"/>
        <v>-120</v>
      </c>
      <c r="M172" s="2">
        <f t="shared" si="22"/>
        <v>-3.8461538461538464E-2</v>
      </c>
      <c r="N172">
        <f t="shared" si="23"/>
        <v>120</v>
      </c>
    </row>
    <row r="173" spans="1:14">
      <c r="A173" s="1" cm="1">
        <f t="array" ref="A173">INDEX(tblWeeks[Week_Start],INT((ROW()-2)/20)+1)</f>
        <v>46083</v>
      </c>
      <c r="B173" t="str" cm="1">
        <f t="array" ref="B173">INDEX(tblDemandAssumptions[Customer_ID],MOD(ROW()-2,20)+1)</f>
        <v>C003</v>
      </c>
      <c r="C173" t="str" cm="1">
        <f t="array" ref="C173">INDEX(tblDemandAssumptions[Product_ID],MOD(ROW()-2,20)+1)</f>
        <v>P002</v>
      </c>
      <c r="D173" cm="1">
        <f t="array" ref="D173">INDEX(tblDemandAssumptions[Baseline_Weekly_Qty],MOD(ROW()-2,20)+1)</f>
        <v>2700</v>
      </c>
      <c r="E173">
        <f t="shared" si="16"/>
        <v>1</v>
      </c>
      <c r="F173">
        <v>0.95</v>
      </c>
      <c r="G173">
        <f t="shared" si="17"/>
        <v>2565</v>
      </c>
      <c r="H173">
        <v>1.03</v>
      </c>
      <c r="I173">
        <f t="shared" si="18"/>
        <v>2781</v>
      </c>
      <c r="J173" t="str">
        <f t="shared" si="19"/>
        <v>Normal</v>
      </c>
      <c r="K173">
        <f t="shared" si="20"/>
        <v>2565</v>
      </c>
      <c r="L173">
        <f t="shared" si="21"/>
        <v>-216</v>
      </c>
      <c r="M173" s="2">
        <f t="shared" si="22"/>
        <v>-7.7669902912621352E-2</v>
      </c>
      <c r="N173">
        <f t="shared" si="23"/>
        <v>216</v>
      </c>
    </row>
    <row r="174" spans="1:14">
      <c r="A174" s="1" cm="1">
        <f t="array" ref="A174">INDEX(tblWeeks[Week_Start],INT((ROW()-2)/20)+1)</f>
        <v>46083</v>
      </c>
      <c r="B174" t="str" cm="1">
        <f t="array" ref="B174">INDEX(tblDemandAssumptions[Customer_ID],MOD(ROW()-2,20)+1)</f>
        <v>C003</v>
      </c>
      <c r="C174" t="str" cm="1">
        <f t="array" ref="C174">INDEX(tblDemandAssumptions[Product_ID],MOD(ROW()-2,20)+1)</f>
        <v>P003</v>
      </c>
      <c r="D174" cm="1">
        <f t="array" ref="D174">INDEX(tblDemandAssumptions[Baseline_Weekly_Qty],MOD(ROW()-2,20)+1)</f>
        <v>2800</v>
      </c>
      <c r="E174">
        <f t="shared" si="16"/>
        <v>1</v>
      </c>
      <c r="F174">
        <v>0.98</v>
      </c>
      <c r="G174">
        <f t="shared" si="17"/>
        <v>2744</v>
      </c>
      <c r="H174">
        <v>1.02</v>
      </c>
      <c r="I174">
        <f t="shared" si="18"/>
        <v>2856</v>
      </c>
      <c r="J174" t="str">
        <f t="shared" si="19"/>
        <v>Normal</v>
      </c>
      <c r="K174">
        <f t="shared" si="20"/>
        <v>2744</v>
      </c>
      <c r="L174">
        <f t="shared" si="21"/>
        <v>-112</v>
      </c>
      <c r="M174" s="2">
        <f t="shared" si="22"/>
        <v>-3.9215686274509803E-2</v>
      </c>
      <c r="N174">
        <f t="shared" si="23"/>
        <v>112</v>
      </c>
    </row>
    <row r="175" spans="1:14">
      <c r="A175" s="1" cm="1">
        <f t="array" ref="A175">INDEX(tblWeeks[Week_Start],INT((ROW()-2)/20)+1)</f>
        <v>46083</v>
      </c>
      <c r="B175" t="str" cm="1">
        <f t="array" ref="B175">INDEX(tblDemandAssumptions[Customer_ID],MOD(ROW()-2,20)+1)</f>
        <v>C003</v>
      </c>
      <c r="C175" t="str" cm="1">
        <f t="array" ref="C175">INDEX(tblDemandAssumptions[Product_ID],MOD(ROW()-2,20)+1)</f>
        <v>P004</v>
      </c>
      <c r="D175" cm="1">
        <f t="array" ref="D175">INDEX(tblDemandAssumptions[Baseline_Weekly_Qty],MOD(ROW()-2,20)+1)</f>
        <v>2400</v>
      </c>
      <c r="E175">
        <f t="shared" si="16"/>
        <v>1</v>
      </c>
      <c r="F175">
        <v>0.97</v>
      </c>
      <c r="G175">
        <f t="shared" si="17"/>
        <v>2328</v>
      </c>
      <c r="H175">
        <v>1.03</v>
      </c>
      <c r="I175">
        <f t="shared" si="18"/>
        <v>2472</v>
      </c>
      <c r="J175" t="str">
        <f t="shared" si="19"/>
        <v>Normal</v>
      </c>
      <c r="K175">
        <f t="shared" si="20"/>
        <v>2328</v>
      </c>
      <c r="L175">
        <f t="shared" si="21"/>
        <v>-144</v>
      </c>
      <c r="M175" s="2">
        <f t="shared" si="22"/>
        <v>-5.8252427184466021E-2</v>
      </c>
      <c r="N175">
        <f t="shared" si="23"/>
        <v>144</v>
      </c>
    </row>
    <row r="176" spans="1:14">
      <c r="A176" s="1" cm="1">
        <f t="array" ref="A176">INDEX(tblWeeks[Week_Start],INT((ROW()-2)/20)+1)</f>
        <v>46083</v>
      </c>
      <c r="B176" t="str" cm="1">
        <f t="array" ref="B176">INDEX(tblDemandAssumptions[Customer_ID],MOD(ROW()-2,20)+1)</f>
        <v>C003</v>
      </c>
      <c r="C176" t="str" cm="1">
        <f t="array" ref="C176">INDEX(tblDemandAssumptions[Product_ID],MOD(ROW()-2,20)+1)</f>
        <v>P005</v>
      </c>
      <c r="D176" cm="1">
        <f t="array" ref="D176">INDEX(tblDemandAssumptions[Baseline_Weekly_Qty],MOD(ROW()-2,20)+1)</f>
        <v>1900</v>
      </c>
      <c r="E176">
        <f t="shared" si="16"/>
        <v>1</v>
      </c>
      <c r="F176">
        <v>0.98</v>
      </c>
      <c r="G176">
        <f t="shared" si="17"/>
        <v>1862</v>
      </c>
      <c r="H176">
        <v>1.04</v>
      </c>
      <c r="I176">
        <f t="shared" si="18"/>
        <v>1976</v>
      </c>
      <c r="J176" t="str">
        <f t="shared" si="19"/>
        <v>Normal</v>
      </c>
      <c r="K176">
        <f t="shared" si="20"/>
        <v>1862</v>
      </c>
      <c r="L176">
        <f t="shared" si="21"/>
        <v>-114</v>
      </c>
      <c r="M176" s="2">
        <f t="shared" si="22"/>
        <v>-5.7692307692307696E-2</v>
      </c>
      <c r="N176">
        <f t="shared" si="23"/>
        <v>114</v>
      </c>
    </row>
    <row r="177" spans="1:14">
      <c r="A177" s="1" cm="1">
        <f t="array" ref="A177">INDEX(tblWeeks[Week_Start],INT((ROW()-2)/20)+1)</f>
        <v>46083</v>
      </c>
      <c r="B177" t="str" cm="1">
        <f t="array" ref="B177">INDEX(tblDemandAssumptions[Customer_ID],MOD(ROW()-2,20)+1)</f>
        <v>C004</v>
      </c>
      <c r="C177" t="str" cm="1">
        <f t="array" ref="C177">INDEX(tblDemandAssumptions[Product_ID],MOD(ROW()-2,20)+1)</f>
        <v>P001</v>
      </c>
      <c r="D177" cm="1">
        <f t="array" ref="D177">INDEX(tblDemandAssumptions[Baseline_Weekly_Qty],MOD(ROW()-2,20)+1)</f>
        <v>2700</v>
      </c>
      <c r="E177">
        <f t="shared" si="16"/>
        <v>1</v>
      </c>
      <c r="F177">
        <v>1.03</v>
      </c>
      <c r="G177">
        <f t="shared" si="17"/>
        <v>2781</v>
      </c>
      <c r="H177">
        <v>1.04</v>
      </c>
      <c r="I177">
        <f t="shared" si="18"/>
        <v>2808</v>
      </c>
      <c r="J177" t="str">
        <f t="shared" si="19"/>
        <v>Normal</v>
      </c>
      <c r="K177">
        <f t="shared" si="20"/>
        <v>2781</v>
      </c>
      <c r="L177">
        <f t="shared" si="21"/>
        <v>-27</v>
      </c>
      <c r="M177" s="2">
        <f t="shared" si="22"/>
        <v>-9.6153846153846159E-3</v>
      </c>
      <c r="N177">
        <f t="shared" si="23"/>
        <v>27</v>
      </c>
    </row>
    <row r="178" spans="1:14">
      <c r="A178" s="1" cm="1">
        <f t="array" ref="A178">INDEX(tblWeeks[Week_Start],INT((ROW()-2)/20)+1)</f>
        <v>46083</v>
      </c>
      <c r="B178" t="str" cm="1">
        <f t="array" ref="B178">INDEX(tblDemandAssumptions[Customer_ID],MOD(ROW()-2,20)+1)</f>
        <v>C004</v>
      </c>
      <c r="C178" t="str" cm="1">
        <f t="array" ref="C178">INDEX(tblDemandAssumptions[Product_ID],MOD(ROW()-2,20)+1)</f>
        <v>P002</v>
      </c>
      <c r="D178" cm="1">
        <f t="array" ref="D178">INDEX(tblDemandAssumptions[Baseline_Weekly_Qty],MOD(ROW()-2,20)+1)</f>
        <v>2400</v>
      </c>
      <c r="E178">
        <f t="shared" si="16"/>
        <v>1</v>
      </c>
      <c r="F178">
        <v>1.03</v>
      </c>
      <c r="G178">
        <f t="shared" si="17"/>
        <v>2472</v>
      </c>
      <c r="H178">
        <v>0.98</v>
      </c>
      <c r="I178">
        <f t="shared" si="18"/>
        <v>2352</v>
      </c>
      <c r="J178" t="str">
        <f t="shared" si="19"/>
        <v>Normal</v>
      </c>
      <c r="K178">
        <f t="shared" si="20"/>
        <v>2472</v>
      </c>
      <c r="L178">
        <f t="shared" si="21"/>
        <v>120</v>
      </c>
      <c r="M178" s="2">
        <f t="shared" si="22"/>
        <v>5.1020408163265307E-2</v>
      </c>
      <c r="N178">
        <f t="shared" si="23"/>
        <v>120</v>
      </c>
    </row>
    <row r="179" spans="1:14">
      <c r="A179" s="1" cm="1">
        <f t="array" ref="A179">INDEX(tblWeeks[Week_Start],INT((ROW()-2)/20)+1)</f>
        <v>46083</v>
      </c>
      <c r="B179" t="str" cm="1">
        <f t="array" ref="B179">INDEX(tblDemandAssumptions[Customer_ID],MOD(ROW()-2,20)+1)</f>
        <v>C004</v>
      </c>
      <c r="C179" t="str" cm="1">
        <f t="array" ref="C179">INDEX(tblDemandAssumptions[Product_ID],MOD(ROW()-2,20)+1)</f>
        <v>P003</v>
      </c>
      <c r="D179" cm="1">
        <f t="array" ref="D179">INDEX(tblDemandAssumptions[Baseline_Weekly_Qty],MOD(ROW()-2,20)+1)</f>
        <v>2100</v>
      </c>
      <c r="E179">
        <f t="shared" si="16"/>
        <v>1</v>
      </c>
      <c r="F179">
        <v>0.98</v>
      </c>
      <c r="G179">
        <f t="shared" si="17"/>
        <v>2058</v>
      </c>
      <c r="H179">
        <v>1.02</v>
      </c>
      <c r="I179">
        <f t="shared" si="18"/>
        <v>2142</v>
      </c>
      <c r="J179" t="str">
        <f t="shared" si="19"/>
        <v>Normal</v>
      </c>
      <c r="K179">
        <f t="shared" si="20"/>
        <v>2058</v>
      </c>
      <c r="L179">
        <f t="shared" si="21"/>
        <v>-84</v>
      </c>
      <c r="M179" s="2">
        <f t="shared" si="22"/>
        <v>-3.9215686274509803E-2</v>
      </c>
      <c r="N179">
        <f t="shared" si="23"/>
        <v>84</v>
      </c>
    </row>
    <row r="180" spans="1:14">
      <c r="A180" s="1" cm="1">
        <f t="array" ref="A180">INDEX(tblWeeks[Week_Start],INT((ROW()-2)/20)+1)</f>
        <v>46083</v>
      </c>
      <c r="B180" t="str" cm="1">
        <f t="array" ref="B180">INDEX(tblDemandAssumptions[Customer_ID],MOD(ROW()-2,20)+1)</f>
        <v>C004</v>
      </c>
      <c r="C180" t="str" cm="1">
        <f t="array" ref="C180">INDEX(tblDemandAssumptions[Product_ID],MOD(ROW()-2,20)+1)</f>
        <v>P004</v>
      </c>
      <c r="D180" cm="1">
        <f t="array" ref="D180">INDEX(tblDemandAssumptions[Baseline_Weekly_Qty],MOD(ROW()-2,20)+1)</f>
        <v>2600</v>
      </c>
      <c r="E180">
        <f t="shared" si="16"/>
        <v>1</v>
      </c>
      <c r="F180">
        <v>1.04</v>
      </c>
      <c r="G180">
        <f t="shared" si="17"/>
        <v>2704</v>
      </c>
      <c r="H180">
        <v>1.04</v>
      </c>
      <c r="I180">
        <f t="shared" si="18"/>
        <v>2704</v>
      </c>
      <c r="J180" t="str">
        <f t="shared" si="19"/>
        <v>Normal</v>
      </c>
      <c r="K180">
        <f t="shared" si="20"/>
        <v>2704</v>
      </c>
      <c r="L180">
        <f t="shared" si="21"/>
        <v>0</v>
      </c>
      <c r="M180" s="2">
        <f t="shared" si="22"/>
        <v>0</v>
      </c>
      <c r="N180">
        <f t="shared" si="23"/>
        <v>0</v>
      </c>
    </row>
    <row r="181" spans="1:14">
      <c r="A181" s="1" cm="1">
        <f t="array" ref="A181">INDEX(tblWeeks[Week_Start],INT((ROW()-2)/20)+1)</f>
        <v>46083</v>
      </c>
      <c r="B181" t="str" cm="1">
        <f t="array" ref="B181">INDEX(tblDemandAssumptions[Customer_ID],MOD(ROW()-2,20)+1)</f>
        <v>C004</v>
      </c>
      <c r="C181" t="str" cm="1">
        <f t="array" ref="C181">INDEX(tblDemandAssumptions[Product_ID],MOD(ROW()-2,20)+1)</f>
        <v>P005</v>
      </c>
      <c r="D181" cm="1">
        <f t="array" ref="D181">INDEX(tblDemandAssumptions[Baseline_Weekly_Qty],MOD(ROW()-2,20)+1)</f>
        <v>1800</v>
      </c>
      <c r="E181">
        <f t="shared" si="16"/>
        <v>1</v>
      </c>
      <c r="F181">
        <v>0.99</v>
      </c>
      <c r="G181">
        <f t="shared" si="17"/>
        <v>1782</v>
      </c>
      <c r="H181">
        <v>0.99</v>
      </c>
      <c r="I181">
        <f t="shared" si="18"/>
        <v>1782</v>
      </c>
      <c r="J181" t="str">
        <f t="shared" si="19"/>
        <v>Normal</v>
      </c>
      <c r="K181">
        <f t="shared" si="20"/>
        <v>1782</v>
      </c>
      <c r="L181">
        <f t="shared" si="21"/>
        <v>0</v>
      </c>
      <c r="M181" s="2">
        <f t="shared" si="22"/>
        <v>0</v>
      </c>
      <c r="N181">
        <f t="shared" si="23"/>
        <v>0</v>
      </c>
    </row>
    <row r="182" spans="1:14">
      <c r="A182" s="1" cm="1">
        <f t="array" ref="A182">INDEX(tblWeeks[Week_Start],INT((ROW()-2)/20)+1)</f>
        <v>46090</v>
      </c>
      <c r="B182" t="str" cm="1">
        <f t="array" ref="B182">INDEX(tblDemandAssumptions[Customer_ID],MOD(ROW()-2,20)+1)</f>
        <v>C001</v>
      </c>
      <c r="C182" t="str" cm="1">
        <f t="array" ref="C182">INDEX(tblDemandAssumptions[Product_ID],MOD(ROW()-2,20)+1)</f>
        <v>P001</v>
      </c>
      <c r="D182" cm="1">
        <f t="array" ref="D182">INDEX(tblDemandAssumptions[Baseline_Weekly_Qty],MOD(ROW()-2,20)+1)</f>
        <v>5200</v>
      </c>
      <c r="E182">
        <f t="shared" si="16"/>
        <v>1</v>
      </c>
      <c r="F182">
        <v>1.03</v>
      </c>
      <c r="G182">
        <f t="shared" si="17"/>
        <v>5356</v>
      </c>
      <c r="H182">
        <v>1.01</v>
      </c>
      <c r="I182">
        <f t="shared" si="18"/>
        <v>5252</v>
      </c>
      <c r="J182" t="str">
        <f t="shared" si="19"/>
        <v>Normal</v>
      </c>
      <c r="K182">
        <f t="shared" si="20"/>
        <v>5356</v>
      </c>
      <c r="L182">
        <f t="shared" si="21"/>
        <v>104</v>
      </c>
      <c r="M182" s="2">
        <f t="shared" si="22"/>
        <v>1.9801980198019802E-2</v>
      </c>
      <c r="N182">
        <f t="shared" si="23"/>
        <v>104</v>
      </c>
    </row>
    <row r="183" spans="1:14">
      <c r="A183" s="1" cm="1">
        <f t="array" ref="A183">INDEX(tblWeeks[Week_Start],INT((ROW()-2)/20)+1)</f>
        <v>46090</v>
      </c>
      <c r="B183" t="str" cm="1">
        <f t="array" ref="B183">INDEX(tblDemandAssumptions[Customer_ID],MOD(ROW()-2,20)+1)</f>
        <v>C001</v>
      </c>
      <c r="C183" t="str" cm="1">
        <f t="array" ref="C183">INDEX(tblDemandAssumptions[Product_ID],MOD(ROW()-2,20)+1)</f>
        <v>P002</v>
      </c>
      <c r="D183" cm="1">
        <f t="array" ref="D183">INDEX(tblDemandAssumptions[Baseline_Weekly_Qty],MOD(ROW()-2,20)+1)</f>
        <v>4100</v>
      </c>
      <c r="E183">
        <f t="shared" si="16"/>
        <v>1</v>
      </c>
      <c r="F183">
        <v>1.04</v>
      </c>
      <c r="G183">
        <f t="shared" si="17"/>
        <v>4264</v>
      </c>
      <c r="H183">
        <v>0.96</v>
      </c>
      <c r="I183">
        <f t="shared" si="18"/>
        <v>3936</v>
      </c>
      <c r="J183" t="str">
        <f t="shared" si="19"/>
        <v>Normal</v>
      </c>
      <c r="K183">
        <f t="shared" si="20"/>
        <v>4264</v>
      </c>
      <c r="L183">
        <f t="shared" si="21"/>
        <v>328</v>
      </c>
      <c r="M183" s="2">
        <f t="shared" si="22"/>
        <v>8.3333333333333329E-2</v>
      </c>
      <c r="N183">
        <f t="shared" si="23"/>
        <v>328</v>
      </c>
    </row>
    <row r="184" spans="1:14">
      <c r="A184" s="1" cm="1">
        <f t="array" ref="A184">INDEX(tblWeeks[Week_Start],INT((ROW()-2)/20)+1)</f>
        <v>46090</v>
      </c>
      <c r="B184" t="str" cm="1">
        <f t="array" ref="B184">INDEX(tblDemandAssumptions[Customer_ID],MOD(ROW()-2,20)+1)</f>
        <v>C001</v>
      </c>
      <c r="C184" t="str" cm="1">
        <f t="array" ref="C184">INDEX(tblDemandAssumptions[Product_ID],MOD(ROW()-2,20)+1)</f>
        <v>P003</v>
      </c>
      <c r="D184" cm="1">
        <f t="array" ref="D184">INDEX(tblDemandAssumptions[Baseline_Weekly_Qty],MOD(ROW()-2,20)+1)</f>
        <v>3300</v>
      </c>
      <c r="E184">
        <f t="shared" si="16"/>
        <v>1</v>
      </c>
      <c r="F184">
        <v>1.03</v>
      </c>
      <c r="G184">
        <f t="shared" si="17"/>
        <v>3399</v>
      </c>
      <c r="H184">
        <v>1.02</v>
      </c>
      <c r="I184">
        <f t="shared" si="18"/>
        <v>3366</v>
      </c>
      <c r="J184" t="str">
        <f t="shared" si="19"/>
        <v>Normal</v>
      </c>
      <c r="K184">
        <f t="shared" si="20"/>
        <v>3399</v>
      </c>
      <c r="L184">
        <f t="shared" si="21"/>
        <v>33</v>
      </c>
      <c r="M184" s="2">
        <f t="shared" si="22"/>
        <v>9.8039215686274508E-3</v>
      </c>
      <c r="N184">
        <f t="shared" si="23"/>
        <v>33</v>
      </c>
    </row>
    <row r="185" spans="1:14">
      <c r="A185" s="1" cm="1">
        <f t="array" ref="A185">INDEX(tblWeeks[Week_Start],INT((ROW()-2)/20)+1)</f>
        <v>46090</v>
      </c>
      <c r="B185" t="str" cm="1">
        <f t="array" ref="B185">INDEX(tblDemandAssumptions[Customer_ID],MOD(ROW()-2,20)+1)</f>
        <v>C001</v>
      </c>
      <c r="C185" t="str" cm="1">
        <f t="array" ref="C185">INDEX(tblDemandAssumptions[Product_ID],MOD(ROW()-2,20)+1)</f>
        <v>P004</v>
      </c>
      <c r="D185" cm="1">
        <f t="array" ref="D185">INDEX(tblDemandAssumptions[Baseline_Weekly_Qty],MOD(ROW()-2,20)+1)</f>
        <v>3600</v>
      </c>
      <c r="E185">
        <f t="shared" si="16"/>
        <v>1</v>
      </c>
      <c r="F185">
        <v>0.98</v>
      </c>
      <c r="G185">
        <f t="shared" si="17"/>
        <v>3528</v>
      </c>
      <c r="H185">
        <v>0.97</v>
      </c>
      <c r="I185">
        <f t="shared" si="18"/>
        <v>3492</v>
      </c>
      <c r="J185" t="str">
        <f t="shared" si="19"/>
        <v>Normal</v>
      </c>
      <c r="K185">
        <f t="shared" si="20"/>
        <v>3528</v>
      </c>
      <c r="L185">
        <f t="shared" si="21"/>
        <v>36</v>
      </c>
      <c r="M185" s="2">
        <f t="shared" si="22"/>
        <v>1.0309278350515464E-2</v>
      </c>
      <c r="N185">
        <f t="shared" si="23"/>
        <v>36</v>
      </c>
    </row>
    <row r="186" spans="1:14">
      <c r="A186" s="1" cm="1">
        <f t="array" ref="A186">INDEX(tblWeeks[Week_Start],INT((ROW()-2)/20)+1)</f>
        <v>46090</v>
      </c>
      <c r="B186" t="str" cm="1">
        <f t="array" ref="B186">INDEX(tblDemandAssumptions[Customer_ID],MOD(ROW()-2,20)+1)</f>
        <v>C001</v>
      </c>
      <c r="C186" t="str" cm="1">
        <f t="array" ref="C186">INDEX(tblDemandAssumptions[Product_ID],MOD(ROW()-2,20)+1)</f>
        <v>P005</v>
      </c>
      <c r="D186" cm="1">
        <f t="array" ref="D186">INDEX(tblDemandAssumptions[Baseline_Weekly_Qty],MOD(ROW()-2,20)+1)</f>
        <v>2800</v>
      </c>
      <c r="E186">
        <f t="shared" si="16"/>
        <v>1</v>
      </c>
      <c r="F186">
        <v>0.97</v>
      </c>
      <c r="G186">
        <f t="shared" si="17"/>
        <v>2716</v>
      </c>
      <c r="H186">
        <v>0.96</v>
      </c>
      <c r="I186">
        <f t="shared" si="18"/>
        <v>2688</v>
      </c>
      <c r="J186" t="str">
        <f t="shared" si="19"/>
        <v>Normal</v>
      </c>
      <c r="K186">
        <f t="shared" si="20"/>
        <v>2716</v>
      </c>
      <c r="L186">
        <f t="shared" si="21"/>
        <v>28</v>
      </c>
      <c r="M186" s="2">
        <f t="shared" si="22"/>
        <v>1.0416666666666666E-2</v>
      </c>
      <c r="N186">
        <f t="shared" si="23"/>
        <v>28</v>
      </c>
    </row>
    <row r="187" spans="1:14">
      <c r="A187" s="1" cm="1">
        <f t="array" ref="A187">INDEX(tblWeeks[Week_Start],INT((ROW()-2)/20)+1)</f>
        <v>46090</v>
      </c>
      <c r="B187" t="str" cm="1">
        <f t="array" ref="B187">INDEX(tblDemandAssumptions[Customer_ID],MOD(ROW()-2,20)+1)</f>
        <v>C002</v>
      </c>
      <c r="C187" t="str" cm="1">
        <f t="array" ref="C187">INDEX(tblDemandAssumptions[Product_ID],MOD(ROW()-2,20)+1)</f>
        <v>P001</v>
      </c>
      <c r="D187" cm="1">
        <f t="array" ref="D187">INDEX(tblDemandAssumptions[Baseline_Weekly_Qty],MOD(ROW()-2,20)+1)</f>
        <v>3400</v>
      </c>
      <c r="E187">
        <f t="shared" si="16"/>
        <v>1</v>
      </c>
      <c r="F187">
        <v>0.97</v>
      </c>
      <c r="G187">
        <f t="shared" si="17"/>
        <v>3298</v>
      </c>
      <c r="H187">
        <v>1.01</v>
      </c>
      <c r="I187">
        <f t="shared" si="18"/>
        <v>3434</v>
      </c>
      <c r="J187" t="str">
        <f t="shared" si="19"/>
        <v>Normal</v>
      </c>
      <c r="K187">
        <f t="shared" si="20"/>
        <v>3298</v>
      </c>
      <c r="L187">
        <f t="shared" si="21"/>
        <v>-136</v>
      </c>
      <c r="M187" s="2">
        <f t="shared" si="22"/>
        <v>-3.9603960396039604E-2</v>
      </c>
      <c r="N187">
        <f t="shared" si="23"/>
        <v>136</v>
      </c>
    </row>
    <row r="188" spans="1:14">
      <c r="A188" s="1" cm="1">
        <f t="array" ref="A188">INDEX(tblWeeks[Week_Start],INT((ROW()-2)/20)+1)</f>
        <v>46090</v>
      </c>
      <c r="B188" t="str" cm="1">
        <f t="array" ref="B188">INDEX(tblDemandAssumptions[Customer_ID],MOD(ROW()-2,20)+1)</f>
        <v>C002</v>
      </c>
      <c r="C188" t="str" cm="1">
        <f t="array" ref="C188">INDEX(tblDemandAssumptions[Product_ID],MOD(ROW()-2,20)+1)</f>
        <v>P002</v>
      </c>
      <c r="D188" cm="1">
        <f t="array" ref="D188">INDEX(tblDemandAssumptions[Baseline_Weekly_Qty],MOD(ROW()-2,20)+1)</f>
        <v>3200</v>
      </c>
      <c r="E188">
        <f t="shared" si="16"/>
        <v>1</v>
      </c>
      <c r="F188">
        <v>0.99</v>
      </c>
      <c r="G188">
        <f t="shared" si="17"/>
        <v>3168</v>
      </c>
      <c r="H188">
        <v>1.01</v>
      </c>
      <c r="I188">
        <f t="shared" si="18"/>
        <v>3232</v>
      </c>
      <c r="J188" t="str">
        <f t="shared" si="19"/>
        <v>Normal</v>
      </c>
      <c r="K188">
        <f t="shared" si="20"/>
        <v>3168</v>
      </c>
      <c r="L188">
        <f t="shared" si="21"/>
        <v>-64</v>
      </c>
      <c r="M188" s="2">
        <f t="shared" si="22"/>
        <v>-1.9801980198019802E-2</v>
      </c>
      <c r="N188">
        <f t="shared" si="23"/>
        <v>64</v>
      </c>
    </row>
    <row r="189" spans="1:14">
      <c r="A189" s="1" cm="1">
        <f t="array" ref="A189">INDEX(tblWeeks[Week_Start],INT((ROW()-2)/20)+1)</f>
        <v>46090</v>
      </c>
      <c r="B189" t="str" cm="1">
        <f t="array" ref="B189">INDEX(tblDemandAssumptions[Customer_ID],MOD(ROW()-2,20)+1)</f>
        <v>C002</v>
      </c>
      <c r="C189" t="str" cm="1">
        <f t="array" ref="C189">INDEX(tblDemandAssumptions[Product_ID],MOD(ROW()-2,20)+1)</f>
        <v>P003</v>
      </c>
      <c r="D189" cm="1">
        <f t="array" ref="D189">INDEX(tblDemandAssumptions[Baseline_Weekly_Qty],MOD(ROW()-2,20)+1)</f>
        <v>2600</v>
      </c>
      <c r="E189">
        <f t="shared" si="16"/>
        <v>1</v>
      </c>
      <c r="F189">
        <v>1.05</v>
      </c>
      <c r="G189">
        <f t="shared" si="17"/>
        <v>2730</v>
      </c>
      <c r="H189">
        <v>1.04</v>
      </c>
      <c r="I189">
        <f t="shared" si="18"/>
        <v>2704</v>
      </c>
      <c r="J189" t="str">
        <f t="shared" si="19"/>
        <v>Normal</v>
      </c>
      <c r="K189">
        <f t="shared" si="20"/>
        <v>2730</v>
      </c>
      <c r="L189">
        <f t="shared" si="21"/>
        <v>26</v>
      </c>
      <c r="M189" s="2">
        <f t="shared" si="22"/>
        <v>9.6153846153846159E-3</v>
      </c>
      <c r="N189">
        <f t="shared" si="23"/>
        <v>26</v>
      </c>
    </row>
    <row r="190" spans="1:14">
      <c r="A190" s="1" cm="1">
        <f t="array" ref="A190">INDEX(tblWeeks[Week_Start],INT((ROW()-2)/20)+1)</f>
        <v>46090</v>
      </c>
      <c r="B190" t="str" cm="1">
        <f t="array" ref="B190">INDEX(tblDemandAssumptions[Customer_ID],MOD(ROW()-2,20)+1)</f>
        <v>C002</v>
      </c>
      <c r="C190" t="str" cm="1">
        <f t="array" ref="C190">INDEX(tblDemandAssumptions[Product_ID],MOD(ROW()-2,20)+1)</f>
        <v>P004</v>
      </c>
      <c r="D190" cm="1">
        <f t="array" ref="D190">INDEX(tblDemandAssumptions[Baseline_Weekly_Qty],MOD(ROW()-2,20)+1)</f>
        <v>2900</v>
      </c>
      <c r="E190">
        <f t="shared" si="16"/>
        <v>1</v>
      </c>
      <c r="F190">
        <v>0.99</v>
      </c>
      <c r="G190">
        <f t="shared" si="17"/>
        <v>2871</v>
      </c>
      <c r="H190">
        <v>1.04</v>
      </c>
      <c r="I190">
        <f t="shared" si="18"/>
        <v>3016</v>
      </c>
      <c r="J190" t="str">
        <f t="shared" si="19"/>
        <v>Normal</v>
      </c>
      <c r="K190">
        <f t="shared" si="20"/>
        <v>2871</v>
      </c>
      <c r="L190">
        <f t="shared" si="21"/>
        <v>-145</v>
      </c>
      <c r="M190" s="2">
        <f t="shared" si="22"/>
        <v>-4.807692307692308E-2</v>
      </c>
      <c r="N190">
        <f t="shared" si="23"/>
        <v>145</v>
      </c>
    </row>
    <row r="191" spans="1:14">
      <c r="A191" s="1" cm="1">
        <f t="array" ref="A191">INDEX(tblWeeks[Week_Start],INT((ROW()-2)/20)+1)</f>
        <v>46090</v>
      </c>
      <c r="B191" t="str" cm="1">
        <f t="array" ref="B191">INDEX(tblDemandAssumptions[Customer_ID],MOD(ROW()-2,20)+1)</f>
        <v>C002</v>
      </c>
      <c r="C191" t="str" cm="1">
        <f t="array" ref="C191">INDEX(tblDemandAssumptions[Product_ID],MOD(ROW()-2,20)+1)</f>
        <v>P005</v>
      </c>
      <c r="D191" cm="1">
        <f t="array" ref="D191">INDEX(tblDemandAssumptions[Baseline_Weekly_Qty],MOD(ROW()-2,20)+1)</f>
        <v>2200</v>
      </c>
      <c r="E191">
        <f t="shared" si="16"/>
        <v>1</v>
      </c>
      <c r="F191">
        <v>1</v>
      </c>
      <c r="G191">
        <f t="shared" si="17"/>
        <v>2200</v>
      </c>
      <c r="H191">
        <v>1.02</v>
      </c>
      <c r="I191">
        <f t="shared" si="18"/>
        <v>2244</v>
      </c>
      <c r="J191" t="str">
        <f t="shared" si="19"/>
        <v>Normal</v>
      </c>
      <c r="K191">
        <f t="shared" si="20"/>
        <v>2200</v>
      </c>
      <c r="L191">
        <f t="shared" si="21"/>
        <v>-44</v>
      </c>
      <c r="M191" s="2">
        <f t="shared" si="22"/>
        <v>-1.9607843137254902E-2</v>
      </c>
      <c r="N191">
        <f t="shared" si="23"/>
        <v>44</v>
      </c>
    </row>
    <row r="192" spans="1:14">
      <c r="A192" s="1" cm="1">
        <f t="array" ref="A192">INDEX(tblWeeks[Week_Start],INT((ROW()-2)/20)+1)</f>
        <v>46090</v>
      </c>
      <c r="B192" t="str" cm="1">
        <f t="array" ref="B192">INDEX(tblDemandAssumptions[Customer_ID],MOD(ROW()-2,20)+1)</f>
        <v>C003</v>
      </c>
      <c r="C192" t="str" cm="1">
        <f t="array" ref="C192">INDEX(tblDemandAssumptions[Product_ID],MOD(ROW()-2,20)+1)</f>
        <v>P001</v>
      </c>
      <c r="D192" cm="1">
        <f t="array" ref="D192">INDEX(tblDemandAssumptions[Baseline_Weekly_Qty],MOD(ROW()-2,20)+1)</f>
        <v>3000</v>
      </c>
      <c r="E192">
        <f t="shared" si="16"/>
        <v>1</v>
      </c>
      <c r="F192">
        <v>0.99</v>
      </c>
      <c r="G192">
        <f t="shared" si="17"/>
        <v>2970</v>
      </c>
      <c r="H192">
        <v>1.04</v>
      </c>
      <c r="I192">
        <f t="shared" si="18"/>
        <v>3120</v>
      </c>
      <c r="J192" t="str">
        <f t="shared" si="19"/>
        <v>Normal</v>
      </c>
      <c r="K192">
        <f t="shared" si="20"/>
        <v>2970</v>
      </c>
      <c r="L192">
        <f t="shared" si="21"/>
        <v>-150</v>
      </c>
      <c r="M192" s="2">
        <f t="shared" si="22"/>
        <v>-4.807692307692308E-2</v>
      </c>
      <c r="N192">
        <f t="shared" si="23"/>
        <v>150</v>
      </c>
    </row>
    <row r="193" spans="1:14">
      <c r="A193" s="1" cm="1">
        <f t="array" ref="A193">INDEX(tblWeeks[Week_Start],INT((ROW()-2)/20)+1)</f>
        <v>46090</v>
      </c>
      <c r="B193" t="str" cm="1">
        <f t="array" ref="B193">INDEX(tblDemandAssumptions[Customer_ID],MOD(ROW()-2,20)+1)</f>
        <v>C003</v>
      </c>
      <c r="C193" t="str" cm="1">
        <f t="array" ref="C193">INDEX(tblDemandAssumptions[Product_ID],MOD(ROW()-2,20)+1)</f>
        <v>P002</v>
      </c>
      <c r="D193" cm="1">
        <f t="array" ref="D193">INDEX(tblDemandAssumptions[Baseline_Weekly_Qty],MOD(ROW()-2,20)+1)</f>
        <v>2700</v>
      </c>
      <c r="E193">
        <f t="shared" si="16"/>
        <v>1</v>
      </c>
      <c r="F193">
        <v>0.98</v>
      </c>
      <c r="G193">
        <f t="shared" si="17"/>
        <v>2646</v>
      </c>
      <c r="H193">
        <v>1.01</v>
      </c>
      <c r="I193">
        <f t="shared" si="18"/>
        <v>2727</v>
      </c>
      <c r="J193" t="str">
        <f t="shared" si="19"/>
        <v>Normal</v>
      </c>
      <c r="K193">
        <f t="shared" si="20"/>
        <v>2646</v>
      </c>
      <c r="L193">
        <f t="shared" si="21"/>
        <v>-81</v>
      </c>
      <c r="M193" s="2">
        <f t="shared" si="22"/>
        <v>-2.9702970297029702E-2</v>
      </c>
      <c r="N193">
        <f t="shared" si="23"/>
        <v>81</v>
      </c>
    </row>
    <row r="194" spans="1:14">
      <c r="A194" s="1" cm="1">
        <f t="array" ref="A194">INDEX(tblWeeks[Week_Start],INT((ROW()-2)/20)+1)</f>
        <v>46090</v>
      </c>
      <c r="B194" t="str" cm="1">
        <f t="array" ref="B194">INDEX(tblDemandAssumptions[Customer_ID],MOD(ROW()-2,20)+1)</f>
        <v>C003</v>
      </c>
      <c r="C194" t="str" cm="1">
        <f t="array" ref="C194">INDEX(tblDemandAssumptions[Product_ID],MOD(ROW()-2,20)+1)</f>
        <v>P003</v>
      </c>
      <c r="D194" cm="1">
        <f t="array" ref="D194">INDEX(tblDemandAssumptions[Baseline_Weekly_Qty],MOD(ROW()-2,20)+1)</f>
        <v>2800</v>
      </c>
      <c r="E194">
        <f t="shared" ref="E194:E257" si="24">IF(MONTH(A194)&lt;=2,0.95,IF(MONTH(A194)&lt;=4,1,IF(MONTH(A194)&lt;=6,1.05,IF(MONTH(A194)&lt;=8,1.1,IF(MONTH(A194)&lt;=10,1,IF(MONTH(A194)=11,1.05,1.2))))))</f>
        <v>1</v>
      </c>
      <c r="F194">
        <v>1.03</v>
      </c>
      <c r="G194">
        <f t="shared" ref="G194:G257" si="25">ROUND(D194*E194*F194,0)</f>
        <v>2884</v>
      </c>
      <c r="H194">
        <v>1.04</v>
      </c>
      <c r="I194">
        <f t="shared" ref="I194:I257" si="26">ROUND(D194*E194*H194,0)</f>
        <v>2912</v>
      </c>
      <c r="J194" t="str">
        <f t="shared" ref="J194:J257" si="27">IF(AND(A194=DATE(2026,3,16),B194="C001",C194="P001"),"Promotion_Demand_Spike",IF(AND(A194=DATE(2026,6,8),B194="C002",C194="P004"),"Under_Forecast",IF(AND(A194=DATE(2026,7,20),B194="C003",C194="P003"),"Over_Forecast","Normal")))</f>
        <v>Normal</v>
      </c>
      <c r="K194">
        <f t="shared" ref="K194:K257" si="28">IF(J194="Promotion_Demand_Spike",ROUND(G194*1.35,0),IF(J194="Under_Forecast",ROUND(I194*1.25,0),IF(J194="Over_Forecast",ROUND(I194*0.72,0),G194)))</f>
        <v>2884</v>
      </c>
      <c r="L194">
        <f t="shared" ref="L194:L257" si="29">K194-I194</f>
        <v>-28</v>
      </c>
      <c r="M194" s="2">
        <f t="shared" ref="M194:M257" si="30">IF(I194=0,0,L194/I194)</f>
        <v>-9.6153846153846159E-3</v>
      </c>
      <c r="N194">
        <f t="shared" ref="N194:N257" si="31">ABS(L194)</f>
        <v>28</v>
      </c>
    </row>
    <row r="195" spans="1:14">
      <c r="A195" s="1" cm="1">
        <f t="array" ref="A195">INDEX(tblWeeks[Week_Start],INT((ROW()-2)/20)+1)</f>
        <v>46090</v>
      </c>
      <c r="B195" t="str" cm="1">
        <f t="array" ref="B195">INDEX(tblDemandAssumptions[Customer_ID],MOD(ROW()-2,20)+1)</f>
        <v>C003</v>
      </c>
      <c r="C195" t="str" cm="1">
        <f t="array" ref="C195">INDEX(tblDemandAssumptions[Product_ID],MOD(ROW()-2,20)+1)</f>
        <v>P004</v>
      </c>
      <c r="D195" cm="1">
        <f t="array" ref="D195">INDEX(tblDemandAssumptions[Baseline_Weekly_Qty],MOD(ROW()-2,20)+1)</f>
        <v>2400</v>
      </c>
      <c r="E195">
        <f t="shared" si="24"/>
        <v>1</v>
      </c>
      <c r="F195">
        <v>0.95</v>
      </c>
      <c r="G195">
        <f t="shared" si="25"/>
        <v>2280</v>
      </c>
      <c r="H195">
        <v>1.03</v>
      </c>
      <c r="I195">
        <f t="shared" si="26"/>
        <v>2472</v>
      </c>
      <c r="J195" t="str">
        <f t="shared" si="27"/>
        <v>Normal</v>
      </c>
      <c r="K195">
        <f t="shared" si="28"/>
        <v>2280</v>
      </c>
      <c r="L195">
        <f t="shared" si="29"/>
        <v>-192</v>
      </c>
      <c r="M195" s="2">
        <f t="shared" si="30"/>
        <v>-7.7669902912621352E-2</v>
      </c>
      <c r="N195">
        <f t="shared" si="31"/>
        <v>192</v>
      </c>
    </row>
    <row r="196" spans="1:14">
      <c r="A196" s="1" cm="1">
        <f t="array" ref="A196">INDEX(tblWeeks[Week_Start],INT((ROW()-2)/20)+1)</f>
        <v>46090</v>
      </c>
      <c r="B196" t="str" cm="1">
        <f t="array" ref="B196">INDEX(tblDemandAssumptions[Customer_ID],MOD(ROW()-2,20)+1)</f>
        <v>C003</v>
      </c>
      <c r="C196" t="str" cm="1">
        <f t="array" ref="C196">INDEX(tblDemandAssumptions[Product_ID],MOD(ROW()-2,20)+1)</f>
        <v>P005</v>
      </c>
      <c r="D196" cm="1">
        <f t="array" ref="D196">INDEX(tblDemandAssumptions[Baseline_Weekly_Qty],MOD(ROW()-2,20)+1)</f>
        <v>1900</v>
      </c>
      <c r="E196">
        <f t="shared" si="24"/>
        <v>1</v>
      </c>
      <c r="F196">
        <v>0.97</v>
      </c>
      <c r="G196">
        <f t="shared" si="25"/>
        <v>1843</v>
      </c>
      <c r="H196">
        <v>0.97</v>
      </c>
      <c r="I196">
        <f t="shared" si="26"/>
        <v>1843</v>
      </c>
      <c r="J196" t="str">
        <f t="shared" si="27"/>
        <v>Normal</v>
      </c>
      <c r="K196">
        <f t="shared" si="28"/>
        <v>1843</v>
      </c>
      <c r="L196">
        <f t="shared" si="29"/>
        <v>0</v>
      </c>
      <c r="M196" s="2">
        <f t="shared" si="30"/>
        <v>0</v>
      </c>
      <c r="N196">
        <f t="shared" si="31"/>
        <v>0</v>
      </c>
    </row>
    <row r="197" spans="1:14">
      <c r="A197" s="1" cm="1">
        <f t="array" ref="A197">INDEX(tblWeeks[Week_Start],INT((ROW()-2)/20)+1)</f>
        <v>46090</v>
      </c>
      <c r="B197" t="str" cm="1">
        <f t="array" ref="B197">INDEX(tblDemandAssumptions[Customer_ID],MOD(ROW()-2,20)+1)</f>
        <v>C004</v>
      </c>
      <c r="C197" t="str" cm="1">
        <f t="array" ref="C197">INDEX(tblDemandAssumptions[Product_ID],MOD(ROW()-2,20)+1)</f>
        <v>P001</v>
      </c>
      <c r="D197" cm="1">
        <f t="array" ref="D197">INDEX(tblDemandAssumptions[Baseline_Weekly_Qty],MOD(ROW()-2,20)+1)</f>
        <v>2700</v>
      </c>
      <c r="E197">
        <f t="shared" si="24"/>
        <v>1</v>
      </c>
      <c r="F197">
        <v>0.98</v>
      </c>
      <c r="G197">
        <f t="shared" si="25"/>
        <v>2646</v>
      </c>
      <c r="H197">
        <v>0.97</v>
      </c>
      <c r="I197">
        <f t="shared" si="26"/>
        <v>2619</v>
      </c>
      <c r="J197" t="str">
        <f t="shared" si="27"/>
        <v>Normal</v>
      </c>
      <c r="K197">
        <f t="shared" si="28"/>
        <v>2646</v>
      </c>
      <c r="L197">
        <f t="shared" si="29"/>
        <v>27</v>
      </c>
      <c r="M197" s="2">
        <f t="shared" si="30"/>
        <v>1.0309278350515464E-2</v>
      </c>
      <c r="N197">
        <f t="shared" si="31"/>
        <v>27</v>
      </c>
    </row>
    <row r="198" spans="1:14">
      <c r="A198" s="1" cm="1">
        <f t="array" ref="A198">INDEX(tblWeeks[Week_Start],INT((ROW()-2)/20)+1)</f>
        <v>46090</v>
      </c>
      <c r="B198" t="str" cm="1">
        <f t="array" ref="B198">INDEX(tblDemandAssumptions[Customer_ID],MOD(ROW()-2,20)+1)</f>
        <v>C004</v>
      </c>
      <c r="C198" t="str" cm="1">
        <f t="array" ref="C198">INDEX(tblDemandAssumptions[Product_ID],MOD(ROW()-2,20)+1)</f>
        <v>P002</v>
      </c>
      <c r="D198" cm="1">
        <f t="array" ref="D198">INDEX(tblDemandAssumptions[Baseline_Weekly_Qty],MOD(ROW()-2,20)+1)</f>
        <v>2400</v>
      </c>
      <c r="E198">
        <f t="shared" si="24"/>
        <v>1</v>
      </c>
      <c r="F198">
        <v>0.97</v>
      </c>
      <c r="G198">
        <f t="shared" si="25"/>
        <v>2328</v>
      </c>
      <c r="H198">
        <v>1.03</v>
      </c>
      <c r="I198">
        <f t="shared" si="26"/>
        <v>2472</v>
      </c>
      <c r="J198" t="str">
        <f t="shared" si="27"/>
        <v>Normal</v>
      </c>
      <c r="K198">
        <f t="shared" si="28"/>
        <v>2328</v>
      </c>
      <c r="L198">
        <f t="shared" si="29"/>
        <v>-144</v>
      </c>
      <c r="M198" s="2">
        <f t="shared" si="30"/>
        <v>-5.8252427184466021E-2</v>
      </c>
      <c r="N198">
        <f t="shared" si="31"/>
        <v>144</v>
      </c>
    </row>
    <row r="199" spans="1:14">
      <c r="A199" s="1" cm="1">
        <f t="array" ref="A199">INDEX(tblWeeks[Week_Start],INT((ROW()-2)/20)+1)</f>
        <v>46090</v>
      </c>
      <c r="B199" t="str" cm="1">
        <f t="array" ref="B199">INDEX(tblDemandAssumptions[Customer_ID],MOD(ROW()-2,20)+1)</f>
        <v>C004</v>
      </c>
      <c r="C199" t="str" cm="1">
        <f t="array" ref="C199">INDEX(tblDemandAssumptions[Product_ID],MOD(ROW()-2,20)+1)</f>
        <v>P003</v>
      </c>
      <c r="D199" cm="1">
        <f t="array" ref="D199">INDEX(tblDemandAssumptions[Baseline_Weekly_Qty],MOD(ROW()-2,20)+1)</f>
        <v>2100</v>
      </c>
      <c r="E199">
        <f t="shared" si="24"/>
        <v>1</v>
      </c>
      <c r="F199">
        <v>1.03</v>
      </c>
      <c r="G199">
        <f t="shared" si="25"/>
        <v>2163</v>
      </c>
      <c r="H199">
        <v>1</v>
      </c>
      <c r="I199">
        <f t="shared" si="26"/>
        <v>2100</v>
      </c>
      <c r="J199" t="str">
        <f t="shared" si="27"/>
        <v>Normal</v>
      </c>
      <c r="K199">
        <f t="shared" si="28"/>
        <v>2163</v>
      </c>
      <c r="L199">
        <f t="shared" si="29"/>
        <v>63</v>
      </c>
      <c r="M199" s="2">
        <f t="shared" si="30"/>
        <v>0.03</v>
      </c>
      <c r="N199">
        <f t="shared" si="31"/>
        <v>63</v>
      </c>
    </row>
    <row r="200" spans="1:14">
      <c r="A200" s="1" cm="1">
        <f t="array" ref="A200">INDEX(tblWeeks[Week_Start],INT((ROW()-2)/20)+1)</f>
        <v>46090</v>
      </c>
      <c r="B200" t="str" cm="1">
        <f t="array" ref="B200">INDEX(tblDemandAssumptions[Customer_ID],MOD(ROW()-2,20)+1)</f>
        <v>C004</v>
      </c>
      <c r="C200" t="str" cm="1">
        <f t="array" ref="C200">INDEX(tblDemandAssumptions[Product_ID],MOD(ROW()-2,20)+1)</f>
        <v>P004</v>
      </c>
      <c r="D200" cm="1">
        <f t="array" ref="D200">INDEX(tblDemandAssumptions[Baseline_Weekly_Qty],MOD(ROW()-2,20)+1)</f>
        <v>2600</v>
      </c>
      <c r="E200">
        <f t="shared" si="24"/>
        <v>1</v>
      </c>
      <c r="F200">
        <v>0.97</v>
      </c>
      <c r="G200">
        <f t="shared" si="25"/>
        <v>2522</v>
      </c>
      <c r="H200">
        <v>1.03</v>
      </c>
      <c r="I200">
        <f t="shared" si="26"/>
        <v>2678</v>
      </c>
      <c r="J200" t="str">
        <f t="shared" si="27"/>
        <v>Normal</v>
      </c>
      <c r="K200">
        <f t="shared" si="28"/>
        <v>2522</v>
      </c>
      <c r="L200">
        <f t="shared" si="29"/>
        <v>-156</v>
      </c>
      <c r="M200" s="2">
        <f t="shared" si="30"/>
        <v>-5.8252427184466021E-2</v>
      </c>
      <c r="N200">
        <f t="shared" si="31"/>
        <v>156</v>
      </c>
    </row>
    <row r="201" spans="1:14">
      <c r="A201" s="1" cm="1">
        <f t="array" ref="A201">INDEX(tblWeeks[Week_Start],INT((ROW()-2)/20)+1)</f>
        <v>46090</v>
      </c>
      <c r="B201" t="str" cm="1">
        <f t="array" ref="B201">INDEX(tblDemandAssumptions[Customer_ID],MOD(ROW()-2,20)+1)</f>
        <v>C004</v>
      </c>
      <c r="C201" t="str" cm="1">
        <f t="array" ref="C201">INDEX(tblDemandAssumptions[Product_ID],MOD(ROW()-2,20)+1)</f>
        <v>P005</v>
      </c>
      <c r="D201" cm="1">
        <f t="array" ref="D201">INDEX(tblDemandAssumptions[Baseline_Weekly_Qty],MOD(ROW()-2,20)+1)</f>
        <v>1800</v>
      </c>
      <c r="E201">
        <f t="shared" si="24"/>
        <v>1</v>
      </c>
      <c r="F201">
        <v>1.03</v>
      </c>
      <c r="G201">
        <f t="shared" si="25"/>
        <v>1854</v>
      </c>
      <c r="H201">
        <v>1.04</v>
      </c>
      <c r="I201">
        <f t="shared" si="26"/>
        <v>1872</v>
      </c>
      <c r="J201" t="str">
        <f t="shared" si="27"/>
        <v>Normal</v>
      </c>
      <c r="K201">
        <f t="shared" si="28"/>
        <v>1854</v>
      </c>
      <c r="L201">
        <f t="shared" si="29"/>
        <v>-18</v>
      </c>
      <c r="M201" s="2">
        <f t="shared" si="30"/>
        <v>-9.6153846153846159E-3</v>
      </c>
      <c r="N201">
        <f t="shared" si="31"/>
        <v>18</v>
      </c>
    </row>
    <row r="202" spans="1:14">
      <c r="A202" s="1" cm="1">
        <f t="array" ref="A202">INDEX(tblWeeks[Week_Start],INT((ROW()-2)/20)+1)</f>
        <v>46097</v>
      </c>
      <c r="B202" t="str" cm="1">
        <f t="array" ref="B202">INDEX(tblDemandAssumptions[Customer_ID],MOD(ROW()-2,20)+1)</f>
        <v>C001</v>
      </c>
      <c r="C202" t="str" cm="1">
        <f t="array" ref="C202">INDEX(tblDemandAssumptions[Product_ID],MOD(ROW()-2,20)+1)</f>
        <v>P001</v>
      </c>
      <c r="D202" cm="1">
        <f t="array" ref="D202">INDEX(tblDemandAssumptions[Baseline_Weekly_Qty],MOD(ROW()-2,20)+1)</f>
        <v>5200</v>
      </c>
      <c r="E202">
        <f t="shared" si="24"/>
        <v>1</v>
      </c>
      <c r="F202">
        <v>0.98</v>
      </c>
      <c r="G202">
        <f t="shared" si="25"/>
        <v>5096</v>
      </c>
      <c r="H202">
        <v>1.04</v>
      </c>
      <c r="I202">
        <f t="shared" si="26"/>
        <v>5408</v>
      </c>
      <c r="J202" t="str">
        <f t="shared" si="27"/>
        <v>Promotion_Demand_Spike</v>
      </c>
      <c r="K202">
        <f t="shared" si="28"/>
        <v>6880</v>
      </c>
      <c r="L202">
        <f t="shared" si="29"/>
        <v>1472</v>
      </c>
      <c r="M202" s="2">
        <f t="shared" si="30"/>
        <v>0.27218934911242604</v>
      </c>
      <c r="N202">
        <f t="shared" si="31"/>
        <v>1472</v>
      </c>
    </row>
    <row r="203" spans="1:14">
      <c r="A203" s="1" cm="1">
        <f t="array" ref="A203">INDEX(tblWeeks[Week_Start],INT((ROW()-2)/20)+1)</f>
        <v>46097</v>
      </c>
      <c r="B203" t="str" cm="1">
        <f t="array" ref="B203">INDEX(tblDemandAssumptions[Customer_ID],MOD(ROW()-2,20)+1)</f>
        <v>C001</v>
      </c>
      <c r="C203" t="str" cm="1">
        <f t="array" ref="C203">INDEX(tblDemandAssumptions[Product_ID],MOD(ROW()-2,20)+1)</f>
        <v>P002</v>
      </c>
      <c r="D203" cm="1">
        <f t="array" ref="D203">INDEX(tblDemandAssumptions[Baseline_Weekly_Qty],MOD(ROW()-2,20)+1)</f>
        <v>4100</v>
      </c>
      <c r="E203">
        <f t="shared" si="24"/>
        <v>1</v>
      </c>
      <c r="F203">
        <v>1.01</v>
      </c>
      <c r="G203">
        <f t="shared" si="25"/>
        <v>4141</v>
      </c>
      <c r="H203">
        <v>1.01</v>
      </c>
      <c r="I203">
        <f t="shared" si="26"/>
        <v>4141</v>
      </c>
      <c r="J203" t="str">
        <f t="shared" si="27"/>
        <v>Normal</v>
      </c>
      <c r="K203">
        <f t="shared" si="28"/>
        <v>4141</v>
      </c>
      <c r="L203">
        <f t="shared" si="29"/>
        <v>0</v>
      </c>
      <c r="M203" s="2">
        <f t="shared" si="30"/>
        <v>0</v>
      </c>
      <c r="N203">
        <f t="shared" si="31"/>
        <v>0</v>
      </c>
    </row>
    <row r="204" spans="1:14">
      <c r="A204" s="1" cm="1">
        <f t="array" ref="A204">INDEX(tblWeeks[Week_Start],INT((ROW()-2)/20)+1)</f>
        <v>46097</v>
      </c>
      <c r="B204" t="str" cm="1">
        <f t="array" ref="B204">INDEX(tblDemandAssumptions[Customer_ID],MOD(ROW()-2,20)+1)</f>
        <v>C001</v>
      </c>
      <c r="C204" t="str" cm="1">
        <f t="array" ref="C204">INDEX(tblDemandAssumptions[Product_ID],MOD(ROW()-2,20)+1)</f>
        <v>P003</v>
      </c>
      <c r="D204" cm="1">
        <f t="array" ref="D204">INDEX(tblDemandAssumptions[Baseline_Weekly_Qty],MOD(ROW()-2,20)+1)</f>
        <v>3300</v>
      </c>
      <c r="E204">
        <f t="shared" si="24"/>
        <v>1</v>
      </c>
      <c r="F204">
        <v>1.03</v>
      </c>
      <c r="G204">
        <f t="shared" si="25"/>
        <v>3399</v>
      </c>
      <c r="H204">
        <v>1.01</v>
      </c>
      <c r="I204">
        <f t="shared" si="26"/>
        <v>3333</v>
      </c>
      <c r="J204" t="str">
        <f t="shared" si="27"/>
        <v>Normal</v>
      </c>
      <c r="K204">
        <f t="shared" si="28"/>
        <v>3399</v>
      </c>
      <c r="L204">
        <f t="shared" si="29"/>
        <v>66</v>
      </c>
      <c r="M204" s="2">
        <f t="shared" si="30"/>
        <v>1.9801980198019802E-2</v>
      </c>
      <c r="N204">
        <f t="shared" si="31"/>
        <v>66</v>
      </c>
    </row>
    <row r="205" spans="1:14">
      <c r="A205" s="1" cm="1">
        <f t="array" ref="A205">INDEX(tblWeeks[Week_Start],INT((ROW()-2)/20)+1)</f>
        <v>46097</v>
      </c>
      <c r="B205" t="str" cm="1">
        <f t="array" ref="B205">INDEX(tblDemandAssumptions[Customer_ID],MOD(ROW()-2,20)+1)</f>
        <v>C001</v>
      </c>
      <c r="C205" t="str" cm="1">
        <f t="array" ref="C205">INDEX(tblDemandAssumptions[Product_ID],MOD(ROW()-2,20)+1)</f>
        <v>P004</v>
      </c>
      <c r="D205" cm="1">
        <f t="array" ref="D205">INDEX(tblDemandAssumptions[Baseline_Weekly_Qty],MOD(ROW()-2,20)+1)</f>
        <v>3600</v>
      </c>
      <c r="E205">
        <f t="shared" si="24"/>
        <v>1</v>
      </c>
      <c r="F205">
        <v>0.98</v>
      </c>
      <c r="G205">
        <f t="shared" si="25"/>
        <v>3528</v>
      </c>
      <c r="H205">
        <v>1.04</v>
      </c>
      <c r="I205">
        <f t="shared" si="26"/>
        <v>3744</v>
      </c>
      <c r="J205" t="str">
        <f t="shared" si="27"/>
        <v>Normal</v>
      </c>
      <c r="K205">
        <f t="shared" si="28"/>
        <v>3528</v>
      </c>
      <c r="L205">
        <f t="shared" si="29"/>
        <v>-216</v>
      </c>
      <c r="M205" s="2">
        <f t="shared" si="30"/>
        <v>-5.7692307692307696E-2</v>
      </c>
      <c r="N205">
        <f t="shared" si="31"/>
        <v>216</v>
      </c>
    </row>
    <row r="206" spans="1:14">
      <c r="A206" s="1" cm="1">
        <f t="array" ref="A206">INDEX(tblWeeks[Week_Start],INT((ROW()-2)/20)+1)</f>
        <v>46097</v>
      </c>
      <c r="B206" t="str" cm="1">
        <f t="array" ref="B206">INDEX(tblDemandAssumptions[Customer_ID],MOD(ROW()-2,20)+1)</f>
        <v>C001</v>
      </c>
      <c r="C206" t="str" cm="1">
        <f t="array" ref="C206">INDEX(tblDemandAssumptions[Product_ID],MOD(ROW()-2,20)+1)</f>
        <v>P005</v>
      </c>
      <c r="D206" cm="1">
        <f t="array" ref="D206">INDEX(tblDemandAssumptions[Baseline_Weekly_Qty],MOD(ROW()-2,20)+1)</f>
        <v>2800</v>
      </c>
      <c r="E206">
        <f t="shared" si="24"/>
        <v>1</v>
      </c>
      <c r="F206">
        <v>1.03</v>
      </c>
      <c r="G206">
        <f t="shared" si="25"/>
        <v>2884</v>
      </c>
      <c r="H206">
        <v>1.03</v>
      </c>
      <c r="I206">
        <f t="shared" si="26"/>
        <v>2884</v>
      </c>
      <c r="J206" t="str">
        <f t="shared" si="27"/>
        <v>Normal</v>
      </c>
      <c r="K206">
        <f t="shared" si="28"/>
        <v>2884</v>
      </c>
      <c r="L206">
        <f t="shared" si="29"/>
        <v>0</v>
      </c>
      <c r="M206" s="2">
        <f t="shared" si="30"/>
        <v>0</v>
      </c>
      <c r="N206">
        <f t="shared" si="31"/>
        <v>0</v>
      </c>
    </row>
    <row r="207" spans="1:14">
      <c r="A207" s="1" cm="1">
        <f t="array" ref="A207">INDEX(tblWeeks[Week_Start],INT((ROW()-2)/20)+1)</f>
        <v>46097</v>
      </c>
      <c r="B207" t="str" cm="1">
        <f t="array" ref="B207">INDEX(tblDemandAssumptions[Customer_ID],MOD(ROW()-2,20)+1)</f>
        <v>C002</v>
      </c>
      <c r="C207" t="str" cm="1">
        <f t="array" ref="C207">INDEX(tblDemandAssumptions[Product_ID],MOD(ROW()-2,20)+1)</f>
        <v>P001</v>
      </c>
      <c r="D207" cm="1">
        <f t="array" ref="D207">INDEX(tblDemandAssumptions[Baseline_Weekly_Qty],MOD(ROW()-2,20)+1)</f>
        <v>3400</v>
      </c>
      <c r="E207">
        <f t="shared" si="24"/>
        <v>1</v>
      </c>
      <c r="F207">
        <v>1</v>
      </c>
      <c r="G207">
        <f t="shared" si="25"/>
        <v>3400</v>
      </c>
      <c r="H207">
        <v>0.97</v>
      </c>
      <c r="I207">
        <f t="shared" si="26"/>
        <v>3298</v>
      </c>
      <c r="J207" t="str">
        <f t="shared" si="27"/>
        <v>Normal</v>
      </c>
      <c r="K207">
        <f t="shared" si="28"/>
        <v>3400</v>
      </c>
      <c r="L207">
        <f t="shared" si="29"/>
        <v>102</v>
      </c>
      <c r="M207" s="2">
        <f t="shared" si="30"/>
        <v>3.0927835051546393E-2</v>
      </c>
      <c r="N207">
        <f t="shared" si="31"/>
        <v>102</v>
      </c>
    </row>
    <row r="208" spans="1:14">
      <c r="A208" s="1" cm="1">
        <f t="array" ref="A208">INDEX(tblWeeks[Week_Start],INT((ROW()-2)/20)+1)</f>
        <v>46097</v>
      </c>
      <c r="B208" t="str" cm="1">
        <f t="array" ref="B208">INDEX(tblDemandAssumptions[Customer_ID],MOD(ROW()-2,20)+1)</f>
        <v>C002</v>
      </c>
      <c r="C208" t="str" cm="1">
        <f t="array" ref="C208">INDEX(tblDemandAssumptions[Product_ID],MOD(ROW()-2,20)+1)</f>
        <v>P002</v>
      </c>
      <c r="D208" cm="1">
        <f t="array" ref="D208">INDEX(tblDemandAssumptions[Baseline_Weekly_Qty],MOD(ROW()-2,20)+1)</f>
        <v>3200</v>
      </c>
      <c r="E208">
        <f t="shared" si="24"/>
        <v>1</v>
      </c>
      <c r="F208">
        <v>0.99</v>
      </c>
      <c r="G208">
        <f t="shared" si="25"/>
        <v>3168</v>
      </c>
      <c r="H208">
        <v>0.99</v>
      </c>
      <c r="I208">
        <f t="shared" si="26"/>
        <v>3168</v>
      </c>
      <c r="J208" t="str">
        <f t="shared" si="27"/>
        <v>Normal</v>
      </c>
      <c r="K208">
        <f t="shared" si="28"/>
        <v>3168</v>
      </c>
      <c r="L208">
        <f t="shared" si="29"/>
        <v>0</v>
      </c>
      <c r="M208" s="2">
        <f t="shared" si="30"/>
        <v>0</v>
      </c>
      <c r="N208">
        <f t="shared" si="31"/>
        <v>0</v>
      </c>
    </row>
    <row r="209" spans="1:14">
      <c r="A209" s="1" cm="1">
        <f t="array" ref="A209">INDEX(tblWeeks[Week_Start],INT((ROW()-2)/20)+1)</f>
        <v>46097</v>
      </c>
      <c r="B209" t="str" cm="1">
        <f t="array" ref="B209">INDEX(tblDemandAssumptions[Customer_ID],MOD(ROW()-2,20)+1)</f>
        <v>C002</v>
      </c>
      <c r="C209" t="str" cm="1">
        <f t="array" ref="C209">INDEX(tblDemandAssumptions[Product_ID],MOD(ROW()-2,20)+1)</f>
        <v>P003</v>
      </c>
      <c r="D209" cm="1">
        <f t="array" ref="D209">INDEX(tblDemandAssumptions[Baseline_Weekly_Qty],MOD(ROW()-2,20)+1)</f>
        <v>2600</v>
      </c>
      <c r="E209">
        <f t="shared" si="24"/>
        <v>1</v>
      </c>
      <c r="F209">
        <v>1.01</v>
      </c>
      <c r="G209">
        <f t="shared" si="25"/>
        <v>2626</v>
      </c>
      <c r="H209">
        <v>0.96</v>
      </c>
      <c r="I209">
        <f t="shared" si="26"/>
        <v>2496</v>
      </c>
      <c r="J209" t="str">
        <f t="shared" si="27"/>
        <v>Normal</v>
      </c>
      <c r="K209">
        <f t="shared" si="28"/>
        <v>2626</v>
      </c>
      <c r="L209">
        <f t="shared" si="29"/>
        <v>130</v>
      </c>
      <c r="M209" s="2">
        <f t="shared" si="30"/>
        <v>5.2083333333333336E-2</v>
      </c>
      <c r="N209">
        <f t="shared" si="31"/>
        <v>130</v>
      </c>
    </row>
    <row r="210" spans="1:14">
      <c r="A210" s="1" cm="1">
        <f t="array" ref="A210">INDEX(tblWeeks[Week_Start],INT((ROW()-2)/20)+1)</f>
        <v>46097</v>
      </c>
      <c r="B210" t="str" cm="1">
        <f t="array" ref="B210">INDEX(tblDemandAssumptions[Customer_ID],MOD(ROW()-2,20)+1)</f>
        <v>C002</v>
      </c>
      <c r="C210" t="str" cm="1">
        <f t="array" ref="C210">INDEX(tblDemandAssumptions[Product_ID],MOD(ROW()-2,20)+1)</f>
        <v>P004</v>
      </c>
      <c r="D210" cm="1">
        <f t="array" ref="D210">INDEX(tblDemandAssumptions[Baseline_Weekly_Qty],MOD(ROW()-2,20)+1)</f>
        <v>2900</v>
      </c>
      <c r="E210">
        <f t="shared" si="24"/>
        <v>1</v>
      </c>
      <c r="F210">
        <v>1.01</v>
      </c>
      <c r="G210">
        <f t="shared" si="25"/>
        <v>2929</v>
      </c>
      <c r="H210">
        <v>0.97</v>
      </c>
      <c r="I210">
        <f t="shared" si="26"/>
        <v>2813</v>
      </c>
      <c r="J210" t="str">
        <f t="shared" si="27"/>
        <v>Normal</v>
      </c>
      <c r="K210">
        <f t="shared" si="28"/>
        <v>2929</v>
      </c>
      <c r="L210">
        <f t="shared" si="29"/>
        <v>116</v>
      </c>
      <c r="M210" s="2">
        <f t="shared" si="30"/>
        <v>4.1237113402061855E-2</v>
      </c>
      <c r="N210">
        <f t="shared" si="31"/>
        <v>116</v>
      </c>
    </row>
    <row r="211" spans="1:14">
      <c r="A211" s="1" cm="1">
        <f t="array" ref="A211">INDEX(tblWeeks[Week_Start],INT((ROW()-2)/20)+1)</f>
        <v>46097</v>
      </c>
      <c r="B211" t="str" cm="1">
        <f t="array" ref="B211">INDEX(tblDemandAssumptions[Customer_ID],MOD(ROW()-2,20)+1)</f>
        <v>C002</v>
      </c>
      <c r="C211" t="str" cm="1">
        <f t="array" ref="C211">INDEX(tblDemandAssumptions[Product_ID],MOD(ROW()-2,20)+1)</f>
        <v>P005</v>
      </c>
      <c r="D211" cm="1">
        <f t="array" ref="D211">INDEX(tblDemandAssumptions[Baseline_Weekly_Qty],MOD(ROW()-2,20)+1)</f>
        <v>2200</v>
      </c>
      <c r="E211">
        <f t="shared" si="24"/>
        <v>1</v>
      </c>
      <c r="F211">
        <v>1.04</v>
      </c>
      <c r="G211">
        <f t="shared" si="25"/>
        <v>2288</v>
      </c>
      <c r="H211">
        <v>1.01</v>
      </c>
      <c r="I211">
        <f t="shared" si="26"/>
        <v>2222</v>
      </c>
      <c r="J211" t="str">
        <f t="shared" si="27"/>
        <v>Normal</v>
      </c>
      <c r="K211">
        <f t="shared" si="28"/>
        <v>2288</v>
      </c>
      <c r="L211">
        <f t="shared" si="29"/>
        <v>66</v>
      </c>
      <c r="M211" s="2">
        <f t="shared" si="30"/>
        <v>2.9702970297029702E-2</v>
      </c>
      <c r="N211">
        <f t="shared" si="31"/>
        <v>66</v>
      </c>
    </row>
    <row r="212" spans="1:14">
      <c r="A212" s="1" cm="1">
        <f t="array" ref="A212">INDEX(tblWeeks[Week_Start],INT((ROW()-2)/20)+1)</f>
        <v>46097</v>
      </c>
      <c r="B212" t="str" cm="1">
        <f t="array" ref="B212">INDEX(tblDemandAssumptions[Customer_ID],MOD(ROW()-2,20)+1)</f>
        <v>C003</v>
      </c>
      <c r="C212" t="str" cm="1">
        <f t="array" ref="C212">INDEX(tblDemandAssumptions[Product_ID],MOD(ROW()-2,20)+1)</f>
        <v>P001</v>
      </c>
      <c r="D212" cm="1">
        <f t="array" ref="D212">INDEX(tblDemandAssumptions[Baseline_Weekly_Qty],MOD(ROW()-2,20)+1)</f>
        <v>3000</v>
      </c>
      <c r="E212">
        <f t="shared" si="24"/>
        <v>1</v>
      </c>
      <c r="F212">
        <v>1.05</v>
      </c>
      <c r="G212">
        <f t="shared" si="25"/>
        <v>3150</v>
      </c>
      <c r="H212">
        <v>0.99</v>
      </c>
      <c r="I212">
        <f t="shared" si="26"/>
        <v>2970</v>
      </c>
      <c r="J212" t="str">
        <f t="shared" si="27"/>
        <v>Normal</v>
      </c>
      <c r="K212">
        <f t="shared" si="28"/>
        <v>3150</v>
      </c>
      <c r="L212">
        <f t="shared" si="29"/>
        <v>180</v>
      </c>
      <c r="M212" s="2">
        <f t="shared" si="30"/>
        <v>6.0606060606060608E-2</v>
      </c>
      <c r="N212">
        <f t="shared" si="31"/>
        <v>180</v>
      </c>
    </row>
    <row r="213" spans="1:14">
      <c r="A213" s="1" cm="1">
        <f t="array" ref="A213">INDEX(tblWeeks[Week_Start],INT((ROW()-2)/20)+1)</f>
        <v>46097</v>
      </c>
      <c r="B213" t="str" cm="1">
        <f t="array" ref="B213">INDEX(tblDemandAssumptions[Customer_ID],MOD(ROW()-2,20)+1)</f>
        <v>C003</v>
      </c>
      <c r="C213" t="str" cm="1">
        <f t="array" ref="C213">INDEX(tblDemandAssumptions[Product_ID],MOD(ROW()-2,20)+1)</f>
        <v>P002</v>
      </c>
      <c r="D213" cm="1">
        <f t="array" ref="D213">INDEX(tblDemandAssumptions[Baseline_Weekly_Qty],MOD(ROW()-2,20)+1)</f>
        <v>2700</v>
      </c>
      <c r="E213">
        <f t="shared" si="24"/>
        <v>1</v>
      </c>
      <c r="F213">
        <v>1.04</v>
      </c>
      <c r="G213">
        <f t="shared" si="25"/>
        <v>2808</v>
      </c>
      <c r="H213">
        <v>1</v>
      </c>
      <c r="I213">
        <f t="shared" si="26"/>
        <v>2700</v>
      </c>
      <c r="J213" t="str">
        <f t="shared" si="27"/>
        <v>Normal</v>
      </c>
      <c r="K213">
        <f t="shared" si="28"/>
        <v>2808</v>
      </c>
      <c r="L213">
        <f t="shared" si="29"/>
        <v>108</v>
      </c>
      <c r="M213" s="2">
        <f t="shared" si="30"/>
        <v>0.04</v>
      </c>
      <c r="N213">
        <f t="shared" si="31"/>
        <v>108</v>
      </c>
    </row>
    <row r="214" spans="1:14">
      <c r="A214" s="1" cm="1">
        <f t="array" ref="A214">INDEX(tblWeeks[Week_Start],INT((ROW()-2)/20)+1)</f>
        <v>46097</v>
      </c>
      <c r="B214" t="str" cm="1">
        <f t="array" ref="B214">INDEX(tblDemandAssumptions[Customer_ID],MOD(ROW()-2,20)+1)</f>
        <v>C003</v>
      </c>
      <c r="C214" t="str" cm="1">
        <f t="array" ref="C214">INDEX(tblDemandAssumptions[Product_ID],MOD(ROW()-2,20)+1)</f>
        <v>P003</v>
      </c>
      <c r="D214" cm="1">
        <f t="array" ref="D214">INDEX(tblDemandAssumptions[Baseline_Weekly_Qty],MOD(ROW()-2,20)+1)</f>
        <v>2800</v>
      </c>
      <c r="E214">
        <f t="shared" si="24"/>
        <v>1</v>
      </c>
      <c r="F214">
        <v>1.04</v>
      </c>
      <c r="G214">
        <f t="shared" si="25"/>
        <v>2912</v>
      </c>
      <c r="H214">
        <v>1.01</v>
      </c>
      <c r="I214">
        <f t="shared" si="26"/>
        <v>2828</v>
      </c>
      <c r="J214" t="str">
        <f t="shared" si="27"/>
        <v>Normal</v>
      </c>
      <c r="K214">
        <f t="shared" si="28"/>
        <v>2912</v>
      </c>
      <c r="L214">
        <f t="shared" si="29"/>
        <v>84</v>
      </c>
      <c r="M214" s="2">
        <f t="shared" si="30"/>
        <v>2.9702970297029702E-2</v>
      </c>
      <c r="N214">
        <f t="shared" si="31"/>
        <v>84</v>
      </c>
    </row>
    <row r="215" spans="1:14">
      <c r="A215" s="1" cm="1">
        <f t="array" ref="A215">INDEX(tblWeeks[Week_Start],INT((ROW()-2)/20)+1)</f>
        <v>46097</v>
      </c>
      <c r="B215" t="str" cm="1">
        <f t="array" ref="B215">INDEX(tblDemandAssumptions[Customer_ID],MOD(ROW()-2,20)+1)</f>
        <v>C003</v>
      </c>
      <c r="C215" t="str" cm="1">
        <f t="array" ref="C215">INDEX(tblDemandAssumptions[Product_ID],MOD(ROW()-2,20)+1)</f>
        <v>P004</v>
      </c>
      <c r="D215" cm="1">
        <f t="array" ref="D215">INDEX(tblDemandAssumptions[Baseline_Weekly_Qty],MOD(ROW()-2,20)+1)</f>
        <v>2400</v>
      </c>
      <c r="E215">
        <f t="shared" si="24"/>
        <v>1</v>
      </c>
      <c r="F215">
        <v>1.03</v>
      </c>
      <c r="G215">
        <f t="shared" si="25"/>
        <v>2472</v>
      </c>
      <c r="H215">
        <v>1.01</v>
      </c>
      <c r="I215">
        <f t="shared" si="26"/>
        <v>2424</v>
      </c>
      <c r="J215" t="str">
        <f t="shared" si="27"/>
        <v>Normal</v>
      </c>
      <c r="K215">
        <f t="shared" si="28"/>
        <v>2472</v>
      </c>
      <c r="L215">
        <f t="shared" si="29"/>
        <v>48</v>
      </c>
      <c r="M215" s="2">
        <f t="shared" si="30"/>
        <v>1.9801980198019802E-2</v>
      </c>
      <c r="N215">
        <f t="shared" si="31"/>
        <v>48</v>
      </c>
    </row>
    <row r="216" spans="1:14">
      <c r="A216" s="1" cm="1">
        <f t="array" ref="A216">INDEX(tblWeeks[Week_Start],INT((ROW()-2)/20)+1)</f>
        <v>46097</v>
      </c>
      <c r="B216" t="str" cm="1">
        <f t="array" ref="B216">INDEX(tblDemandAssumptions[Customer_ID],MOD(ROW()-2,20)+1)</f>
        <v>C003</v>
      </c>
      <c r="C216" t="str" cm="1">
        <f t="array" ref="C216">INDEX(tblDemandAssumptions[Product_ID],MOD(ROW()-2,20)+1)</f>
        <v>P005</v>
      </c>
      <c r="D216" cm="1">
        <f t="array" ref="D216">INDEX(tblDemandAssumptions[Baseline_Weekly_Qty],MOD(ROW()-2,20)+1)</f>
        <v>1900</v>
      </c>
      <c r="E216">
        <f t="shared" si="24"/>
        <v>1</v>
      </c>
      <c r="F216">
        <v>0.96</v>
      </c>
      <c r="G216">
        <f t="shared" si="25"/>
        <v>1824</v>
      </c>
      <c r="H216">
        <v>1.02</v>
      </c>
      <c r="I216">
        <f t="shared" si="26"/>
        <v>1938</v>
      </c>
      <c r="J216" t="str">
        <f t="shared" si="27"/>
        <v>Normal</v>
      </c>
      <c r="K216">
        <f t="shared" si="28"/>
        <v>1824</v>
      </c>
      <c r="L216">
        <f t="shared" si="29"/>
        <v>-114</v>
      </c>
      <c r="M216" s="2">
        <f t="shared" si="30"/>
        <v>-5.8823529411764705E-2</v>
      </c>
      <c r="N216">
        <f t="shared" si="31"/>
        <v>114</v>
      </c>
    </row>
    <row r="217" spans="1:14">
      <c r="A217" s="1" cm="1">
        <f t="array" ref="A217">INDEX(tblWeeks[Week_Start],INT((ROW()-2)/20)+1)</f>
        <v>46097</v>
      </c>
      <c r="B217" t="str" cm="1">
        <f t="array" ref="B217">INDEX(tblDemandAssumptions[Customer_ID],MOD(ROW()-2,20)+1)</f>
        <v>C004</v>
      </c>
      <c r="C217" t="str" cm="1">
        <f t="array" ref="C217">INDEX(tblDemandAssumptions[Product_ID],MOD(ROW()-2,20)+1)</f>
        <v>P001</v>
      </c>
      <c r="D217" cm="1">
        <f t="array" ref="D217">INDEX(tblDemandAssumptions[Baseline_Weekly_Qty],MOD(ROW()-2,20)+1)</f>
        <v>2700</v>
      </c>
      <c r="E217">
        <f t="shared" si="24"/>
        <v>1</v>
      </c>
      <c r="F217">
        <v>1.03</v>
      </c>
      <c r="G217">
        <f t="shared" si="25"/>
        <v>2781</v>
      </c>
      <c r="H217">
        <v>1.04</v>
      </c>
      <c r="I217">
        <f t="shared" si="26"/>
        <v>2808</v>
      </c>
      <c r="J217" t="str">
        <f t="shared" si="27"/>
        <v>Normal</v>
      </c>
      <c r="K217">
        <f t="shared" si="28"/>
        <v>2781</v>
      </c>
      <c r="L217">
        <f t="shared" si="29"/>
        <v>-27</v>
      </c>
      <c r="M217" s="2">
        <f t="shared" si="30"/>
        <v>-9.6153846153846159E-3</v>
      </c>
      <c r="N217">
        <f t="shared" si="31"/>
        <v>27</v>
      </c>
    </row>
    <row r="218" spans="1:14">
      <c r="A218" s="1" cm="1">
        <f t="array" ref="A218">INDEX(tblWeeks[Week_Start],INT((ROW()-2)/20)+1)</f>
        <v>46097</v>
      </c>
      <c r="B218" t="str" cm="1">
        <f t="array" ref="B218">INDEX(tblDemandAssumptions[Customer_ID],MOD(ROW()-2,20)+1)</f>
        <v>C004</v>
      </c>
      <c r="C218" t="str" cm="1">
        <f t="array" ref="C218">INDEX(tblDemandAssumptions[Product_ID],MOD(ROW()-2,20)+1)</f>
        <v>P002</v>
      </c>
      <c r="D218" cm="1">
        <f t="array" ref="D218">INDEX(tblDemandAssumptions[Baseline_Weekly_Qty],MOD(ROW()-2,20)+1)</f>
        <v>2400</v>
      </c>
      <c r="E218">
        <f t="shared" si="24"/>
        <v>1</v>
      </c>
      <c r="F218">
        <v>0.95</v>
      </c>
      <c r="G218">
        <f t="shared" si="25"/>
        <v>2280</v>
      </c>
      <c r="H218">
        <v>0.96</v>
      </c>
      <c r="I218">
        <f t="shared" si="26"/>
        <v>2304</v>
      </c>
      <c r="J218" t="str">
        <f t="shared" si="27"/>
        <v>Normal</v>
      </c>
      <c r="K218">
        <f t="shared" si="28"/>
        <v>2280</v>
      </c>
      <c r="L218">
        <f t="shared" si="29"/>
        <v>-24</v>
      </c>
      <c r="M218" s="2">
        <f t="shared" si="30"/>
        <v>-1.0416666666666666E-2</v>
      </c>
      <c r="N218">
        <f t="shared" si="31"/>
        <v>24</v>
      </c>
    </row>
    <row r="219" spans="1:14">
      <c r="A219" s="1" cm="1">
        <f t="array" ref="A219">INDEX(tblWeeks[Week_Start],INT((ROW()-2)/20)+1)</f>
        <v>46097</v>
      </c>
      <c r="B219" t="str" cm="1">
        <f t="array" ref="B219">INDEX(tblDemandAssumptions[Customer_ID],MOD(ROW()-2,20)+1)</f>
        <v>C004</v>
      </c>
      <c r="C219" t="str" cm="1">
        <f t="array" ref="C219">INDEX(tblDemandAssumptions[Product_ID],MOD(ROW()-2,20)+1)</f>
        <v>P003</v>
      </c>
      <c r="D219" cm="1">
        <f t="array" ref="D219">INDEX(tblDemandAssumptions[Baseline_Weekly_Qty],MOD(ROW()-2,20)+1)</f>
        <v>2100</v>
      </c>
      <c r="E219">
        <f t="shared" si="24"/>
        <v>1</v>
      </c>
      <c r="F219">
        <v>0.96</v>
      </c>
      <c r="G219">
        <f t="shared" si="25"/>
        <v>2016</v>
      </c>
      <c r="H219">
        <v>1.04</v>
      </c>
      <c r="I219">
        <f t="shared" si="26"/>
        <v>2184</v>
      </c>
      <c r="J219" t="str">
        <f t="shared" si="27"/>
        <v>Normal</v>
      </c>
      <c r="K219">
        <f t="shared" si="28"/>
        <v>2016</v>
      </c>
      <c r="L219">
        <f t="shared" si="29"/>
        <v>-168</v>
      </c>
      <c r="M219" s="2">
        <f t="shared" si="30"/>
        <v>-7.6923076923076927E-2</v>
      </c>
      <c r="N219">
        <f t="shared" si="31"/>
        <v>168</v>
      </c>
    </row>
    <row r="220" spans="1:14">
      <c r="A220" s="1" cm="1">
        <f t="array" ref="A220">INDEX(tblWeeks[Week_Start],INT((ROW()-2)/20)+1)</f>
        <v>46097</v>
      </c>
      <c r="B220" t="str" cm="1">
        <f t="array" ref="B220">INDEX(tblDemandAssumptions[Customer_ID],MOD(ROW()-2,20)+1)</f>
        <v>C004</v>
      </c>
      <c r="C220" t="str" cm="1">
        <f t="array" ref="C220">INDEX(tblDemandAssumptions[Product_ID],MOD(ROW()-2,20)+1)</f>
        <v>P004</v>
      </c>
      <c r="D220" cm="1">
        <f t="array" ref="D220">INDEX(tblDemandAssumptions[Baseline_Weekly_Qty],MOD(ROW()-2,20)+1)</f>
        <v>2600</v>
      </c>
      <c r="E220">
        <f t="shared" si="24"/>
        <v>1</v>
      </c>
      <c r="F220">
        <v>1.04</v>
      </c>
      <c r="G220">
        <f t="shared" si="25"/>
        <v>2704</v>
      </c>
      <c r="H220">
        <v>0.98</v>
      </c>
      <c r="I220">
        <f t="shared" si="26"/>
        <v>2548</v>
      </c>
      <c r="J220" t="str">
        <f t="shared" si="27"/>
        <v>Normal</v>
      </c>
      <c r="K220">
        <f t="shared" si="28"/>
        <v>2704</v>
      </c>
      <c r="L220">
        <f t="shared" si="29"/>
        <v>156</v>
      </c>
      <c r="M220" s="2">
        <f t="shared" si="30"/>
        <v>6.1224489795918366E-2</v>
      </c>
      <c r="N220">
        <f t="shared" si="31"/>
        <v>156</v>
      </c>
    </row>
    <row r="221" spans="1:14">
      <c r="A221" s="1" cm="1">
        <f t="array" ref="A221">INDEX(tblWeeks[Week_Start],INT((ROW()-2)/20)+1)</f>
        <v>46097</v>
      </c>
      <c r="B221" t="str" cm="1">
        <f t="array" ref="B221">INDEX(tblDemandAssumptions[Customer_ID],MOD(ROW()-2,20)+1)</f>
        <v>C004</v>
      </c>
      <c r="C221" t="str" cm="1">
        <f t="array" ref="C221">INDEX(tblDemandAssumptions[Product_ID],MOD(ROW()-2,20)+1)</f>
        <v>P005</v>
      </c>
      <c r="D221" cm="1">
        <f t="array" ref="D221">INDEX(tblDemandAssumptions[Baseline_Weekly_Qty],MOD(ROW()-2,20)+1)</f>
        <v>1800</v>
      </c>
      <c r="E221">
        <f t="shared" si="24"/>
        <v>1</v>
      </c>
      <c r="F221">
        <v>0.98</v>
      </c>
      <c r="G221">
        <f t="shared" si="25"/>
        <v>1764</v>
      </c>
      <c r="H221">
        <v>1.02</v>
      </c>
      <c r="I221">
        <f t="shared" si="26"/>
        <v>1836</v>
      </c>
      <c r="J221" t="str">
        <f t="shared" si="27"/>
        <v>Normal</v>
      </c>
      <c r="K221">
        <f t="shared" si="28"/>
        <v>1764</v>
      </c>
      <c r="L221">
        <f t="shared" si="29"/>
        <v>-72</v>
      </c>
      <c r="M221" s="2">
        <f t="shared" si="30"/>
        <v>-3.9215686274509803E-2</v>
      </c>
      <c r="N221">
        <f t="shared" si="31"/>
        <v>72</v>
      </c>
    </row>
    <row r="222" spans="1:14">
      <c r="A222" s="1" cm="1">
        <f t="array" ref="A222">INDEX(tblWeeks[Week_Start],INT((ROW()-2)/20)+1)</f>
        <v>46104</v>
      </c>
      <c r="B222" t="str" cm="1">
        <f t="array" ref="B222">INDEX(tblDemandAssumptions[Customer_ID],MOD(ROW()-2,20)+1)</f>
        <v>C001</v>
      </c>
      <c r="C222" t="str" cm="1">
        <f t="array" ref="C222">INDEX(tblDemandAssumptions[Product_ID],MOD(ROW()-2,20)+1)</f>
        <v>P001</v>
      </c>
      <c r="D222" cm="1">
        <f t="array" ref="D222">INDEX(tblDemandAssumptions[Baseline_Weekly_Qty],MOD(ROW()-2,20)+1)</f>
        <v>5200</v>
      </c>
      <c r="E222">
        <f t="shared" si="24"/>
        <v>1</v>
      </c>
      <c r="F222">
        <v>0.97</v>
      </c>
      <c r="G222">
        <f t="shared" si="25"/>
        <v>5044</v>
      </c>
      <c r="H222">
        <v>1.02</v>
      </c>
      <c r="I222">
        <f t="shared" si="26"/>
        <v>5304</v>
      </c>
      <c r="J222" t="str">
        <f t="shared" si="27"/>
        <v>Normal</v>
      </c>
      <c r="K222">
        <f t="shared" si="28"/>
        <v>5044</v>
      </c>
      <c r="L222">
        <f t="shared" si="29"/>
        <v>-260</v>
      </c>
      <c r="M222" s="2">
        <f t="shared" si="30"/>
        <v>-4.9019607843137254E-2</v>
      </c>
      <c r="N222">
        <f t="shared" si="31"/>
        <v>260</v>
      </c>
    </row>
    <row r="223" spans="1:14">
      <c r="A223" s="1" cm="1">
        <f t="array" ref="A223">INDEX(tblWeeks[Week_Start],INT((ROW()-2)/20)+1)</f>
        <v>46104</v>
      </c>
      <c r="B223" t="str" cm="1">
        <f t="array" ref="B223">INDEX(tblDemandAssumptions[Customer_ID],MOD(ROW()-2,20)+1)</f>
        <v>C001</v>
      </c>
      <c r="C223" t="str" cm="1">
        <f t="array" ref="C223">INDEX(tblDemandAssumptions[Product_ID],MOD(ROW()-2,20)+1)</f>
        <v>P002</v>
      </c>
      <c r="D223" cm="1">
        <f t="array" ref="D223">INDEX(tblDemandAssumptions[Baseline_Weekly_Qty],MOD(ROW()-2,20)+1)</f>
        <v>4100</v>
      </c>
      <c r="E223">
        <f t="shared" si="24"/>
        <v>1</v>
      </c>
      <c r="F223">
        <v>0.95</v>
      </c>
      <c r="G223">
        <f t="shared" si="25"/>
        <v>3895</v>
      </c>
      <c r="H223">
        <v>0.97</v>
      </c>
      <c r="I223">
        <f t="shared" si="26"/>
        <v>3977</v>
      </c>
      <c r="J223" t="str">
        <f t="shared" si="27"/>
        <v>Normal</v>
      </c>
      <c r="K223">
        <f t="shared" si="28"/>
        <v>3895</v>
      </c>
      <c r="L223">
        <f t="shared" si="29"/>
        <v>-82</v>
      </c>
      <c r="M223" s="2">
        <f t="shared" si="30"/>
        <v>-2.0618556701030927E-2</v>
      </c>
      <c r="N223">
        <f t="shared" si="31"/>
        <v>82</v>
      </c>
    </row>
    <row r="224" spans="1:14">
      <c r="A224" s="1" cm="1">
        <f t="array" ref="A224">INDEX(tblWeeks[Week_Start],INT((ROW()-2)/20)+1)</f>
        <v>46104</v>
      </c>
      <c r="B224" t="str" cm="1">
        <f t="array" ref="B224">INDEX(tblDemandAssumptions[Customer_ID],MOD(ROW()-2,20)+1)</f>
        <v>C001</v>
      </c>
      <c r="C224" t="str" cm="1">
        <f t="array" ref="C224">INDEX(tblDemandAssumptions[Product_ID],MOD(ROW()-2,20)+1)</f>
        <v>P003</v>
      </c>
      <c r="D224" cm="1">
        <f t="array" ref="D224">INDEX(tblDemandAssumptions[Baseline_Weekly_Qty],MOD(ROW()-2,20)+1)</f>
        <v>3300</v>
      </c>
      <c r="E224">
        <f t="shared" si="24"/>
        <v>1</v>
      </c>
      <c r="F224">
        <v>1.01</v>
      </c>
      <c r="G224">
        <f t="shared" si="25"/>
        <v>3333</v>
      </c>
      <c r="H224">
        <v>0.96</v>
      </c>
      <c r="I224">
        <f t="shared" si="26"/>
        <v>3168</v>
      </c>
      <c r="J224" t="str">
        <f t="shared" si="27"/>
        <v>Normal</v>
      </c>
      <c r="K224">
        <f t="shared" si="28"/>
        <v>3333</v>
      </c>
      <c r="L224">
        <f t="shared" si="29"/>
        <v>165</v>
      </c>
      <c r="M224" s="2">
        <f t="shared" si="30"/>
        <v>5.2083333333333336E-2</v>
      </c>
      <c r="N224">
        <f t="shared" si="31"/>
        <v>165</v>
      </c>
    </row>
    <row r="225" spans="1:14">
      <c r="A225" s="1" cm="1">
        <f t="array" ref="A225">INDEX(tblWeeks[Week_Start],INT((ROW()-2)/20)+1)</f>
        <v>46104</v>
      </c>
      <c r="B225" t="str" cm="1">
        <f t="array" ref="B225">INDEX(tblDemandAssumptions[Customer_ID],MOD(ROW()-2,20)+1)</f>
        <v>C001</v>
      </c>
      <c r="C225" t="str" cm="1">
        <f t="array" ref="C225">INDEX(tblDemandAssumptions[Product_ID],MOD(ROW()-2,20)+1)</f>
        <v>P004</v>
      </c>
      <c r="D225" cm="1">
        <f t="array" ref="D225">INDEX(tblDemandAssumptions[Baseline_Weekly_Qty],MOD(ROW()-2,20)+1)</f>
        <v>3600</v>
      </c>
      <c r="E225">
        <f t="shared" si="24"/>
        <v>1</v>
      </c>
      <c r="F225">
        <v>1</v>
      </c>
      <c r="G225">
        <f t="shared" si="25"/>
        <v>3600</v>
      </c>
      <c r="H225">
        <v>0.96</v>
      </c>
      <c r="I225">
        <f t="shared" si="26"/>
        <v>3456</v>
      </c>
      <c r="J225" t="str">
        <f t="shared" si="27"/>
        <v>Normal</v>
      </c>
      <c r="K225">
        <f t="shared" si="28"/>
        <v>3600</v>
      </c>
      <c r="L225">
        <f t="shared" si="29"/>
        <v>144</v>
      </c>
      <c r="M225" s="2">
        <f t="shared" si="30"/>
        <v>4.1666666666666664E-2</v>
      </c>
      <c r="N225">
        <f t="shared" si="31"/>
        <v>144</v>
      </c>
    </row>
    <row r="226" spans="1:14">
      <c r="A226" s="1" cm="1">
        <f t="array" ref="A226">INDEX(tblWeeks[Week_Start],INT((ROW()-2)/20)+1)</f>
        <v>46104</v>
      </c>
      <c r="B226" t="str" cm="1">
        <f t="array" ref="B226">INDEX(tblDemandAssumptions[Customer_ID],MOD(ROW()-2,20)+1)</f>
        <v>C001</v>
      </c>
      <c r="C226" t="str" cm="1">
        <f t="array" ref="C226">INDEX(tblDemandAssumptions[Product_ID],MOD(ROW()-2,20)+1)</f>
        <v>P005</v>
      </c>
      <c r="D226" cm="1">
        <f t="array" ref="D226">INDEX(tblDemandAssumptions[Baseline_Weekly_Qty],MOD(ROW()-2,20)+1)</f>
        <v>2800</v>
      </c>
      <c r="E226">
        <f t="shared" si="24"/>
        <v>1</v>
      </c>
      <c r="F226">
        <v>0.95</v>
      </c>
      <c r="G226">
        <f t="shared" si="25"/>
        <v>2660</v>
      </c>
      <c r="H226">
        <v>1.04</v>
      </c>
      <c r="I226">
        <f t="shared" si="26"/>
        <v>2912</v>
      </c>
      <c r="J226" t="str">
        <f t="shared" si="27"/>
        <v>Normal</v>
      </c>
      <c r="K226">
        <f t="shared" si="28"/>
        <v>2660</v>
      </c>
      <c r="L226">
        <f t="shared" si="29"/>
        <v>-252</v>
      </c>
      <c r="M226" s="2">
        <f t="shared" si="30"/>
        <v>-8.6538461538461536E-2</v>
      </c>
      <c r="N226">
        <f t="shared" si="31"/>
        <v>252</v>
      </c>
    </row>
    <row r="227" spans="1:14">
      <c r="A227" s="1" cm="1">
        <f t="array" ref="A227">INDEX(tblWeeks[Week_Start],INT((ROW()-2)/20)+1)</f>
        <v>46104</v>
      </c>
      <c r="B227" t="str" cm="1">
        <f t="array" ref="B227">INDEX(tblDemandAssumptions[Customer_ID],MOD(ROW()-2,20)+1)</f>
        <v>C002</v>
      </c>
      <c r="C227" t="str" cm="1">
        <f t="array" ref="C227">INDEX(tblDemandAssumptions[Product_ID],MOD(ROW()-2,20)+1)</f>
        <v>P001</v>
      </c>
      <c r="D227" cm="1">
        <f t="array" ref="D227">INDEX(tblDemandAssumptions[Baseline_Weekly_Qty],MOD(ROW()-2,20)+1)</f>
        <v>3400</v>
      </c>
      <c r="E227">
        <f t="shared" si="24"/>
        <v>1</v>
      </c>
      <c r="F227">
        <v>1</v>
      </c>
      <c r="G227">
        <f t="shared" si="25"/>
        <v>3400</v>
      </c>
      <c r="H227">
        <v>1.02</v>
      </c>
      <c r="I227">
        <f t="shared" si="26"/>
        <v>3468</v>
      </c>
      <c r="J227" t="str">
        <f t="shared" si="27"/>
        <v>Normal</v>
      </c>
      <c r="K227">
        <f t="shared" si="28"/>
        <v>3400</v>
      </c>
      <c r="L227">
        <f t="shared" si="29"/>
        <v>-68</v>
      </c>
      <c r="M227" s="2">
        <f t="shared" si="30"/>
        <v>-1.9607843137254902E-2</v>
      </c>
      <c r="N227">
        <f t="shared" si="31"/>
        <v>68</v>
      </c>
    </row>
    <row r="228" spans="1:14">
      <c r="A228" s="1" cm="1">
        <f t="array" ref="A228">INDEX(tblWeeks[Week_Start],INT((ROW()-2)/20)+1)</f>
        <v>46104</v>
      </c>
      <c r="B228" t="str" cm="1">
        <f t="array" ref="B228">INDEX(tblDemandAssumptions[Customer_ID],MOD(ROW()-2,20)+1)</f>
        <v>C002</v>
      </c>
      <c r="C228" t="str" cm="1">
        <f t="array" ref="C228">INDEX(tblDemandAssumptions[Product_ID],MOD(ROW()-2,20)+1)</f>
        <v>P002</v>
      </c>
      <c r="D228" cm="1">
        <f t="array" ref="D228">INDEX(tblDemandAssumptions[Baseline_Weekly_Qty],MOD(ROW()-2,20)+1)</f>
        <v>3200</v>
      </c>
      <c r="E228">
        <f t="shared" si="24"/>
        <v>1</v>
      </c>
      <c r="F228">
        <v>1.05</v>
      </c>
      <c r="G228">
        <f t="shared" si="25"/>
        <v>3360</v>
      </c>
      <c r="H228">
        <v>0.97</v>
      </c>
      <c r="I228">
        <f t="shared" si="26"/>
        <v>3104</v>
      </c>
      <c r="J228" t="str">
        <f t="shared" si="27"/>
        <v>Normal</v>
      </c>
      <c r="K228">
        <f t="shared" si="28"/>
        <v>3360</v>
      </c>
      <c r="L228">
        <f t="shared" si="29"/>
        <v>256</v>
      </c>
      <c r="M228" s="2">
        <f t="shared" si="30"/>
        <v>8.247422680412371E-2</v>
      </c>
      <c r="N228">
        <f t="shared" si="31"/>
        <v>256</v>
      </c>
    </row>
    <row r="229" spans="1:14">
      <c r="A229" s="1" cm="1">
        <f t="array" ref="A229">INDEX(tblWeeks[Week_Start],INT((ROW()-2)/20)+1)</f>
        <v>46104</v>
      </c>
      <c r="B229" t="str" cm="1">
        <f t="array" ref="B229">INDEX(tblDemandAssumptions[Customer_ID],MOD(ROW()-2,20)+1)</f>
        <v>C002</v>
      </c>
      <c r="C229" t="str" cm="1">
        <f t="array" ref="C229">INDEX(tblDemandAssumptions[Product_ID],MOD(ROW()-2,20)+1)</f>
        <v>P003</v>
      </c>
      <c r="D229" cm="1">
        <f t="array" ref="D229">INDEX(tblDemandAssumptions[Baseline_Weekly_Qty],MOD(ROW()-2,20)+1)</f>
        <v>2600</v>
      </c>
      <c r="E229">
        <f t="shared" si="24"/>
        <v>1</v>
      </c>
      <c r="F229">
        <v>1.05</v>
      </c>
      <c r="G229">
        <f t="shared" si="25"/>
        <v>2730</v>
      </c>
      <c r="H229">
        <v>0.98</v>
      </c>
      <c r="I229">
        <f t="shared" si="26"/>
        <v>2548</v>
      </c>
      <c r="J229" t="str">
        <f t="shared" si="27"/>
        <v>Normal</v>
      </c>
      <c r="K229">
        <f t="shared" si="28"/>
        <v>2730</v>
      </c>
      <c r="L229">
        <f t="shared" si="29"/>
        <v>182</v>
      </c>
      <c r="M229" s="2">
        <f t="shared" si="30"/>
        <v>7.1428571428571425E-2</v>
      </c>
      <c r="N229">
        <f t="shared" si="31"/>
        <v>182</v>
      </c>
    </row>
    <row r="230" spans="1:14">
      <c r="A230" s="1" cm="1">
        <f t="array" ref="A230">INDEX(tblWeeks[Week_Start],INT((ROW()-2)/20)+1)</f>
        <v>46104</v>
      </c>
      <c r="B230" t="str" cm="1">
        <f t="array" ref="B230">INDEX(tblDemandAssumptions[Customer_ID],MOD(ROW()-2,20)+1)</f>
        <v>C002</v>
      </c>
      <c r="C230" t="str" cm="1">
        <f t="array" ref="C230">INDEX(tblDemandAssumptions[Product_ID],MOD(ROW()-2,20)+1)</f>
        <v>P004</v>
      </c>
      <c r="D230" cm="1">
        <f t="array" ref="D230">INDEX(tblDemandAssumptions[Baseline_Weekly_Qty],MOD(ROW()-2,20)+1)</f>
        <v>2900</v>
      </c>
      <c r="E230">
        <f t="shared" si="24"/>
        <v>1</v>
      </c>
      <c r="F230">
        <v>0.99</v>
      </c>
      <c r="G230">
        <f t="shared" si="25"/>
        <v>2871</v>
      </c>
      <c r="H230">
        <v>1.02</v>
      </c>
      <c r="I230">
        <f t="shared" si="26"/>
        <v>2958</v>
      </c>
      <c r="J230" t="str">
        <f t="shared" si="27"/>
        <v>Normal</v>
      </c>
      <c r="K230">
        <f t="shared" si="28"/>
        <v>2871</v>
      </c>
      <c r="L230">
        <f t="shared" si="29"/>
        <v>-87</v>
      </c>
      <c r="M230" s="2">
        <f t="shared" si="30"/>
        <v>-2.9411764705882353E-2</v>
      </c>
      <c r="N230">
        <f t="shared" si="31"/>
        <v>87</v>
      </c>
    </row>
    <row r="231" spans="1:14">
      <c r="A231" s="1" cm="1">
        <f t="array" ref="A231">INDEX(tblWeeks[Week_Start],INT((ROW()-2)/20)+1)</f>
        <v>46104</v>
      </c>
      <c r="B231" t="str" cm="1">
        <f t="array" ref="B231">INDEX(tblDemandAssumptions[Customer_ID],MOD(ROW()-2,20)+1)</f>
        <v>C002</v>
      </c>
      <c r="C231" t="str" cm="1">
        <f t="array" ref="C231">INDEX(tblDemandAssumptions[Product_ID],MOD(ROW()-2,20)+1)</f>
        <v>P005</v>
      </c>
      <c r="D231" cm="1">
        <f t="array" ref="D231">INDEX(tblDemandAssumptions[Baseline_Weekly_Qty],MOD(ROW()-2,20)+1)</f>
        <v>2200</v>
      </c>
      <c r="E231">
        <f t="shared" si="24"/>
        <v>1</v>
      </c>
      <c r="F231">
        <v>1.04</v>
      </c>
      <c r="G231">
        <f t="shared" si="25"/>
        <v>2288</v>
      </c>
      <c r="H231">
        <v>1.04</v>
      </c>
      <c r="I231">
        <f t="shared" si="26"/>
        <v>2288</v>
      </c>
      <c r="J231" t="str">
        <f t="shared" si="27"/>
        <v>Normal</v>
      </c>
      <c r="K231">
        <f t="shared" si="28"/>
        <v>2288</v>
      </c>
      <c r="L231">
        <f t="shared" si="29"/>
        <v>0</v>
      </c>
      <c r="M231" s="2">
        <f t="shared" si="30"/>
        <v>0</v>
      </c>
      <c r="N231">
        <f t="shared" si="31"/>
        <v>0</v>
      </c>
    </row>
    <row r="232" spans="1:14">
      <c r="A232" s="1" cm="1">
        <f t="array" ref="A232">INDEX(tblWeeks[Week_Start],INT((ROW()-2)/20)+1)</f>
        <v>46104</v>
      </c>
      <c r="B232" t="str" cm="1">
        <f t="array" ref="B232">INDEX(tblDemandAssumptions[Customer_ID],MOD(ROW()-2,20)+1)</f>
        <v>C003</v>
      </c>
      <c r="C232" t="str" cm="1">
        <f t="array" ref="C232">INDEX(tblDemandAssumptions[Product_ID],MOD(ROW()-2,20)+1)</f>
        <v>P001</v>
      </c>
      <c r="D232" cm="1">
        <f t="array" ref="D232">INDEX(tblDemandAssumptions[Baseline_Weekly_Qty],MOD(ROW()-2,20)+1)</f>
        <v>3000</v>
      </c>
      <c r="E232">
        <f t="shared" si="24"/>
        <v>1</v>
      </c>
      <c r="F232">
        <v>0.98</v>
      </c>
      <c r="G232">
        <f t="shared" si="25"/>
        <v>2940</v>
      </c>
      <c r="H232">
        <v>0.99</v>
      </c>
      <c r="I232">
        <f t="shared" si="26"/>
        <v>2970</v>
      </c>
      <c r="J232" t="str">
        <f t="shared" si="27"/>
        <v>Normal</v>
      </c>
      <c r="K232">
        <f t="shared" si="28"/>
        <v>2940</v>
      </c>
      <c r="L232">
        <f t="shared" si="29"/>
        <v>-30</v>
      </c>
      <c r="M232" s="2">
        <f t="shared" si="30"/>
        <v>-1.0101010101010102E-2</v>
      </c>
      <c r="N232">
        <f t="shared" si="31"/>
        <v>30</v>
      </c>
    </row>
    <row r="233" spans="1:14">
      <c r="A233" s="1" cm="1">
        <f t="array" ref="A233">INDEX(tblWeeks[Week_Start],INT((ROW()-2)/20)+1)</f>
        <v>46104</v>
      </c>
      <c r="B233" t="str" cm="1">
        <f t="array" ref="B233">INDEX(tblDemandAssumptions[Customer_ID],MOD(ROW()-2,20)+1)</f>
        <v>C003</v>
      </c>
      <c r="C233" t="str" cm="1">
        <f t="array" ref="C233">INDEX(tblDemandAssumptions[Product_ID],MOD(ROW()-2,20)+1)</f>
        <v>P002</v>
      </c>
      <c r="D233" cm="1">
        <f t="array" ref="D233">INDEX(tblDemandAssumptions[Baseline_Weekly_Qty],MOD(ROW()-2,20)+1)</f>
        <v>2700</v>
      </c>
      <c r="E233">
        <f t="shared" si="24"/>
        <v>1</v>
      </c>
      <c r="F233">
        <v>1.01</v>
      </c>
      <c r="G233">
        <f t="shared" si="25"/>
        <v>2727</v>
      </c>
      <c r="H233">
        <v>1.04</v>
      </c>
      <c r="I233">
        <f t="shared" si="26"/>
        <v>2808</v>
      </c>
      <c r="J233" t="str">
        <f t="shared" si="27"/>
        <v>Normal</v>
      </c>
      <c r="K233">
        <f t="shared" si="28"/>
        <v>2727</v>
      </c>
      <c r="L233">
        <f t="shared" si="29"/>
        <v>-81</v>
      </c>
      <c r="M233" s="2">
        <f t="shared" si="30"/>
        <v>-2.8846153846153848E-2</v>
      </c>
      <c r="N233">
        <f t="shared" si="31"/>
        <v>81</v>
      </c>
    </row>
    <row r="234" spans="1:14">
      <c r="A234" s="1" cm="1">
        <f t="array" ref="A234">INDEX(tblWeeks[Week_Start],INT((ROW()-2)/20)+1)</f>
        <v>46104</v>
      </c>
      <c r="B234" t="str" cm="1">
        <f t="array" ref="B234">INDEX(tblDemandAssumptions[Customer_ID],MOD(ROW()-2,20)+1)</f>
        <v>C003</v>
      </c>
      <c r="C234" t="str" cm="1">
        <f t="array" ref="C234">INDEX(tblDemandAssumptions[Product_ID],MOD(ROW()-2,20)+1)</f>
        <v>P003</v>
      </c>
      <c r="D234" cm="1">
        <f t="array" ref="D234">INDEX(tblDemandAssumptions[Baseline_Weekly_Qty],MOD(ROW()-2,20)+1)</f>
        <v>2800</v>
      </c>
      <c r="E234">
        <f t="shared" si="24"/>
        <v>1</v>
      </c>
      <c r="F234">
        <v>0.99</v>
      </c>
      <c r="G234">
        <f t="shared" si="25"/>
        <v>2772</v>
      </c>
      <c r="H234">
        <v>1.04</v>
      </c>
      <c r="I234">
        <f t="shared" si="26"/>
        <v>2912</v>
      </c>
      <c r="J234" t="str">
        <f t="shared" si="27"/>
        <v>Normal</v>
      </c>
      <c r="K234">
        <f t="shared" si="28"/>
        <v>2772</v>
      </c>
      <c r="L234">
        <f t="shared" si="29"/>
        <v>-140</v>
      </c>
      <c r="M234" s="2">
        <f t="shared" si="30"/>
        <v>-4.807692307692308E-2</v>
      </c>
      <c r="N234">
        <f t="shared" si="31"/>
        <v>140</v>
      </c>
    </row>
    <row r="235" spans="1:14">
      <c r="A235" s="1" cm="1">
        <f t="array" ref="A235">INDEX(tblWeeks[Week_Start],INT((ROW()-2)/20)+1)</f>
        <v>46104</v>
      </c>
      <c r="B235" t="str" cm="1">
        <f t="array" ref="B235">INDEX(tblDemandAssumptions[Customer_ID],MOD(ROW()-2,20)+1)</f>
        <v>C003</v>
      </c>
      <c r="C235" t="str" cm="1">
        <f t="array" ref="C235">INDEX(tblDemandAssumptions[Product_ID],MOD(ROW()-2,20)+1)</f>
        <v>P004</v>
      </c>
      <c r="D235" cm="1">
        <f t="array" ref="D235">INDEX(tblDemandAssumptions[Baseline_Weekly_Qty],MOD(ROW()-2,20)+1)</f>
        <v>2400</v>
      </c>
      <c r="E235">
        <f t="shared" si="24"/>
        <v>1</v>
      </c>
      <c r="F235">
        <v>1.03</v>
      </c>
      <c r="G235">
        <f t="shared" si="25"/>
        <v>2472</v>
      </c>
      <c r="H235">
        <v>0.97</v>
      </c>
      <c r="I235">
        <f t="shared" si="26"/>
        <v>2328</v>
      </c>
      <c r="J235" t="str">
        <f t="shared" si="27"/>
        <v>Normal</v>
      </c>
      <c r="K235">
        <f t="shared" si="28"/>
        <v>2472</v>
      </c>
      <c r="L235">
        <f t="shared" si="29"/>
        <v>144</v>
      </c>
      <c r="M235" s="2">
        <f t="shared" si="30"/>
        <v>6.1855670103092786E-2</v>
      </c>
      <c r="N235">
        <f t="shared" si="31"/>
        <v>144</v>
      </c>
    </row>
    <row r="236" spans="1:14">
      <c r="A236" s="1" cm="1">
        <f t="array" ref="A236">INDEX(tblWeeks[Week_Start],INT((ROW()-2)/20)+1)</f>
        <v>46104</v>
      </c>
      <c r="B236" t="str" cm="1">
        <f t="array" ref="B236">INDEX(tblDemandAssumptions[Customer_ID],MOD(ROW()-2,20)+1)</f>
        <v>C003</v>
      </c>
      <c r="C236" t="str" cm="1">
        <f t="array" ref="C236">INDEX(tblDemandAssumptions[Product_ID],MOD(ROW()-2,20)+1)</f>
        <v>P005</v>
      </c>
      <c r="D236" cm="1">
        <f t="array" ref="D236">INDEX(tblDemandAssumptions[Baseline_Weekly_Qty],MOD(ROW()-2,20)+1)</f>
        <v>1900</v>
      </c>
      <c r="E236">
        <f t="shared" si="24"/>
        <v>1</v>
      </c>
      <c r="F236">
        <v>0.96</v>
      </c>
      <c r="G236">
        <f t="shared" si="25"/>
        <v>1824</v>
      </c>
      <c r="H236">
        <v>0.98</v>
      </c>
      <c r="I236">
        <f t="shared" si="26"/>
        <v>1862</v>
      </c>
      <c r="J236" t="str">
        <f t="shared" si="27"/>
        <v>Normal</v>
      </c>
      <c r="K236">
        <f t="shared" si="28"/>
        <v>1824</v>
      </c>
      <c r="L236">
        <f t="shared" si="29"/>
        <v>-38</v>
      </c>
      <c r="M236" s="2">
        <f t="shared" si="30"/>
        <v>-2.0408163265306121E-2</v>
      </c>
      <c r="N236">
        <f t="shared" si="31"/>
        <v>38</v>
      </c>
    </row>
    <row r="237" spans="1:14">
      <c r="A237" s="1" cm="1">
        <f t="array" ref="A237">INDEX(tblWeeks[Week_Start],INT((ROW()-2)/20)+1)</f>
        <v>46104</v>
      </c>
      <c r="B237" t="str" cm="1">
        <f t="array" ref="B237">INDEX(tblDemandAssumptions[Customer_ID],MOD(ROW()-2,20)+1)</f>
        <v>C004</v>
      </c>
      <c r="C237" t="str" cm="1">
        <f t="array" ref="C237">INDEX(tblDemandAssumptions[Product_ID],MOD(ROW()-2,20)+1)</f>
        <v>P001</v>
      </c>
      <c r="D237" cm="1">
        <f t="array" ref="D237">INDEX(tblDemandAssumptions[Baseline_Weekly_Qty],MOD(ROW()-2,20)+1)</f>
        <v>2700</v>
      </c>
      <c r="E237">
        <f t="shared" si="24"/>
        <v>1</v>
      </c>
      <c r="F237">
        <v>0.97</v>
      </c>
      <c r="G237">
        <f t="shared" si="25"/>
        <v>2619</v>
      </c>
      <c r="H237">
        <v>0.98</v>
      </c>
      <c r="I237">
        <f t="shared" si="26"/>
        <v>2646</v>
      </c>
      <c r="J237" t="str">
        <f t="shared" si="27"/>
        <v>Normal</v>
      </c>
      <c r="K237">
        <f t="shared" si="28"/>
        <v>2619</v>
      </c>
      <c r="L237">
        <f t="shared" si="29"/>
        <v>-27</v>
      </c>
      <c r="M237" s="2">
        <f t="shared" si="30"/>
        <v>-1.020408163265306E-2</v>
      </c>
      <c r="N237">
        <f t="shared" si="31"/>
        <v>27</v>
      </c>
    </row>
    <row r="238" spans="1:14">
      <c r="A238" s="1" cm="1">
        <f t="array" ref="A238">INDEX(tblWeeks[Week_Start],INT((ROW()-2)/20)+1)</f>
        <v>46104</v>
      </c>
      <c r="B238" t="str" cm="1">
        <f t="array" ref="B238">INDEX(tblDemandAssumptions[Customer_ID],MOD(ROW()-2,20)+1)</f>
        <v>C004</v>
      </c>
      <c r="C238" t="str" cm="1">
        <f t="array" ref="C238">INDEX(tblDemandAssumptions[Product_ID],MOD(ROW()-2,20)+1)</f>
        <v>P002</v>
      </c>
      <c r="D238" cm="1">
        <f t="array" ref="D238">INDEX(tblDemandAssumptions[Baseline_Weekly_Qty],MOD(ROW()-2,20)+1)</f>
        <v>2400</v>
      </c>
      <c r="E238">
        <f t="shared" si="24"/>
        <v>1</v>
      </c>
      <c r="F238">
        <v>0.98</v>
      </c>
      <c r="G238">
        <f t="shared" si="25"/>
        <v>2352</v>
      </c>
      <c r="H238">
        <v>1.02</v>
      </c>
      <c r="I238">
        <f t="shared" si="26"/>
        <v>2448</v>
      </c>
      <c r="J238" t="str">
        <f t="shared" si="27"/>
        <v>Normal</v>
      </c>
      <c r="K238">
        <f t="shared" si="28"/>
        <v>2352</v>
      </c>
      <c r="L238">
        <f t="shared" si="29"/>
        <v>-96</v>
      </c>
      <c r="M238" s="2">
        <f t="shared" si="30"/>
        <v>-3.9215686274509803E-2</v>
      </c>
      <c r="N238">
        <f t="shared" si="31"/>
        <v>96</v>
      </c>
    </row>
    <row r="239" spans="1:14">
      <c r="A239" s="1" cm="1">
        <f t="array" ref="A239">INDEX(tblWeeks[Week_Start],INT((ROW()-2)/20)+1)</f>
        <v>46104</v>
      </c>
      <c r="B239" t="str" cm="1">
        <f t="array" ref="B239">INDEX(tblDemandAssumptions[Customer_ID],MOD(ROW()-2,20)+1)</f>
        <v>C004</v>
      </c>
      <c r="C239" t="str" cm="1">
        <f t="array" ref="C239">INDEX(tblDemandAssumptions[Product_ID],MOD(ROW()-2,20)+1)</f>
        <v>P003</v>
      </c>
      <c r="D239" cm="1">
        <f t="array" ref="D239">INDEX(tblDemandAssumptions[Baseline_Weekly_Qty],MOD(ROW()-2,20)+1)</f>
        <v>2100</v>
      </c>
      <c r="E239">
        <f t="shared" si="24"/>
        <v>1</v>
      </c>
      <c r="F239">
        <v>1.01</v>
      </c>
      <c r="G239">
        <f t="shared" si="25"/>
        <v>2121</v>
      </c>
      <c r="H239">
        <v>1.02</v>
      </c>
      <c r="I239">
        <f t="shared" si="26"/>
        <v>2142</v>
      </c>
      <c r="J239" t="str">
        <f t="shared" si="27"/>
        <v>Normal</v>
      </c>
      <c r="K239">
        <f t="shared" si="28"/>
        <v>2121</v>
      </c>
      <c r="L239">
        <f t="shared" si="29"/>
        <v>-21</v>
      </c>
      <c r="M239" s="2">
        <f t="shared" si="30"/>
        <v>-9.8039215686274508E-3</v>
      </c>
      <c r="N239">
        <f t="shared" si="31"/>
        <v>21</v>
      </c>
    </row>
    <row r="240" spans="1:14">
      <c r="A240" s="1" cm="1">
        <f t="array" ref="A240">INDEX(tblWeeks[Week_Start],INT((ROW()-2)/20)+1)</f>
        <v>46104</v>
      </c>
      <c r="B240" t="str" cm="1">
        <f t="array" ref="B240">INDEX(tblDemandAssumptions[Customer_ID],MOD(ROW()-2,20)+1)</f>
        <v>C004</v>
      </c>
      <c r="C240" t="str" cm="1">
        <f t="array" ref="C240">INDEX(tblDemandAssumptions[Product_ID],MOD(ROW()-2,20)+1)</f>
        <v>P004</v>
      </c>
      <c r="D240" cm="1">
        <f t="array" ref="D240">INDEX(tblDemandAssumptions[Baseline_Weekly_Qty],MOD(ROW()-2,20)+1)</f>
        <v>2600</v>
      </c>
      <c r="E240">
        <f t="shared" si="24"/>
        <v>1</v>
      </c>
      <c r="F240">
        <v>1</v>
      </c>
      <c r="G240">
        <f t="shared" si="25"/>
        <v>2600</v>
      </c>
      <c r="H240">
        <v>1.01</v>
      </c>
      <c r="I240">
        <f t="shared" si="26"/>
        <v>2626</v>
      </c>
      <c r="J240" t="str">
        <f t="shared" si="27"/>
        <v>Normal</v>
      </c>
      <c r="K240">
        <f t="shared" si="28"/>
        <v>2600</v>
      </c>
      <c r="L240">
        <f t="shared" si="29"/>
        <v>-26</v>
      </c>
      <c r="M240" s="2">
        <f t="shared" si="30"/>
        <v>-9.9009900990099011E-3</v>
      </c>
      <c r="N240">
        <f t="shared" si="31"/>
        <v>26</v>
      </c>
    </row>
    <row r="241" spans="1:14">
      <c r="A241" s="1" cm="1">
        <f t="array" ref="A241">INDEX(tblWeeks[Week_Start],INT((ROW()-2)/20)+1)</f>
        <v>46104</v>
      </c>
      <c r="B241" t="str" cm="1">
        <f t="array" ref="B241">INDEX(tblDemandAssumptions[Customer_ID],MOD(ROW()-2,20)+1)</f>
        <v>C004</v>
      </c>
      <c r="C241" t="str" cm="1">
        <f t="array" ref="C241">INDEX(tblDemandAssumptions[Product_ID],MOD(ROW()-2,20)+1)</f>
        <v>P005</v>
      </c>
      <c r="D241" cm="1">
        <f t="array" ref="D241">INDEX(tblDemandAssumptions[Baseline_Weekly_Qty],MOD(ROW()-2,20)+1)</f>
        <v>1800</v>
      </c>
      <c r="E241">
        <f t="shared" si="24"/>
        <v>1</v>
      </c>
      <c r="F241">
        <v>1</v>
      </c>
      <c r="G241">
        <f t="shared" si="25"/>
        <v>1800</v>
      </c>
      <c r="H241">
        <v>0.99</v>
      </c>
      <c r="I241">
        <f t="shared" si="26"/>
        <v>1782</v>
      </c>
      <c r="J241" t="str">
        <f t="shared" si="27"/>
        <v>Normal</v>
      </c>
      <c r="K241">
        <f t="shared" si="28"/>
        <v>1800</v>
      </c>
      <c r="L241">
        <f t="shared" si="29"/>
        <v>18</v>
      </c>
      <c r="M241" s="2">
        <f t="shared" si="30"/>
        <v>1.0101010101010102E-2</v>
      </c>
      <c r="N241">
        <f t="shared" si="31"/>
        <v>18</v>
      </c>
    </row>
    <row r="242" spans="1:14">
      <c r="A242" s="1" cm="1">
        <f t="array" ref="A242">INDEX(tblWeeks[Week_Start],INT((ROW()-2)/20)+1)</f>
        <v>46111</v>
      </c>
      <c r="B242" t="str" cm="1">
        <f t="array" ref="B242">INDEX(tblDemandAssumptions[Customer_ID],MOD(ROW()-2,20)+1)</f>
        <v>C001</v>
      </c>
      <c r="C242" t="str" cm="1">
        <f t="array" ref="C242">INDEX(tblDemandAssumptions[Product_ID],MOD(ROW()-2,20)+1)</f>
        <v>P001</v>
      </c>
      <c r="D242" cm="1">
        <f t="array" ref="D242">INDEX(tblDemandAssumptions[Baseline_Weekly_Qty],MOD(ROW()-2,20)+1)</f>
        <v>5200</v>
      </c>
      <c r="E242">
        <f t="shared" si="24"/>
        <v>1</v>
      </c>
      <c r="F242">
        <v>1.02</v>
      </c>
      <c r="G242">
        <f t="shared" si="25"/>
        <v>5304</v>
      </c>
      <c r="H242">
        <v>0.96</v>
      </c>
      <c r="I242">
        <f t="shared" si="26"/>
        <v>4992</v>
      </c>
      <c r="J242" t="str">
        <f t="shared" si="27"/>
        <v>Normal</v>
      </c>
      <c r="K242">
        <f t="shared" si="28"/>
        <v>5304</v>
      </c>
      <c r="L242">
        <f t="shared" si="29"/>
        <v>312</v>
      </c>
      <c r="M242" s="2">
        <f t="shared" si="30"/>
        <v>6.25E-2</v>
      </c>
      <c r="N242">
        <f t="shared" si="31"/>
        <v>312</v>
      </c>
    </row>
    <row r="243" spans="1:14">
      <c r="A243" s="1" cm="1">
        <f t="array" ref="A243">INDEX(tblWeeks[Week_Start],INT((ROW()-2)/20)+1)</f>
        <v>46111</v>
      </c>
      <c r="B243" t="str" cm="1">
        <f t="array" ref="B243">INDEX(tblDemandAssumptions[Customer_ID],MOD(ROW()-2,20)+1)</f>
        <v>C001</v>
      </c>
      <c r="C243" t="str" cm="1">
        <f t="array" ref="C243">INDEX(tblDemandAssumptions[Product_ID],MOD(ROW()-2,20)+1)</f>
        <v>P002</v>
      </c>
      <c r="D243" cm="1">
        <f t="array" ref="D243">INDEX(tblDemandAssumptions[Baseline_Weekly_Qty],MOD(ROW()-2,20)+1)</f>
        <v>4100</v>
      </c>
      <c r="E243">
        <f t="shared" si="24"/>
        <v>1</v>
      </c>
      <c r="F243">
        <v>1.04</v>
      </c>
      <c r="G243">
        <f t="shared" si="25"/>
        <v>4264</v>
      </c>
      <c r="H243">
        <v>1.01</v>
      </c>
      <c r="I243">
        <f t="shared" si="26"/>
        <v>4141</v>
      </c>
      <c r="J243" t="str">
        <f t="shared" si="27"/>
        <v>Normal</v>
      </c>
      <c r="K243">
        <f t="shared" si="28"/>
        <v>4264</v>
      </c>
      <c r="L243">
        <f t="shared" si="29"/>
        <v>123</v>
      </c>
      <c r="M243" s="2">
        <f t="shared" si="30"/>
        <v>2.9702970297029702E-2</v>
      </c>
      <c r="N243">
        <f t="shared" si="31"/>
        <v>123</v>
      </c>
    </row>
    <row r="244" spans="1:14">
      <c r="A244" s="1" cm="1">
        <f t="array" ref="A244">INDEX(tblWeeks[Week_Start],INT((ROW()-2)/20)+1)</f>
        <v>46111</v>
      </c>
      <c r="B244" t="str" cm="1">
        <f t="array" ref="B244">INDEX(tblDemandAssumptions[Customer_ID],MOD(ROW()-2,20)+1)</f>
        <v>C001</v>
      </c>
      <c r="C244" t="str" cm="1">
        <f t="array" ref="C244">INDEX(tblDemandAssumptions[Product_ID],MOD(ROW()-2,20)+1)</f>
        <v>P003</v>
      </c>
      <c r="D244" cm="1">
        <f t="array" ref="D244">INDEX(tblDemandAssumptions[Baseline_Weekly_Qty],MOD(ROW()-2,20)+1)</f>
        <v>3300</v>
      </c>
      <c r="E244">
        <f t="shared" si="24"/>
        <v>1</v>
      </c>
      <c r="F244">
        <v>0.97</v>
      </c>
      <c r="G244">
        <f t="shared" si="25"/>
        <v>3201</v>
      </c>
      <c r="H244">
        <v>1.03</v>
      </c>
      <c r="I244">
        <f t="shared" si="26"/>
        <v>3399</v>
      </c>
      <c r="J244" t="str">
        <f t="shared" si="27"/>
        <v>Normal</v>
      </c>
      <c r="K244">
        <f t="shared" si="28"/>
        <v>3201</v>
      </c>
      <c r="L244">
        <f t="shared" si="29"/>
        <v>-198</v>
      </c>
      <c r="M244" s="2">
        <f t="shared" si="30"/>
        <v>-5.8252427184466021E-2</v>
      </c>
      <c r="N244">
        <f t="shared" si="31"/>
        <v>198</v>
      </c>
    </row>
    <row r="245" spans="1:14">
      <c r="A245" s="1" cm="1">
        <f t="array" ref="A245">INDEX(tblWeeks[Week_Start],INT((ROW()-2)/20)+1)</f>
        <v>46111</v>
      </c>
      <c r="B245" t="str" cm="1">
        <f t="array" ref="B245">INDEX(tblDemandAssumptions[Customer_ID],MOD(ROW()-2,20)+1)</f>
        <v>C001</v>
      </c>
      <c r="C245" t="str" cm="1">
        <f t="array" ref="C245">INDEX(tblDemandAssumptions[Product_ID],MOD(ROW()-2,20)+1)</f>
        <v>P004</v>
      </c>
      <c r="D245" cm="1">
        <f t="array" ref="D245">INDEX(tblDemandAssumptions[Baseline_Weekly_Qty],MOD(ROW()-2,20)+1)</f>
        <v>3600</v>
      </c>
      <c r="E245">
        <f t="shared" si="24"/>
        <v>1</v>
      </c>
      <c r="F245">
        <v>1.03</v>
      </c>
      <c r="G245">
        <f t="shared" si="25"/>
        <v>3708</v>
      </c>
      <c r="H245">
        <v>0.96</v>
      </c>
      <c r="I245">
        <f t="shared" si="26"/>
        <v>3456</v>
      </c>
      <c r="J245" t="str">
        <f t="shared" si="27"/>
        <v>Normal</v>
      </c>
      <c r="K245">
        <f t="shared" si="28"/>
        <v>3708</v>
      </c>
      <c r="L245">
        <f t="shared" si="29"/>
        <v>252</v>
      </c>
      <c r="M245" s="2">
        <f t="shared" si="30"/>
        <v>7.2916666666666671E-2</v>
      </c>
      <c r="N245">
        <f t="shared" si="31"/>
        <v>252</v>
      </c>
    </row>
    <row r="246" spans="1:14">
      <c r="A246" s="1" cm="1">
        <f t="array" ref="A246">INDEX(tblWeeks[Week_Start],INT((ROW()-2)/20)+1)</f>
        <v>46111</v>
      </c>
      <c r="B246" t="str" cm="1">
        <f t="array" ref="B246">INDEX(tblDemandAssumptions[Customer_ID],MOD(ROW()-2,20)+1)</f>
        <v>C001</v>
      </c>
      <c r="C246" t="str" cm="1">
        <f t="array" ref="C246">INDEX(tblDemandAssumptions[Product_ID],MOD(ROW()-2,20)+1)</f>
        <v>P005</v>
      </c>
      <c r="D246" cm="1">
        <f t="array" ref="D246">INDEX(tblDemandAssumptions[Baseline_Weekly_Qty],MOD(ROW()-2,20)+1)</f>
        <v>2800</v>
      </c>
      <c r="E246">
        <f t="shared" si="24"/>
        <v>1</v>
      </c>
      <c r="F246">
        <v>1.04</v>
      </c>
      <c r="G246">
        <f t="shared" si="25"/>
        <v>2912</v>
      </c>
      <c r="H246">
        <v>0.96</v>
      </c>
      <c r="I246">
        <f t="shared" si="26"/>
        <v>2688</v>
      </c>
      <c r="J246" t="str">
        <f t="shared" si="27"/>
        <v>Normal</v>
      </c>
      <c r="K246">
        <f t="shared" si="28"/>
        <v>2912</v>
      </c>
      <c r="L246">
        <f t="shared" si="29"/>
        <v>224</v>
      </c>
      <c r="M246" s="2">
        <f t="shared" si="30"/>
        <v>8.3333333333333329E-2</v>
      </c>
      <c r="N246">
        <f t="shared" si="31"/>
        <v>224</v>
      </c>
    </row>
    <row r="247" spans="1:14">
      <c r="A247" s="1" cm="1">
        <f t="array" ref="A247">INDEX(tblWeeks[Week_Start],INT((ROW()-2)/20)+1)</f>
        <v>46111</v>
      </c>
      <c r="B247" t="str" cm="1">
        <f t="array" ref="B247">INDEX(tblDemandAssumptions[Customer_ID],MOD(ROW()-2,20)+1)</f>
        <v>C002</v>
      </c>
      <c r="C247" t="str" cm="1">
        <f t="array" ref="C247">INDEX(tblDemandAssumptions[Product_ID],MOD(ROW()-2,20)+1)</f>
        <v>P001</v>
      </c>
      <c r="D247" cm="1">
        <f t="array" ref="D247">INDEX(tblDemandAssumptions[Baseline_Weekly_Qty],MOD(ROW()-2,20)+1)</f>
        <v>3400</v>
      </c>
      <c r="E247">
        <f t="shared" si="24"/>
        <v>1</v>
      </c>
      <c r="F247">
        <v>1.01</v>
      </c>
      <c r="G247">
        <f t="shared" si="25"/>
        <v>3434</v>
      </c>
      <c r="H247">
        <v>0.97</v>
      </c>
      <c r="I247">
        <f t="shared" si="26"/>
        <v>3298</v>
      </c>
      <c r="J247" t="str">
        <f t="shared" si="27"/>
        <v>Normal</v>
      </c>
      <c r="K247">
        <f t="shared" si="28"/>
        <v>3434</v>
      </c>
      <c r="L247">
        <f t="shared" si="29"/>
        <v>136</v>
      </c>
      <c r="M247" s="2">
        <f t="shared" si="30"/>
        <v>4.1237113402061855E-2</v>
      </c>
      <c r="N247">
        <f t="shared" si="31"/>
        <v>136</v>
      </c>
    </row>
    <row r="248" spans="1:14">
      <c r="A248" s="1" cm="1">
        <f t="array" ref="A248">INDEX(tblWeeks[Week_Start],INT((ROW()-2)/20)+1)</f>
        <v>46111</v>
      </c>
      <c r="B248" t="str" cm="1">
        <f t="array" ref="B248">INDEX(tblDemandAssumptions[Customer_ID],MOD(ROW()-2,20)+1)</f>
        <v>C002</v>
      </c>
      <c r="C248" t="str" cm="1">
        <f t="array" ref="C248">INDEX(tblDemandAssumptions[Product_ID],MOD(ROW()-2,20)+1)</f>
        <v>P002</v>
      </c>
      <c r="D248" cm="1">
        <f t="array" ref="D248">INDEX(tblDemandAssumptions[Baseline_Weekly_Qty],MOD(ROW()-2,20)+1)</f>
        <v>3200</v>
      </c>
      <c r="E248">
        <f t="shared" si="24"/>
        <v>1</v>
      </c>
      <c r="F248">
        <v>0.99</v>
      </c>
      <c r="G248">
        <f t="shared" si="25"/>
        <v>3168</v>
      </c>
      <c r="H248">
        <v>1.01</v>
      </c>
      <c r="I248">
        <f t="shared" si="26"/>
        <v>3232</v>
      </c>
      <c r="J248" t="str">
        <f t="shared" si="27"/>
        <v>Normal</v>
      </c>
      <c r="K248">
        <f t="shared" si="28"/>
        <v>3168</v>
      </c>
      <c r="L248">
        <f t="shared" si="29"/>
        <v>-64</v>
      </c>
      <c r="M248" s="2">
        <f t="shared" si="30"/>
        <v>-1.9801980198019802E-2</v>
      </c>
      <c r="N248">
        <f t="shared" si="31"/>
        <v>64</v>
      </c>
    </row>
    <row r="249" spans="1:14">
      <c r="A249" s="1" cm="1">
        <f t="array" ref="A249">INDEX(tblWeeks[Week_Start],INT((ROW()-2)/20)+1)</f>
        <v>46111</v>
      </c>
      <c r="B249" t="str" cm="1">
        <f t="array" ref="B249">INDEX(tblDemandAssumptions[Customer_ID],MOD(ROW()-2,20)+1)</f>
        <v>C002</v>
      </c>
      <c r="C249" t="str" cm="1">
        <f t="array" ref="C249">INDEX(tblDemandAssumptions[Product_ID],MOD(ROW()-2,20)+1)</f>
        <v>P003</v>
      </c>
      <c r="D249" cm="1">
        <f t="array" ref="D249">INDEX(tblDemandAssumptions[Baseline_Weekly_Qty],MOD(ROW()-2,20)+1)</f>
        <v>2600</v>
      </c>
      <c r="E249">
        <f t="shared" si="24"/>
        <v>1</v>
      </c>
      <c r="F249">
        <v>0.97</v>
      </c>
      <c r="G249">
        <f t="shared" si="25"/>
        <v>2522</v>
      </c>
      <c r="H249">
        <v>0.99</v>
      </c>
      <c r="I249">
        <f t="shared" si="26"/>
        <v>2574</v>
      </c>
      <c r="J249" t="str">
        <f t="shared" si="27"/>
        <v>Normal</v>
      </c>
      <c r="K249">
        <f t="shared" si="28"/>
        <v>2522</v>
      </c>
      <c r="L249">
        <f t="shared" si="29"/>
        <v>-52</v>
      </c>
      <c r="M249" s="2">
        <f t="shared" si="30"/>
        <v>-2.0202020202020204E-2</v>
      </c>
      <c r="N249">
        <f t="shared" si="31"/>
        <v>52</v>
      </c>
    </row>
    <row r="250" spans="1:14">
      <c r="A250" s="1" cm="1">
        <f t="array" ref="A250">INDEX(tblWeeks[Week_Start],INT((ROW()-2)/20)+1)</f>
        <v>46111</v>
      </c>
      <c r="B250" t="str" cm="1">
        <f t="array" ref="B250">INDEX(tblDemandAssumptions[Customer_ID],MOD(ROW()-2,20)+1)</f>
        <v>C002</v>
      </c>
      <c r="C250" t="str" cm="1">
        <f t="array" ref="C250">INDEX(tblDemandAssumptions[Product_ID],MOD(ROW()-2,20)+1)</f>
        <v>P004</v>
      </c>
      <c r="D250" cm="1">
        <f t="array" ref="D250">INDEX(tblDemandAssumptions[Baseline_Weekly_Qty],MOD(ROW()-2,20)+1)</f>
        <v>2900</v>
      </c>
      <c r="E250">
        <f t="shared" si="24"/>
        <v>1</v>
      </c>
      <c r="F250">
        <v>1.04</v>
      </c>
      <c r="G250">
        <f t="shared" si="25"/>
        <v>3016</v>
      </c>
      <c r="H250">
        <v>0.97</v>
      </c>
      <c r="I250">
        <f t="shared" si="26"/>
        <v>2813</v>
      </c>
      <c r="J250" t="str">
        <f t="shared" si="27"/>
        <v>Normal</v>
      </c>
      <c r="K250">
        <f t="shared" si="28"/>
        <v>3016</v>
      </c>
      <c r="L250">
        <f t="shared" si="29"/>
        <v>203</v>
      </c>
      <c r="M250" s="2">
        <f t="shared" si="30"/>
        <v>7.2164948453608241E-2</v>
      </c>
      <c r="N250">
        <f t="shared" si="31"/>
        <v>203</v>
      </c>
    </row>
    <row r="251" spans="1:14">
      <c r="A251" s="1" cm="1">
        <f t="array" ref="A251">INDEX(tblWeeks[Week_Start],INT((ROW()-2)/20)+1)</f>
        <v>46111</v>
      </c>
      <c r="B251" t="str" cm="1">
        <f t="array" ref="B251">INDEX(tblDemandAssumptions[Customer_ID],MOD(ROW()-2,20)+1)</f>
        <v>C002</v>
      </c>
      <c r="C251" t="str" cm="1">
        <f t="array" ref="C251">INDEX(tblDemandAssumptions[Product_ID],MOD(ROW()-2,20)+1)</f>
        <v>P005</v>
      </c>
      <c r="D251" cm="1">
        <f t="array" ref="D251">INDEX(tblDemandAssumptions[Baseline_Weekly_Qty],MOD(ROW()-2,20)+1)</f>
        <v>2200</v>
      </c>
      <c r="E251">
        <f t="shared" si="24"/>
        <v>1</v>
      </c>
      <c r="F251">
        <v>1.04</v>
      </c>
      <c r="G251">
        <f t="shared" si="25"/>
        <v>2288</v>
      </c>
      <c r="H251">
        <v>1</v>
      </c>
      <c r="I251">
        <f t="shared" si="26"/>
        <v>2200</v>
      </c>
      <c r="J251" t="str">
        <f t="shared" si="27"/>
        <v>Normal</v>
      </c>
      <c r="K251">
        <f t="shared" si="28"/>
        <v>2288</v>
      </c>
      <c r="L251">
        <f t="shared" si="29"/>
        <v>88</v>
      </c>
      <c r="M251" s="2">
        <f t="shared" si="30"/>
        <v>0.04</v>
      </c>
      <c r="N251">
        <f t="shared" si="31"/>
        <v>88</v>
      </c>
    </row>
    <row r="252" spans="1:14">
      <c r="A252" s="1" cm="1">
        <f t="array" ref="A252">INDEX(tblWeeks[Week_Start],INT((ROW()-2)/20)+1)</f>
        <v>46111</v>
      </c>
      <c r="B252" t="str" cm="1">
        <f t="array" ref="B252">INDEX(tblDemandAssumptions[Customer_ID],MOD(ROW()-2,20)+1)</f>
        <v>C003</v>
      </c>
      <c r="C252" t="str" cm="1">
        <f t="array" ref="C252">INDEX(tblDemandAssumptions[Product_ID],MOD(ROW()-2,20)+1)</f>
        <v>P001</v>
      </c>
      <c r="D252" cm="1">
        <f t="array" ref="D252">INDEX(tblDemandAssumptions[Baseline_Weekly_Qty],MOD(ROW()-2,20)+1)</f>
        <v>3000</v>
      </c>
      <c r="E252">
        <f t="shared" si="24"/>
        <v>1</v>
      </c>
      <c r="F252">
        <v>1.04</v>
      </c>
      <c r="G252">
        <f t="shared" si="25"/>
        <v>3120</v>
      </c>
      <c r="H252">
        <v>0.98</v>
      </c>
      <c r="I252">
        <f t="shared" si="26"/>
        <v>2940</v>
      </c>
      <c r="J252" t="str">
        <f t="shared" si="27"/>
        <v>Normal</v>
      </c>
      <c r="K252">
        <f t="shared" si="28"/>
        <v>3120</v>
      </c>
      <c r="L252">
        <f t="shared" si="29"/>
        <v>180</v>
      </c>
      <c r="M252" s="2">
        <f t="shared" si="30"/>
        <v>6.1224489795918366E-2</v>
      </c>
      <c r="N252">
        <f t="shared" si="31"/>
        <v>180</v>
      </c>
    </row>
    <row r="253" spans="1:14">
      <c r="A253" s="1" cm="1">
        <f t="array" ref="A253">INDEX(tblWeeks[Week_Start],INT((ROW()-2)/20)+1)</f>
        <v>46111</v>
      </c>
      <c r="B253" t="str" cm="1">
        <f t="array" ref="B253">INDEX(tblDemandAssumptions[Customer_ID],MOD(ROW()-2,20)+1)</f>
        <v>C003</v>
      </c>
      <c r="C253" t="str" cm="1">
        <f t="array" ref="C253">INDEX(tblDemandAssumptions[Product_ID],MOD(ROW()-2,20)+1)</f>
        <v>P002</v>
      </c>
      <c r="D253" cm="1">
        <f t="array" ref="D253">INDEX(tblDemandAssumptions[Baseline_Weekly_Qty],MOD(ROW()-2,20)+1)</f>
        <v>2700</v>
      </c>
      <c r="E253">
        <f t="shared" si="24"/>
        <v>1</v>
      </c>
      <c r="F253">
        <v>1.05</v>
      </c>
      <c r="G253">
        <f t="shared" si="25"/>
        <v>2835</v>
      </c>
      <c r="H253">
        <v>0.97</v>
      </c>
      <c r="I253">
        <f t="shared" si="26"/>
        <v>2619</v>
      </c>
      <c r="J253" t="str">
        <f t="shared" si="27"/>
        <v>Normal</v>
      </c>
      <c r="K253">
        <f t="shared" si="28"/>
        <v>2835</v>
      </c>
      <c r="L253">
        <f t="shared" si="29"/>
        <v>216</v>
      </c>
      <c r="M253" s="2">
        <f t="shared" si="30"/>
        <v>8.247422680412371E-2</v>
      </c>
      <c r="N253">
        <f t="shared" si="31"/>
        <v>216</v>
      </c>
    </row>
    <row r="254" spans="1:14">
      <c r="A254" s="1" cm="1">
        <f t="array" ref="A254">INDEX(tblWeeks[Week_Start],INT((ROW()-2)/20)+1)</f>
        <v>46111</v>
      </c>
      <c r="B254" t="str" cm="1">
        <f t="array" ref="B254">INDEX(tblDemandAssumptions[Customer_ID],MOD(ROW()-2,20)+1)</f>
        <v>C003</v>
      </c>
      <c r="C254" t="str" cm="1">
        <f t="array" ref="C254">INDEX(tblDemandAssumptions[Product_ID],MOD(ROW()-2,20)+1)</f>
        <v>P003</v>
      </c>
      <c r="D254" cm="1">
        <f t="array" ref="D254">INDEX(tblDemandAssumptions[Baseline_Weekly_Qty],MOD(ROW()-2,20)+1)</f>
        <v>2800</v>
      </c>
      <c r="E254">
        <f t="shared" si="24"/>
        <v>1</v>
      </c>
      <c r="F254">
        <v>0.97</v>
      </c>
      <c r="G254">
        <f t="shared" si="25"/>
        <v>2716</v>
      </c>
      <c r="H254">
        <v>1.03</v>
      </c>
      <c r="I254">
        <f t="shared" si="26"/>
        <v>2884</v>
      </c>
      <c r="J254" t="str">
        <f t="shared" si="27"/>
        <v>Normal</v>
      </c>
      <c r="K254">
        <f t="shared" si="28"/>
        <v>2716</v>
      </c>
      <c r="L254">
        <f t="shared" si="29"/>
        <v>-168</v>
      </c>
      <c r="M254" s="2">
        <f t="shared" si="30"/>
        <v>-5.8252427184466021E-2</v>
      </c>
      <c r="N254">
        <f t="shared" si="31"/>
        <v>168</v>
      </c>
    </row>
    <row r="255" spans="1:14">
      <c r="A255" s="1" cm="1">
        <f t="array" ref="A255">INDEX(tblWeeks[Week_Start],INT((ROW()-2)/20)+1)</f>
        <v>46111</v>
      </c>
      <c r="B255" t="str" cm="1">
        <f t="array" ref="B255">INDEX(tblDemandAssumptions[Customer_ID],MOD(ROW()-2,20)+1)</f>
        <v>C003</v>
      </c>
      <c r="C255" t="str" cm="1">
        <f t="array" ref="C255">INDEX(tblDemandAssumptions[Product_ID],MOD(ROW()-2,20)+1)</f>
        <v>P004</v>
      </c>
      <c r="D255" cm="1">
        <f t="array" ref="D255">INDEX(tblDemandAssumptions[Baseline_Weekly_Qty],MOD(ROW()-2,20)+1)</f>
        <v>2400</v>
      </c>
      <c r="E255">
        <f t="shared" si="24"/>
        <v>1</v>
      </c>
      <c r="F255">
        <v>1.01</v>
      </c>
      <c r="G255">
        <f t="shared" si="25"/>
        <v>2424</v>
      </c>
      <c r="H255">
        <v>1</v>
      </c>
      <c r="I255">
        <f t="shared" si="26"/>
        <v>2400</v>
      </c>
      <c r="J255" t="str">
        <f t="shared" si="27"/>
        <v>Normal</v>
      </c>
      <c r="K255">
        <f t="shared" si="28"/>
        <v>2424</v>
      </c>
      <c r="L255">
        <f t="shared" si="29"/>
        <v>24</v>
      </c>
      <c r="M255" s="2">
        <f t="shared" si="30"/>
        <v>0.01</v>
      </c>
      <c r="N255">
        <f t="shared" si="31"/>
        <v>24</v>
      </c>
    </row>
    <row r="256" spans="1:14">
      <c r="A256" s="1" cm="1">
        <f t="array" ref="A256">INDEX(tblWeeks[Week_Start],INT((ROW()-2)/20)+1)</f>
        <v>46111</v>
      </c>
      <c r="B256" t="str" cm="1">
        <f t="array" ref="B256">INDEX(tblDemandAssumptions[Customer_ID],MOD(ROW()-2,20)+1)</f>
        <v>C003</v>
      </c>
      <c r="C256" t="str" cm="1">
        <f t="array" ref="C256">INDEX(tblDemandAssumptions[Product_ID],MOD(ROW()-2,20)+1)</f>
        <v>P005</v>
      </c>
      <c r="D256" cm="1">
        <f t="array" ref="D256">INDEX(tblDemandAssumptions[Baseline_Weekly_Qty],MOD(ROW()-2,20)+1)</f>
        <v>1900</v>
      </c>
      <c r="E256">
        <f t="shared" si="24"/>
        <v>1</v>
      </c>
      <c r="F256">
        <v>0.96</v>
      </c>
      <c r="G256">
        <f t="shared" si="25"/>
        <v>1824</v>
      </c>
      <c r="H256">
        <v>0.97</v>
      </c>
      <c r="I256">
        <f t="shared" si="26"/>
        <v>1843</v>
      </c>
      <c r="J256" t="str">
        <f t="shared" si="27"/>
        <v>Normal</v>
      </c>
      <c r="K256">
        <f t="shared" si="28"/>
        <v>1824</v>
      </c>
      <c r="L256">
        <f t="shared" si="29"/>
        <v>-19</v>
      </c>
      <c r="M256" s="2">
        <f t="shared" si="30"/>
        <v>-1.0309278350515464E-2</v>
      </c>
      <c r="N256">
        <f t="shared" si="31"/>
        <v>19</v>
      </c>
    </row>
    <row r="257" spans="1:14">
      <c r="A257" s="1" cm="1">
        <f t="array" ref="A257">INDEX(tblWeeks[Week_Start],INT((ROW()-2)/20)+1)</f>
        <v>46111</v>
      </c>
      <c r="B257" t="str" cm="1">
        <f t="array" ref="B257">INDEX(tblDemandAssumptions[Customer_ID],MOD(ROW()-2,20)+1)</f>
        <v>C004</v>
      </c>
      <c r="C257" t="str" cm="1">
        <f t="array" ref="C257">INDEX(tblDemandAssumptions[Product_ID],MOD(ROW()-2,20)+1)</f>
        <v>P001</v>
      </c>
      <c r="D257" cm="1">
        <f t="array" ref="D257">INDEX(tblDemandAssumptions[Baseline_Weekly_Qty],MOD(ROW()-2,20)+1)</f>
        <v>2700</v>
      </c>
      <c r="E257">
        <f t="shared" si="24"/>
        <v>1</v>
      </c>
      <c r="F257">
        <v>1.02</v>
      </c>
      <c r="G257">
        <f t="shared" si="25"/>
        <v>2754</v>
      </c>
      <c r="H257">
        <v>1.02</v>
      </c>
      <c r="I257">
        <f t="shared" si="26"/>
        <v>2754</v>
      </c>
      <c r="J257" t="str">
        <f t="shared" si="27"/>
        <v>Normal</v>
      </c>
      <c r="K257">
        <f t="shared" si="28"/>
        <v>2754</v>
      </c>
      <c r="L257">
        <f t="shared" si="29"/>
        <v>0</v>
      </c>
      <c r="M257" s="2">
        <f t="shared" si="30"/>
        <v>0</v>
      </c>
      <c r="N257">
        <f t="shared" si="31"/>
        <v>0</v>
      </c>
    </row>
    <row r="258" spans="1:14">
      <c r="A258" s="1" cm="1">
        <f t="array" ref="A258">INDEX(tblWeeks[Week_Start],INT((ROW()-2)/20)+1)</f>
        <v>46111</v>
      </c>
      <c r="B258" t="str" cm="1">
        <f t="array" ref="B258">INDEX(tblDemandAssumptions[Customer_ID],MOD(ROW()-2,20)+1)</f>
        <v>C004</v>
      </c>
      <c r="C258" t="str" cm="1">
        <f t="array" ref="C258">INDEX(tblDemandAssumptions[Product_ID],MOD(ROW()-2,20)+1)</f>
        <v>P002</v>
      </c>
      <c r="D258" cm="1">
        <f t="array" ref="D258">INDEX(tblDemandAssumptions[Baseline_Weekly_Qty],MOD(ROW()-2,20)+1)</f>
        <v>2400</v>
      </c>
      <c r="E258">
        <f t="shared" ref="E258:E321" si="32">IF(MONTH(A258)&lt;=2,0.95,IF(MONTH(A258)&lt;=4,1,IF(MONTH(A258)&lt;=6,1.05,IF(MONTH(A258)&lt;=8,1.1,IF(MONTH(A258)&lt;=10,1,IF(MONTH(A258)=11,1.05,1.2))))))</f>
        <v>1</v>
      </c>
      <c r="F258">
        <v>0.96</v>
      </c>
      <c r="G258">
        <f t="shared" ref="G258:G321" si="33">ROUND(D258*E258*F258,0)</f>
        <v>2304</v>
      </c>
      <c r="H258">
        <v>0.99</v>
      </c>
      <c r="I258">
        <f t="shared" ref="I258:I321" si="34">ROUND(D258*E258*H258,0)</f>
        <v>2376</v>
      </c>
      <c r="J258" t="str">
        <f t="shared" ref="J258:J321" si="35">IF(AND(A258=DATE(2026,3,16),B258="C001",C258="P001"),"Promotion_Demand_Spike",IF(AND(A258=DATE(2026,6,8),B258="C002",C258="P004"),"Under_Forecast",IF(AND(A258=DATE(2026,7,20),B258="C003",C258="P003"),"Over_Forecast","Normal")))</f>
        <v>Normal</v>
      </c>
      <c r="K258">
        <f t="shared" ref="K258:K321" si="36">IF(J258="Promotion_Demand_Spike",ROUND(G258*1.35,0),IF(J258="Under_Forecast",ROUND(I258*1.25,0),IF(J258="Over_Forecast",ROUND(I258*0.72,0),G258)))</f>
        <v>2304</v>
      </c>
      <c r="L258">
        <f t="shared" ref="L258:L321" si="37">K258-I258</f>
        <v>-72</v>
      </c>
      <c r="M258" s="2">
        <f t="shared" ref="M258:M321" si="38">IF(I258=0,0,L258/I258)</f>
        <v>-3.0303030303030304E-2</v>
      </c>
      <c r="N258">
        <f t="shared" ref="N258:N321" si="39">ABS(L258)</f>
        <v>72</v>
      </c>
    </row>
    <row r="259" spans="1:14">
      <c r="A259" s="1" cm="1">
        <f t="array" ref="A259">INDEX(tblWeeks[Week_Start],INT((ROW()-2)/20)+1)</f>
        <v>46111</v>
      </c>
      <c r="B259" t="str" cm="1">
        <f t="array" ref="B259">INDEX(tblDemandAssumptions[Customer_ID],MOD(ROW()-2,20)+1)</f>
        <v>C004</v>
      </c>
      <c r="C259" t="str" cm="1">
        <f t="array" ref="C259">INDEX(tblDemandAssumptions[Product_ID],MOD(ROW()-2,20)+1)</f>
        <v>P003</v>
      </c>
      <c r="D259" cm="1">
        <f t="array" ref="D259">INDEX(tblDemandAssumptions[Baseline_Weekly_Qty],MOD(ROW()-2,20)+1)</f>
        <v>2100</v>
      </c>
      <c r="E259">
        <f t="shared" si="32"/>
        <v>1</v>
      </c>
      <c r="F259">
        <v>0.95</v>
      </c>
      <c r="G259">
        <f t="shared" si="33"/>
        <v>1995</v>
      </c>
      <c r="H259">
        <v>1</v>
      </c>
      <c r="I259">
        <f t="shared" si="34"/>
        <v>2100</v>
      </c>
      <c r="J259" t="str">
        <f t="shared" si="35"/>
        <v>Normal</v>
      </c>
      <c r="K259">
        <f t="shared" si="36"/>
        <v>1995</v>
      </c>
      <c r="L259">
        <f t="shared" si="37"/>
        <v>-105</v>
      </c>
      <c r="M259" s="2">
        <f t="shared" si="38"/>
        <v>-0.05</v>
      </c>
      <c r="N259">
        <f t="shared" si="39"/>
        <v>105</v>
      </c>
    </row>
    <row r="260" spans="1:14">
      <c r="A260" s="1" cm="1">
        <f t="array" ref="A260">INDEX(tblWeeks[Week_Start],INT((ROW()-2)/20)+1)</f>
        <v>46111</v>
      </c>
      <c r="B260" t="str" cm="1">
        <f t="array" ref="B260">INDEX(tblDemandAssumptions[Customer_ID],MOD(ROW()-2,20)+1)</f>
        <v>C004</v>
      </c>
      <c r="C260" t="str" cm="1">
        <f t="array" ref="C260">INDEX(tblDemandAssumptions[Product_ID],MOD(ROW()-2,20)+1)</f>
        <v>P004</v>
      </c>
      <c r="D260" cm="1">
        <f t="array" ref="D260">INDEX(tblDemandAssumptions[Baseline_Weekly_Qty],MOD(ROW()-2,20)+1)</f>
        <v>2600</v>
      </c>
      <c r="E260">
        <f t="shared" si="32"/>
        <v>1</v>
      </c>
      <c r="F260">
        <v>0.96</v>
      </c>
      <c r="G260">
        <f t="shared" si="33"/>
        <v>2496</v>
      </c>
      <c r="H260">
        <v>1.04</v>
      </c>
      <c r="I260">
        <f t="shared" si="34"/>
        <v>2704</v>
      </c>
      <c r="J260" t="str">
        <f t="shared" si="35"/>
        <v>Normal</v>
      </c>
      <c r="K260">
        <f t="shared" si="36"/>
        <v>2496</v>
      </c>
      <c r="L260">
        <f t="shared" si="37"/>
        <v>-208</v>
      </c>
      <c r="M260" s="2">
        <f t="shared" si="38"/>
        <v>-7.6923076923076927E-2</v>
      </c>
      <c r="N260">
        <f t="shared" si="39"/>
        <v>208</v>
      </c>
    </row>
    <row r="261" spans="1:14">
      <c r="A261" s="1" cm="1">
        <f t="array" ref="A261">INDEX(tblWeeks[Week_Start],INT((ROW()-2)/20)+1)</f>
        <v>46111</v>
      </c>
      <c r="B261" t="str" cm="1">
        <f t="array" ref="B261">INDEX(tblDemandAssumptions[Customer_ID],MOD(ROW()-2,20)+1)</f>
        <v>C004</v>
      </c>
      <c r="C261" t="str" cm="1">
        <f t="array" ref="C261">INDEX(tblDemandAssumptions[Product_ID],MOD(ROW()-2,20)+1)</f>
        <v>P005</v>
      </c>
      <c r="D261" cm="1">
        <f t="array" ref="D261">INDEX(tblDemandAssumptions[Baseline_Weekly_Qty],MOD(ROW()-2,20)+1)</f>
        <v>1800</v>
      </c>
      <c r="E261">
        <f t="shared" si="32"/>
        <v>1</v>
      </c>
      <c r="F261">
        <v>0.98</v>
      </c>
      <c r="G261">
        <f t="shared" si="33"/>
        <v>1764</v>
      </c>
      <c r="H261">
        <v>1</v>
      </c>
      <c r="I261">
        <f t="shared" si="34"/>
        <v>1800</v>
      </c>
      <c r="J261" t="str">
        <f t="shared" si="35"/>
        <v>Normal</v>
      </c>
      <c r="K261">
        <f t="shared" si="36"/>
        <v>1764</v>
      </c>
      <c r="L261">
        <f t="shared" si="37"/>
        <v>-36</v>
      </c>
      <c r="M261" s="2">
        <f t="shared" si="38"/>
        <v>-0.02</v>
      </c>
      <c r="N261">
        <f t="shared" si="39"/>
        <v>36</v>
      </c>
    </row>
    <row r="262" spans="1:14">
      <c r="A262" s="1" cm="1">
        <f t="array" ref="A262">INDEX(tblWeeks[Week_Start],INT((ROW()-2)/20)+1)</f>
        <v>46118</v>
      </c>
      <c r="B262" t="str" cm="1">
        <f t="array" ref="B262">INDEX(tblDemandAssumptions[Customer_ID],MOD(ROW()-2,20)+1)</f>
        <v>C001</v>
      </c>
      <c r="C262" t="str" cm="1">
        <f t="array" ref="C262">INDEX(tblDemandAssumptions[Product_ID],MOD(ROW()-2,20)+1)</f>
        <v>P001</v>
      </c>
      <c r="D262" cm="1">
        <f t="array" ref="D262">INDEX(tblDemandAssumptions[Baseline_Weekly_Qty],MOD(ROW()-2,20)+1)</f>
        <v>5200</v>
      </c>
      <c r="E262">
        <f t="shared" si="32"/>
        <v>1</v>
      </c>
      <c r="F262">
        <v>0.96</v>
      </c>
      <c r="G262">
        <f t="shared" si="33"/>
        <v>4992</v>
      </c>
      <c r="H262">
        <v>1.01</v>
      </c>
      <c r="I262">
        <f t="shared" si="34"/>
        <v>5252</v>
      </c>
      <c r="J262" t="str">
        <f t="shared" si="35"/>
        <v>Normal</v>
      </c>
      <c r="K262">
        <f t="shared" si="36"/>
        <v>4992</v>
      </c>
      <c r="L262">
        <f t="shared" si="37"/>
        <v>-260</v>
      </c>
      <c r="M262" s="2">
        <f t="shared" si="38"/>
        <v>-4.9504950495049507E-2</v>
      </c>
      <c r="N262">
        <f t="shared" si="39"/>
        <v>260</v>
      </c>
    </row>
    <row r="263" spans="1:14">
      <c r="A263" s="1" cm="1">
        <f t="array" ref="A263">INDEX(tblWeeks[Week_Start],INT((ROW()-2)/20)+1)</f>
        <v>46118</v>
      </c>
      <c r="B263" t="str" cm="1">
        <f t="array" ref="B263">INDEX(tblDemandAssumptions[Customer_ID],MOD(ROW()-2,20)+1)</f>
        <v>C001</v>
      </c>
      <c r="C263" t="str" cm="1">
        <f t="array" ref="C263">INDEX(tblDemandAssumptions[Product_ID],MOD(ROW()-2,20)+1)</f>
        <v>P002</v>
      </c>
      <c r="D263" cm="1">
        <f t="array" ref="D263">INDEX(tblDemandAssumptions[Baseline_Weekly_Qty],MOD(ROW()-2,20)+1)</f>
        <v>4100</v>
      </c>
      <c r="E263">
        <f t="shared" si="32"/>
        <v>1</v>
      </c>
      <c r="F263">
        <v>0.95</v>
      </c>
      <c r="G263">
        <f t="shared" si="33"/>
        <v>3895</v>
      </c>
      <c r="H263">
        <v>1.04</v>
      </c>
      <c r="I263">
        <f t="shared" si="34"/>
        <v>4264</v>
      </c>
      <c r="J263" t="str">
        <f t="shared" si="35"/>
        <v>Normal</v>
      </c>
      <c r="K263">
        <f t="shared" si="36"/>
        <v>3895</v>
      </c>
      <c r="L263">
        <f t="shared" si="37"/>
        <v>-369</v>
      </c>
      <c r="M263" s="2">
        <f t="shared" si="38"/>
        <v>-8.6538461538461536E-2</v>
      </c>
      <c r="N263">
        <f t="shared" si="39"/>
        <v>369</v>
      </c>
    </row>
    <row r="264" spans="1:14">
      <c r="A264" s="1" cm="1">
        <f t="array" ref="A264">INDEX(tblWeeks[Week_Start],INT((ROW()-2)/20)+1)</f>
        <v>46118</v>
      </c>
      <c r="B264" t="str" cm="1">
        <f t="array" ref="B264">INDEX(tblDemandAssumptions[Customer_ID],MOD(ROW()-2,20)+1)</f>
        <v>C001</v>
      </c>
      <c r="C264" t="str" cm="1">
        <f t="array" ref="C264">INDEX(tblDemandAssumptions[Product_ID],MOD(ROW()-2,20)+1)</f>
        <v>P003</v>
      </c>
      <c r="D264" cm="1">
        <f t="array" ref="D264">INDEX(tblDemandAssumptions[Baseline_Weekly_Qty],MOD(ROW()-2,20)+1)</f>
        <v>3300</v>
      </c>
      <c r="E264">
        <f t="shared" si="32"/>
        <v>1</v>
      </c>
      <c r="F264">
        <v>1.01</v>
      </c>
      <c r="G264">
        <f t="shared" si="33"/>
        <v>3333</v>
      </c>
      <c r="H264">
        <v>1</v>
      </c>
      <c r="I264">
        <f t="shared" si="34"/>
        <v>3300</v>
      </c>
      <c r="J264" t="str">
        <f t="shared" si="35"/>
        <v>Normal</v>
      </c>
      <c r="K264">
        <f t="shared" si="36"/>
        <v>3333</v>
      </c>
      <c r="L264">
        <f t="shared" si="37"/>
        <v>33</v>
      </c>
      <c r="M264" s="2">
        <f t="shared" si="38"/>
        <v>0.01</v>
      </c>
      <c r="N264">
        <f t="shared" si="39"/>
        <v>33</v>
      </c>
    </row>
    <row r="265" spans="1:14">
      <c r="A265" s="1" cm="1">
        <f t="array" ref="A265">INDEX(tblWeeks[Week_Start],INT((ROW()-2)/20)+1)</f>
        <v>46118</v>
      </c>
      <c r="B265" t="str" cm="1">
        <f t="array" ref="B265">INDEX(tblDemandAssumptions[Customer_ID],MOD(ROW()-2,20)+1)</f>
        <v>C001</v>
      </c>
      <c r="C265" t="str" cm="1">
        <f t="array" ref="C265">INDEX(tblDemandAssumptions[Product_ID],MOD(ROW()-2,20)+1)</f>
        <v>P004</v>
      </c>
      <c r="D265" cm="1">
        <f t="array" ref="D265">INDEX(tblDemandAssumptions[Baseline_Weekly_Qty],MOD(ROW()-2,20)+1)</f>
        <v>3600</v>
      </c>
      <c r="E265">
        <f t="shared" si="32"/>
        <v>1</v>
      </c>
      <c r="F265">
        <v>1.01</v>
      </c>
      <c r="G265">
        <f t="shared" si="33"/>
        <v>3636</v>
      </c>
      <c r="H265">
        <v>0.96</v>
      </c>
      <c r="I265">
        <f t="shared" si="34"/>
        <v>3456</v>
      </c>
      <c r="J265" t="str">
        <f t="shared" si="35"/>
        <v>Normal</v>
      </c>
      <c r="K265">
        <f t="shared" si="36"/>
        <v>3636</v>
      </c>
      <c r="L265">
        <f t="shared" si="37"/>
        <v>180</v>
      </c>
      <c r="M265" s="2">
        <f t="shared" si="38"/>
        <v>5.2083333333333336E-2</v>
      </c>
      <c r="N265">
        <f t="shared" si="39"/>
        <v>180</v>
      </c>
    </row>
    <row r="266" spans="1:14">
      <c r="A266" s="1" cm="1">
        <f t="array" ref="A266">INDEX(tblWeeks[Week_Start],INT((ROW()-2)/20)+1)</f>
        <v>46118</v>
      </c>
      <c r="B266" t="str" cm="1">
        <f t="array" ref="B266">INDEX(tblDemandAssumptions[Customer_ID],MOD(ROW()-2,20)+1)</f>
        <v>C001</v>
      </c>
      <c r="C266" t="str" cm="1">
        <f t="array" ref="C266">INDEX(tblDemandAssumptions[Product_ID],MOD(ROW()-2,20)+1)</f>
        <v>P005</v>
      </c>
      <c r="D266" cm="1">
        <f t="array" ref="D266">INDEX(tblDemandAssumptions[Baseline_Weekly_Qty],MOD(ROW()-2,20)+1)</f>
        <v>2800</v>
      </c>
      <c r="E266">
        <f t="shared" si="32"/>
        <v>1</v>
      </c>
      <c r="F266">
        <v>1.01</v>
      </c>
      <c r="G266">
        <f t="shared" si="33"/>
        <v>2828</v>
      </c>
      <c r="H266">
        <v>1.01</v>
      </c>
      <c r="I266">
        <f t="shared" si="34"/>
        <v>2828</v>
      </c>
      <c r="J266" t="str">
        <f t="shared" si="35"/>
        <v>Normal</v>
      </c>
      <c r="K266">
        <f t="shared" si="36"/>
        <v>2828</v>
      </c>
      <c r="L266">
        <f t="shared" si="37"/>
        <v>0</v>
      </c>
      <c r="M266" s="2">
        <f t="shared" si="38"/>
        <v>0</v>
      </c>
      <c r="N266">
        <f t="shared" si="39"/>
        <v>0</v>
      </c>
    </row>
    <row r="267" spans="1:14">
      <c r="A267" s="1" cm="1">
        <f t="array" ref="A267">INDEX(tblWeeks[Week_Start],INT((ROW()-2)/20)+1)</f>
        <v>46118</v>
      </c>
      <c r="B267" t="str" cm="1">
        <f t="array" ref="B267">INDEX(tblDemandAssumptions[Customer_ID],MOD(ROW()-2,20)+1)</f>
        <v>C002</v>
      </c>
      <c r="C267" t="str" cm="1">
        <f t="array" ref="C267">INDEX(tblDemandAssumptions[Product_ID],MOD(ROW()-2,20)+1)</f>
        <v>P001</v>
      </c>
      <c r="D267" cm="1">
        <f t="array" ref="D267">INDEX(tblDemandAssumptions[Baseline_Weekly_Qty],MOD(ROW()-2,20)+1)</f>
        <v>3400</v>
      </c>
      <c r="E267">
        <f t="shared" si="32"/>
        <v>1</v>
      </c>
      <c r="F267">
        <v>0.98</v>
      </c>
      <c r="G267">
        <f t="shared" si="33"/>
        <v>3332</v>
      </c>
      <c r="H267">
        <v>1.01</v>
      </c>
      <c r="I267">
        <f t="shared" si="34"/>
        <v>3434</v>
      </c>
      <c r="J267" t="str">
        <f t="shared" si="35"/>
        <v>Normal</v>
      </c>
      <c r="K267">
        <f t="shared" si="36"/>
        <v>3332</v>
      </c>
      <c r="L267">
        <f t="shared" si="37"/>
        <v>-102</v>
      </c>
      <c r="M267" s="2">
        <f t="shared" si="38"/>
        <v>-2.9702970297029702E-2</v>
      </c>
      <c r="N267">
        <f t="shared" si="39"/>
        <v>102</v>
      </c>
    </row>
    <row r="268" spans="1:14">
      <c r="A268" s="1" cm="1">
        <f t="array" ref="A268">INDEX(tblWeeks[Week_Start],INT((ROW()-2)/20)+1)</f>
        <v>46118</v>
      </c>
      <c r="B268" t="str" cm="1">
        <f t="array" ref="B268">INDEX(tblDemandAssumptions[Customer_ID],MOD(ROW()-2,20)+1)</f>
        <v>C002</v>
      </c>
      <c r="C268" t="str" cm="1">
        <f t="array" ref="C268">INDEX(tblDemandAssumptions[Product_ID],MOD(ROW()-2,20)+1)</f>
        <v>P002</v>
      </c>
      <c r="D268" cm="1">
        <f t="array" ref="D268">INDEX(tblDemandAssumptions[Baseline_Weekly_Qty],MOD(ROW()-2,20)+1)</f>
        <v>3200</v>
      </c>
      <c r="E268">
        <f t="shared" si="32"/>
        <v>1</v>
      </c>
      <c r="F268">
        <v>1.03</v>
      </c>
      <c r="G268">
        <f t="shared" si="33"/>
        <v>3296</v>
      </c>
      <c r="H268">
        <v>1.01</v>
      </c>
      <c r="I268">
        <f t="shared" si="34"/>
        <v>3232</v>
      </c>
      <c r="J268" t="str">
        <f t="shared" si="35"/>
        <v>Normal</v>
      </c>
      <c r="K268">
        <f t="shared" si="36"/>
        <v>3296</v>
      </c>
      <c r="L268">
        <f t="shared" si="37"/>
        <v>64</v>
      </c>
      <c r="M268" s="2">
        <f t="shared" si="38"/>
        <v>1.9801980198019802E-2</v>
      </c>
      <c r="N268">
        <f t="shared" si="39"/>
        <v>64</v>
      </c>
    </row>
    <row r="269" spans="1:14">
      <c r="A269" s="1" cm="1">
        <f t="array" ref="A269">INDEX(tblWeeks[Week_Start],INT((ROW()-2)/20)+1)</f>
        <v>46118</v>
      </c>
      <c r="B269" t="str" cm="1">
        <f t="array" ref="B269">INDEX(tblDemandAssumptions[Customer_ID],MOD(ROW()-2,20)+1)</f>
        <v>C002</v>
      </c>
      <c r="C269" t="str" cm="1">
        <f t="array" ref="C269">INDEX(tblDemandAssumptions[Product_ID],MOD(ROW()-2,20)+1)</f>
        <v>P003</v>
      </c>
      <c r="D269" cm="1">
        <f t="array" ref="D269">INDEX(tblDemandAssumptions[Baseline_Weekly_Qty],MOD(ROW()-2,20)+1)</f>
        <v>2600</v>
      </c>
      <c r="E269">
        <f t="shared" si="32"/>
        <v>1</v>
      </c>
      <c r="F269">
        <v>0.98</v>
      </c>
      <c r="G269">
        <f t="shared" si="33"/>
        <v>2548</v>
      </c>
      <c r="H269">
        <v>1.01</v>
      </c>
      <c r="I269">
        <f t="shared" si="34"/>
        <v>2626</v>
      </c>
      <c r="J269" t="str">
        <f t="shared" si="35"/>
        <v>Normal</v>
      </c>
      <c r="K269">
        <f t="shared" si="36"/>
        <v>2548</v>
      </c>
      <c r="L269">
        <f t="shared" si="37"/>
        <v>-78</v>
      </c>
      <c r="M269" s="2">
        <f t="shared" si="38"/>
        <v>-2.9702970297029702E-2</v>
      </c>
      <c r="N269">
        <f t="shared" si="39"/>
        <v>78</v>
      </c>
    </row>
    <row r="270" spans="1:14">
      <c r="A270" s="1" cm="1">
        <f t="array" ref="A270">INDEX(tblWeeks[Week_Start],INT((ROW()-2)/20)+1)</f>
        <v>46118</v>
      </c>
      <c r="B270" t="str" cm="1">
        <f t="array" ref="B270">INDEX(tblDemandAssumptions[Customer_ID],MOD(ROW()-2,20)+1)</f>
        <v>C002</v>
      </c>
      <c r="C270" t="str" cm="1">
        <f t="array" ref="C270">INDEX(tblDemandAssumptions[Product_ID],MOD(ROW()-2,20)+1)</f>
        <v>P004</v>
      </c>
      <c r="D270" cm="1">
        <f t="array" ref="D270">INDEX(tblDemandAssumptions[Baseline_Weekly_Qty],MOD(ROW()-2,20)+1)</f>
        <v>2900</v>
      </c>
      <c r="E270">
        <f t="shared" si="32"/>
        <v>1</v>
      </c>
      <c r="F270">
        <v>0.96</v>
      </c>
      <c r="G270">
        <f t="shared" si="33"/>
        <v>2784</v>
      </c>
      <c r="H270">
        <v>1.03</v>
      </c>
      <c r="I270">
        <f t="shared" si="34"/>
        <v>2987</v>
      </c>
      <c r="J270" t="str">
        <f t="shared" si="35"/>
        <v>Normal</v>
      </c>
      <c r="K270">
        <f t="shared" si="36"/>
        <v>2784</v>
      </c>
      <c r="L270">
        <f t="shared" si="37"/>
        <v>-203</v>
      </c>
      <c r="M270" s="2">
        <f t="shared" si="38"/>
        <v>-6.7961165048543687E-2</v>
      </c>
      <c r="N270">
        <f t="shared" si="39"/>
        <v>203</v>
      </c>
    </row>
    <row r="271" spans="1:14">
      <c r="A271" s="1" cm="1">
        <f t="array" ref="A271">INDEX(tblWeeks[Week_Start],INT((ROW()-2)/20)+1)</f>
        <v>46118</v>
      </c>
      <c r="B271" t="str" cm="1">
        <f t="array" ref="B271">INDEX(tblDemandAssumptions[Customer_ID],MOD(ROW()-2,20)+1)</f>
        <v>C002</v>
      </c>
      <c r="C271" t="str" cm="1">
        <f t="array" ref="C271">INDEX(tblDemandAssumptions[Product_ID],MOD(ROW()-2,20)+1)</f>
        <v>P005</v>
      </c>
      <c r="D271" cm="1">
        <f t="array" ref="D271">INDEX(tblDemandAssumptions[Baseline_Weekly_Qty],MOD(ROW()-2,20)+1)</f>
        <v>2200</v>
      </c>
      <c r="E271">
        <f t="shared" si="32"/>
        <v>1</v>
      </c>
      <c r="F271">
        <v>0.96</v>
      </c>
      <c r="G271">
        <f t="shared" si="33"/>
        <v>2112</v>
      </c>
      <c r="H271">
        <v>1</v>
      </c>
      <c r="I271">
        <f t="shared" si="34"/>
        <v>2200</v>
      </c>
      <c r="J271" t="str">
        <f t="shared" si="35"/>
        <v>Normal</v>
      </c>
      <c r="K271">
        <f t="shared" si="36"/>
        <v>2112</v>
      </c>
      <c r="L271">
        <f t="shared" si="37"/>
        <v>-88</v>
      </c>
      <c r="M271" s="2">
        <f t="shared" si="38"/>
        <v>-0.04</v>
      </c>
      <c r="N271">
        <f t="shared" si="39"/>
        <v>88</v>
      </c>
    </row>
    <row r="272" spans="1:14">
      <c r="A272" s="1" cm="1">
        <f t="array" ref="A272">INDEX(tblWeeks[Week_Start],INT((ROW()-2)/20)+1)</f>
        <v>46118</v>
      </c>
      <c r="B272" t="str" cm="1">
        <f t="array" ref="B272">INDEX(tblDemandAssumptions[Customer_ID],MOD(ROW()-2,20)+1)</f>
        <v>C003</v>
      </c>
      <c r="C272" t="str" cm="1">
        <f t="array" ref="C272">INDEX(tblDemandAssumptions[Product_ID],MOD(ROW()-2,20)+1)</f>
        <v>P001</v>
      </c>
      <c r="D272" cm="1">
        <f t="array" ref="D272">INDEX(tblDemandAssumptions[Baseline_Weekly_Qty],MOD(ROW()-2,20)+1)</f>
        <v>3000</v>
      </c>
      <c r="E272">
        <f t="shared" si="32"/>
        <v>1</v>
      </c>
      <c r="F272">
        <v>0.99</v>
      </c>
      <c r="G272">
        <f t="shared" si="33"/>
        <v>2970</v>
      </c>
      <c r="H272">
        <v>1.04</v>
      </c>
      <c r="I272">
        <f t="shared" si="34"/>
        <v>3120</v>
      </c>
      <c r="J272" t="str">
        <f t="shared" si="35"/>
        <v>Normal</v>
      </c>
      <c r="K272">
        <f t="shared" si="36"/>
        <v>2970</v>
      </c>
      <c r="L272">
        <f t="shared" si="37"/>
        <v>-150</v>
      </c>
      <c r="M272" s="2">
        <f t="shared" si="38"/>
        <v>-4.807692307692308E-2</v>
      </c>
      <c r="N272">
        <f t="shared" si="39"/>
        <v>150</v>
      </c>
    </row>
    <row r="273" spans="1:14">
      <c r="A273" s="1" cm="1">
        <f t="array" ref="A273">INDEX(tblWeeks[Week_Start],INT((ROW()-2)/20)+1)</f>
        <v>46118</v>
      </c>
      <c r="B273" t="str" cm="1">
        <f t="array" ref="B273">INDEX(tblDemandAssumptions[Customer_ID],MOD(ROW()-2,20)+1)</f>
        <v>C003</v>
      </c>
      <c r="C273" t="str" cm="1">
        <f t="array" ref="C273">INDEX(tblDemandAssumptions[Product_ID],MOD(ROW()-2,20)+1)</f>
        <v>P002</v>
      </c>
      <c r="D273" cm="1">
        <f t="array" ref="D273">INDEX(tblDemandAssumptions[Baseline_Weekly_Qty],MOD(ROW()-2,20)+1)</f>
        <v>2700</v>
      </c>
      <c r="E273">
        <f t="shared" si="32"/>
        <v>1</v>
      </c>
      <c r="F273">
        <v>1.05</v>
      </c>
      <c r="G273">
        <f t="shared" si="33"/>
        <v>2835</v>
      </c>
      <c r="H273">
        <v>1.01</v>
      </c>
      <c r="I273">
        <f t="shared" si="34"/>
        <v>2727</v>
      </c>
      <c r="J273" t="str">
        <f t="shared" si="35"/>
        <v>Normal</v>
      </c>
      <c r="K273">
        <f t="shared" si="36"/>
        <v>2835</v>
      </c>
      <c r="L273">
        <f t="shared" si="37"/>
        <v>108</v>
      </c>
      <c r="M273" s="2">
        <f t="shared" si="38"/>
        <v>3.9603960396039604E-2</v>
      </c>
      <c r="N273">
        <f t="shared" si="39"/>
        <v>108</v>
      </c>
    </row>
    <row r="274" spans="1:14">
      <c r="A274" s="1" cm="1">
        <f t="array" ref="A274">INDEX(tblWeeks[Week_Start],INT((ROW()-2)/20)+1)</f>
        <v>46118</v>
      </c>
      <c r="B274" t="str" cm="1">
        <f t="array" ref="B274">INDEX(tblDemandAssumptions[Customer_ID],MOD(ROW()-2,20)+1)</f>
        <v>C003</v>
      </c>
      <c r="C274" t="str" cm="1">
        <f t="array" ref="C274">INDEX(tblDemandAssumptions[Product_ID],MOD(ROW()-2,20)+1)</f>
        <v>P003</v>
      </c>
      <c r="D274" cm="1">
        <f t="array" ref="D274">INDEX(tblDemandAssumptions[Baseline_Weekly_Qty],MOD(ROW()-2,20)+1)</f>
        <v>2800</v>
      </c>
      <c r="E274">
        <f t="shared" si="32"/>
        <v>1</v>
      </c>
      <c r="F274">
        <v>0.97</v>
      </c>
      <c r="G274">
        <f t="shared" si="33"/>
        <v>2716</v>
      </c>
      <c r="H274">
        <v>1.04</v>
      </c>
      <c r="I274">
        <f t="shared" si="34"/>
        <v>2912</v>
      </c>
      <c r="J274" t="str">
        <f t="shared" si="35"/>
        <v>Normal</v>
      </c>
      <c r="K274">
        <f t="shared" si="36"/>
        <v>2716</v>
      </c>
      <c r="L274">
        <f t="shared" si="37"/>
        <v>-196</v>
      </c>
      <c r="M274" s="2">
        <f t="shared" si="38"/>
        <v>-6.7307692307692304E-2</v>
      </c>
      <c r="N274">
        <f t="shared" si="39"/>
        <v>196</v>
      </c>
    </row>
    <row r="275" spans="1:14">
      <c r="A275" s="1" cm="1">
        <f t="array" ref="A275">INDEX(tblWeeks[Week_Start],INT((ROW()-2)/20)+1)</f>
        <v>46118</v>
      </c>
      <c r="B275" t="str" cm="1">
        <f t="array" ref="B275">INDEX(tblDemandAssumptions[Customer_ID],MOD(ROW()-2,20)+1)</f>
        <v>C003</v>
      </c>
      <c r="C275" t="str" cm="1">
        <f t="array" ref="C275">INDEX(tblDemandAssumptions[Product_ID],MOD(ROW()-2,20)+1)</f>
        <v>P004</v>
      </c>
      <c r="D275" cm="1">
        <f t="array" ref="D275">INDEX(tblDemandAssumptions[Baseline_Weekly_Qty],MOD(ROW()-2,20)+1)</f>
        <v>2400</v>
      </c>
      <c r="E275">
        <f t="shared" si="32"/>
        <v>1</v>
      </c>
      <c r="F275">
        <v>0.98</v>
      </c>
      <c r="G275">
        <f t="shared" si="33"/>
        <v>2352</v>
      </c>
      <c r="H275">
        <v>0.99</v>
      </c>
      <c r="I275">
        <f t="shared" si="34"/>
        <v>2376</v>
      </c>
      <c r="J275" t="str">
        <f t="shared" si="35"/>
        <v>Normal</v>
      </c>
      <c r="K275">
        <f t="shared" si="36"/>
        <v>2352</v>
      </c>
      <c r="L275">
        <f t="shared" si="37"/>
        <v>-24</v>
      </c>
      <c r="M275" s="2">
        <f t="shared" si="38"/>
        <v>-1.0101010101010102E-2</v>
      </c>
      <c r="N275">
        <f t="shared" si="39"/>
        <v>24</v>
      </c>
    </row>
    <row r="276" spans="1:14">
      <c r="A276" s="1" cm="1">
        <f t="array" ref="A276">INDEX(tblWeeks[Week_Start],INT((ROW()-2)/20)+1)</f>
        <v>46118</v>
      </c>
      <c r="B276" t="str" cm="1">
        <f t="array" ref="B276">INDEX(tblDemandAssumptions[Customer_ID],MOD(ROW()-2,20)+1)</f>
        <v>C003</v>
      </c>
      <c r="C276" t="str" cm="1">
        <f t="array" ref="C276">INDEX(tblDemandAssumptions[Product_ID],MOD(ROW()-2,20)+1)</f>
        <v>P005</v>
      </c>
      <c r="D276" cm="1">
        <f t="array" ref="D276">INDEX(tblDemandAssumptions[Baseline_Weekly_Qty],MOD(ROW()-2,20)+1)</f>
        <v>1900</v>
      </c>
      <c r="E276">
        <f t="shared" si="32"/>
        <v>1</v>
      </c>
      <c r="F276">
        <v>1.04</v>
      </c>
      <c r="G276">
        <f t="shared" si="33"/>
        <v>1976</v>
      </c>
      <c r="H276">
        <v>0.99</v>
      </c>
      <c r="I276">
        <f t="shared" si="34"/>
        <v>1881</v>
      </c>
      <c r="J276" t="str">
        <f t="shared" si="35"/>
        <v>Normal</v>
      </c>
      <c r="K276">
        <f t="shared" si="36"/>
        <v>1976</v>
      </c>
      <c r="L276">
        <f t="shared" si="37"/>
        <v>95</v>
      </c>
      <c r="M276" s="2">
        <f t="shared" si="38"/>
        <v>5.0505050505050504E-2</v>
      </c>
      <c r="N276">
        <f t="shared" si="39"/>
        <v>95</v>
      </c>
    </row>
    <row r="277" spans="1:14">
      <c r="A277" s="1" cm="1">
        <f t="array" ref="A277">INDEX(tblWeeks[Week_Start],INT((ROW()-2)/20)+1)</f>
        <v>46118</v>
      </c>
      <c r="B277" t="str" cm="1">
        <f t="array" ref="B277">INDEX(tblDemandAssumptions[Customer_ID],MOD(ROW()-2,20)+1)</f>
        <v>C004</v>
      </c>
      <c r="C277" t="str" cm="1">
        <f t="array" ref="C277">INDEX(tblDemandAssumptions[Product_ID],MOD(ROW()-2,20)+1)</f>
        <v>P001</v>
      </c>
      <c r="D277" cm="1">
        <f t="array" ref="D277">INDEX(tblDemandAssumptions[Baseline_Weekly_Qty],MOD(ROW()-2,20)+1)</f>
        <v>2700</v>
      </c>
      <c r="E277">
        <f t="shared" si="32"/>
        <v>1</v>
      </c>
      <c r="F277">
        <v>0.96</v>
      </c>
      <c r="G277">
        <f t="shared" si="33"/>
        <v>2592</v>
      </c>
      <c r="H277">
        <v>1.01</v>
      </c>
      <c r="I277">
        <f t="shared" si="34"/>
        <v>2727</v>
      </c>
      <c r="J277" t="str">
        <f t="shared" si="35"/>
        <v>Normal</v>
      </c>
      <c r="K277">
        <f t="shared" si="36"/>
        <v>2592</v>
      </c>
      <c r="L277">
        <f t="shared" si="37"/>
        <v>-135</v>
      </c>
      <c r="M277" s="2">
        <f t="shared" si="38"/>
        <v>-4.9504950495049507E-2</v>
      </c>
      <c r="N277">
        <f t="shared" si="39"/>
        <v>135</v>
      </c>
    </row>
    <row r="278" spans="1:14">
      <c r="A278" s="1" cm="1">
        <f t="array" ref="A278">INDEX(tblWeeks[Week_Start],INT((ROW()-2)/20)+1)</f>
        <v>46118</v>
      </c>
      <c r="B278" t="str" cm="1">
        <f t="array" ref="B278">INDEX(tblDemandAssumptions[Customer_ID],MOD(ROW()-2,20)+1)</f>
        <v>C004</v>
      </c>
      <c r="C278" t="str" cm="1">
        <f t="array" ref="C278">INDEX(tblDemandAssumptions[Product_ID],MOD(ROW()-2,20)+1)</f>
        <v>P002</v>
      </c>
      <c r="D278" cm="1">
        <f t="array" ref="D278">INDEX(tblDemandAssumptions[Baseline_Weekly_Qty],MOD(ROW()-2,20)+1)</f>
        <v>2400</v>
      </c>
      <c r="E278">
        <f t="shared" si="32"/>
        <v>1</v>
      </c>
      <c r="F278">
        <v>0.95</v>
      </c>
      <c r="G278">
        <f t="shared" si="33"/>
        <v>2280</v>
      </c>
      <c r="H278">
        <v>0.99</v>
      </c>
      <c r="I278">
        <f t="shared" si="34"/>
        <v>2376</v>
      </c>
      <c r="J278" t="str">
        <f t="shared" si="35"/>
        <v>Normal</v>
      </c>
      <c r="K278">
        <f t="shared" si="36"/>
        <v>2280</v>
      </c>
      <c r="L278">
        <f t="shared" si="37"/>
        <v>-96</v>
      </c>
      <c r="M278" s="2">
        <f t="shared" si="38"/>
        <v>-4.0404040404040407E-2</v>
      </c>
      <c r="N278">
        <f t="shared" si="39"/>
        <v>96</v>
      </c>
    </row>
    <row r="279" spans="1:14">
      <c r="A279" s="1" cm="1">
        <f t="array" ref="A279">INDEX(tblWeeks[Week_Start],INT((ROW()-2)/20)+1)</f>
        <v>46118</v>
      </c>
      <c r="B279" t="str" cm="1">
        <f t="array" ref="B279">INDEX(tblDemandAssumptions[Customer_ID],MOD(ROW()-2,20)+1)</f>
        <v>C004</v>
      </c>
      <c r="C279" t="str" cm="1">
        <f t="array" ref="C279">INDEX(tblDemandAssumptions[Product_ID],MOD(ROW()-2,20)+1)</f>
        <v>P003</v>
      </c>
      <c r="D279" cm="1">
        <f t="array" ref="D279">INDEX(tblDemandAssumptions[Baseline_Weekly_Qty],MOD(ROW()-2,20)+1)</f>
        <v>2100</v>
      </c>
      <c r="E279">
        <f t="shared" si="32"/>
        <v>1</v>
      </c>
      <c r="F279">
        <v>1.05</v>
      </c>
      <c r="G279">
        <f t="shared" si="33"/>
        <v>2205</v>
      </c>
      <c r="H279">
        <v>1.02</v>
      </c>
      <c r="I279">
        <f t="shared" si="34"/>
        <v>2142</v>
      </c>
      <c r="J279" t="str">
        <f t="shared" si="35"/>
        <v>Normal</v>
      </c>
      <c r="K279">
        <f t="shared" si="36"/>
        <v>2205</v>
      </c>
      <c r="L279">
        <f t="shared" si="37"/>
        <v>63</v>
      </c>
      <c r="M279" s="2">
        <f t="shared" si="38"/>
        <v>2.9411764705882353E-2</v>
      </c>
      <c r="N279">
        <f t="shared" si="39"/>
        <v>63</v>
      </c>
    </row>
    <row r="280" spans="1:14">
      <c r="A280" s="1" cm="1">
        <f t="array" ref="A280">INDEX(tblWeeks[Week_Start],INT((ROW()-2)/20)+1)</f>
        <v>46118</v>
      </c>
      <c r="B280" t="str" cm="1">
        <f t="array" ref="B280">INDEX(tblDemandAssumptions[Customer_ID],MOD(ROW()-2,20)+1)</f>
        <v>C004</v>
      </c>
      <c r="C280" t="str" cm="1">
        <f t="array" ref="C280">INDEX(tblDemandAssumptions[Product_ID],MOD(ROW()-2,20)+1)</f>
        <v>P004</v>
      </c>
      <c r="D280" cm="1">
        <f t="array" ref="D280">INDEX(tblDemandAssumptions[Baseline_Weekly_Qty],MOD(ROW()-2,20)+1)</f>
        <v>2600</v>
      </c>
      <c r="E280">
        <f t="shared" si="32"/>
        <v>1</v>
      </c>
      <c r="F280">
        <v>1.02</v>
      </c>
      <c r="G280">
        <f t="shared" si="33"/>
        <v>2652</v>
      </c>
      <c r="H280">
        <v>1.02</v>
      </c>
      <c r="I280">
        <f t="shared" si="34"/>
        <v>2652</v>
      </c>
      <c r="J280" t="str">
        <f t="shared" si="35"/>
        <v>Normal</v>
      </c>
      <c r="K280">
        <f t="shared" si="36"/>
        <v>2652</v>
      </c>
      <c r="L280">
        <f t="shared" si="37"/>
        <v>0</v>
      </c>
      <c r="M280" s="2">
        <f t="shared" si="38"/>
        <v>0</v>
      </c>
      <c r="N280">
        <f t="shared" si="39"/>
        <v>0</v>
      </c>
    </row>
    <row r="281" spans="1:14">
      <c r="A281" s="1" cm="1">
        <f t="array" ref="A281">INDEX(tblWeeks[Week_Start],INT((ROW()-2)/20)+1)</f>
        <v>46118</v>
      </c>
      <c r="B281" t="str" cm="1">
        <f t="array" ref="B281">INDEX(tblDemandAssumptions[Customer_ID],MOD(ROW()-2,20)+1)</f>
        <v>C004</v>
      </c>
      <c r="C281" t="str" cm="1">
        <f t="array" ref="C281">INDEX(tblDemandAssumptions[Product_ID],MOD(ROW()-2,20)+1)</f>
        <v>P005</v>
      </c>
      <c r="D281" cm="1">
        <f t="array" ref="D281">INDEX(tblDemandAssumptions[Baseline_Weekly_Qty],MOD(ROW()-2,20)+1)</f>
        <v>1800</v>
      </c>
      <c r="E281">
        <f t="shared" si="32"/>
        <v>1</v>
      </c>
      <c r="F281">
        <v>0.99</v>
      </c>
      <c r="G281">
        <f t="shared" si="33"/>
        <v>1782</v>
      </c>
      <c r="H281">
        <v>1.02</v>
      </c>
      <c r="I281">
        <f t="shared" si="34"/>
        <v>1836</v>
      </c>
      <c r="J281" t="str">
        <f t="shared" si="35"/>
        <v>Normal</v>
      </c>
      <c r="K281">
        <f t="shared" si="36"/>
        <v>1782</v>
      </c>
      <c r="L281">
        <f t="shared" si="37"/>
        <v>-54</v>
      </c>
      <c r="M281" s="2">
        <f t="shared" si="38"/>
        <v>-2.9411764705882353E-2</v>
      </c>
      <c r="N281">
        <f t="shared" si="39"/>
        <v>54</v>
      </c>
    </row>
    <row r="282" spans="1:14">
      <c r="A282" s="1" cm="1">
        <f t="array" ref="A282">INDEX(tblWeeks[Week_Start],INT((ROW()-2)/20)+1)</f>
        <v>46125</v>
      </c>
      <c r="B282" t="str" cm="1">
        <f t="array" ref="B282">INDEX(tblDemandAssumptions[Customer_ID],MOD(ROW()-2,20)+1)</f>
        <v>C001</v>
      </c>
      <c r="C282" t="str" cm="1">
        <f t="array" ref="C282">INDEX(tblDemandAssumptions[Product_ID],MOD(ROW()-2,20)+1)</f>
        <v>P001</v>
      </c>
      <c r="D282" cm="1">
        <f t="array" ref="D282">INDEX(tblDemandAssumptions[Baseline_Weekly_Qty],MOD(ROW()-2,20)+1)</f>
        <v>5200</v>
      </c>
      <c r="E282">
        <f t="shared" si="32"/>
        <v>1</v>
      </c>
      <c r="F282">
        <v>1</v>
      </c>
      <c r="G282">
        <f t="shared" si="33"/>
        <v>5200</v>
      </c>
      <c r="H282">
        <v>1.02</v>
      </c>
      <c r="I282">
        <f t="shared" si="34"/>
        <v>5304</v>
      </c>
      <c r="J282" t="str">
        <f t="shared" si="35"/>
        <v>Normal</v>
      </c>
      <c r="K282">
        <f t="shared" si="36"/>
        <v>5200</v>
      </c>
      <c r="L282">
        <f t="shared" si="37"/>
        <v>-104</v>
      </c>
      <c r="M282" s="2">
        <f t="shared" si="38"/>
        <v>-1.9607843137254902E-2</v>
      </c>
      <c r="N282">
        <f t="shared" si="39"/>
        <v>104</v>
      </c>
    </row>
    <row r="283" spans="1:14">
      <c r="A283" s="1" cm="1">
        <f t="array" ref="A283">INDEX(tblWeeks[Week_Start],INT((ROW()-2)/20)+1)</f>
        <v>46125</v>
      </c>
      <c r="B283" t="str" cm="1">
        <f t="array" ref="B283">INDEX(tblDemandAssumptions[Customer_ID],MOD(ROW()-2,20)+1)</f>
        <v>C001</v>
      </c>
      <c r="C283" t="str" cm="1">
        <f t="array" ref="C283">INDEX(tblDemandAssumptions[Product_ID],MOD(ROW()-2,20)+1)</f>
        <v>P002</v>
      </c>
      <c r="D283" cm="1">
        <f t="array" ref="D283">INDEX(tblDemandAssumptions[Baseline_Weekly_Qty],MOD(ROW()-2,20)+1)</f>
        <v>4100</v>
      </c>
      <c r="E283">
        <f t="shared" si="32"/>
        <v>1</v>
      </c>
      <c r="F283">
        <v>1.01</v>
      </c>
      <c r="G283">
        <f t="shared" si="33"/>
        <v>4141</v>
      </c>
      <c r="H283">
        <v>0.96</v>
      </c>
      <c r="I283">
        <f t="shared" si="34"/>
        <v>3936</v>
      </c>
      <c r="J283" t="str">
        <f t="shared" si="35"/>
        <v>Normal</v>
      </c>
      <c r="K283">
        <f t="shared" si="36"/>
        <v>4141</v>
      </c>
      <c r="L283">
        <f t="shared" si="37"/>
        <v>205</v>
      </c>
      <c r="M283" s="2">
        <f t="shared" si="38"/>
        <v>5.2083333333333336E-2</v>
      </c>
      <c r="N283">
        <f t="shared" si="39"/>
        <v>205</v>
      </c>
    </row>
    <row r="284" spans="1:14">
      <c r="A284" s="1" cm="1">
        <f t="array" ref="A284">INDEX(tblWeeks[Week_Start],INT((ROW()-2)/20)+1)</f>
        <v>46125</v>
      </c>
      <c r="B284" t="str" cm="1">
        <f t="array" ref="B284">INDEX(tblDemandAssumptions[Customer_ID],MOD(ROW()-2,20)+1)</f>
        <v>C001</v>
      </c>
      <c r="C284" t="str" cm="1">
        <f t="array" ref="C284">INDEX(tblDemandAssumptions[Product_ID],MOD(ROW()-2,20)+1)</f>
        <v>P003</v>
      </c>
      <c r="D284" cm="1">
        <f t="array" ref="D284">INDEX(tblDemandAssumptions[Baseline_Weekly_Qty],MOD(ROW()-2,20)+1)</f>
        <v>3300</v>
      </c>
      <c r="E284">
        <f t="shared" si="32"/>
        <v>1</v>
      </c>
      <c r="F284">
        <v>0.99</v>
      </c>
      <c r="G284">
        <f t="shared" si="33"/>
        <v>3267</v>
      </c>
      <c r="H284">
        <v>0.97</v>
      </c>
      <c r="I284">
        <f t="shared" si="34"/>
        <v>3201</v>
      </c>
      <c r="J284" t="str">
        <f t="shared" si="35"/>
        <v>Normal</v>
      </c>
      <c r="K284">
        <f t="shared" si="36"/>
        <v>3267</v>
      </c>
      <c r="L284">
        <f t="shared" si="37"/>
        <v>66</v>
      </c>
      <c r="M284" s="2">
        <f t="shared" si="38"/>
        <v>2.0618556701030927E-2</v>
      </c>
      <c r="N284">
        <f t="shared" si="39"/>
        <v>66</v>
      </c>
    </row>
    <row r="285" spans="1:14">
      <c r="A285" s="1" cm="1">
        <f t="array" ref="A285">INDEX(tblWeeks[Week_Start],INT((ROW()-2)/20)+1)</f>
        <v>46125</v>
      </c>
      <c r="B285" t="str" cm="1">
        <f t="array" ref="B285">INDEX(tblDemandAssumptions[Customer_ID],MOD(ROW()-2,20)+1)</f>
        <v>C001</v>
      </c>
      <c r="C285" t="str" cm="1">
        <f t="array" ref="C285">INDEX(tblDemandAssumptions[Product_ID],MOD(ROW()-2,20)+1)</f>
        <v>P004</v>
      </c>
      <c r="D285" cm="1">
        <f t="array" ref="D285">INDEX(tblDemandAssumptions[Baseline_Weekly_Qty],MOD(ROW()-2,20)+1)</f>
        <v>3600</v>
      </c>
      <c r="E285">
        <f t="shared" si="32"/>
        <v>1</v>
      </c>
      <c r="F285">
        <v>0.97</v>
      </c>
      <c r="G285">
        <f t="shared" si="33"/>
        <v>3492</v>
      </c>
      <c r="H285">
        <v>0.97</v>
      </c>
      <c r="I285">
        <f t="shared" si="34"/>
        <v>3492</v>
      </c>
      <c r="J285" t="str">
        <f t="shared" si="35"/>
        <v>Normal</v>
      </c>
      <c r="K285">
        <f t="shared" si="36"/>
        <v>3492</v>
      </c>
      <c r="L285">
        <f t="shared" si="37"/>
        <v>0</v>
      </c>
      <c r="M285" s="2">
        <f t="shared" si="38"/>
        <v>0</v>
      </c>
      <c r="N285">
        <f t="shared" si="39"/>
        <v>0</v>
      </c>
    </row>
    <row r="286" spans="1:14">
      <c r="A286" s="1" cm="1">
        <f t="array" ref="A286">INDEX(tblWeeks[Week_Start],INT((ROW()-2)/20)+1)</f>
        <v>46125</v>
      </c>
      <c r="B286" t="str" cm="1">
        <f t="array" ref="B286">INDEX(tblDemandAssumptions[Customer_ID],MOD(ROW()-2,20)+1)</f>
        <v>C001</v>
      </c>
      <c r="C286" t="str" cm="1">
        <f t="array" ref="C286">INDEX(tblDemandAssumptions[Product_ID],MOD(ROW()-2,20)+1)</f>
        <v>P005</v>
      </c>
      <c r="D286" cm="1">
        <f t="array" ref="D286">INDEX(tblDemandAssumptions[Baseline_Weekly_Qty],MOD(ROW()-2,20)+1)</f>
        <v>2800</v>
      </c>
      <c r="E286">
        <f t="shared" si="32"/>
        <v>1</v>
      </c>
      <c r="F286">
        <v>0.96</v>
      </c>
      <c r="G286">
        <f t="shared" si="33"/>
        <v>2688</v>
      </c>
      <c r="H286">
        <v>1.01</v>
      </c>
      <c r="I286">
        <f t="shared" si="34"/>
        <v>2828</v>
      </c>
      <c r="J286" t="str">
        <f t="shared" si="35"/>
        <v>Normal</v>
      </c>
      <c r="K286">
        <f t="shared" si="36"/>
        <v>2688</v>
      </c>
      <c r="L286">
        <f t="shared" si="37"/>
        <v>-140</v>
      </c>
      <c r="M286" s="2">
        <f t="shared" si="38"/>
        <v>-4.9504950495049507E-2</v>
      </c>
      <c r="N286">
        <f t="shared" si="39"/>
        <v>140</v>
      </c>
    </row>
    <row r="287" spans="1:14">
      <c r="A287" s="1" cm="1">
        <f t="array" ref="A287">INDEX(tblWeeks[Week_Start],INT((ROW()-2)/20)+1)</f>
        <v>46125</v>
      </c>
      <c r="B287" t="str" cm="1">
        <f t="array" ref="B287">INDEX(tblDemandAssumptions[Customer_ID],MOD(ROW()-2,20)+1)</f>
        <v>C002</v>
      </c>
      <c r="C287" t="str" cm="1">
        <f t="array" ref="C287">INDEX(tblDemandAssumptions[Product_ID],MOD(ROW()-2,20)+1)</f>
        <v>P001</v>
      </c>
      <c r="D287" cm="1">
        <f t="array" ref="D287">INDEX(tblDemandAssumptions[Baseline_Weekly_Qty],MOD(ROW()-2,20)+1)</f>
        <v>3400</v>
      </c>
      <c r="E287">
        <f t="shared" si="32"/>
        <v>1</v>
      </c>
      <c r="F287">
        <v>1.02</v>
      </c>
      <c r="G287">
        <f t="shared" si="33"/>
        <v>3468</v>
      </c>
      <c r="H287">
        <v>0.98</v>
      </c>
      <c r="I287">
        <f t="shared" si="34"/>
        <v>3332</v>
      </c>
      <c r="J287" t="str">
        <f t="shared" si="35"/>
        <v>Normal</v>
      </c>
      <c r="K287">
        <f t="shared" si="36"/>
        <v>3468</v>
      </c>
      <c r="L287">
        <f t="shared" si="37"/>
        <v>136</v>
      </c>
      <c r="M287" s="2">
        <f t="shared" si="38"/>
        <v>4.0816326530612242E-2</v>
      </c>
      <c r="N287">
        <f t="shared" si="39"/>
        <v>136</v>
      </c>
    </row>
    <row r="288" spans="1:14">
      <c r="A288" s="1" cm="1">
        <f t="array" ref="A288">INDEX(tblWeeks[Week_Start],INT((ROW()-2)/20)+1)</f>
        <v>46125</v>
      </c>
      <c r="B288" t="str" cm="1">
        <f t="array" ref="B288">INDEX(tblDemandAssumptions[Customer_ID],MOD(ROW()-2,20)+1)</f>
        <v>C002</v>
      </c>
      <c r="C288" t="str" cm="1">
        <f t="array" ref="C288">INDEX(tblDemandAssumptions[Product_ID],MOD(ROW()-2,20)+1)</f>
        <v>P002</v>
      </c>
      <c r="D288" cm="1">
        <f t="array" ref="D288">INDEX(tblDemandAssumptions[Baseline_Weekly_Qty],MOD(ROW()-2,20)+1)</f>
        <v>3200</v>
      </c>
      <c r="E288">
        <f t="shared" si="32"/>
        <v>1</v>
      </c>
      <c r="F288">
        <v>1.03</v>
      </c>
      <c r="G288">
        <f t="shared" si="33"/>
        <v>3296</v>
      </c>
      <c r="H288">
        <v>0.99</v>
      </c>
      <c r="I288">
        <f t="shared" si="34"/>
        <v>3168</v>
      </c>
      <c r="J288" t="str">
        <f t="shared" si="35"/>
        <v>Normal</v>
      </c>
      <c r="K288">
        <f t="shared" si="36"/>
        <v>3296</v>
      </c>
      <c r="L288">
        <f t="shared" si="37"/>
        <v>128</v>
      </c>
      <c r="M288" s="2">
        <f t="shared" si="38"/>
        <v>4.0404040404040407E-2</v>
      </c>
      <c r="N288">
        <f t="shared" si="39"/>
        <v>128</v>
      </c>
    </row>
    <row r="289" spans="1:14">
      <c r="A289" s="1" cm="1">
        <f t="array" ref="A289">INDEX(tblWeeks[Week_Start],INT((ROW()-2)/20)+1)</f>
        <v>46125</v>
      </c>
      <c r="B289" t="str" cm="1">
        <f t="array" ref="B289">INDEX(tblDemandAssumptions[Customer_ID],MOD(ROW()-2,20)+1)</f>
        <v>C002</v>
      </c>
      <c r="C289" t="str" cm="1">
        <f t="array" ref="C289">INDEX(tblDemandAssumptions[Product_ID],MOD(ROW()-2,20)+1)</f>
        <v>P003</v>
      </c>
      <c r="D289" cm="1">
        <f t="array" ref="D289">INDEX(tblDemandAssumptions[Baseline_Weekly_Qty],MOD(ROW()-2,20)+1)</f>
        <v>2600</v>
      </c>
      <c r="E289">
        <f t="shared" si="32"/>
        <v>1</v>
      </c>
      <c r="F289">
        <v>0.96</v>
      </c>
      <c r="G289">
        <f t="shared" si="33"/>
        <v>2496</v>
      </c>
      <c r="H289">
        <v>0.98</v>
      </c>
      <c r="I289">
        <f t="shared" si="34"/>
        <v>2548</v>
      </c>
      <c r="J289" t="str">
        <f t="shared" si="35"/>
        <v>Normal</v>
      </c>
      <c r="K289">
        <f t="shared" si="36"/>
        <v>2496</v>
      </c>
      <c r="L289">
        <f t="shared" si="37"/>
        <v>-52</v>
      </c>
      <c r="M289" s="2">
        <f t="shared" si="38"/>
        <v>-2.0408163265306121E-2</v>
      </c>
      <c r="N289">
        <f t="shared" si="39"/>
        <v>52</v>
      </c>
    </row>
    <row r="290" spans="1:14">
      <c r="A290" s="1" cm="1">
        <f t="array" ref="A290">INDEX(tblWeeks[Week_Start],INT((ROW()-2)/20)+1)</f>
        <v>46125</v>
      </c>
      <c r="B290" t="str" cm="1">
        <f t="array" ref="B290">INDEX(tblDemandAssumptions[Customer_ID],MOD(ROW()-2,20)+1)</f>
        <v>C002</v>
      </c>
      <c r="C290" t="str" cm="1">
        <f t="array" ref="C290">INDEX(tblDemandAssumptions[Product_ID],MOD(ROW()-2,20)+1)</f>
        <v>P004</v>
      </c>
      <c r="D290" cm="1">
        <f t="array" ref="D290">INDEX(tblDemandAssumptions[Baseline_Weekly_Qty],MOD(ROW()-2,20)+1)</f>
        <v>2900</v>
      </c>
      <c r="E290">
        <f t="shared" si="32"/>
        <v>1</v>
      </c>
      <c r="F290">
        <v>1.01</v>
      </c>
      <c r="G290">
        <f t="shared" si="33"/>
        <v>2929</v>
      </c>
      <c r="H290">
        <v>0.96</v>
      </c>
      <c r="I290">
        <f t="shared" si="34"/>
        <v>2784</v>
      </c>
      <c r="J290" t="str">
        <f t="shared" si="35"/>
        <v>Normal</v>
      </c>
      <c r="K290">
        <f t="shared" si="36"/>
        <v>2929</v>
      </c>
      <c r="L290">
        <f t="shared" si="37"/>
        <v>145</v>
      </c>
      <c r="M290" s="2">
        <f t="shared" si="38"/>
        <v>5.2083333333333336E-2</v>
      </c>
      <c r="N290">
        <f t="shared" si="39"/>
        <v>145</v>
      </c>
    </row>
    <row r="291" spans="1:14">
      <c r="A291" s="1" cm="1">
        <f t="array" ref="A291">INDEX(tblWeeks[Week_Start],INT((ROW()-2)/20)+1)</f>
        <v>46125</v>
      </c>
      <c r="B291" t="str" cm="1">
        <f t="array" ref="B291">INDEX(tblDemandAssumptions[Customer_ID],MOD(ROW()-2,20)+1)</f>
        <v>C002</v>
      </c>
      <c r="C291" t="str" cm="1">
        <f t="array" ref="C291">INDEX(tblDemandAssumptions[Product_ID],MOD(ROW()-2,20)+1)</f>
        <v>P005</v>
      </c>
      <c r="D291" cm="1">
        <f t="array" ref="D291">INDEX(tblDemandAssumptions[Baseline_Weekly_Qty],MOD(ROW()-2,20)+1)</f>
        <v>2200</v>
      </c>
      <c r="E291">
        <f t="shared" si="32"/>
        <v>1</v>
      </c>
      <c r="F291">
        <v>1</v>
      </c>
      <c r="G291">
        <f t="shared" si="33"/>
        <v>2200</v>
      </c>
      <c r="H291">
        <v>0.98</v>
      </c>
      <c r="I291">
        <f t="shared" si="34"/>
        <v>2156</v>
      </c>
      <c r="J291" t="str">
        <f t="shared" si="35"/>
        <v>Normal</v>
      </c>
      <c r="K291">
        <f t="shared" si="36"/>
        <v>2200</v>
      </c>
      <c r="L291">
        <f t="shared" si="37"/>
        <v>44</v>
      </c>
      <c r="M291" s="2">
        <f t="shared" si="38"/>
        <v>2.0408163265306121E-2</v>
      </c>
      <c r="N291">
        <f t="shared" si="39"/>
        <v>44</v>
      </c>
    </row>
    <row r="292" spans="1:14">
      <c r="A292" s="1" cm="1">
        <f t="array" ref="A292">INDEX(tblWeeks[Week_Start],INT((ROW()-2)/20)+1)</f>
        <v>46125</v>
      </c>
      <c r="B292" t="str" cm="1">
        <f t="array" ref="B292">INDEX(tblDemandAssumptions[Customer_ID],MOD(ROW()-2,20)+1)</f>
        <v>C003</v>
      </c>
      <c r="C292" t="str" cm="1">
        <f t="array" ref="C292">INDEX(tblDemandAssumptions[Product_ID],MOD(ROW()-2,20)+1)</f>
        <v>P001</v>
      </c>
      <c r="D292" cm="1">
        <f t="array" ref="D292">INDEX(tblDemandAssumptions[Baseline_Weekly_Qty],MOD(ROW()-2,20)+1)</f>
        <v>3000</v>
      </c>
      <c r="E292">
        <f t="shared" si="32"/>
        <v>1</v>
      </c>
      <c r="F292">
        <v>1.03</v>
      </c>
      <c r="G292">
        <f t="shared" si="33"/>
        <v>3090</v>
      </c>
      <c r="H292">
        <v>1</v>
      </c>
      <c r="I292">
        <f t="shared" si="34"/>
        <v>3000</v>
      </c>
      <c r="J292" t="str">
        <f t="shared" si="35"/>
        <v>Normal</v>
      </c>
      <c r="K292">
        <f t="shared" si="36"/>
        <v>3090</v>
      </c>
      <c r="L292">
        <f t="shared" si="37"/>
        <v>90</v>
      </c>
      <c r="M292" s="2">
        <f t="shared" si="38"/>
        <v>0.03</v>
      </c>
      <c r="N292">
        <f t="shared" si="39"/>
        <v>90</v>
      </c>
    </row>
    <row r="293" spans="1:14">
      <c r="A293" s="1" cm="1">
        <f t="array" ref="A293">INDEX(tblWeeks[Week_Start],INT((ROW()-2)/20)+1)</f>
        <v>46125</v>
      </c>
      <c r="B293" t="str" cm="1">
        <f t="array" ref="B293">INDEX(tblDemandAssumptions[Customer_ID],MOD(ROW()-2,20)+1)</f>
        <v>C003</v>
      </c>
      <c r="C293" t="str" cm="1">
        <f t="array" ref="C293">INDEX(tblDemandAssumptions[Product_ID],MOD(ROW()-2,20)+1)</f>
        <v>P002</v>
      </c>
      <c r="D293" cm="1">
        <f t="array" ref="D293">INDEX(tblDemandAssumptions[Baseline_Weekly_Qty],MOD(ROW()-2,20)+1)</f>
        <v>2700</v>
      </c>
      <c r="E293">
        <f t="shared" si="32"/>
        <v>1</v>
      </c>
      <c r="F293">
        <v>1.05</v>
      </c>
      <c r="G293">
        <f t="shared" si="33"/>
        <v>2835</v>
      </c>
      <c r="H293">
        <v>1.02</v>
      </c>
      <c r="I293">
        <f t="shared" si="34"/>
        <v>2754</v>
      </c>
      <c r="J293" t="str">
        <f t="shared" si="35"/>
        <v>Normal</v>
      </c>
      <c r="K293">
        <f t="shared" si="36"/>
        <v>2835</v>
      </c>
      <c r="L293">
        <f t="shared" si="37"/>
        <v>81</v>
      </c>
      <c r="M293" s="2">
        <f t="shared" si="38"/>
        <v>2.9411764705882353E-2</v>
      </c>
      <c r="N293">
        <f t="shared" si="39"/>
        <v>81</v>
      </c>
    </row>
    <row r="294" spans="1:14">
      <c r="A294" s="1" cm="1">
        <f t="array" ref="A294">INDEX(tblWeeks[Week_Start],INT((ROW()-2)/20)+1)</f>
        <v>46125</v>
      </c>
      <c r="B294" t="str" cm="1">
        <f t="array" ref="B294">INDEX(tblDemandAssumptions[Customer_ID],MOD(ROW()-2,20)+1)</f>
        <v>C003</v>
      </c>
      <c r="C294" t="str" cm="1">
        <f t="array" ref="C294">INDEX(tblDemandAssumptions[Product_ID],MOD(ROW()-2,20)+1)</f>
        <v>P003</v>
      </c>
      <c r="D294" cm="1">
        <f t="array" ref="D294">INDEX(tblDemandAssumptions[Baseline_Weekly_Qty],MOD(ROW()-2,20)+1)</f>
        <v>2800</v>
      </c>
      <c r="E294">
        <f t="shared" si="32"/>
        <v>1</v>
      </c>
      <c r="F294">
        <v>1.05</v>
      </c>
      <c r="G294">
        <f t="shared" si="33"/>
        <v>2940</v>
      </c>
      <c r="H294">
        <v>1.01</v>
      </c>
      <c r="I294">
        <f t="shared" si="34"/>
        <v>2828</v>
      </c>
      <c r="J294" t="str">
        <f t="shared" si="35"/>
        <v>Normal</v>
      </c>
      <c r="K294">
        <f t="shared" si="36"/>
        <v>2940</v>
      </c>
      <c r="L294">
        <f t="shared" si="37"/>
        <v>112</v>
      </c>
      <c r="M294" s="2">
        <f t="shared" si="38"/>
        <v>3.9603960396039604E-2</v>
      </c>
      <c r="N294">
        <f t="shared" si="39"/>
        <v>112</v>
      </c>
    </row>
    <row r="295" spans="1:14">
      <c r="A295" s="1" cm="1">
        <f t="array" ref="A295">INDEX(tblWeeks[Week_Start],INT((ROW()-2)/20)+1)</f>
        <v>46125</v>
      </c>
      <c r="B295" t="str" cm="1">
        <f t="array" ref="B295">INDEX(tblDemandAssumptions[Customer_ID],MOD(ROW()-2,20)+1)</f>
        <v>C003</v>
      </c>
      <c r="C295" t="str" cm="1">
        <f t="array" ref="C295">INDEX(tblDemandAssumptions[Product_ID],MOD(ROW()-2,20)+1)</f>
        <v>P004</v>
      </c>
      <c r="D295" cm="1">
        <f t="array" ref="D295">INDEX(tblDemandAssumptions[Baseline_Weekly_Qty],MOD(ROW()-2,20)+1)</f>
        <v>2400</v>
      </c>
      <c r="E295">
        <f t="shared" si="32"/>
        <v>1</v>
      </c>
      <c r="F295">
        <v>0.98</v>
      </c>
      <c r="G295">
        <f t="shared" si="33"/>
        <v>2352</v>
      </c>
      <c r="H295">
        <v>0.96</v>
      </c>
      <c r="I295">
        <f t="shared" si="34"/>
        <v>2304</v>
      </c>
      <c r="J295" t="str">
        <f t="shared" si="35"/>
        <v>Normal</v>
      </c>
      <c r="K295">
        <f t="shared" si="36"/>
        <v>2352</v>
      </c>
      <c r="L295">
        <f t="shared" si="37"/>
        <v>48</v>
      </c>
      <c r="M295" s="2">
        <f t="shared" si="38"/>
        <v>2.0833333333333332E-2</v>
      </c>
      <c r="N295">
        <f t="shared" si="39"/>
        <v>48</v>
      </c>
    </row>
    <row r="296" spans="1:14">
      <c r="A296" s="1" cm="1">
        <f t="array" ref="A296">INDEX(tblWeeks[Week_Start],INT((ROW()-2)/20)+1)</f>
        <v>46125</v>
      </c>
      <c r="B296" t="str" cm="1">
        <f t="array" ref="B296">INDEX(tblDemandAssumptions[Customer_ID],MOD(ROW()-2,20)+1)</f>
        <v>C003</v>
      </c>
      <c r="C296" t="str" cm="1">
        <f t="array" ref="C296">INDEX(tblDemandAssumptions[Product_ID],MOD(ROW()-2,20)+1)</f>
        <v>P005</v>
      </c>
      <c r="D296" cm="1">
        <f t="array" ref="D296">INDEX(tblDemandAssumptions[Baseline_Weekly_Qty],MOD(ROW()-2,20)+1)</f>
        <v>1900</v>
      </c>
      <c r="E296">
        <f t="shared" si="32"/>
        <v>1</v>
      </c>
      <c r="F296">
        <v>0.95</v>
      </c>
      <c r="G296">
        <f t="shared" si="33"/>
        <v>1805</v>
      </c>
      <c r="H296">
        <v>0.97</v>
      </c>
      <c r="I296">
        <f t="shared" si="34"/>
        <v>1843</v>
      </c>
      <c r="J296" t="str">
        <f t="shared" si="35"/>
        <v>Normal</v>
      </c>
      <c r="K296">
        <f t="shared" si="36"/>
        <v>1805</v>
      </c>
      <c r="L296">
        <f t="shared" si="37"/>
        <v>-38</v>
      </c>
      <c r="M296" s="2">
        <f t="shared" si="38"/>
        <v>-2.0618556701030927E-2</v>
      </c>
      <c r="N296">
        <f t="shared" si="39"/>
        <v>38</v>
      </c>
    </row>
    <row r="297" spans="1:14">
      <c r="A297" s="1" cm="1">
        <f t="array" ref="A297">INDEX(tblWeeks[Week_Start],INT((ROW()-2)/20)+1)</f>
        <v>46125</v>
      </c>
      <c r="B297" t="str" cm="1">
        <f t="array" ref="B297">INDEX(tblDemandAssumptions[Customer_ID],MOD(ROW()-2,20)+1)</f>
        <v>C004</v>
      </c>
      <c r="C297" t="str" cm="1">
        <f t="array" ref="C297">INDEX(tblDemandAssumptions[Product_ID],MOD(ROW()-2,20)+1)</f>
        <v>P001</v>
      </c>
      <c r="D297" cm="1">
        <f t="array" ref="D297">INDEX(tblDemandAssumptions[Baseline_Weekly_Qty],MOD(ROW()-2,20)+1)</f>
        <v>2700</v>
      </c>
      <c r="E297">
        <f t="shared" si="32"/>
        <v>1</v>
      </c>
      <c r="F297">
        <v>1</v>
      </c>
      <c r="G297">
        <f t="shared" si="33"/>
        <v>2700</v>
      </c>
      <c r="H297">
        <v>1.01</v>
      </c>
      <c r="I297">
        <f t="shared" si="34"/>
        <v>2727</v>
      </c>
      <c r="J297" t="str">
        <f t="shared" si="35"/>
        <v>Normal</v>
      </c>
      <c r="K297">
        <f t="shared" si="36"/>
        <v>2700</v>
      </c>
      <c r="L297">
        <f t="shared" si="37"/>
        <v>-27</v>
      </c>
      <c r="M297" s="2">
        <f t="shared" si="38"/>
        <v>-9.9009900990099011E-3</v>
      </c>
      <c r="N297">
        <f t="shared" si="39"/>
        <v>27</v>
      </c>
    </row>
    <row r="298" spans="1:14">
      <c r="A298" s="1" cm="1">
        <f t="array" ref="A298">INDEX(tblWeeks[Week_Start],INT((ROW()-2)/20)+1)</f>
        <v>46125</v>
      </c>
      <c r="B298" t="str" cm="1">
        <f t="array" ref="B298">INDEX(tblDemandAssumptions[Customer_ID],MOD(ROW()-2,20)+1)</f>
        <v>C004</v>
      </c>
      <c r="C298" t="str" cm="1">
        <f t="array" ref="C298">INDEX(tblDemandAssumptions[Product_ID],MOD(ROW()-2,20)+1)</f>
        <v>P002</v>
      </c>
      <c r="D298" cm="1">
        <f t="array" ref="D298">INDEX(tblDemandAssumptions[Baseline_Weekly_Qty],MOD(ROW()-2,20)+1)</f>
        <v>2400</v>
      </c>
      <c r="E298">
        <f t="shared" si="32"/>
        <v>1</v>
      </c>
      <c r="F298">
        <v>0.97</v>
      </c>
      <c r="G298">
        <f t="shared" si="33"/>
        <v>2328</v>
      </c>
      <c r="H298">
        <v>0.99</v>
      </c>
      <c r="I298">
        <f t="shared" si="34"/>
        <v>2376</v>
      </c>
      <c r="J298" t="str">
        <f t="shared" si="35"/>
        <v>Normal</v>
      </c>
      <c r="K298">
        <f t="shared" si="36"/>
        <v>2328</v>
      </c>
      <c r="L298">
        <f t="shared" si="37"/>
        <v>-48</v>
      </c>
      <c r="M298" s="2">
        <f t="shared" si="38"/>
        <v>-2.0202020202020204E-2</v>
      </c>
      <c r="N298">
        <f t="shared" si="39"/>
        <v>48</v>
      </c>
    </row>
    <row r="299" spans="1:14">
      <c r="A299" s="1" cm="1">
        <f t="array" ref="A299">INDEX(tblWeeks[Week_Start],INT((ROW()-2)/20)+1)</f>
        <v>46125</v>
      </c>
      <c r="B299" t="str" cm="1">
        <f t="array" ref="B299">INDEX(tblDemandAssumptions[Customer_ID],MOD(ROW()-2,20)+1)</f>
        <v>C004</v>
      </c>
      <c r="C299" t="str" cm="1">
        <f t="array" ref="C299">INDEX(tblDemandAssumptions[Product_ID],MOD(ROW()-2,20)+1)</f>
        <v>P003</v>
      </c>
      <c r="D299" cm="1">
        <f t="array" ref="D299">INDEX(tblDemandAssumptions[Baseline_Weekly_Qty],MOD(ROW()-2,20)+1)</f>
        <v>2100</v>
      </c>
      <c r="E299">
        <f t="shared" si="32"/>
        <v>1</v>
      </c>
      <c r="F299">
        <v>0.98</v>
      </c>
      <c r="G299">
        <f t="shared" si="33"/>
        <v>2058</v>
      </c>
      <c r="H299">
        <v>1.01</v>
      </c>
      <c r="I299">
        <f t="shared" si="34"/>
        <v>2121</v>
      </c>
      <c r="J299" t="str">
        <f t="shared" si="35"/>
        <v>Normal</v>
      </c>
      <c r="K299">
        <f t="shared" si="36"/>
        <v>2058</v>
      </c>
      <c r="L299">
        <f t="shared" si="37"/>
        <v>-63</v>
      </c>
      <c r="M299" s="2">
        <f t="shared" si="38"/>
        <v>-2.9702970297029702E-2</v>
      </c>
      <c r="N299">
        <f t="shared" si="39"/>
        <v>63</v>
      </c>
    </row>
    <row r="300" spans="1:14">
      <c r="A300" s="1" cm="1">
        <f t="array" ref="A300">INDEX(tblWeeks[Week_Start],INT((ROW()-2)/20)+1)</f>
        <v>46125</v>
      </c>
      <c r="B300" t="str" cm="1">
        <f t="array" ref="B300">INDEX(tblDemandAssumptions[Customer_ID],MOD(ROW()-2,20)+1)</f>
        <v>C004</v>
      </c>
      <c r="C300" t="str" cm="1">
        <f t="array" ref="C300">INDEX(tblDemandAssumptions[Product_ID],MOD(ROW()-2,20)+1)</f>
        <v>P004</v>
      </c>
      <c r="D300" cm="1">
        <f t="array" ref="D300">INDEX(tblDemandAssumptions[Baseline_Weekly_Qty],MOD(ROW()-2,20)+1)</f>
        <v>2600</v>
      </c>
      <c r="E300">
        <f t="shared" si="32"/>
        <v>1</v>
      </c>
      <c r="F300">
        <v>1.05</v>
      </c>
      <c r="G300">
        <f t="shared" si="33"/>
        <v>2730</v>
      </c>
      <c r="H300">
        <v>1.02</v>
      </c>
      <c r="I300">
        <f t="shared" si="34"/>
        <v>2652</v>
      </c>
      <c r="J300" t="str">
        <f t="shared" si="35"/>
        <v>Normal</v>
      </c>
      <c r="K300">
        <f t="shared" si="36"/>
        <v>2730</v>
      </c>
      <c r="L300">
        <f t="shared" si="37"/>
        <v>78</v>
      </c>
      <c r="M300" s="2">
        <f t="shared" si="38"/>
        <v>2.9411764705882353E-2</v>
      </c>
      <c r="N300">
        <f t="shared" si="39"/>
        <v>78</v>
      </c>
    </row>
    <row r="301" spans="1:14">
      <c r="A301" s="1" cm="1">
        <f t="array" ref="A301">INDEX(tblWeeks[Week_Start],INT((ROW()-2)/20)+1)</f>
        <v>46125</v>
      </c>
      <c r="B301" t="str" cm="1">
        <f t="array" ref="B301">INDEX(tblDemandAssumptions[Customer_ID],MOD(ROW()-2,20)+1)</f>
        <v>C004</v>
      </c>
      <c r="C301" t="str" cm="1">
        <f t="array" ref="C301">INDEX(tblDemandAssumptions[Product_ID],MOD(ROW()-2,20)+1)</f>
        <v>P005</v>
      </c>
      <c r="D301" cm="1">
        <f t="array" ref="D301">INDEX(tblDemandAssumptions[Baseline_Weekly_Qty],MOD(ROW()-2,20)+1)</f>
        <v>1800</v>
      </c>
      <c r="E301">
        <f t="shared" si="32"/>
        <v>1</v>
      </c>
      <c r="F301">
        <v>0.99</v>
      </c>
      <c r="G301">
        <f t="shared" si="33"/>
        <v>1782</v>
      </c>
      <c r="H301">
        <v>0.96</v>
      </c>
      <c r="I301">
        <f t="shared" si="34"/>
        <v>1728</v>
      </c>
      <c r="J301" t="str">
        <f t="shared" si="35"/>
        <v>Normal</v>
      </c>
      <c r="K301">
        <f t="shared" si="36"/>
        <v>1782</v>
      </c>
      <c r="L301">
        <f t="shared" si="37"/>
        <v>54</v>
      </c>
      <c r="M301" s="2">
        <f t="shared" si="38"/>
        <v>3.125E-2</v>
      </c>
      <c r="N301">
        <f t="shared" si="39"/>
        <v>54</v>
      </c>
    </row>
    <row r="302" spans="1:14">
      <c r="A302" s="1" cm="1">
        <f t="array" ref="A302">INDEX(tblWeeks[Week_Start],INT((ROW()-2)/20)+1)</f>
        <v>46132</v>
      </c>
      <c r="B302" t="str" cm="1">
        <f t="array" ref="B302">INDEX(tblDemandAssumptions[Customer_ID],MOD(ROW()-2,20)+1)</f>
        <v>C001</v>
      </c>
      <c r="C302" t="str" cm="1">
        <f t="array" ref="C302">INDEX(tblDemandAssumptions[Product_ID],MOD(ROW()-2,20)+1)</f>
        <v>P001</v>
      </c>
      <c r="D302" cm="1">
        <f t="array" ref="D302">INDEX(tblDemandAssumptions[Baseline_Weekly_Qty],MOD(ROW()-2,20)+1)</f>
        <v>5200</v>
      </c>
      <c r="E302">
        <f t="shared" si="32"/>
        <v>1</v>
      </c>
      <c r="F302">
        <v>0.96</v>
      </c>
      <c r="G302">
        <f t="shared" si="33"/>
        <v>4992</v>
      </c>
      <c r="H302">
        <v>1.01</v>
      </c>
      <c r="I302">
        <f t="shared" si="34"/>
        <v>5252</v>
      </c>
      <c r="J302" t="str">
        <f t="shared" si="35"/>
        <v>Normal</v>
      </c>
      <c r="K302">
        <f t="shared" si="36"/>
        <v>4992</v>
      </c>
      <c r="L302">
        <f t="shared" si="37"/>
        <v>-260</v>
      </c>
      <c r="M302" s="2">
        <f t="shared" si="38"/>
        <v>-4.9504950495049507E-2</v>
      </c>
      <c r="N302">
        <f t="shared" si="39"/>
        <v>260</v>
      </c>
    </row>
    <row r="303" spans="1:14">
      <c r="A303" s="1" cm="1">
        <f t="array" ref="A303">INDEX(tblWeeks[Week_Start],INT((ROW()-2)/20)+1)</f>
        <v>46132</v>
      </c>
      <c r="B303" t="str" cm="1">
        <f t="array" ref="B303">INDEX(tblDemandAssumptions[Customer_ID],MOD(ROW()-2,20)+1)</f>
        <v>C001</v>
      </c>
      <c r="C303" t="str" cm="1">
        <f t="array" ref="C303">INDEX(tblDemandAssumptions[Product_ID],MOD(ROW()-2,20)+1)</f>
        <v>P002</v>
      </c>
      <c r="D303" cm="1">
        <f t="array" ref="D303">INDEX(tblDemandAssumptions[Baseline_Weekly_Qty],MOD(ROW()-2,20)+1)</f>
        <v>4100</v>
      </c>
      <c r="E303">
        <f t="shared" si="32"/>
        <v>1</v>
      </c>
      <c r="F303">
        <v>1</v>
      </c>
      <c r="G303">
        <f t="shared" si="33"/>
        <v>4100</v>
      </c>
      <c r="H303">
        <v>0.99</v>
      </c>
      <c r="I303">
        <f t="shared" si="34"/>
        <v>4059</v>
      </c>
      <c r="J303" t="str">
        <f t="shared" si="35"/>
        <v>Normal</v>
      </c>
      <c r="K303">
        <f t="shared" si="36"/>
        <v>4100</v>
      </c>
      <c r="L303">
        <f t="shared" si="37"/>
        <v>41</v>
      </c>
      <c r="M303" s="2">
        <f t="shared" si="38"/>
        <v>1.0101010101010102E-2</v>
      </c>
      <c r="N303">
        <f t="shared" si="39"/>
        <v>41</v>
      </c>
    </row>
    <row r="304" spans="1:14">
      <c r="A304" s="1" cm="1">
        <f t="array" ref="A304">INDEX(tblWeeks[Week_Start],INT((ROW()-2)/20)+1)</f>
        <v>46132</v>
      </c>
      <c r="B304" t="str" cm="1">
        <f t="array" ref="B304">INDEX(tblDemandAssumptions[Customer_ID],MOD(ROW()-2,20)+1)</f>
        <v>C001</v>
      </c>
      <c r="C304" t="str" cm="1">
        <f t="array" ref="C304">INDEX(tblDemandAssumptions[Product_ID],MOD(ROW()-2,20)+1)</f>
        <v>P003</v>
      </c>
      <c r="D304" cm="1">
        <f t="array" ref="D304">INDEX(tblDemandAssumptions[Baseline_Weekly_Qty],MOD(ROW()-2,20)+1)</f>
        <v>3300</v>
      </c>
      <c r="E304">
        <f t="shared" si="32"/>
        <v>1</v>
      </c>
      <c r="F304">
        <v>1</v>
      </c>
      <c r="G304">
        <f t="shared" si="33"/>
        <v>3300</v>
      </c>
      <c r="H304">
        <v>1.04</v>
      </c>
      <c r="I304">
        <f t="shared" si="34"/>
        <v>3432</v>
      </c>
      <c r="J304" t="str">
        <f t="shared" si="35"/>
        <v>Normal</v>
      </c>
      <c r="K304">
        <f t="shared" si="36"/>
        <v>3300</v>
      </c>
      <c r="L304">
        <f t="shared" si="37"/>
        <v>-132</v>
      </c>
      <c r="M304" s="2">
        <f t="shared" si="38"/>
        <v>-3.8461538461538464E-2</v>
      </c>
      <c r="N304">
        <f t="shared" si="39"/>
        <v>132</v>
      </c>
    </row>
    <row r="305" spans="1:14">
      <c r="A305" s="1" cm="1">
        <f t="array" ref="A305">INDEX(tblWeeks[Week_Start],INT((ROW()-2)/20)+1)</f>
        <v>46132</v>
      </c>
      <c r="B305" t="str" cm="1">
        <f t="array" ref="B305">INDEX(tblDemandAssumptions[Customer_ID],MOD(ROW()-2,20)+1)</f>
        <v>C001</v>
      </c>
      <c r="C305" t="str" cm="1">
        <f t="array" ref="C305">INDEX(tblDemandAssumptions[Product_ID],MOD(ROW()-2,20)+1)</f>
        <v>P004</v>
      </c>
      <c r="D305" cm="1">
        <f t="array" ref="D305">INDEX(tblDemandAssumptions[Baseline_Weekly_Qty],MOD(ROW()-2,20)+1)</f>
        <v>3600</v>
      </c>
      <c r="E305">
        <f t="shared" si="32"/>
        <v>1</v>
      </c>
      <c r="F305">
        <v>1.05</v>
      </c>
      <c r="G305">
        <f t="shared" si="33"/>
        <v>3780</v>
      </c>
      <c r="H305">
        <v>1.01</v>
      </c>
      <c r="I305">
        <f t="shared" si="34"/>
        <v>3636</v>
      </c>
      <c r="J305" t="str">
        <f t="shared" si="35"/>
        <v>Normal</v>
      </c>
      <c r="K305">
        <f t="shared" si="36"/>
        <v>3780</v>
      </c>
      <c r="L305">
        <f t="shared" si="37"/>
        <v>144</v>
      </c>
      <c r="M305" s="2">
        <f t="shared" si="38"/>
        <v>3.9603960396039604E-2</v>
      </c>
      <c r="N305">
        <f t="shared" si="39"/>
        <v>144</v>
      </c>
    </row>
    <row r="306" spans="1:14">
      <c r="A306" s="1" cm="1">
        <f t="array" ref="A306">INDEX(tblWeeks[Week_Start],INT((ROW()-2)/20)+1)</f>
        <v>46132</v>
      </c>
      <c r="B306" t="str" cm="1">
        <f t="array" ref="B306">INDEX(tblDemandAssumptions[Customer_ID],MOD(ROW()-2,20)+1)</f>
        <v>C001</v>
      </c>
      <c r="C306" t="str" cm="1">
        <f t="array" ref="C306">INDEX(tblDemandAssumptions[Product_ID],MOD(ROW()-2,20)+1)</f>
        <v>P005</v>
      </c>
      <c r="D306" cm="1">
        <f t="array" ref="D306">INDEX(tblDemandAssumptions[Baseline_Weekly_Qty],MOD(ROW()-2,20)+1)</f>
        <v>2800</v>
      </c>
      <c r="E306">
        <f t="shared" si="32"/>
        <v>1</v>
      </c>
      <c r="F306">
        <v>1.01</v>
      </c>
      <c r="G306">
        <f t="shared" si="33"/>
        <v>2828</v>
      </c>
      <c r="H306">
        <v>1.03</v>
      </c>
      <c r="I306">
        <f t="shared" si="34"/>
        <v>2884</v>
      </c>
      <c r="J306" t="str">
        <f t="shared" si="35"/>
        <v>Normal</v>
      </c>
      <c r="K306">
        <f t="shared" si="36"/>
        <v>2828</v>
      </c>
      <c r="L306">
        <f t="shared" si="37"/>
        <v>-56</v>
      </c>
      <c r="M306" s="2">
        <f t="shared" si="38"/>
        <v>-1.9417475728155338E-2</v>
      </c>
      <c r="N306">
        <f t="shared" si="39"/>
        <v>56</v>
      </c>
    </row>
    <row r="307" spans="1:14">
      <c r="A307" s="1" cm="1">
        <f t="array" ref="A307">INDEX(tblWeeks[Week_Start],INT((ROW()-2)/20)+1)</f>
        <v>46132</v>
      </c>
      <c r="B307" t="str" cm="1">
        <f t="array" ref="B307">INDEX(tblDemandAssumptions[Customer_ID],MOD(ROW()-2,20)+1)</f>
        <v>C002</v>
      </c>
      <c r="C307" t="str" cm="1">
        <f t="array" ref="C307">INDEX(tblDemandAssumptions[Product_ID],MOD(ROW()-2,20)+1)</f>
        <v>P001</v>
      </c>
      <c r="D307" cm="1">
        <f t="array" ref="D307">INDEX(tblDemandAssumptions[Baseline_Weekly_Qty],MOD(ROW()-2,20)+1)</f>
        <v>3400</v>
      </c>
      <c r="E307">
        <f t="shared" si="32"/>
        <v>1</v>
      </c>
      <c r="F307">
        <v>0.98</v>
      </c>
      <c r="G307">
        <f t="shared" si="33"/>
        <v>3332</v>
      </c>
      <c r="H307">
        <v>1.04</v>
      </c>
      <c r="I307">
        <f t="shared" si="34"/>
        <v>3536</v>
      </c>
      <c r="J307" t="str">
        <f t="shared" si="35"/>
        <v>Normal</v>
      </c>
      <c r="K307">
        <f t="shared" si="36"/>
        <v>3332</v>
      </c>
      <c r="L307">
        <f t="shared" si="37"/>
        <v>-204</v>
      </c>
      <c r="M307" s="2">
        <f t="shared" si="38"/>
        <v>-5.7692307692307696E-2</v>
      </c>
      <c r="N307">
        <f t="shared" si="39"/>
        <v>204</v>
      </c>
    </row>
    <row r="308" spans="1:14">
      <c r="A308" s="1" cm="1">
        <f t="array" ref="A308">INDEX(tblWeeks[Week_Start],INT((ROW()-2)/20)+1)</f>
        <v>46132</v>
      </c>
      <c r="B308" t="str" cm="1">
        <f t="array" ref="B308">INDEX(tblDemandAssumptions[Customer_ID],MOD(ROW()-2,20)+1)</f>
        <v>C002</v>
      </c>
      <c r="C308" t="str" cm="1">
        <f t="array" ref="C308">INDEX(tblDemandAssumptions[Product_ID],MOD(ROW()-2,20)+1)</f>
        <v>P002</v>
      </c>
      <c r="D308" cm="1">
        <f t="array" ref="D308">INDEX(tblDemandAssumptions[Baseline_Weekly_Qty],MOD(ROW()-2,20)+1)</f>
        <v>3200</v>
      </c>
      <c r="E308">
        <f t="shared" si="32"/>
        <v>1</v>
      </c>
      <c r="F308">
        <v>0.97</v>
      </c>
      <c r="G308">
        <f t="shared" si="33"/>
        <v>3104</v>
      </c>
      <c r="H308">
        <v>1</v>
      </c>
      <c r="I308">
        <f t="shared" si="34"/>
        <v>3200</v>
      </c>
      <c r="J308" t="str">
        <f t="shared" si="35"/>
        <v>Normal</v>
      </c>
      <c r="K308">
        <f t="shared" si="36"/>
        <v>3104</v>
      </c>
      <c r="L308">
        <f t="shared" si="37"/>
        <v>-96</v>
      </c>
      <c r="M308" s="2">
        <f t="shared" si="38"/>
        <v>-0.03</v>
      </c>
      <c r="N308">
        <f t="shared" si="39"/>
        <v>96</v>
      </c>
    </row>
    <row r="309" spans="1:14">
      <c r="A309" s="1" cm="1">
        <f t="array" ref="A309">INDEX(tblWeeks[Week_Start],INT((ROW()-2)/20)+1)</f>
        <v>46132</v>
      </c>
      <c r="B309" t="str" cm="1">
        <f t="array" ref="B309">INDEX(tblDemandAssumptions[Customer_ID],MOD(ROW()-2,20)+1)</f>
        <v>C002</v>
      </c>
      <c r="C309" t="str" cm="1">
        <f t="array" ref="C309">INDEX(tblDemandAssumptions[Product_ID],MOD(ROW()-2,20)+1)</f>
        <v>P003</v>
      </c>
      <c r="D309" cm="1">
        <f t="array" ref="D309">INDEX(tblDemandAssumptions[Baseline_Weekly_Qty],MOD(ROW()-2,20)+1)</f>
        <v>2600</v>
      </c>
      <c r="E309">
        <f t="shared" si="32"/>
        <v>1</v>
      </c>
      <c r="F309">
        <v>0.97</v>
      </c>
      <c r="G309">
        <f t="shared" si="33"/>
        <v>2522</v>
      </c>
      <c r="H309">
        <v>1.02</v>
      </c>
      <c r="I309">
        <f t="shared" si="34"/>
        <v>2652</v>
      </c>
      <c r="J309" t="str">
        <f t="shared" si="35"/>
        <v>Normal</v>
      </c>
      <c r="K309">
        <f t="shared" si="36"/>
        <v>2522</v>
      </c>
      <c r="L309">
        <f t="shared" si="37"/>
        <v>-130</v>
      </c>
      <c r="M309" s="2">
        <f t="shared" si="38"/>
        <v>-4.9019607843137254E-2</v>
      </c>
      <c r="N309">
        <f t="shared" si="39"/>
        <v>130</v>
      </c>
    </row>
    <row r="310" spans="1:14">
      <c r="A310" s="1" cm="1">
        <f t="array" ref="A310">INDEX(tblWeeks[Week_Start],INT((ROW()-2)/20)+1)</f>
        <v>46132</v>
      </c>
      <c r="B310" t="str" cm="1">
        <f t="array" ref="B310">INDEX(tblDemandAssumptions[Customer_ID],MOD(ROW()-2,20)+1)</f>
        <v>C002</v>
      </c>
      <c r="C310" t="str" cm="1">
        <f t="array" ref="C310">INDEX(tblDemandAssumptions[Product_ID],MOD(ROW()-2,20)+1)</f>
        <v>P004</v>
      </c>
      <c r="D310" cm="1">
        <f t="array" ref="D310">INDEX(tblDemandAssumptions[Baseline_Weekly_Qty],MOD(ROW()-2,20)+1)</f>
        <v>2900</v>
      </c>
      <c r="E310">
        <f t="shared" si="32"/>
        <v>1</v>
      </c>
      <c r="F310">
        <v>1</v>
      </c>
      <c r="G310">
        <f t="shared" si="33"/>
        <v>2900</v>
      </c>
      <c r="H310">
        <v>0.99</v>
      </c>
      <c r="I310">
        <f t="shared" si="34"/>
        <v>2871</v>
      </c>
      <c r="J310" t="str">
        <f t="shared" si="35"/>
        <v>Normal</v>
      </c>
      <c r="K310">
        <f t="shared" si="36"/>
        <v>2900</v>
      </c>
      <c r="L310">
        <f t="shared" si="37"/>
        <v>29</v>
      </c>
      <c r="M310" s="2">
        <f t="shared" si="38"/>
        <v>1.0101010101010102E-2</v>
      </c>
      <c r="N310">
        <f t="shared" si="39"/>
        <v>29</v>
      </c>
    </row>
    <row r="311" spans="1:14">
      <c r="A311" s="1" cm="1">
        <f t="array" ref="A311">INDEX(tblWeeks[Week_Start],INT((ROW()-2)/20)+1)</f>
        <v>46132</v>
      </c>
      <c r="B311" t="str" cm="1">
        <f t="array" ref="B311">INDEX(tblDemandAssumptions[Customer_ID],MOD(ROW()-2,20)+1)</f>
        <v>C002</v>
      </c>
      <c r="C311" t="str" cm="1">
        <f t="array" ref="C311">INDEX(tblDemandAssumptions[Product_ID],MOD(ROW()-2,20)+1)</f>
        <v>P005</v>
      </c>
      <c r="D311" cm="1">
        <f t="array" ref="D311">INDEX(tblDemandAssumptions[Baseline_Weekly_Qty],MOD(ROW()-2,20)+1)</f>
        <v>2200</v>
      </c>
      <c r="E311">
        <f t="shared" si="32"/>
        <v>1</v>
      </c>
      <c r="F311">
        <v>0.98</v>
      </c>
      <c r="G311">
        <f t="shared" si="33"/>
        <v>2156</v>
      </c>
      <c r="H311">
        <v>1.02</v>
      </c>
      <c r="I311">
        <f t="shared" si="34"/>
        <v>2244</v>
      </c>
      <c r="J311" t="str">
        <f t="shared" si="35"/>
        <v>Normal</v>
      </c>
      <c r="K311">
        <f t="shared" si="36"/>
        <v>2156</v>
      </c>
      <c r="L311">
        <f t="shared" si="37"/>
        <v>-88</v>
      </c>
      <c r="M311" s="2">
        <f t="shared" si="38"/>
        <v>-3.9215686274509803E-2</v>
      </c>
      <c r="N311">
        <f t="shared" si="39"/>
        <v>88</v>
      </c>
    </row>
    <row r="312" spans="1:14">
      <c r="A312" s="1" cm="1">
        <f t="array" ref="A312">INDEX(tblWeeks[Week_Start],INT((ROW()-2)/20)+1)</f>
        <v>46132</v>
      </c>
      <c r="B312" t="str" cm="1">
        <f t="array" ref="B312">INDEX(tblDemandAssumptions[Customer_ID],MOD(ROW()-2,20)+1)</f>
        <v>C003</v>
      </c>
      <c r="C312" t="str" cm="1">
        <f t="array" ref="C312">INDEX(tblDemandAssumptions[Product_ID],MOD(ROW()-2,20)+1)</f>
        <v>P001</v>
      </c>
      <c r="D312" cm="1">
        <f t="array" ref="D312">INDEX(tblDemandAssumptions[Baseline_Weekly_Qty],MOD(ROW()-2,20)+1)</f>
        <v>3000</v>
      </c>
      <c r="E312">
        <f t="shared" si="32"/>
        <v>1</v>
      </c>
      <c r="F312">
        <v>1.01</v>
      </c>
      <c r="G312">
        <f t="shared" si="33"/>
        <v>3030</v>
      </c>
      <c r="H312">
        <v>1.01</v>
      </c>
      <c r="I312">
        <f t="shared" si="34"/>
        <v>3030</v>
      </c>
      <c r="J312" t="str">
        <f t="shared" si="35"/>
        <v>Normal</v>
      </c>
      <c r="K312">
        <f t="shared" si="36"/>
        <v>3030</v>
      </c>
      <c r="L312">
        <f t="shared" si="37"/>
        <v>0</v>
      </c>
      <c r="M312" s="2">
        <f t="shared" si="38"/>
        <v>0</v>
      </c>
      <c r="N312">
        <f t="shared" si="39"/>
        <v>0</v>
      </c>
    </row>
    <row r="313" spans="1:14">
      <c r="A313" s="1" cm="1">
        <f t="array" ref="A313">INDEX(tblWeeks[Week_Start],INT((ROW()-2)/20)+1)</f>
        <v>46132</v>
      </c>
      <c r="B313" t="str" cm="1">
        <f t="array" ref="B313">INDEX(tblDemandAssumptions[Customer_ID],MOD(ROW()-2,20)+1)</f>
        <v>C003</v>
      </c>
      <c r="C313" t="str" cm="1">
        <f t="array" ref="C313">INDEX(tblDemandAssumptions[Product_ID],MOD(ROW()-2,20)+1)</f>
        <v>P002</v>
      </c>
      <c r="D313" cm="1">
        <f t="array" ref="D313">INDEX(tblDemandAssumptions[Baseline_Weekly_Qty],MOD(ROW()-2,20)+1)</f>
        <v>2700</v>
      </c>
      <c r="E313">
        <f t="shared" si="32"/>
        <v>1</v>
      </c>
      <c r="F313">
        <v>1.03</v>
      </c>
      <c r="G313">
        <f t="shared" si="33"/>
        <v>2781</v>
      </c>
      <c r="H313">
        <v>1.04</v>
      </c>
      <c r="I313">
        <f t="shared" si="34"/>
        <v>2808</v>
      </c>
      <c r="J313" t="str">
        <f t="shared" si="35"/>
        <v>Normal</v>
      </c>
      <c r="K313">
        <f t="shared" si="36"/>
        <v>2781</v>
      </c>
      <c r="L313">
        <f t="shared" si="37"/>
        <v>-27</v>
      </c>
      <c r="M313" s="2">
        <f t="shared" si="38"/>
        <v>-9.6153846153846159E-3</v>
      </c>
      <c r="N313">
        <f t="shared" si="39"/>
        <v>27</v>
      </c>
    </row>
    <row r="314" spans="1:14">
      <c r="A314" s="1" cm="1">
        <f t="array" ref="A314">INDEX(tblWeeks[Week_Start],INT((ROW()-2)/20)+1)</f>
        <v>46132</v>
      </c>
      <c r="B314" t="str" cm="1">
        <f t="array" ref="B314">INDEX(tblDemandAssumptions[Customer_ID],MOD(ROW()-2,20)+1)</f>
        <v>C003</v>
      </c>
      <c r="C314" t="str" cm="1">
        <f t="array" ref="C314">INDEX(tblDemandAssumptions[Product_ID],MOD(ROW()-2,20)+1)</f>
        <v>P003</v>
      </c>
      <c r="D314" cm="1">
        <f t="array" ref="D314">INDEX(tblDemandAssumptions[Baseline_Weekly_Qty],MOD(ROW()-2,20)+1)</f>
        <v>2800</v>
      </c>
      <c r="E314">
        <f t="shared" si="32"/>
        <v>1</v>
      </c>
      <c r="F314">
        <v>1.05</v>
      </c>
      <c r="G314">
        <f t="shared" si="33"/>
        <v>2940</v>
      </c>
      <c r="H314">
        <v>1.04</v>
      </c>
      <c r="I314">
        <f t="shared" si="34"/>
        <v>2912</v>
      </c>
      <c r="J314" t="str">
        <f t="shared" si="35"/>
        <v>Normal</v>
      </c>
      <c r="K314">
        <f t="shared" si="36"/>
        <v>2940</v>
      </c>
      <c r="L314">
        <f t="shared" si="37"/>
        <v>28</v>
      </c>
      <c r="M314" s="2">
        <f t="shared" si="38"/>
        <v>9.6153846153846159E-3</v>
      </c>
      <c r="N314">
        <f t="shared" si="39"/>
        <v>28</v>
      </c>
    </row>
    <row r="315" spans="1:14">
      <c r="A315" s="1" cm="1">
        <f t="array" ref="A315">INDEX(tblWeeks[Week_Start],INT((ROW()-2)/20)+1)</f>
        <v>46132</v>
      </c>
      <c r="B315" t="str" cm="1">
        <f t="array" ref="B315">INDEX(tblDemandAssumptions[Customer_ID],MOD(ROW()-2,20)+1)</f>
        <v>C003</v>
      </c>
      <c r="C315" t="str" cm="1">
        <f t="array" ref="C315">INDEX(tblDemandAssumptions[Product_ID],MOD(ROW()-2,20)+1)</f>
        <v>P004</v>
      </c>
      <c r="D315" cm="1">
        <f t="array" ref="D315">INDEX(tblDemandAssumptions[Baseline_Weekly_Qty],MOD(ROW()-2,20)+1)</f>
        <v>2400</v>
      </c>
      <c r="E315">
        <f t="shared" si="32"/>
        <v>1</v>
      </c>
      <c r="F315">
        <v>1.05</v>
      </c>
      <c r="G315">
        <f t="shared" si="33"/>
        <v>2520</v>
      </c>
      <c r="H315">
        <v>1.02</v>
      </c>
      <c r="I315">
        <f t="shared" si="34"/>
        <v>2448</v>
      </c>
      <c r="J315" t="str">
        <f t="shared" si="35"/>
        <v>Normal</v>
      </c>
      <c r="K315">
        <f t="shared" si="36"/>
        <v>2520</v>
      </c>
      <c r="L315">
        <f t="shared" si="37"/>
        <v>72</v>
      </c>
      <c r="M315" s="2">
        <f t="shared" si="38"/>
        <v>2.9411764705882353E-2</v>
      </c>
      <c r="N315">
        <f t="shared" si="39"/>
        <v>72</v>
      </c>
    </row>
    <row r="316" spans="1:14">
      <c r="A316" s="1" cm="1">
        <f t="array" ref="A316">INDEX(tblWeeks[Week_Start],INT((ROW()-2)/20)+1)</f>
        <v>46132</v>
      </c>
      <c r="B316" t="str" cm="1">
        <f t="array" ref="B316">INDEX(tblDemandAssumptions[Customer_ID],MOD(ROW()-2,20)+1)</f>
        <v>C003</v>
      </c>
      <c r="C316" t="str" cm="1">
        <f t="array" ref="C316">INDEX(tblDemandAssumptions[Product_ID],MOD(ROW()-2,20)+1)</f>
        <v>P005</v>
      </c>
      <c r="D316" cm="1">
        <f t="array" ref="D316">INDEX(tblDemandAssumptions[Baseline_Weekly_Qty],MOD(ROW()-2,20)+1)</f>
        <v>1900</v>
      </c>
      <c r="E316">
        <f t="shared" si="32"/>
        <v>1</v>
      </c>
      <c r="F316">
        <v>0.95</v>
      </c>
      <c r="G316">
        <f t="shared" si="33"/>
        <v>1805</v>
      </c>
      <c r="H316">
        <v>0.98</v>
      </c>
      <c r="I316">
        <f t="shared" si="34"/>
        <v>1862</v>
      </c>
      <c r="J316" t="str">
        <f t="shared" si="35"/>
        <v>Normal</v>
      </c>
      <c r="K316">
        <f t="shared" si="36"/>
        <v>1805</v>
      </c>
      <c r="L316">
        <f t="shared" si="37"/>
        <v>-57</v>
      </c>
      <c r="M316" s="2">
        <f t="shared" si="38"/>
        <v>-3.0612244897959183E-2</v>
      </c>
      <c r="N316">
        <f t="shared" si="39"/>
        <v>57</v>
      </c>
    </row>
    <row r="317" spans="1:14">
      <c r="A317" s="1" cm="1">
        <f t="array" ref="A317">INDEX(tblWeeks[Week_Start],INT((ROW()-2)/20)+1)</f>
        <v>46132</v>
      </c>
      <c r="B317" t="str" cm="1">
        <f t="array" ref="B317">INDEX(tblDemandAssumptions[Customer_ID],MOD(ROW()-2,20)+1)</f>
        <v>C004</v>
      </c>
      <c r="C317" t="str" cm="1">
        <f t="array" ref="C317">INDEX(tblDemandAssumptions[Product_ID],MOD(ROW()-2,20)+1)</f>
        <v>P001</v>
      </c>
      <c r="D317" cm="1">
        <f t="array" ref="D317">INDEX(tblDemandAssumptions[Baseline_Weekly_Qty],MOD(ROW()-2,20)+1)</f>
        <v>2700</v>
      </c>
      <c r="E317">
        <f t="shared" si="32"/>
        <v>1</v>
      </c>
      <c r="F317">
        <v>1.04</v>
      </c>
      <c r="G317">
        <f t="shared" si="33"/>
        <v>2808</v>
      </c>
      <c r="H317">
        <v>1.04</v>
      </c>
      <c r="I317">
        <f t="shared" si="34"/>
        <v>2808</v>
      </c>
      <c r="J317" t="str">
        <f t="shared" si="35"/>
        <v>Normal</v>
      </c>
      <c r="K317">
        <f t="shared" si="36"/>
        <v>2808</v>
      </c>
      <c r="L317">
        <f t="shared" si="37"/>
        <v>0</v>
      </c>
      <c r="M317" s="2">
        <f t="shared" si="38"/>
        <v>0</v>
      </c>
      <c r="N317">
        <f t="shared" si="39"/>
        <v>0</v>
      </c>
    </row>
    <row r="318" spans="1:14">
      <c r="A318" s="1" cm="1">
        <f t="array" ref="A318">INDEX(tblWeeks[Week_Start],INT((ROW()-2)/20)+1)</f>
        <v>46132</v>
      </c>
      <c r="B318" t="str" cm="1">
        <f t="array" ref="B318">INDEX(tblDemandAssumptions[Customer_ID],MOD(ROW()-2,20)+1)</f>
        <v>C004</v>
      </c>
      <c r="C318" t="str" cm="1">
        <f t="array" ref="C318">INDEX(tblDemandAssumptions[Product_ID],MOD(ROW()-2,20)+1)</f>
        <v>P002</v>
      </c>
      <c r="D318" cm="1">
        <f t="array" ref="D318">INDEX(tblDemandAssumptions[Baseline_Weekly_Qty],MOD(ROW()-2,20)+1)</f>
        <v>2400</v>
      </c>
      <c r="E318">
        <f t="shared" si="32"/>
        <v>1</v>
      </c>
      <c r="F318">
        <v>1.03</v>
      </c>
      <c r="G318">
        <f t="shared" si="33"/>
        <v>2472</v>
      </c>
      <c r="H318">
        <v>0.98</v>
      </c>
      <c r="I318">
        <f t="shared" si="34"/>
        <v>2352</v>
      </c>
      <c r="J318" t="str">
        <f t="shared" si="35"/>
        <v>Normal</v>
      </c>
      <c r="K318">
        <f t="shared" si="36"/>
        <v>2472</v>
      </c>
      <c r="L318">
        <f t="shared" si="37"/>
        <v>120</v>
      </c>
      <c r="M318" s="2">
        <f t="shared" si="38"/>
        <v>5.1020408163265307E-2</v>
      </c>
      <c r="N318">
        <f t="shared" si="39"/>
        <v>120</v>
      </c>
    </row>
    <row r="319" spans="1:14">
      <c r="A319" s="1" cm="1">
        <f t="array" ref="A319">INDEX(tblWeeks[Week_Start],INT((ROW()-2)/20)+1)</f>
        <v>46132</v>
      </c>
      <c r="B319" t="str" cm="1">
        <f t="array" ref="B319">INDEX(tblDemandAssumptions[Customer_ID],MOD(ROW()-2,20)+1)</f>
        <v>C004</v>
      </c>
      <c r="C319" t="str" cm="1">
        <f t="array" ref="C319">INDEX(tblDemandAssumptions[Product_ID],MOD(ROW()-2,20)+1)</f>
        <v>P003</v>
      </c>
      <c r="D319" cm="1">
        <f t="array" ref="D319">INDEX(tblDemandAssumptions[Baseline_Weekly_Qty],MOD(ROW()-2,20)+1)</f>
        <v>2100</v>
      </c>
      <c r="E319">
        <f t="shared" si="32"/>
        <v>1</v>
      </c>
      <c r="F319">
        <v>1.03</v>
      </c>
      <c r="G319">
        <f t="shared" si="33"/>
        <v>2163</v>
      </c>
      <c r="H319">
        <v>1.04</v>
      </c>
      <c r="I319">
        <f t="shared" si="34"/>
        <v>2184</v>
      </c>
      <c r="J319" t="str">
        <f t="shared" si="35"/>
        <v>Normal</v>
      </c>
      <c r="K319">
        <f t="shared" si="36"/>
        <v>2163</v>
      </c>
      <c r="L319">
        <f t="shared" si="37"/>
        <v>-21</v>
      </c>
      <c r="M319" s="2">
        <f t="shared" si="38"/>
        <v>-9.6153846153846159E-3</v>
      </c>
      <c r="N319">
        <f t="shared" si="39"/>
        <v>21</v>
      </c>
    </row>
    <row r="320" spans="1:14">
      <c r="A320" s="1" cm="1">
        <f t="array" ref="A320">INDEX(tblWeeks[Week_Start],INT((ROW()-2)/20)+1)</f>
        <v>46132</v>
      </c>
      <c r="B320" t="str" cm="1">
        <f t="array" ref="B320">INDEX(tblDemandAssumptions[Customer_ID],MOD(ROW()-2,20)+1)</f>
        <v>C004</v>
      </c>
      <c r="C320" t="str" cm="1">
        <f t="array" ref="C320">INDEX(tblDemandAssumptions[Product_ID],MOD(ROW()-2,20)+1)</f>
        <v>P004</v>
      </c>
      <c r="D320" cm="1">
        <f t="array" ref="D320">INDEX(tblDemandAssumptions[Baseline_Weekly_Qty],MOD(ROW()-2,20)+1)</f>
        <v>2600</v>
      </c>
      <c r="E320">
        <f t="shared" si="32"/>
        <v>1</v>
      </c>
      <c r="F320">
        <v>0.97</v>
      </c>
      <c r="G320">
        <f t="shared" si="33"/>
        <v>2522</v>
      </c>
      <c r="H320">
        <v>0.97</v>
      </c>
      <c r="I320">
        <f t="shared" si="34"/>
        <v>2522</v>
      </c>
      <c r="J320" t="str">
        <f t="shared" si="35"/>
        <v>Normal</v>
      </c>
      <c r="K320">
        <f t="shared" si="36"/>
        <v>2522</v>
      </c>
      <c r="L320">
        <f t="shared" si="37"/>
        <v>0</v>
      </c>
      <c r="M320" s="2">
        <f t="shared" si="38"/>
        <v>0</v>
      </c>
      <c r="N320">
        <f t="shared" si="39"/>
        <v>0</v>
      </c>
    </row>
    <row r="321" spans="1:14">
      <c r="A321" s="1" cm="1">
        <f t="array" ref="A321">INDEX(tblWeeks[Week_Start],INT((ROW()-2)/20)+1)</f>
        <v>46132</v>
      </c>
      <c r="B321" t="str" cm="1">
        <f t="array" ref="B321">INDEX(tblDemandAssumptions[Customer_ID],MOD(ROW()-2,20)+1)</f>
        <v>C004</v>
      </c>
      <c r="C321" t="str" cm="1">
        <f t="array" ref="C321">INDEX(tblDemandAssumptions[Product_ID],MOD(ROW()-2,20)+1)</f>
        <v>P005</v>
      </c>
      <c r="D321" cm="1">
        <f t="array" ref="D321">INDEX(tblDemandAssumptions[Baseline_Weekly_Qty],MOD(ROW()-2,20)+1)</f>
        <v>1800</v>
      </c>
      <c r="E321">
        <f t="shared" si="32"/>
        <v>1</v>
      </c>
      <c r="F321">
        <v>1</v>
      </c>
      <c r="G321">
        <f t="shared" si="33"/>
        <v>1800</v>
      </c>
      <c r="H321">
        <v>1.03</v>
      </c>
      <c r="I321">
        <f t="shared" si="34"/>
        <v>1854</v>
      </c>
      <c r="J321" t="str">
        <f t="shared" si="35"/>
        <v>Normal</v>
      </c>
      <c r="K321">
        <f t="shared" si="36"/>
        <v>1800</v>
      </c>
      <c r="L321">
        <f t="shared" si="37"/>
        <v>-54</v>
      </c>
      <c r="M321" s="2">
        <f t="shared" si="38"/>
        <v>-2.9126213592233011E-2</v>
      </c>
      <c r="N321">
        <f t="shared" si="39"/>
        <v>54</v>
      </c>
    </row>
    <row r="322" spans="1:14">
      <c r="A322" s="1" cm="1">
        <f t="array" ref="A322">INDEX(tblWeeks[Week_Start],INT((ROW()-2)/20)+1)</f>
        <v>46139</v>
      </c>
      <c r="B322" t="str" cm="1">
        <f t="array" ref="B322">INDEX(tblDemandAssumptions[Customer_ID],MOD(ROW()-2,20)+1)</f>
        <v>C001</v>
      </c>
      <c r="C322" t="str" cm="1">
        <f t="array" ref="C322">INDEX(tblDemandAssumptions[Product_ID],MOD(ROW()-2,20)+1)</f>
        <v>P001</v>
      </c>
      <c r="D322" cm="1">
        <f t="array" ref="D322">INDEX(tblDemandAssumptions[Baseline_Weekly_Qty],MOD(ROW()-2,20)+1)</f>
        <v>5200</v>
      </c>
      <c r="E322">
        <f t="shared" ref="E322:E385" si="40">IF(MONTH(A322)&lt;=2,0.95,IF(MONTH(A322)&lt;=4,1,IF(MONTH(A322)&lt;=6,1.05,IF(MONTH(A322)&lt;=8,1.1,IF(MONTH(A322)&lt;=10,1,IF(MONTH(A322)=11,1.05,1.2))))))</f>
        <v>1</v>
      </c>
      <c r="F322">
        <v>1.05</v>
      </c>
      <c r="G322">
        <f t="shared" ref="G322:G385" si="41">ROUND(D322*E322*F322,0)</f>
        <v>5460</v>
      </c>
      <c r="H322">
        <v>0.99</v>
      </c>
      <c r="I322">
        <f t="shared" ref="I322:I385" si="42">ROUND(D322*E322*H322,0)</f>
        <v>5148</v>
      </c>
      <c r="J322" t="str">
        <f t="shared" ref="J322:J385" si="43">IF(AND(A322=DATE(2026,3,16),B322="C001",C322="P001"),"Promotion_Demand_Spike",IF(AND(A322=DATE(2026,6,8),B322="C002",C322="P004"),"Under_Forecast",IF(AND(A322=DATE(2026,7,20),B322="C003",C322="P003"),"Over_Forecast","Normal")))</f>
        <v>Normal</v>
      </c>
      <c r="K322">
        <f t="shared" ref="K322:K385" si="44">IF(J322="Promotion_Demand_Spike",ROUND(G322*1.35,0),IF(J322="Under_Forecast",ROUND(I322*1.25,0),IF(J322="Over_Forecast",ROUND(I322*0.72,0),G322)))</f>
        <v>5460</v>
      </c>
      <c r="L322">
        <f t="shared" ref="L322:L385" si="45">K322-I322</f>
        <v>312</v>
      </c>
      <c r="M322" s="2">
        <f t="shared" ref="M322:M385" si="46">IF(I322=0,0,L322/I322)</f>
        <v>6.0606060606060608E-2</v>
      </c>
      <c r="N322">
        <f t="shared" ref="N322:N385" si="47">ABS(L322)</f>
        <v>312</v>
      </c>
    </row>
    <row r="323" spans="1:14">
      <c r="A323" s="1" cm="1">
        <f t="array" ref="A323">INDEX(tblWeeks[Week_Start],INT((ROW()-2)/20)+1)</f>
        <v>46139</v>
      </c>
      <c r="B323" t="str" cm="1">
        <f t="array" ref="B323">INDEX(tblDemandAssumptions[Customer_ID],MOD(ROW()-2,20)+1)</f>
        <v>C001</v>
      </c>
      <c r="C323" t="str" cm="1">
        <f t="array" ref="C323">INDEX(tblDemandAssumptions[Product_ID],MOD(ROW()-2,20)+1)</f>
        <v>P002</v>
      </c>
      <c r="D323" cm="1">
        <f t="array" ref="D323">INDEX(tblDemandAssumptions[Baseline_Weekly_Qty],MOD(ROW()-2,20)+1)</f>
        <v>4100</v>
      </c>
      <c r="E323">
        <f t="shared" si="40"/>
        <v>1</v>
      </c>
      <c r="F323">
        <v>0.99</v>
      </c>
      <c r="G323">
        <f t="shared" si="41"/>
        <v>4059</v>
      </c>
      <c r="H323">
        <v>1.02</v>
      </c>
      <c r="I323">
        <f t="shared" si="42"/>
        <v>4182</v>
      </c>
      <c r="J323" t="str">
        <f t="shared" si="43"/>
        <v>Normal</v>
      </c>
      <c r="K323">
        <f t="shared" si="44"/>
        <v>4059</v>
      </c>
      <c r="L323">
        <f t="shared" si="45"/>
        <v>-123</v>
      </c>
      <c r="M323" s="2">
        <f t="shared" si="46"/>
        <v>-2.9411764705882353E-2</v>
      </c>
      <c r="N323">
        <f t="shared" si="47"/>
        <v>123</v>
      </c>
    </row>
    <row r="324" spans="1:14">
      <c r="A324" s="1" cm="1">
        <f t="array" ref="A324">INDEX(tblWeeks[Week_Start],INT((ROW()-2)/20)+1)</f>
        <v>46139</v>
      </c>
      <c r="B324" t="str" cm="1">
        <f t="array" ref="B324">INDEX(tblDemandAssumptions[Customer_ID],MOD(ROW()-2,20)+1)</f>
        <v>C001</v>
      </c>
      <c r="C324" t="str" cm="1">
        <f t="array" ref="C324">INDEX(tblDemandAssumptions[Product_ID],MOD(ROW()-2,20)+1)</f>
        <v>P003</v>
      </c>
      <c r="D324" cm="1">
        <f t="array" ref="D324">INDEX(tblDemandAssumptions[Baseline_Weekly_Qty],MOD(ROW()-2,20)+1)</f>
        <v>3300</v>
      </c>
      <c r="E324">
        <f t="shared" si="40"/>
        <v>1</v>
      </c>
      <c r="F324">
        <v>1.05</v>
      </c>
      <c r="G324">
        <f t="shared" si="41"/>
        <v>3465</v>
      </c>
      <c r="H324">
        <v>0.96</v>
      </c>
      <c r="I324">
        <f t="shared" si="42"/>
        <v>3168</v>
      </c>
      <c r="J324" t="str">
        <f t="shared" si="43"/>
        <v>Normal</v>
      </c>
      <c r="K324">
        <f t="shared" si="44"/>
        <v>3465</v>
      </c>
      <c r="L324">
        <f t="shared" si="45"/>
        <v>297</v>
      </c>
      <c r="M324" s="2">
        <f t="shared" si="46"/>
        <v>9.375E-2</v>
      </c>
      <c r="N324">
        <f t="shared" si="47"/>
        <v>297</v>
      </c>
    </row>
    <row r="325" spans="1:14">
      <c r="A325" s="1" cm="1">
        <f t="array" ref="A325">INDEX(tblWeeks[Week_Start],INT((ROW()-2)/20)+1)</f>
        <v>46139</v>
      </c>
      <c r="B325" t="str" cm="1">
        <f t="array" ref="B325">INDEX(tblDemandAssumptions[Customer_ID],MOD(ROW()-2,20)+1)</f>
        <v>C001</v>
      </c>
      <c r="C325" t="str" cm="1">
        <f t="array" ref="C325">INDEX(tblDemandAssumptions[Product_ID],MOD(ROW()-2,20)+1)</f>
        <v>P004</v>
      </c>
      <c r="D325" cm="1">
        <f t="array" ref="D325">INDEX(tblDemandAssumptions[Baseline_Weekly_Qty],MOD(ROW()-2,20)+1)</f>
        <v>3600</v>
      </c>
      <c r="E325">
        <f t="shared" si="40"/>
        <v>1</v>
      </c>
      <c r="F325">
        <v>0.97</v>
      </c>
      <c r="G325">
        <f t="shared" si="41"/>
        <v>3492</v>
      </c>
      <c r="H325">
        <v>1.03</v>
      </c>
      <c r="I325">
        <f t="shared" si="42"/>
        <v>3708</v>
      </c>
      <c r="J325" t="str">
        <f t="shared" si="43"/>
        <v>Normal</v>
      </c>
      <c r="K325">
        <f t="shared" si="44"/>
        <v>3492</v>
      </c>
      <c r="L325">
        <f t="shared" si="45"/>
        <v>-216</v>
      </c>
      <c r="M325" s="2">
        <f t="shared" si="46"/>
        <v>-5.8252427184466021E-2</v>
      </c>
      <c r="N325">
        <f t="shared" si="47"/>
        <v>216</v>
      </c>
    </row>
    <row r="326" spans="1:14">
      <c r="A326" s="1" cm="1">
        <f t="array" ref="A326">INDEX(tblWeeks[Week_Start],INT((ROW()-2)/20)+1)</f>
        <v>46139</v>
      </c>
      <c r="B326" t="str" cm="1">
        <f t="array" ref="B326">INDEX(tblDemandAssumptions[Customer_ID],MOD(ROW()-2,20)+1)</f>
        <v>C001</v>
      </c>
      <c r="C326" t="str" cm="1">
        <f t="array" ref="C326">INDEX(tblDemandAssumptions[Product_ID],MOD(ROW()-2,20)+1)</f>
        <v>P005</v>
      </c>
      <c r="D326" cm="1">
        <f t="array" ref="D326">INDEX(tblDemandAssumptions[Baseline_Weekly_Qty],MOD(ROW()-2,20)+1)</f>
        <v>2800</v>
      </c>
      <c r="E326">
        <f t="shared" si="40"/>
        <v>1</v>
      </c>
      <c r="F326">
        <v>1.02</v>
      </c>
      <c r="G326">
        <f t="shared" si="41"/>
        <v>2856</v>
      </c>
      <c r="H326">
        <v>1.01</v>
      </c>
      <c r="I326">
        <f t="shared" si="42"/>
        <v>2828</v>
      </c>
      <c r="J326" t="str">
        <f t="shared" si="43"/>
        <v>Normal</v>
      </c>
      <c r="K326">
        <f t="shared" si="44"/>
        <v>2856</v>
      </c>
      <c r="L326">
        <f t="shared" si="45"/>
        <v>28</v>
      </c>
      <c r="M326" s="2">
        <f t="shared" si="46"/>
        <v>9.9009900990099011E-3</v>
      </c>
      <c r="N326">
        <f t="shared" si="47"/>
        <v>28</v>
      </c>
    </row>
    <row r="327" spans="1:14">
      <c r="A327" s="1" cm="1">
        <f t="array" ref="A327">INDEX(tblWeeks[Week_Start],INT((ROW()-2)/20)+1)</f>
        <v>46139</v>
      </c>
      <c r="B327" t="str" cm="1">
        <f t="array" ref="B327">INDEX(tblDemandAssumptions[Customer_ID],MOD(ROW()-2,20)+1)</f>
        <v>C002</v>
      </c>
      <c r="C327" t="str" cm="1">
        <f t="array" ref="C327">INDEX(tblDemandAssumptions[Product_ID],MOD(ROW()-2,20)+1)</f>
        <v>P001</v>
      </c>
      <c r="D327" cm="1">
        <f t="array" ref="D327">INDEX(tblDemandAssumptions[Baseline_Weekly_Qty],MOD(ROW()-2,20)+1)</f>
        <v>3400</v>
      </c>
      <c r="E327">
        <f t="shared" si="40"/>
        <v>1</v>
      </c>
      <c r="F327">
        <v>0.98</v>
      </c>
      <c r="G327">
        <f t="shared" si="41"/>
        <v>3332</v>
      </c>
      <c r="H327">
        <v>1.02</v>
      </c>
      <c r="I327">
        <f t="shared" si="42"/>
        <v>3468</v>
      </c>
      <c r="J327" t="str">
        <f t="shared" si="43"/>
        <v>Normal</v>
      </c>
      <c r="K327">
        <f t="shared" si="44"/>
        <v>3332</v>
      </c>
      <c r="L327">
        <f t="shared" si="45"/>
        <v>-136</v>
      </c>
      <c r="M327" s="2">
        <f t="shared" si="46"/>
        <v>-3.9215686274509803E-2</v>
      </c>
      <c r="N327">
        <f t="shared" si="47"/>
        <v>136</v>
      </c>
    </row>
    <row r="328" spans="1:14">
      <c r="A328" s="1" cm="1">
        <f t="array" ref="A328">INDEX(tblWeeks[Week_Start],INT((ROW()-2)/20)+1)</f>
        <v>46139</v>
      </c>
      <c r="B328" t="str" cm="1">
        <f t="array" ref="B328">INDEX(tblDemandAssumptions[Customer_ID],MOD(ROW()-2,20)+1)</f>
        <v>C002</v>
      </c>
      <c r="C328" t="str" cm="1">
        <f t="array" ref="C328">INDEX(tblDemandAssumptions[Product_ID],MOD(ROW()-2,20)+1)</f>
        <v>P002</v>
      </c>
      <c r="D328" cm="1">
        <f t="array" ref="D328">INDEX(tblDemandAssumptions[Baseline_Weekly_Qty],MOD(ROW()-2,20)+1)</f>
        <v>3200</v>
      </c>
      <c r="E328">
        <f t="shared" si="40"/>
        <v>1</v>
      </c>
      <c r="F328">
        <v>1.03</v>
      </c>
      <c r="G328">
        <f t="shared" si="41"/>
        <v>3296</v>
      </c>
      <c r="H328">
        <v>0.97</v>
      </c>
      <c r="I328">
        <f t="shared" si="42"/>
        <v>3104</v>
      </c>
      <c r="J328" t="str">
        <f t="shared" si="43"/>
        <v>Normal</v>
      </c>
      <c r="K328">
        <f t="shared" si="44"/>
        <v>3296</v>
      </c>
      <c r="L328">
        <f t="shared" si="45"/>
        <v>192</v>
      </c>
      <c r="M328" s="2">
        <f t="shared" si="46"/>
        <v>6.1855670103092786E-2</v>
      </c>
      <c r="N328">
        <f t="shared" si="47"/>
        <v>192</v>
      </c>
    </row>
    <row r="329" spans="1:14">
      <c r="A329" s="1" cm="1">
        <f t="array" ref="A329">INDEX(tblWeeks[Week_Start],INT((ROW()-2)/20)+1)</f>
        <v>46139</v>
      </c>
      <c r="B329" t="str" cm="1">
        <f t="array" ref="B329">INDEX(tblDemandAssumptions[Customer_ID],MOD(ROW()-2,20)+1)</f>
        <v>C002</v>
      </c>
      <c r="C329" t="str" cm="1">
        <f t="array" ref="C329">INDEX(tblDemandAssumptions[Product_ID],MOD(ROW()-2,20)+1)</f>
        <v>P003</v>
      </c>
      <c r="D329" cm="1">
        <f t="array" ref="D329">INDEX(tblDemandAssumptions[Baseline_Weekly_Qty],MOD(ROW()-2,20)+1)</f>
        <v>2600</v>
      </c>
      <c r="E329">
        <f t="shared" si="40"/>
        <v>1</v>
      </c>
      <c r="F329">
        <v>0.99</v>
      </c>
      <c r="G329">
        <f t="shared" si="41"/>
        <v>2574</v>
      </c>
      <c r="H329">
        <v>1.02</v>
      </c>
      <c r="I329">
        <f t="shared" si="42"/>
        <v>2652</v>
      </c>
      <c r="J329" t="str">
        <f t="shared" si="43"/>
        <v>Normal</v>
      </c>
      <c r="K329">
        <f t="shared" si="44"/>
        <v>2574</v>
      </c>
      <c r="L329">
        <f t="shared" si="45"/>
        <v>-78</v>
      </c>
      <c r="M329" s="2">
        <f t="shared" si="46"/>
        <v>-2.9411764705882353E-2</v>
      </c>
      <c r="N329">
        <f t="shared" si="47"/>
        <v>78</v>
      </c>
    </row>
    <row r="330" spans="1:14">
      <c r="A330" s="1" cm="1">
        <f t="array" ref="A330">INDEX(tblWeeks[Week_Start],INT((ROW()-2)/20)+1)</f>
        <v>46139</v>
      </c>
      <c r="B330" t="str" cm="1">
        <f t="array" ref="B330">INDEX(tblDemandAssumptions[Customer_ID],MOD(ROW()-2,20)+1)</f>
        <v>C002</v>
      </c>
      <c r="C330" t="str" cm="1">
        <f t="array" ref="C330">INDEX(tblDemandAssumptions[Product_ID],MOD(ROW()-2,20)+1)</f>
        <v>P004</v>
      </c>
      <c r="D330" cm="1">
        <f t="array" ref="D330">INDEX(tblDemandAssumptions[Baseline_Weekly_Qty],MOD(ROW()-2,20)+1)</f>
        <v>2900</v>
      </c>
      <c r="E330">
        <f t="shared" si="40"/>
        <v>1</v>
      </c>
      <c r="F330">
        <v>1.02</v>
      </c>
      <c r="G330">
        <f t="shared" si="41"/>
        <v>2958</v>
      </c>
      <c r="H330">
        <v>0.97</v>
      </c>
      <c r="I330">
        <f t="shared" si="42"/>
        <v>2813</v>
      </c>
      <c r="J330" t="str">
        <f t="shared" si="43"/>
        <v>Normal</v>
      </c>
      <c r="K330">
        <f t="shared" si="44"/>
        <v>2958</v>
      </c>
      <c r="L330">
        <f t="shared" si="45"/>
        <v>145</v>
      </c>
      <c r="M330" s="2">
        <f t="shared" si="46"/>
        <v>5.1546391752577317E-2</v>
      </c>
      <c r="N330">
        <f t="shared" si="47"/>
        <v>145</v>
      </c>
    </row>
    <row r="331" spans="1:14">
      <c r="A331" s="1" cm="1">
        <f t="array" ref="A331">INDEX(tblWeeks[Week_Start],INT((ROW()-2)/20)+1)</f>
        <v>46139</v>
      </c>
      <c r="B331" t="str" cm="1">
        <f t="array" ref="B331">INDEX(tblDemandAssumptions[Customer_ID],MOD(ROW()-2,20)+1)</f>
        <v>C002</v>
      </c>
      <c r="C331" t="str" cm="1">
        <f t="array" ref="C331">INDEX(tblDemandAssumptions[Product_ID],MOD(ROW()-2,20)+1)</f>
        <v>P005</v>
      </c>
      <c r="D331" cm="1">
        <f t="array" ref="D331">INDEX(tblDemandAssumptions[Baseline_Weekly_Qty],MOD(ROW()-2,20)+1)</f>
        <v>2200</v>
      </c>
      <c r="E331">
        <f t="shared" si="40"/>
        <v>1</v>
      </c>
      <c r="F331">
        <v>1.01</v>
      </c>
      <c r="G331">
        <f t="shared" si="41"/>
        <v>2222</v>
      </c>
      <c r="H331">
        <v>1</v>
      </c>
      <c r="I331">
        <f t="shared" si="42"/>
        <v>2200</v>
      </c>
      <c r="J331" t="str">
        <f t="shared" si="43"/>
        <v>Normal</v>
      </c>
      <c r="K331">
        <f t="shared" si="44"/>
        <v>2222</v>
      </c>
      <c r="L331">
        <f t="shared" si="45"/>
        <v>22</v>
      </c>
      <c r="M331" s="2">
        <f t="shared" si="46"/>
        <v>0.01</v>
      </c>
      <c r="N331">
        <f t="shared" si="47"/>
        <v>22</v>
      </c>
    </row>
    <row r="332" spans="1:14">
      <c r="A332" s="1" cm="1">
        <f t="array" ref="A332">INDEX(tblWeeks[Week_Start],INT((ROW()-2)/20)+1)</f>
        <v>46139</v>
      </c>
      <c r="B332" t="str" cm="1">
        <f t="array" ref="B332">INDEX(tblDemandAssumptions[Customer_ID],MOD(ROW()-2,20)+1)</f>
        <v>C003</v>
      </c>
      <c r="C332" t="str" cm="1">
        <f t="array" ref="C332">INDEX(tblDemandAssumptions[Product_ID],MOD(ROW()-2,20)+1)</f>
        <v>P001</v>
      </c>
      <c r="D332" cm="1">
        <f t="array" ref="D332">INDEX(tblDemandAssumptions[Baseline_Weekly_Qty],MOD(ROW()-2,20)+1)</f>
        <v>3000</v>
      </c>
      <c r="E332">
        <f t="shared" si="40"/>
        <v>1</v>
      </c>
      <c r="F332">
        <v>0.98</v>
      </c>
      <c r="G332">
        <f t="shared" si="41"/>
        <v>2940</v>
      </c>
      <c r="H332">
        <v>0.97</v>
      </c>
      <c r="I332">
        <f t="shared" si="42"/>
        <v>2910</v>
      </c>
      <c r="J332" t="str">
        <f t="shared" si="43"/>
        <v>Normal</v>
      </c>
      <c r="K332">
        <f t="shared" si="44"/>
        <v>2940</v>
      </c>
      <c r="L332">
        <f t="shared" si="45"/>
        <v>30</v>
      </c>
      <c r="M332" s="2">
        <f t="shared" si="46"/>
        <v>1.0309278350515464E-2</v>
      </c>
      <c r="N332">
        <f t="shared" si="47"/>
        <v>30</v>
      </c>
    </row>
    <row r="333" spans="1:14">
      <c r="A333" s="1" cm="1">
        <f t="array" ref="A333">INDEX(tblWeeks[Week_Start],INT((ROW()-2)/20)+1)</f>
        <v>46139</v>
      </c>
      <c r="B333" t="str" cm="1">
        <f t="array" ref="B333">INDEX(tblDemandAssumptions[Customer_ID],MOD(ROW()-2,20)+1)</f>
        <v>C003</v>
      </c>
      <c r="C333" t="str" cm="1">
        <f t="array" ref="C333">INDEX(tblDemandAssumptions[Product_ID],MOD(ROW()-2,20)+1)</f>
        <v>P002</v>
      </c>
      <c r="D333" cm="1">
        <f t="array" ref="D333">INDEX(tblDemandAssumptions[Baseline_Weekly_Qty],MOD(ROW()-2,20)+1)</f>
        <v>2700</v>
      </c>
      <c r="E333">
        <f t="shared" si="40"/>
        <v>1</v>
      </c>
      <c r="F333">
        <v>1.03</v>
      </c>
      <c r="G333">
        <f t="shared" si="41"/>
        <v>2781</v>
      </c>
      <c r="H333">
        <v>0.97</v>
      </c>
      <c r="I333">
        <f t="shared" si="42"/>
        <v>2619</v>
      </c>
      <c r="J333" t="str">
        <f t="shared" si="43"/>
        <v>Normal</v>
      </c>
      <c r="K333">
        <f t="shared" si="44"/>
        <v>2781</v>
      </c>
      <c r="L333">
        <f t="shared" si="45"/>
        <v>162</v>
      </c>
      <c r="M333" s="2">
        <f t="shared" si="46"/>
        <v>6.1855670103092786E-2</v>
      </c>
      <c r="N333">
        <f t="shared" si="47"/>
        <v>162</v>
      </c>
    </row>
    <row r="334" spans="1:14">
      <c r="A334" s="1" cm="1">
        <f t="array" ref="A334">INDEX(tblWeeks[Week_Start],INT((ROW()-2)/20)+1)</f>
        <v>46139</v>
      </c>
      <c r="B334" t="str" cm="1">
        <f t="array" ref="B334">INDEX(tblDemandAssumptions[Customer_ID],MOD(ROW()-2,20)+1)</f>
        <v>C003</v>
      </c>
      <c r="C334" t="str" cm="1">
        <f t="array" ref="C334">INDEX(tblDemandAssumptions[Product_ID],MOD(ROW()-2,20)+1)</f>
        <v>P003</v>
      </c>
      <c r="D334" cm="1">
        <f t="array" ref="D334">INDEX(tblDemandAssumptions[Baseline_Weekly_Qty],MOD(ROW()-2,20)+1)</f>
        <v>2800</v>
      </c>
      <c r="E334">
        <f t="shared" si="40"/>
        <v>1</v>
      </c>
      <c r="F334">
        <v>1.05</v>
      </c>
      <c r="G334">
        <f t="shared" si="41"/>
        <v>2940</v>
      </c>
      <c r="H334">
        <v>1.01</v>
      </c>
      <c r="I334">
        <f t="shared" si="42"/>
        <v>2828</v>
      </c>
      <c r="J334" t="str">
        <f t="shared" si="43"/>
        <v>Normal</v>
      </c>
      <c r="K334">
        <f t="shared" si="44"/>
        <v>2940</v>
      </c>
      <c r="L334">
        <f t="shared" si="45"/>
        <v>112</v>
      </c>
      <c r="M334" s="2">
        <f t="shared" si="46"/>
        <v>3.9603960396039604E-2</v>
      </c>
      <c r="N334">
        <f t="shared" si="47"/>
        <v>112</v>
      </c>
    </row>
    <row r="335" spans="1:14">
      <c r="A335" s="1" cm="1">
        <f t="array" ref="A335">INDEX(tblWeeks[Week_Start],INT((ROW()-2)/20)+1)</f>
        <v>46139</v>
      </c>
      <c r="B335" t="str" cm="1">
        <f t="array" ref="B335">INDEX(tblDemandAssumptions[Customer_ID],MOD(ROW()-2,20)+1)</f>
        <v>C003</v>
      </c>
      <c r="C335" t="str" cm="1">
        <f t="array" ref="C335">INDEX(tblDemandAssumptions[Product_ID],MOD(ROW()-2,20)+1)</f>
        <v>P004</v>
      </c>
      <c r="D335" cm="1">
        <f t="array" ref="D335">INDEX(tblDemandAssumptions[Baseline_Weekly_Qty],MOD(ROW()-2,20)+1)</f>
        <v>2400</v>
      </c>
      <c r="E335">
        <f t="shared" si="40"/>
        <v>1</v>
      </c>
      <c r="F335">
        <v>1.05</v>
      </c>
      <c r="G335">
        <f t="shared" si="41"/>
        <v>2520</v>
      </c>
      <c r="H335">
        <v>1.04</v>
      </c>
      <c r="I335">
        <f t="shared" si="42"/>
        <v>2496</v>
      </c>
      <c r="J335" t="str">
        <f t="shared" si="43"/>
        <v>Normal</v>
      </c>
      <c r="K335">
        <f t="shared" si="44"/>
        <v>2520</v>
      </c>
      <c r="L335">
        <f t="shared" si="45"/>
        <v>24</v>
      </c>
      <c r="M335" s="2">
        <f t="shared" si="46"/>
        <v>9.6153846153846159E-3</v>
      </c>
      <c r="N335">
        <f t="shared" si="47"/>
        <v>24</v>
      </c>
    </row>
    <row r="336" spans="1:14">
      <c r="A336" s="1" cm="1">
        <f t="array" ref="A336">INDEX(tblWeeks[Week_Start],INT((ROW()-2)/20)+1)</f>
        <v>46139</v>
      </c>
      <c r="B336" t="str" cm="1">
        <f t="array" ref="B336">INDEX(tblDemandAssumptions[Customer_ID],MOD(ROW()-2,20)+1)</f>
        <v>C003</v>
      </c>
      <c r="C336" t="str" cm="1">
        <f t="array" ref="C336">INDEX(tblDemandAssumptions[Product_ID],MOD(ROW()-2,20)+1)</f>
        <v>P005</v>
      </c>
      <c r="D336" cm="1">
        <f t="array" ref="D336">INDEX(tblDemandAssumptions[Baseline_Weekly_Qty],MOD(ROW()-2,20)+1)</f>
        <v>1900</v>
      </c>
      <c r="E336">
        <f t="shared" si="40"/>
        <v>1</v>
      </c>
      <c r="F336">
        <v>0.97</v>
      </c>
      <c r="G336">
        <f t="shared" si="41"/>
        <v>1843</v>
      </c>
      <c r="H336">
        <v>1.03</v>
      </c>
      <c r="I336">
        <f t="shared" si="42"/>
        <v>1957</v>
      </c>
      <c r="J336" t="str">
        <f t="shared" si="43"/>
        <v>Normal</v>
      </c>
      <c r="K336">
        <f t="shared" si="44"/>
        <v>1843</v>
      </c>
      <c r="L336">
        <f t="shared" si="45"/>
        <v>-114</v>
      </c>
      <c r="M336" s="2">
        <f t="shared" si="46"/>
        <v>-5.8252427184466021E-2</v>
      </c>
      <c r="N336">
        <f t="shared" si="47"/>
        <v>114</v>
      </c>
    </row>
    <row r="337" spans="1:14">
      <c r="A337" s="1" cm="1">
        <f t="array" ref="A337">INDEX(tblWeeks[Week_Start],INT((ROW()-2)/20)+1)</f>
        <v>46139</v>
      </c>
      <c r="B337" t="str" cm="1">
        <f t="array" ref="B337">INDEX(tblDemandAssumptions[Customer_ID],MOD(ROW()-2,20)+1)</f>
        <v>C004</v>
      </c>
      <c r="C337" t="str" cm="1">
        <f t="array" ref="C337">INDEX(tblDemandAssumptions[Product_ID],MOD(ROW()-2,20)+1)</f>
        <v>P001</v>
      </c>
      <c r="D337" cm="1">
        <f t="array" ref="D337">INDEX(tblDemandAssumptions[Baseline_Weekly_Qty],MOD(ROW()-2,20)+1)</f>
        <v>2700</v>
      </c>
      <c r="E337">
        <f t="shared" si="40"/>
        <v>1</v>
      </c>
      <c r="F337">
        <v>1.04</v>
      </c>
      <c r="G337">
        <f t="shared" si="41"/>
        <v>2808</v>
      </c>
      <c r="H337">
        <v>1.04</v>
      </c>
      <c r="I337">
        <f t="shared" si="42"/>
        <v>2808</v>
      </c>
      <c r="J337" t="str">
        <f t="shared" si="43"/>
        <v>Normal</v>
      </c>
      <c r="K337">
        <f t="shared" si="44"/>
        <v>2808</v>
      </c>
      <c r="L337">
        <f t="shared" si="45"/>
        <v>0</v>
      </c>
      <c r="M337" s="2">
        <f t="shared" si="46"/>
        <v>0</v>
      </c>
      <c r="N337">
        <f t="shared" si="47"/>
        <v>0</v>
      </c>
    </row>
    <row r="338" spans="1:14">
      <c r="A338" s="1" cm="1">
        <f t="array" ref="A338">INDEX(tblWeeks[Week_Start],INT((ROW()-2)/20)+1)</f>
        <v>46139</v>
      </c>
      <c r="B338" t="str" cm="1">
        <f t="array" ref="B338">INDEX(tblDemandAssumptions[Customer_ID],MOD(ROW()-2,20)+1)</f>
        <v>C004</v>
      </c>
      <c r="C338" t="str" cm="1">
        <f t="array" ref="C338">INDEX(tblDemandAssumptions[Product_ID],MOD(ROW()-2,20)+1)</f>
        <v>P002</v>
      </c>
      <c r="D338" cm="1">
        <f t="array" ref="D338">INDEX(tblDemandAssumptions[Baseline_Weekly_Qty],MOD(ROW()-2,20)+1)</f>
        <v>2400</v>
      </c>
      <c r="E338">
        <f t="shared" si="40"/>
        <v>1</v>
      </c>
      <c r="F338">
        <v>0.97</v>
      </c>
      <c r="G338">
        <f t="shared" si="41"/>
        <v>2328</v>
      </c>
      <c r="H338">
        <v>1.02</v>
      </c>
      <c r="I338">
        <f t="shared" si="42"/>
        <v>2448</v>
      </c>
      <c r="J338" t="str">
        <f t="shared" si="43"/>
        <v>Normal</v>
      </c>
      <c r="K338">
        <f t="shared" si="44"/>
        <v>2328</v>
      </c>
      <c r="L338">
        <f t="shared" si="45"/>
        <v>-120</v>
      </c>
      <c r="M338" s="2">
        <f t="shared" si="46"/>
        <v>-4.9019607843137254E-2</v>
      </c>
      <c r="N338">
        <f t="shared" si="47"/>
        <v>120</v>
      </c>
    </row>
    <row r="339" spans="1:14">
      <c r="A339" s="1" cm="1">
        <f t="array" ref="A339">INDEX(tblWeeks[Week_Start],INT((ROW()-2)/20)+1)</f>
        <v>46139</v>
      </c>
      <c r="B339" t="str" cm="1">
        <f t="array" ref="B339">INDEX(tblDemandAssumptions[Customer_ID],MOD(ROW()-2,20)+1)</f>
        <v>C004</v>
      </c>
      <c r="C339" t="str" cm="1">
        <f t="array" ref="C339">INDEX(tblDemandAssumptions[Product_ID],MOD(ROW()-2,20)+1)</f>
        <v>P003</v>
      </c>
      <c r="D339" cm="1">
        <f t="array" ref="D339">INDEX(tblDemandAssumptions[Baseline_Weekly_Qty],MOD(ROW()-2,20)+1)</f>
        <v>2100</v>
      </c>
      <c r="E339">
        <f t="shared" si="40"/>
        <v>1</v>
      </c>
      <c r="F339">
        <v>1.01</v>
      </c>
      <c r="G339">
        <f t="shared" si="41"/>
        <v>2121</v>
      </c>
      <c r="H339">
        <v>0.99</v>
      </c>
      <c r="I339">
        <f t="shared" si="42"/>
        <v>2079</v>
      </c>
      <c r="J339" t="str">
        <f t="shared" si="43"/>
        <v>Normal</v>
      </c>
      <c r="K339">
        <f t="shared" si="44"/>
        <v>2121</v>
      </c>
      <c r="L339">
        <f t="shared" si="45"/>
        <v>42</v>
      </c>
      <c r="M339" s="2">
        <f t="shared" si="46"/>
        <v>2.0202020202020204E-2</v>
      </c>
      <c r="N339">
        <f t="shared" si="47"/>
        <v>42</v>
      </c>
    </row>
    <row r="340" spans="1:14">
      <c r="A340" s="1" cm="1">
        <f t="array" ref="A340">INDEX(tblWeeks[Week_Start],INT((ROW()-2)/20)+1)</f>
        <v>46139</v>
      </c>
      <c r="B340" t="str" cm="1">
        <f t="array" ref="B340">INDEX(tblDemandAssumptions[Customer_ID],MOD(ROW()-2,20)+1)</f>
        <v>C004</v>
      </c>
      <c r="C340" t="str" cm="1">
        <f t="array" ref="C340">INDEX(tblDemandAssumptions[Product_ID],MOD(ROW()-2,20)+1)</f>
        <v>P004</v>
      </c>
      <c r="D340" cm="1">
        <f t="array" ref="D340">INDEX(tblDemandAssumptions[Baseline_Weekly_Qty],MOD(ROW()-2,20)+1)</f>
        <v>2600</v>
      </c>
      <c r="E340">
        <f t="shared" si="40"/>
        <v>1</v>
      </c>
      <c r="F340">
        <v>1.04</v>
      </c>
      <c r="G340">
        <f t="shared" si="41"/>
        <v>2704</v>
      </c>
      <c r="H340">
        <v>1.01</v>
      </c>
      <c r="I340">
        <f t="shared" si="42"/>
        <v>2626</v>
      </c>
      <c r="J340" t="str">
        <f t="shared" si="43"/>
        <v>Normal</v>
      </c>
      <c r="K340">
        <f t="shared" si="44"/>
        <v>2704</v>
      </c>
      <c r="L340">
        <f t="shared" si="45"/>
        <v>78</v>
      </c>
      <c r="M340" s="2">
        <f t="shared" si="46"/>
        <v>2.9702970297029702E-2</v>
      </c>
      <c r="N340">
        <f t="shared" si="47"/>
        <v>78</v>
      </c>
    </row>
    <row r="341" spans="1:14">
      <c r="A341" s="1" cm="1">
        <f t="array" ref="A341">INDEX(tblWeeks[Week_Start],INT((ROW()-2)/20)+1)</f>
        <v>46139</v>
      </c>
      <c r="B341" t="str" cm="1">
        <f t="array" ref="B341">INDEX(tblDemandAssumptions[Customer_ID],MOD(ROW()-2,20)+1)</f>
        <v>C004</v>
      </c>
      <c r="C341" t="str" cm="1">
        <f t="array" ref="C341">INDEX(tblDemandAssumptions[Product_ID],MOD(ROW()-2,20)+1)</f>
        <v>P005</v>
      </c>
      <c r="D341" cm="1">
        <f t="array" ref="D341">INDEX(tblDemandAssumptions[Baseline_Weekly_Qty],MOD(ROW()-2,20)+1)</f>
        <v>1800</v>
      </c>
      <c r="E341">
        <f t="shared" si="40"/>
        <v>1</v>
      </c>
      <c r="F341">
        <v>0.96</v>
      </c>
      <c r="G341">
        <f t="shared" si="41"/>
        <v>1728</v>
      </c>
      <c r="H341">
        <v>1</v>
      </c>
      <c r="I341">
        <f t="shared" si="42"/>
        <v>1800</v>
      </c>
      <c r="J341" t="str">
        <f t="shared" si="43"/>
        <v>Normal</v>
      </c>
      <c r="K341">
        <f t="shared" si="44"/>
        <v>1728</v>
      </c>
      <c r="L341">
        <f t="shared" si="45"/>
        <v>-72</v>
      </c>
      <c r="M341" s="2">
        <f t="shared" si="46"/>
        <v>-0.04</v>
      </c>
      <c r="N341">
        <f t="shared" si="47"/>
        <v>72</v>
      </c>
    </row>
    <row r="342" spans="1:14">
      <c r="A342" s="1" cm="1">
        <f t="array" ref="A342">INDEX(tblWeeks[Week_Start],INT((ROW()-2)/20)+1)</f>
        <v>46146</v>
      </c>
      <c r="B342" t="str" cm="1">
        <f t="array" ref="B342">INDEX(tblDemandAssumptions[Customer_ID],MOD(ROW()-2,20)+1)</f>
        <v>C001</v>
      </c>
      <c r="C342" t="str" cm="1">
        <f t="array" ref="C342">INDEX(tblDemandAssumptions[Product_ID],MOD(ROW()-2,20)+1)</f>
        <v>P001</v>
      </c>
      <c r="D342" cm="1">
        <f t="array" ref="D342">INDEX(tblDemandAssumptions[Baseline_Weekly_Qty],MOD(ROW()-2,20)+1)</f>
        <v>5200</v>
      </c>
      <c r="E342">
        <f t="shared" si="40"/>
        <v>1.05</v>
      </c>
      <c r="F342">
        <v>1</v>
      </c>
      <c r="G342">
        <f t="shared" si="41"/>
        <v>5460</v>
      </c>
      <c r="H342">
        <v>0.99</v>
      </c>
      <c r="I342">
        <f t="shared" si="42"/>
        <v>5405</v>
      </c>
      <c r="J342" t="str">
        <f t="shared" si="43"/>
        <v>Normal</v>
      </c>
      <c r="K342">
        <f t="shared" si="44"/>
        <v>5460</v>
      </c>
      <c r="L342">
        <f t="shared" si="45"/>
        <v>55</v>
      </c>
      <c r="M342" s="2">
        <f t="shared" si="46"/>
        <v>1.0175763182238668E-2</v>
      </c>
      <c r="N342">
        <f t="shared" si="47"/>
        <v>55</v>
      </c>
    </row>
    <row r="343" spans="1:14">
      <c r="A343" s="1" cm="1">
        <f t="array" ref="A343">INDEX(tblWeeks[Week_Start],INT((ROW()-2)/20)+1)</f>
        <v>46146</v>
      </c>
      <c r="B343" t="str" cm="1">
        <f t="array" ref="B343">INDEX(tblDemandAssumptions[Customer_ID],MOD(ROW()-2,20)+1)</f>
        <v>C001</v>
      </c>
      <c r="C343" t="str" cm="1">
        <f t="array" ref="C343">INDEX(tblDemandAssumptions[Product_ID],MOD(ROW()-2,20)+1)</f>
        <v>P002</v>
      </c>
      <c r="D343" cm="1">
        <f t="array" ref="D343">INDEX(tblDemandAssumptions[Baseline_Weekly_Qty],MOD(ROW()-2,20)+1)</f>
        <v>4100</v>
      </c>
      <c r="E343">
        <f t="shared" si="40"/>
        <v>1.05</v>
      </c>
      <c r="F343">
        <v>1.03</v>
      </c>
      <c r="G343">
        <f t="shared" si="41"/>
        <v>4434</v>
      </c>
      <c r="H343">
        <v>0.98</v>
      </c>
      <c r="I343">
        <f t="shared" si="42"/>
        <v>4219</v>
      </c>
      <c r="J343" t="str">
        <f t="shared" si="43"/>
        <v>Normal</v>
      </c>
      <c r="K343">
        <f t="shared" si="44"/>
        <v>4434</v>
      </c>
      <c r="L343">
        <f t="shared" si="45"/>
        <v>215</v>
      </c>
      <c r="M343" s="2">
        <f t="shared" si="46"/>
        <v>5.0959943114482105E-2</v>
      </c>
      <c r="N343">
        <f t="shared" si="47"/>
        <v>215</v>
      </c>
    </row>
    <row r="344" spans="1:14">
      <c r="A344" s="1" cm="1">
        <f t="array" ref="A344">INDEX(tblWeeks[Week_Start],INT((ROW()-2)/20)+1)</f>
        <v>46146</v>
      </c>
      <c r="B344" t="str" cm="1">
        <f t="array" ref="B344">INDEX(tblDemandAssumptions[Customer_ID],MOD(ROW()-2,20)+1)</f>
        <v>C001</v>
      </c>
      <c r="C344" t="str" cm="1">
        <f t="array" ref="C344">INDEX(tblDemandAssumptions[Product_ID],MOD(ROW()-2,20)+1)</f>
        <v>P003</v>
      </c>
      <c r="D344" cm="1">
        <f t="array" ref="D344">INDEX(tblDemandAssumptions[Baseline_Weekly_Qty],MOD(ROW()-2,20)+1)</f>
        <v>3300</v>
      </c>
      <c r="E344">
        <f t="shared" si="40"/>
        <v>1.05</v>
      </c>
      <c r="F344">
        <v>0.97</v>
      </c>
      <c r="G344">
        <f t="shared" si="41"/>
        <v>3361</v>
      </c>
      <c r="H344">
        <v>0.96</v>
      </c>
      <c r="I344">
        <f t="shared" si="42"/>
        <v>3326</v>
      </c>
      <c r="J344" t="str">
        <f t="shared" si="43"/>
        <v>Normal</v>
      </c>
      <c r="K344">
        <f t="shared" si="44"/>
        <v>3361</v>
      </c>
      <c r="L344">
        <f t="shared" si="45"/>
        <v>35</v>
      </c>
      <c r="M344" s="2">
        <f t="shared" si="46"/>
        <v>1.0523150932050512E-2</v>
      </c>
      <c r="N344">
        <f t="shared" si="47"/>
        <v>35</v>
      </c>
    </row>
    <row r="345" spans="1:14">
      <c r="A345" s="1" cm="1">
        <f t="array" ref="A345">INDEX(tblWeeks[Week_Start],INT((ROW()-2)/20)+1)</f>
        <v>46146</v>
      </c>
      <c r="B345" t="str" cm="1">
        <f t="array" ref="B345">INDEX(tblDemandAssumptions[Customer_ID],MOD(ROW()-2,20)+1)</f>
        <v>C001</v>
      </c>
      <c r="C345" t="str" cm="1">
        <f t="array" ref="C345">INDEX(tblDemandAssumptions[Product_ID],MOD(ROW()-2,20)+1)</f>
        <v>P004</v>
      </c>
      <c r="D345" cm="1">
        <f t="array" ref="D345">INDEX(tblDemandAssumptions[Baseline_Weekly_Qty],MOD(ROW()-2,20)+1)</f>
        <v>3600</v>
      </c>
      <c r="E345">
        <f t="shared" si="40"/>
        <v>1.05</v>
      </c>
      <c r="F345">
        <v>0.98</v>
      </c>
      <c r="G345">
        <f t="shared" si="41"/>
        <v>3704</v>
      </c>
      <c r="H345">
        <v>1.01</v>
      </c>
      <c r="I345">
        <f t="shared" si="42"/>
        <v>3818</v>
      </c>
      <c r="J345" t="str">
        <f t="shared" si="43"/>
        <v>Normal</v>
      </c>
      <c r="K345">
        <f t="shared" si="44"/>
        <v>3704</v>
      </c>
      <c r="L345">
        <f t="shared" si="45"/>
        <v>-114</v>
      </c>
      <c r="M345" s="2">
        <f t="shared" si="46"/>
        <v>-2.9858564693556838E-2</v>
      </c>
      <c r="N345">
        <f t="shared" si="47"/>
        <v>114</v>
      </c>
    </row>
    <row r="346" spans="1:14">
      <c r="A346" s="1" cm="1">
        <f t="array" ref="A346">INDEX(tblWeeks[Week_Start],INT((ROW()-2)/20)+1)</f>
        <v>46146</v>
      </c>
      <c r="B346" t="str" cm="1">
        <f t="array" ref="B346">INDEX(tblDemandAssumptions[Customer_ID],MOD(ROW()-2,20)+1)</f>
        <v>C001</v>
      </c>
      <c r="C346" t="str" cm="1">
        <f t="array" ref="C346">INDEX(tblDemandAssumptions[Product_ID],MOD(ROW()-2,20)+1)</f>
        <v>P005</v>
      </c>
      <c r="D346" cm="1">
        <f t="array" ref="D346">INDEX(tblDemandAssumptions[Baseline_Weekly_Qty],MOD(ROW()-2,20)+1)</f>
        <v>2800</v>
      </c>
      <c r="E346">
        <f t="shared" si="40"/>
        <v>1.05</v>
      </c>
      <c r="F346">
        <v>1.04</v>
      </c>
      <c r="G346">
        <f t="shared" si="41"/>
        <v>3058</v>
      </c>
      <c r="H346">
        <v>1.01</v>
      </c>
      <c r="I346">
        <f t="shared" si="42"/>
        <v>2969</v>
      </c>
      <c r="J346" t="str">
        <f t="shared" si="43"/>
        <v>Normal</v>
      </c>
      <c r="K346">
        <f t="shared" si="44"/>
        <v>3058</v>
      </c>
      <c r="L346">
        <f t="shared" si="45"/>
        <v>89</v>
      </c>
      <c r="M346" s="2">
        <f t="shared" si="46"/>
        <v>2.9976423038059953E-2</v>
      </c>
      <c r="N346">
        <f t="shared" si="47"/>
        <v>89</v>
      </c>
    </row>
    <row r="347" spans="1:14">
      <c r="A347" s="1" cm="1">
        <f t="array" ref="A347">INDEX(tblWeeks[Week_Start],INT((ROW()-2)/20)+1)</f>
        <v>46146</v>
      </c>
      <c r="B347" t="str" cm="1">
        <f t="array" ref="B347">INDEX(tblDemandAssumptions[Customer_ID],MOD(ROW()-2,20)+1)</f>
        <v>C002</v>
      </c>
      <c r="C347" t="str" cm="1">
        <f t="array" ref="C347">INDEX(tblDemandAssumptions[Product_ID],MOD(ROW()-2,20)+1)</f>
        <v>P001</v>
      </c>
      <c r="D347" cm="1">
        <f t="array" ref="D347">INDEX(tblDemandAssumptions[Baseline_Weekly_Qty],MOD(ROW()-2,20)+1)</f>
        <v>3400</v>
      </c>
      <c r="E347">
        <f t="shared" si="40"/>
        <v>1.05</v>
      </c>
      <c r="F347">
        <v>1.03</v>
      </c>
      <c r="G347">
        <f t="shared" si="41"/>
        <v>3677</v>
      </c>
      <c r="H347">
        <v>0.98</v>
      </c>
      <c r="I347">
        <f t="shared" si="42"/>
        <v>3499</v>
      </c>
      <c r="J347" t="str">
        <f t="shared" si="43"/>
        <v>Normal</v>
      </c>
      <c r="K347">
        <f t="shared" si="44"/>
        <v>3677</v>
      </c>
      <c r="L347">
        <f t="shared" si="45"/>
        <v>178</v>
      </c>
      <c r="M347" s="2">
        <f t="shared" si="46"/>
        <v>5.0871677622177765E-2</v>
      </c>
      <c r="N347">
        <f t="shared" si="47"/>
        <v>178</v>
      </c>
    </row>
    <row r="348" spans="1:14">
      <c r="A348" s="1" cm="1">
        <f t="array" ref="A348">INDEX(tblWeeks[Week_Start],INT((ROW()-2)/20)+1)</f>
        <v>46146</v>
      </c>
      <c r="B348" t="str" cm="1">
        <f t="array" ref="B348">INDEX(tblDemandAssumptions[Customer_ID],MOD(ROW()-2,20)+1)</f>
        <v>C002</v>
      </c>
      <c r="C348" t="str" cm="1">
        <f t="array" ref="C348">INDEX(tblDemandAssumptions[Product_ID],MOD(ROW()-2,20)+1)</f>
        <v>P002</v>
      </c>
      <c r="D348" cm="1">
        <f t="array" ref="D348">INDEX(tblDemandAssumptions[Baseline_Weekly_Qty],MOD(ROW()-2,20)+1)</f>
        <v>3200</v>
      </c>
      <c r="E348">
        <f t="shared" si="40"/>
        <v>1.05</v>
      </c>
      <c r="F348">
        <v>0.97</v>
      </c>
      <c r="G348">
        <f t="shared" si="41"/>
        <v>3259</v>
      </c>
      <c r="H348">
        <v>0.97</v>
      </c>
      <c r="I348">
        <f t="shared" si="42"/>
        <v>3259</v>
      </c>
      <c r="J348" t="str">
        <f t="shared" si="43"/>
        <v>Normal</v>
      </c>
      <c r="K348">
        <f t="shared" si="44"/>
        <v>3259</v>
      </c>
      <c r="L348">
        <f t="shared" si="45"/>
        <v>0</v>
      </c>
      <c r="M348" s="2">
        <f t="shared" si="46"/>
        <v>0</v>
      </c>
      <c r="N348">
        <f t="shared" si="47"/>
        <v>0</v>
      </c>
    </row>
    <row r="349" spans="1:14">
      <c r="A349" s="1" cm="1">
        <f t="array" ref="A349">INDEX(tblWeeks[Week_Start],INT((ROW()-2)/20)+1)</f>
        <v>46146</v>
      </c>
      <c r="B349" t="str" cm="1">
        <f t="array" ref="B349">INDEX(tblDemandAssumptions[Customer_ID],MOD(ROW()-2,20)+1)</f>
        <v>C002</v>
      </c>
      <c r="C349" t="str" cm="1">
        <f t="array" ref="C349">INDEX(tblDemandAssumptions[Product_ID],MOD(ROW()-2,20)+1)</f>
        <v>P003</v>
      </c>
      <c r="D349" cm="1">
        <f t="array" ref="D349">INDEX(tblDemandAssumptions[Baseline_Weekly_Qty],MOD(ROW()-2,20)+1)</f>
        <v>2600</v>
      </c>
      <c r="E349">
        <f t="shared" si="40"/>
        <v>1.05</v>
      </c>
      <c r="F349">
        <v>1.05</v>
      </c>
      <c r="G349">
        <f t="shared" si="41"/>
        <v>2867</v>
      </c>
      <c r="H349">
        <v>1</v>
      </c>
      <c r="I349">
        <f t="shared" si="42"/>
        <v>2730</v>
      </c>
      <c r="J349" t="str">
        <f t="shared" si="43"/>
        <v>Normal</v>
      </c>
      <c r="K349">
        <f t="shared" si="44"/>
        <v>2867</v>
      </c>
      <c r="L349">
        <f t="shared" si="45"/>
        <v>137</v>
      </c>
      <c r="M349" s="2">
        <f t="shared" si="46"/>
        <v>5.0183150183150185E-2</v>
      </c>
      <c r="N349">
        <f t="shared" si="47"/>
        <v>137</v>
      </c>
    </row>
    <row r="350" spans="1:14">
      <c r="A350" s="1" cm="1">
        <f t="array" ref="A350">INDEX(tblWeeks[Week_Start],INT((ROW()-2)/20)+1)</f>
        <v>46146</v>
      </c>
      <c r="B350" t="str" cm="1">
        <f t="array" ref="B350">INDEX(tblDemandAssumptions[Customer_ID],MOD(ROW()-2,20)+1)</f>
        <v>C002</v>
      </c>
      <c r="C350" t="str" cm="1">
        <f t="array" ref="C350">INDEX(tblDemandAssumptions[Product_ID],MOD(ROW()-2,20)+1)</f>
        <v>P004</v>
      </c>
      <c r="D350" cm="1">
        <f t="array" ref="D350">INDEX(tblDemandAssumptions[Baseline_Weekly_Qty],MOD(ROW()-2,20)+1)</f>
        <v>2900</v>
      </c>
      <c r="E350">
        <f t="shared" si="40"/>
        <v>1.05</v>
      </c>
      <c r="F350">
        <v>1.05</v>
      </c>
      <c r="G350">
        <f t="shared" si="41"/>
        <v>3197</v>
      </c>
      <c r="H350">
        <v>1.01</v>
      </c>
      <c r="I350">
        <f t="shared" si="42"/>
        <v>3075</v>
      </c>
      <c r="J350" t="str">
        <f t="shared" si="43"/>
        <v>Normal</v>
      </c>
      <c r="K350">
        <f t="shared" si="44"/>
        <v>3197</v>
      </c>
      <c r="L350">
        <f t="shared" si="45"/>
        <v>122</v>
      </c>
      <c r="M350" s="2">
        <f t="shared" si="46"/>
        <v>3.9674796747967478E-2</v>
      </c>
      <c r="N350">
        <f t="shared" si="47"/>
        <v>122</v>
      </c>
    </row>
    <row r="351" spans="1:14">
      <c r="A351" s="1" cm="1">
        <f t="array" ref="A351">INDEX(tblWeeks[Week_Start],INT((ROW()-2)/20)+1)</f>
        <v>46146</v>
      </c>
      <c r="B351" t="str" cm="1">
        <f t="array" ref="B351">INDEX(tblDemandAssumptions[Customer_ID],MOD(ROW()-2,20)+1)</f>
        <v>C002</v>
      </c>
      <c r="C351" t="str" cm="1">
        <f t="array" ref="C351">INDEX(tblDemandAssumptions[Product_ID],MOD(ROW()-2,20)+1)</f>
        <v>P005</v>
      </c>
      <c r="D351" cm="1">
        <f t="array" ref="D351">INDEX(tblDemandAssumptions[Baseline_Weekly_Qty],MOD(ROW()-2,20)+1)</f>
        <v>2200</v>
      </c>
      <c r="E351">
        <f t="shared" si="40"/>
        <v>1.05</v>
      </c>
      <c r="F351">
        <v>1</v>
      </c>
      <c r="G351">
        <f t="shared" si="41"/>
        <v>2310</v>
      </c>
      <c r="H351">
        <v>0.99</v>
      </c>
      <c r="I351">
        <f t="shared" si="42"/>
        <v>2287</v>
      </c>
      <c r="J351" t="str">
        <f t="shared" si="43"/>
        <v>Normal</v>
      </c>
      <c r="K351">
        <f t="shared" si="44"/>
        <v>2310</v>
      </c>
      <c r="L351">
        <f t="shared" si="45"/>
        <v>23</v>
      </c>
      <c r="M351" s="2">
        <f t="shared" si="46"/>
        <v>1.0056843025797988E-2</v>
      </c>
      <c r="N351">
        <f t="shared" si="47"/>
        <v>23</v>
      </c>
    </row>
    <row r="352" spans="1:14">
      <c r="A352" s="1" cm="1">
        <f t="array" ref="A352">INDEX(tblWeeks[Week_Start],INT((ROW()-2)/20)+1)</f>
        <v>46146</v>
      </c>
      <c r="B352" t="str" cm="1">
        <f t="array" ref="B352">INDEX(tblDemandAssumptions[Customer_ID],MOD(ROW()-2,20)+1)</f>
        <v>C003</v>
      </c>
      <c r="C352" t="str" cm="1">
        <f t="array" ref="C352">INDEX(tblDemandAssumptions[Product_ID],MOD(ROW()-2,20)+1)</f>
        <v>P001</v>
      </c>
      <c r="D352" cm="1">
        <f t="array" ref="D352">INDEX(tblDemandAssumptions[Baseline_Weekly_Qty],MOD(ROW()-2,20)+1)</f>
        <v>3000</v>
      </c>
      <c r="E352">
        <f t="shared" si="40"/>
        <v>1.05</v>
      </c>
      <c r="F352">
        <v>1.03</v>
      </c>
      <c r="G352">
        <f t="shared" si="41"/>
        <v>3245</v>
      </c>
      <c r="H352">
        <v>1.04</v>
      </c>
      <c r="I352">
        <f t="shared" si="42"/>
        <v>3276</v>
      </c>
      <c r="J352" t="str">
        <f t="shared" si="43"/>
        <v>Normal</v>
      </c>
      <c r="K352">
        <f t="shared" si="44"/>
        <v>3245</v>
      </c>
      <c r="L352">
        <f t="shared" si="45"/>
        <v>-31</v>
      </c>
      <c r="M352" s="2">
        <f t="shared" si="46"/>
        <v>-9.4627594627594621E-3</v>
      </c>
      <c r="N352">
        <f t="shared" si="47"/>
        <v>31</v>
      </c>
    </row>
    <row r="353" spans="1:14">
      <c r="A353" s="1" cm="1">
        <f t="array" ref="A353">INDEX(tblWeeks[Week_Start],INT((ROW()-2)/20)+1)</f>
        <v>46146</v>
      </c>
      <c r="B353" t="str" cm="1">
        <f t="array" ref="B353">INDEX(tblDemandAssumptions[Customer_ID],MOD(ROW()-2,20)+1)</f>
        <v>C003</v>
      </c>
      <c r="C353" t="str" cm="1">
        <f t="array" ref="C353">INDEX(tblDemandAssumptions[Product_ID],MOD(ROW()-2,20)+1)</f>
        <v>P002</v>
      </c>
      <c r="D353" cm="1">
        <f t="array" ref="D353">INDEX(tblDemandAssumptions[Baseline_Weekly_Qty],MOD(ROW()-2,20)+1)</f>
        <v>2700</v>
      </c>
      <c r="E353">
        <f t="shared" si="40"/>
        <v>1.05</v>
      </c>
      <c r="F353">
        <v>0.99</v>
      </c>
      <c r="G353">
        <f t="shared" si="41"/>
        <v>2807</v>
      </c>
      <c r="H353">
        <v>0.99</v>
      </c>
      <c r="I353">
        <f t="shared" si="42"/>
        <v>2807</v>
      </c>
      <c r="J353" t="str">
        <f t="shared" si="43"/>
        <v>Normal</v>
      </c>
      <c r="K353">
        <f t="shared" si="44"/>
        <v>2807</v>
      </c>
      <c r="L353">
        <f t="shared" si="45"/>
        <v>0</v>
      </c>
      <c r="M353" s="2">
        <f t="shared" si="46"/>
        <v>0</v>
      </c>
      <c r="N353">
        <f t="shared" si="47"/>
        <v>0</v>
      </c>
    </row>
    <row r="354" spans="1:14">
      <c r="A354" s="1" cm="1">
        <f t="array" ref="A354">INDEX(tblWeeks[Week_Start],INT((ROW()-2)/20)+1)</f>
        <v>46146</v>
      </c>
      <c r="B354" t="str" cm="1">
        <f t="array" ref="B354">INDEX(tblDemandAssumptions[Customer_ID],MOD(ROW()-2,20)+1)</f>
        <v>C003</v>
      </c>
      <c r="C354" t="str" cm="1">
        <f t="array" ref="C354">INDEX(tblDemandAssumptions[Product_ID],MOD(ROW()-2,20)+1)</f>
        <v>P003</v>
      </c>
      <c r="D354" cm="1">
        <f t="array" ref="D354">INDEX(tblDemandAssumptions[Baseline_Weekly_Qty],MOD(ROW()-2,20)+1)</f>
        <v>2800</v>
      </c>
      <c r="E354">
        <f t="shared" si="40"/>
        <v>1.05</v>
      </c>
      <c r="F354">
        <v>0.96</v>
      </c>
      <c r="G354">
        <f t="shared" si="41"/>
        <v>2822</v>
      </c>
      <c r="H354">
        <v>1.01</v>
      </c>
      <c r="I354">
        <f t="shared" si="42"/>
        <v>2969</v>
      </c>
      <c r="J354" t="str">
        <f t="shared" si="43"/>
        <v>Normal</v>
      </c>
      <c r="K354">
        <f t="shared" si="44"/>
        <v>2822</v>
      </c>
      <c r="L354">
        <f t="shared" si="45"/>
        <v>-147</v>
      </c>
      <c r="M354" s="2">
        <f t="shared" si="46"/>
        <v>-4.9511620074099025E-2</v>
      </c>
      <c r="N354">
        <f t="shared" si="47"/>
        <v>147</v>
      </c>
    </row>
    <row r="355" spans="1:14">
      <c r="A355" s="1" cm="1">
        <f t="array" ref="A355">INDEX(tblWeeks[Week_Start],INT((ROW()-2)/20)+1)</f>
        <v>46146</v>
      </c>
      <c r="B355" t="str" cm="1">
        <f t="array" ref="B355">INDEX(tblDemandAssumptions[Customer_ID],MOD(ROW()-2,20)+1)</f>
        <v>C003</v>
      </c>
      <c r="C355" t="str" cm="1">
        <f t="array" ref="C355">INDEX(tblDemandAssumptions[Product_ID],MOD(ROW()-2,20)+1)</f>
        <v>P004</v>
      </c>
      <c r="D355" cm="1">
        <f t="array" ref="D355">INDEX(tblDemandAssumptions[Baseline_Weekly_Qty],MOD(ROW()-2,20)+1)</f>
        <v>2400</v>
      </c>
      <c r="E355">
        <f t="shared" si="40"/>
        <v>1.05</v>
      </c>
      <c r="F355">
        <v>1.01</v>
      </c>
      <c r="G355">
        <f t="shared" si="41"/>
        <v>2545</v>
      </c>
      <c r="H355">
        <v>1.01</v>
      </c>
      <c r="I355">
        <f t="shared" si="42"/>
        <v>2545</v>
      </c>
      <c r="J355" t="str">
        <f t="shared" si="43"/>
        <v>Normal</v>
      </c>
      <c r="K355">
        <f t="shared" si="44"/>
        <v>2545</v>
      </c>
      <c r="L355">
        <f t="shared" si="45"/>
        <v>0</v>
      </c>
      <c r="M355" s="2">
        <f t="shared" si="46"/>
        <v>0</v>
      </c>
      <c r="N355">
        <f t="shared" si="47"/>
        <v>0</v>
      </c>
    </row>
    <row r="356" spans="1:14">
      <c r="A356" s="1" cm="1">
        <f t="array" ref="A356">INDEX(tblWeeks[Week_Start],INT((ROW()-2)/20)+1)</f>
        <v>46146</v>
      </c>
      <c r="B356" t="str" cm="1">
        <f t="array" ref="B356">INDEX(tblDemandAssumptions[Customer_ID],MOD(ROW()-2,20)+1)</f>
        <v>C003</v>
      </c>
      <c r="C356" t="str" cm="1">
        <f t="array" ref="C356">INDEX(tblDemandAssumptions[Product_ID],MOD(ROW()-2,20)+1)</f>
        <v>P005</v>
      </c>
      <c r="D356" cm="1">
        <f t="array" ref="D356">INDEX(tblDemandAssumptions[Baseline_Weekly_Qty],MOD(ROW()-2,20)+1)</f>
        <v>1900</v>
      </c>
      <c r="E356">
        <f t="shared" si="40"/>
        <v>1.05</v>
      </c>
      <c r="F356">
        <v>1.03</v>
      </c>
      <c r="G356">
        <f t="shared" si="41"/>
        <v>2055</v>
      </c>
      <c r="H356">
        <v>1</v>
      </c>
      <c r="I356">
        <f t="shared" si="42"/>
        <v>1995</v>
      </c>
      <c r="J356" t="str">
        <f t="shared" si="43"/>
        <v>Normal</v>
      </c>
      <c r="K356">
        <f t="shared" si="44"/>
        <v>2055</v>
      </c>
      <c r="L356">
        <f t="shared" si="45"/>
        <v>60</v>
      </c>
      <c r="M356" s="2">
        <f t="shared" si="46"/>
        <v>3.007518796992481E-2</v>
      </c>
      <c r="N356">
        <f t="shared" si="47"/>
        <v>60</v>
      </c>
    </row>
    <row r="357" spans="1:14">
      <c r="A357" s="1" cm="1">
        <f t="array" ref="A357">INDEX(tblWeeks[Week_Start],INT((ROW()-2)/20)+1)</f>
        <v>46146</v>
      </c>
      <c r="B357" t="str" cm="1">
        <f t="array" ref="B357">INDEX(tblDemandAssumptions[Customer_ID],MOD(ROW()-2,20)+1)</f>
        <v>C004</v>
      </c>
      <c r="C357" t="str" cm="1">
        <f t="array" ref="C357">INDEX(tblDemandAssumptions[Product_ID],MOD(ROW()-2,20)+1)</f>
        <v>P001</v>
      </c>
      <c r="D357" cm="1">
        <f t="array" ref="D357">INDEX(tblDemandAssumptions[Baseline_Weekly_Qty],MOD(ROW()-2,20)+1)</f>
        <v>2700</v>
      </c>
      <c r="E357">
        <f t="shared" si="40"/>
        <v>1.05</v>
      </c>
      <c r="F357">
        <v>0.95</v>
      </c>
      <c r="G357">
        <f t="shared" si="41"/>
        <v>2693</v>
      </c>
      <c r="H357">
        <v>1.04</v>
      </c>
      <c r="I357">
        <f t="shared" si="42"/>
        <v>2948</v>
      </c>
      <c r="J357" t="str">
        <f t="shared" si="43"/>
        <v>Normal</v>
      </c>
      <c r="K357">
        <f t="shared" si="44"/>
        <v>2693</v>
      </c>
      <c r="L357">
        <f t="shared" si="45"/>
        <v>-255</v>
      </c>
      <c r="M357" s="2">
        <f t="shared" si="46"/>
        <v>-8.6499321573948434E-2</v>
      </c>
      <c r="N357">
        <f t="shared" si="47"/>
        <v>255</v>
      </c>
    </row>
    <row r="358" spans="1:14">
      <c r="A358" s="1" cm="1">
        <f t="array" ref="A358">INDEX(tblWeeks[Week_Start],INT((ROW()-2)/20)+1)</f>
        <v>46146</v>
      </c>
      <c r="B358" t="str" cm="1">
        <f t="array" ref="B358">INDEX(tblDemandAssumptions[Customer_ID],MOD(ROW()-2,20)+1)</f>
        <v>C004</v>
      </c>
      <c r="C358" t="str" cm="1">
        <f t="array" ref="C358">INDEX(tblDemandAssumptions[Product_ID],MOD(ROW()-2,20)+1)</f>
        <v>P002</v>
      </c>
      <c r="D358" cm="1">
        <f t="array" ref="D358">INDEX(tblDemandAssumptions[Baseline_Weekly_Qty],MOD(ROW()-2,20)+1)</f>
        <v>2400</v>
      </c>
      <c r="E358">
        <f t="shared" si="40"/>
        <v>1.05</v>
      </c>
      <c r="F358">
        <v>1.04</v>
      </c>
      <c r="G358">
        <f t="shared" si="41"/>
        <v>2621</v>
      </c>
      <c r="H358">
        <v>1.01</v>
      </c>
      <c r="I358">
        <f t="shared" si="42"/>
        <v>2545</v>
      </c>
      <c r="J358" t="str">
        <f t="shared" si="43"/>
        <v>Normal</v>
      </c>
      <c r="K358">
        <f t="shared" si="44"/>
        <v>2621</v>
      </c>
      <c r="L358">
        <f t="shared" si="45"/>
        <v>76</v>
      </c>
      <c r="M358" s="2">
        <f t="shared" si="46"/>
        <v>2.9862475442043221E-2</v>
      </c>
      <c r="N358">
        <f t="shared" si="47"/>
        <v>76</v>
      </c>
    </row>
    <row r="359" spans="1:14">
      <c r="A359" s="1" cm="1">
        <f t="array" ref="A359">INDEX(tblWeeks[Week_Start],INT((ROW()-2)/20)+1)</f>
        <v>46146</v>
      </c>
      <c r="B359" t="str" cm="1">
        <f t="array" ref="B359">INDEX(tblDemandAssumptions[Customer_ID],MOD(ROW()-2,20)+1)</f>
        <v>C004</v>
      </c>
      <c r="C359" t="str" cm="1">
        <f t="array" ref="C359">INDEX(tblDemandAssumptions[Product_ID],MOD(ROW()-2,20)+1)</f>
        <v>P003</v>
      </c>
      <c r="D359" cm="1">
        <f t="array" ref="D359">INDEX(tblDemandAssumptions[Baseline_Weekly_Qty],MOD(ROW()-2,20)+1)</f>
        <v>2100</v>
      </c>
      <c r="E359">
        <f t="shared" si="40"/>
        <v>1.05</v>
      </c>
      <c r="F359">
        <v>0.97</v>
      </c>
      <c r="G359">
        <f t="shared" si="41"/>
        <v>2139</v>
      </c>
      <c r="H359">
        <v>0.97</v>
      </c>
      <c r="I359">
        <f t="shared" si="42"/>
        <v>2139</v>
      </c>
      <c r="J359" t="str">
        <f t="shared" si="43"/>
        <v>Normal</v>
      </c>
      <c r="K359">
        <f t="shared" si="44"/>
        <v>2139</v>
      </c>
      <c r="L359">
        <f t="shared" si="45"/>
        <v>0</v>
      </c>
      <c r="M359" s="2">
        <f t="shared" si="46"/>
        <v>0</v>
      </c>
      <c r="N359">
        <f t="shared" si="47"/>
        <v>0</v>
      </c>
    </row>
    <row r="360" spans="1:14">
      <c r="A360" s="1" cm="1">
        <f t="array" ref="A360">INDEX(tblWeeks[Week_Start],INT((ROW()-2)/20)+1)</f>
        <v>46146</v>
      </c>
      <c r="B360" t="str" cm="1">
        <f t="array" ref="B360">INDEX(tblDemandAssumptions[Customer_ID],MOD(ROW()-2,20)+1)</f>
        <v>C004</v>
      </c>
      <c r="C360" t="str" cm="1">
        <f t="array" ref="C360">INDEX(tblDemandAssumptions[Product_ID],MOD(ROW()-2,20)+1)</f>
        <v>P004</v>
      </c>
      <c r="D360" cm="1">
        <f t="array" ref="D360">INDEX(tblDemandAssumptions[Baseline_Weekly_Qty],MOD(ROW()-2,20)+1)</f>
        <v>2600</v>
      </c>
      <c r="E360">
        <f t="shared" si="40"/>
        <v>1.05</v>
      </c>
      <c r="F360">
        <v>1.05</v>
      </c>
      <c r="G360">
        <f t="shared" si="41"/>
        <v>2867</v>
      </c>
      <c r="H360">
        <v>1.02</v>
      </c>
      <c r="I360">
        <f t="shared" si="42"/>
        <v>2785</v>
      </c>
      <c r="J360" t="str">
        <f t="shared" si="43"/>
        <v>Normal</v>
      </c>
      <c r="K360">
        <f t="shared" si="44"/>
        <v>2867</v>
      </c>
      <c r="L360">
        <f t="shared" si="45"/>
        <v>82</v>
      </c>
      <c r="M360" s="2">
        <f t="shared" si="46"/>
        <v>2.9443447037701975E-2</v>
      </c>
      <c r="N360">
        <f t="shared" si="47"/>
        <v>82</v>
      </c>
    </row>
    <row r="361" spans="1:14">
      <c r="A361" s="1" cm="1">
        <f t="array" ref="A361">INDEX(tblWeeks[Week_Start],INT((ROW()-2)/20)+1)</f>
        <v>46146</v>
      </c>
      <c r="B361" t="str" cm="1">
        <f t="array" ref="B361">INDEX(tblDemandAssumptions[Customer_ID],MOD(ROW()-2,20)+1)</f>
        <v>C004</v>
      </c>
      <c r="C361" t="str" cm="1">
        <f t="array" ref="C361">INDEX(tblDemandAssumptions[Product_ID],MOD(ROW()-2,20)+1)</f>
        <v>P005</v>
      </c>
      <c r="D361" cm="1">
        <f t="array" ref="D361">INDEX(tblDemandAssumptions[Baseline_Weekly_Qty],MOD(ROW()-2,20)+1)</f>
        <v>1800</v>
      </c>
      <c r="E361">
        <f t="shared" si="40"/>
        <v>1.05</v>
      </c>
      <c r="F361">
        <v>1.02</v>
      </c>
      <c r="G361">
        <f t="shared" si="41"/>
        <v>1928</v>
      </c>
      <c r="H361">
        <v>1.02</v>
      </c>
      <c r="I361">
        <f t="shared" si="42"/>
        <v>1928</v>
      </c>
      <c r="J361" t="str">
        <f t="shared" si="43"/>
        <v>Normal</v>
      </c>
      <c r="K361">
        <f t="shared" si="44"/>
        <v>1928</v>
      </c>
      <c r="L361">
        <f t="shared" si="45"/>
        <v>0</v>
      </c>
      <c r="M361" s="2">
        <f t="shared" si="46"/>
        <v>0</v>
      </c>
      <c r="N361">
        <f t="shared" si="47"/>
        <v>0</v>
      </c>
    </row>
    <row r="362" spans="1:14">
      <c r="A362" s="1" cm="1">
        <f t="array" ref="A362">INDEX(tblWeeks[Week_Start],INT((ROW()-2)/20)+1)</f>
        <v>46153</v>
      </c>
      <c r="B362" t="str" cm="1">
        <f t="array" ref="B362">INDEX(tblDemandAssumptions[Customer_ID],MOD(ROW()-2,20)+1)</f>
        <v>C001</v>
      </c>
      <c r="C362" t="str" cm="1">
        <f t="array" ref="C362">INDEX(tblDemandAssumptions[Product_ID],MOD(ROW()-2,20)+1)</f>
        <v>P001</v>
      </c>
      <c r="D362" cm="1">
        <f t="array" ref="D362">INDEX(tblDemandAssumptions[Baseline_Weekly_Qty],MOD(ROW()-2,20)+1)</f>
        <v>5200</v>
      </c>
      <c r="E362">
        <f t="shared" si="40"/>
        <v>1.05</v>
      </c>
      <c r="F362">
        <v>1.01</v>
      </c>
      <c r="G362">
        <f t="shared" si="41"/>
        <v>5515</v>
      </c>
      <c r="H362">
        <v>0.96</v>
      </c>
      <c r="I362">
        <f t="shared" si="42"/>
        <v>5242</v>
      </c>
      <c r="J362" t="str">
        <f t="shared" si="43"/>
        <v>Normal</v>
      </c>
      <c r="K362">
        <f t="shared" si="44"/>
        <v>5515</v>
      </c>
      <c r="L362">
        <f t="shared" si="45"/>
        <v>273</v>
      </c>
      <c r="M362" s="2">
        <f t="shared" si="46"/>
        <v>5.2079359023273562E-2</v>
      </c>
      <c r="N362">
        <f t="shared" si="47"/>
        <v>273</v>
      </c>
    </row>
    <row r="363" spans="1:14">
      <c r="A363" s="1" cm="1">
        <f t="array" ref="A363">INDEX(tblWeeks[Week_Start],INT((ROW()-2)/20)+1)</f>
        <v>46153</v>
      </c>
      <c r="B363" t="str" cm="1">
        <f t="array" ref="B363">INDEX(tblDemandAssumptions[Customer_ID],MOD(ROW()-2,20)+1)</f>
        <v>C001</v>
      </c>
      <c r="C363" t="str" cm="1">
        <f t="array" ref="C363">INDEX(tblDemandAssumptions[Product_ID],MOD(ROW()-2,20)+1)</f>
        <v>P002</v>
      </c>
      <c r="D363" cm="1">
        <f t="array" ref="D363">INDEX(tblDemandAssumptions[Baseline_Weekly_Qty],MOD(ROW()-2,20)+1)</f>
        <v>4100</v>
      </c>
      <c r="E363">
        <f t="shared" si="40"/>
        <v>1.05</v>
      </c>
      <c r="F363">
        <v>0.95</v>
      </c>
      <c r="G363">
        <f t="shared" si="41"/>
        <v>4090</v>
      </c>
      <c r="H363">
        <v>1.04</v>
      </c>
      <c r="I363">
        <f t="shared" si="42"/>
        <v>4477</v>
      </c>
      <c r="J363" t="str">
        <f t="shared" si="43"/>
        <v>Normal</v>
      </c>
      <c r="K363">
        <f t="shared" si="44"/>
        <v>4090</v>
      </c>
      <c r="L363">
        <f t="shared" si="45"/>
        <v>-387</v>
      </c>
      <c r="M363" s="2">
        <f t="shared" si="46"/>
        <v>-8.6441813714540988E-2</v>
      </c>
      <c r="N363">
        <f t="shared" si="47"/>
        <v>387</v>
      </c>
    </row>
    <row r="364" spans="1:14">
      <c r="A364" s="1" cm="1">
        <f t="array" ref="A364">INDEX(tblWeeks[Week_Start],INT((ROW()-2)/20)+1)</f>
        <v>46153</v>
      </c>
      <c r="B364" t="str" cm="1">
        <f t="array" ref="B364">INDEX(tblDemandAssumptions[Customer_ID],MOD(ROW()-2,20)+1)</f>
        <v>C001</v>
      </c>
      <c r="C364" t="str" cm="1">
        <f t="array" ref="C364">INDEX(tblDemandAssumptions[Product_ID],MOD(ROW()-2,20)+1)</f>
        <v>P003</v>
      </c>
      <c r="D364" cm="1">
        <f t="array" ref="D364">INDEX(tblDemandAssumptions[Baseline_Weekly_Qty],MOD(ROW()-2,20)+1)</f>
        <v>3300</v>
      </c>
      <c r="E364">
        <f t="shared" si="40"/>
        <v>1.05</v>
      </c>
      <c r="F364">
        <v>1.04</v>
      </c>
      <c r="G364">
        <f t="shared" si="41"/>
        <v>3604</v>
      </c>
      <c r="H364">
        <v>0.96</v>
      </c>
      <c r="I364">
        <f t="shared" si="42"/>
        <v>3326</v>
      </c>
      <c r="J364" t="str">
        <f t="shared" si="43"/>
        <v>Normal</v>
      </c>
      <c r="K364">
        <f t="shared" si="44"/>
        <v>3604</v>
      </c>
      <c r="L364">
        <f t="shared" si="45"/>
        <v>278</v>
      </c>
      <c r="M364" s="2">
        <f t="shared" si="46"/>
        <v>8.35838845460012E-2</v>
      </c>
      <c r="N364">
        <f t="shared" si="47"/>
        <v>278</v>
      </c>
    </row>
    <row r="365" spans="1:14">
      <c r="A365" s="1" cm="1">
        <f t="array" ref="A365">INDEX(tblWeeks[Week_Start],INT((ROW()-2)/20)+1)</f>
        <v>46153</v>
      </c>
      <c r="B365" t="str" cm="1">
        <f t="array" ref="B365">INDEX(tblDemandAssumptions[Customer_ID],MOD(ROW()-2,20)+1)</f>
        <v>C001</v>
      </c>
      <c r="C365" t="str" cm="1">
        <f t="array" ref="C365">INDEX(tblDemandAssumptions[Product_ID],MOD(ROW()-2,20)+1)</f>
        <v>P004</v>
      </c>
      <c r="D365" cm="1">
        <f t="array" ref="D365">INDEX(tblDemandAssumptions[Baseline_Weekly_Qty],MOD(ROW()-2,20)+1)</f>
        <v>3600</v>
      </c>
      <c r="E365">
        <f t="shared" si="40"/>
        <v>1.05</v>
      </c>
      <c r="F365">
        <v>0.97</v>
      </c>
      <c r="G365">
        <f t="shared" si="41"/>
        <v>3667</v>
      </c>
      <c r="H365">
        <v>1.02</v>
      </c>
      <c r="I365">
        <f t="shared" si="42"/>
        <v>3856</v>
      </c>
      <c r="J365" t="str">
        <f t="shared" si="43"/>
        <v>Normal</v>
      </c>
      <c r="K365">
        <f t="shared" si="44"/>
        <v>3667</v>
      </c>
      <c r="L365">
        <f t="shared" si="45"/>
        <v>-189</v>
      </c>
      <c r="M365" s="2">
        <f t="shared" si="46"/>
        <v>-4.9014522821576763E-2</v>
      </c>
      <c r="N365">
        <f t="shared" si="47"/>
        <v>189</v>
      </c>
    </row>
    <row r="366" spans="1:14">
      <c r="A366" s="1" cm="1">
        <f t="array" ref="A366">INDEX(tblWeeks[Week_Start],INT((ROW()-2)/20)+1)</f>
        <v>46153</v>
      </c>
      <c r="B366" t="str" cm="1">
        <f t="array" ref="B366">INDEX(tblDemandAssumptions[Customer_ID],MOD(ROW()-2,20)+1)</f>
        <v>C001</v>
      </c>
      <c r="C366" t="str" cm="1">
        <f t="array" ref="C366">INDEX(tblDemandAssumptions[Product_ID],MOD(ROW()-2,20)+1)</f>
        <v>P005</v>
      </c>
      <c r="D366" cm="1">
        <f t="array" ref="D366">INDEX(tblDemandAssumptions[Baseline_Weekly_Qty],MOD(ROW()-2,20)+1)</f>
        <v>2800</v>
      </c>
      <c r="E366">
        <f t="shared" si="40"/>
        <v>1.05</v>
      </c>
      <c r="F366">
        <v>1.02</v>
      </c>
      <c r="G366">
        <f t="shared" si="41"/>
        <v>2999</v>
      </c>
      <c r="H366">
        <v>0.97</v>
      </c>
      <c r="I366">
        <f t="shared" si="42"/>
        <v>2852</v>
      </c>
      <c r="J366" t="str">
        <f t="shared" si="43"/>
        <v>Normal</v>
      </c>
      <c r="K366">
        <f t="shared" si="44"/>
        <v>2999</v>
      </c>
      <c r="L366">
        <f t="shared" si="45"/>
        <v>147</v>
      </c>
      <c r="M366" s="2">
        <f t="shared" si="46"/>
        <v>5.1542776998597474E-2</v>
      </c>
      <c r="N366">
        <f t="shared" si="47"/>
        <v>147</v>
      </c>
    </row>
    <row r="367" spans="1:14">
      <c r="A367" s="1" cm="1">
        <f t="array" ref="A367">INDEX(tblWeeks[Week_Start],INT((ROW()-2)/20)+1)</f>
        <v>46153</v>
      </c>
      <c r="B367" t="str" cm="1">
        <f t="array" ref="B367">INDEX(tblDemandAssumptions[Customer_ID],MOD(ROW()-2,20)+1)</f>
        <v>C002</v>
      </c>
      <c r="C367" t="str" cm="1">
        <f t="array" ref="C367">INDEX(tblDemandAssumptions[Product_ID],MOD(ROW()-2,20)+1)</f>
        <v>P001</v>
      </c>
      <c r="D367" cm="1">
        <f t="array" ref="D367">INDEX(tblDemandAssumptions[Baseline_Weekly_Qty],MOD(ROW()-2,20)+1)</f>
        <v>3400</v>
      </c>
      <c r="E367">
        <f t="shared" si="40"/>
        <v>1.05</v>
      </c>
      <c r="F367">
        <v>1.01</v>
      </c>
      <c r="G367">
        <f t="shared" si="41"/>
        <v>3606</v>
      </c>
      <c r="H367">
        <v>1</v>
      </c>
      <c r="I367">
        <f t="shared" si="42"/>
        <v>3570</v>
      </c>
      <c r="J367" t="str">
        <f t="shared" si="43"/>
        <v>Normal</v>
      </c>
      <c r="K367">
        <f t="shared" si="44"/>
        <v>3606</v>
      </c>
      <c r="L367">
        <f t="shared" si="45"/>
        <v>36</v>
      </c>
      <c r="M367" s="2">
        <f t="shared" si="46"/>
        <v>1.0084033613445379E-2</v>
      </c>
      <c r="N367">
        <f t="shared" si="47"/>
        <v>36</v>
      </c>
    </row>
    <row r="368" spans="1:14">
      <c r="A368" s="1" cm="1">
        <f t="array" ref="A368">INDEX(tblWeeks[Week_Start],INT((ROW()-2)/20)+1)</f>
        <v>46153</v>
      </c>
      <c r="B368" t="str" cm="1">
        <f t="array" ref="B368">INDEX(tblDemandAssumptions[Customer_ID],MOD(ROW()-2,20)+1)</f>
        <v>C002</v>
      </c>
      <c r="C368" t="str" cm="1">
        <f t="array" ref="C368">INDEX(tblDemandAssumptions[Product_ID],MOD(ROW()-2,20)+1)</f>
        <v>P002</v>
      </c>
      <c r="D368" cm="1">
        <f t="array" ref="D368">INDEX(tblDemandAssumptions[Baseline_Weekly_Qty],MOD(ROW()-2,20)+1)</f>
        <v>3200</v>
      </c>
      <c r="E368">
        <f t="shared" si="40"/>
        <v>1.05</v>
      </c>
      <c r="F368">
        <v>0.98</v>
      </c>
      <c r="G368">
        <f t="shared" si="41"/>
        <v>3293</v>
      </c>
      <c r="H368">
        <v>0.99</v>
      </c>
      <c r="I368">
        <f t="shared" si="42"/>
        <v>3326</v>
      </c>
      <c r="J368" t="str">
        <f t="shared" si="43"/>
        <v>Normal</v>
      </c>
      <c r="K368">
        <f t="shared" si="44"/>
        <v>3293</v>
      </c>
      <c r="L368">
        <f t="shared" si="45"/>
        <v>-33</v>
      </c>
      <c r="M368" s="2">
        <f t="shared" si="46"/>
        <v>-9.9218280216476253E-3</v>
      </c>
      <c r="N368">
        <f t="shared" si="47"/>
        <v>33</v>
      </c>
    </row>
    <row r="369" spans="1:14">
      <c r="A369" s="1" cm="1">
        <f t="array" ref="A369">INDEX(tblWeeks[Week_Start],INT((ROW()-2)/20)+1)</f>
        <v>46153</v>
      </c>
      <c r="B369" t="str" cm="1">
        <f t="array" ref="B369">INDEX(tblDemandAssumptions[Customer_ID],MOD(ROW()-2,20)+1)</f>
        <v>C002</v>
      </c>
      <c r="C369" t="str" cm="1">
        <f t="array" ref="C369">INDEX(tblDemandAssumptions[Product_ID],MOD(ROW()-2,20)+1)</f>
        <v>P003</v>
      </c>
      <c r="D369" cm="1">
        <f t="array" ref="D369">INDEX(tblDemandAssumptions[Baseline_Weekly_Qty],MOD(ROW()-2,20)+1)</f>
        <v>2600</v>
      </c>
      <c r="E369">
        <f t="shared" si="40"/>
        <v>1.05</v>
      </c>
      <c r="F369">
        <v>0.96</v>
      </c>
      <c r="G369">
        <f t="shared" si="41"/>
        <v>2621</v>
      </c>
      <c r="H369">
        <v>1.04</v>
      </c>
      <c r="I369">
        <f t="shared" si="42"/>
        <v>2839</v>
      </c>
      <c r="J369" t="str">
        <f t="shared" si="43"/>
        <v>Normal</v>
      </c>
      <c r="K369">
        <f t="shared" si="44"/>
        <v>2621</v>
      </c>
      <c r="L369">
        <f t="shared" si="45"/>
        <v>-218</v>
      </c>
      <c r="M369" s="2">
        <f t="shared" si="46"/>
        <v>-7.6787601268052133E-2</v>
      </c>
      <c r="N369">
        <f t="shared" si="47"/>
        <v>218</v>
      </c>
    </row>
    <row r="370" spans="1:14">
      <c r="A370" s="1" cm="1">
        <f t="array" ref="A370">INDEX(tblWeeks[Week_Start],INT((ROW()-2)/20)+1)</f>
        <v>46153</v>
      </c>
      <c r="B370" t="str" cm="1">
        <f t="array" ref="B370">INDEX(tblDemandAssumptions[Customer_ID],MOD(ROW()-2,20)+1)</f>
        <v>C002</v>
      </c>
      <c r="C370" t="str" cm="1">
        <f t="array" ref="C370">INDEX(tblDemandAssumptions[Product_ID],MOD(ROW()-2,20)+1)</f>
        <v>P004</v>
      </c>
      <c r="D370" cm="1">
        <f t="array" ref="D370">INDEX(tblDemandAssumptions[Baseline_Weekly_Qty],MOD(ROW()-2,20)+1)</f>
        <v>2900</v>
      </c>
      <c r="E370">
        <f t="shared" si="40"/>
        <v>1.05</v>
      </c>
      <c r="F370">
        <v>0.95</v>
      </c>
      <c r="G370">
        <f t="shared" si="41"/>
        <v>2893</v>
      </c>
      <c r="H370">
        <v>0.98</v>
      </c>
      <c r="I370">
        <f t="shared" si="42"/>
        <v>2984</v>
      </c>
      <c r="J370" t="str">
        <f t="shared" si="43"/>
        <v>Normal</v>
      </c>
      <c r="K370">
        <f t="shared" si="44"/>
        <v>2893</v>
      </c>
      <c r="L370">
        <f t="shared" si="45"/>
        <v>-91</v>
      </c>
      <c r="M370" s="2">
        <f t="shared" si="46"/>
        <v>-3.049597855227882E-2</v>
      </c>
      <c r="N370">
        <f t="shared" si="47"/>
        <v>91</v>
      </c>
    </row>
    <row r="371" spans="1:14">
      <c r="A371" s="1" cm="1">
        <f t="array" ref="A371">INDEX(tblWeeks[Week_Start],INT((ROW()-2)/20)+1)</f>
        <v>46153</v>
      </c>
      <c r="B371" t="str" cm="1">
        <f t="array" ref="B371">INDEX(tblDemandAssumptions[Customer_ID],MOD(ROW()-2,20)+1)</f>
        <v>C002</v>
      </c>
      <c r="C371" t="str" cm="1">
        <f t="array" ref="C371">INDEX(tblDemandAssumptions[Product_ID],MOD(ROW()-2,20)+1)</f>
        <v>P005</v>
      </c>
      <c r="D371" cm="1">
        <f t="array" ref="D371">INDEX(tblDemandAssumptions[Baseline_Weekly_Qty],MOD(ROW()-2,20)+1)</f>
        <v>2200</v>
      </c>
      <c r="E371">
        <f t="shared" si="40"/>
        <v>1.05</v>
      </c>
      <c r="F371">
        <v>0.97</v>
      </c>
      <c r="G371">
        <f t="shared" si="41"/>
        <v>2241</v>
      </c>
      <c r="H371">
        <v>0.98</v>
      </c>
      <c r="I371">
        <f t="shared" si="42"/>
        <v>2264</v>
      </c>
      <c r="J371" t="str">
        <f t="shared" si="43"/>
        <v>Normal</v>
      </c>
      <c r="K371">
        <f t="shared" si="44"/>
        <v>2241</v>
      </c>
      <c r="L371">
        <f t="shared" si="45"/>
        <v>-23</v>
      </c>
      <c r="M371" s="2">
        <f t="shared" si="46"/>
        <v>-1.0159010600706713E-2</v>
      </c>
      <c r="N371">
        <f t="shared" si="47"/>
        <v>23</v>
      </c>
    </row>
    <row r="372" spans="1:14">
      <c r="A372" s="1" cm="1">
        <f t="array" ref="A372">INDEX(tblWeeks[Week_Start],INT((ROW()-2)/20)+1)</f>
        <v>46153</v>
      </c>
      <c r="B372" t="str" cm="1">
        <f t="array" ref="B372">INDEX(tblDemandAssumptions[Customer_ID],MOD(ROW()-2,20)+1)</f>
        <v>C003</v>
      </c>
      <c r="C372" t="str" cm="1">
        <f t="array" ref="C372">INDEX(tblDemandAssumptions[Product_ID],MOD(ROW()-2,20)+1)</f>
        <v>P001</v>
      </c>
      <c r="D372" cm="1">
        <f t="array" ref="D372">INDEX(tblDemandAssumptions[Baseline_Weekly_Qty],MOD(ROW()-2,20)+1)</f>
        <v>3000</v>
      </c>
      <c r="E372">
        <f t="shared" si="40"/>
        <v>1.05</v>
      </c>
      <c r="F372">
        <v>1.04</v>
      </c>
      <c r="G372">
        <f t="shared" si="41"/>
        <v>3276</v>
      </c>
      <c r="H372">
        <v>0.99</v>
      </c>
      <c r="I372">
        <f t="shared" si="42"/>
        <v>3119</v>
      </c>
      <c r="J372" t="str">
        <f t="shared" si="43"/>
        <v>Normal</v>
      </c>
      <c r="K372">
        <f t="shared" si="44"/>
        <v>3276</v>
      </c>
      <c r="L372">
        <f t="shared" si="45"/>
        <v>157</v>
      </c>
      <c r="M372" s="2">
        <f t="shared" si="46"/>
        <v>5.0336646361013149E-2</v>
      </c>
      <c r="N372">
        <f t="shared" si="47"/>
        <v>157</v>
      </c>
    </row>
    <row r="373" spans="1:14">
      <c r="A373" s="1" cm="1">
        <f t="array" ref="A373">INDEX(tblWeeks[Week_Start],INT((ROW()-2)/20)+1)</f>
        <v>46153</v>
      </c>
      <c r="B373" t="str" cm="1">
        <f t="array" ref="B373">INDEX(tblDemandAssumptions[Customer_ID],MOD(ROW()-2,20)+1)</f>
        <v>C003</v>
      </c>
      <c r="C373" t="str" cm="1">
        <f t="array" ref="C373">INDEX(tblDemandAssumptions[Product_ID],MOD(ROW()-2,20)+1)</f>
        <v>P002</v>
      </c>
      <c r="D373" cm="1">
        <f t="array" ref="D373">INDEX(tblDemandAssumptions[Baseline_Weekly_Qty],MOD(ROW()-2,20)+1)</f>
        <v>2700</v>
      </c>
      <c r="E373">
        <f t="shared" si="40"/>
        <v>1.05</v>
      </c>
      <c r="F373">
        <v>1.04</v>
      </c>
      <c r="G373">
        <f t="shared" si="41"/>
        <v>2948</v>
      </c>
      <c r="H373">
        <v>0.97</v>
      </c>
      <c r="I373">
        <f t="shared" si="42"/>
        <v>2750</v>
      </c>
      <c r="J373" t="str">
        <f t="shared" si="43"/>
        <v>Normal</v>
      </c>
      <c r="K373">
        <f t="shared" si="44"/>
        <v>2948</v>
      </c>
      <c r="L373">
        <f t="shared" si="45"/>
        <v>198</v>
      </c>
      <c r="M373" s="2">
        <f t="shared" si="46"/>
        <v>7.1999999999999995E-2</v>
      </c>
      <c r="N373">
        <f t="shared" si="47"/>
        <v>198</v>
      </c>
    </row>
    <row r="374" spans="1:14">
      <c r="A374" s="1" cm="1">
        <f t="array" ref="A374">INDEX(tblWeeks[Week_Start],INT((ROW()-2)/20)+1)</f>
        <v>46153</v>
      </c>
      <c r="B374" t="str" cm="1">
        <f t="array" ref="B374">INDEX(tblDemandAssumptions[Customer_ID],MOD(ROW()-2,20)+1)</f>
        <v>C003</v>
      </c>
      <c r="C374" t="str" cm="1">
        <f t="array" ref="C374">INDEX(tblDemandAssumptions[Product_ID],MOD(ROW()-2,20)+1)</f>
        <v>P003</v>
      </c>
      <c r="D374" cm="1">
        <f t="array" ref="D374">INDEX(tblDemandAssumptions[Baseline_Weekly_Qty],MOD(ROW()-2,20)+1)</f>
        <v>2800</v>
      </c>
      <c r="E374">
        <f t="shared" si="40"/>
        <v>1.05</v>
      </c>
      <c r="F374">
        <v>1.05</v>
      </c>
      <c r="G374">
        <f t="shared" si="41"/>
        <v>3087</v>
      </c>
      <c r="H374">
        <v>0.96</v>
      </c>
      <c r="I374">
        <f t="shared" si="42"/>
        <v>2822</v>
      </c>
      <c r="J374" t="str">
        <f t="shared" si="43"/>
        <v>Normal</v>
      </c>
      <c r="K374">
        <f t="shared" si="44"/>
        <v>3087</v>
      </c>
      <c r="L374">
        <f t="shared" si="45"/>
        <v>265</v>
      </c>
      <c r="M374" s="2">
        <f t="shared" si="46"/>
        <v>9.3905031892274976E-2</v>
      </c>
      <c r="N374">
        <f t="shared" si="47"/>
        <v>265</v>
      </c>
    </row>
    <row r="375" spans="1:14">
      <c r="A375" s="1" cm="1">
        <f t="array" ref="A375">INDEX(tblWeeks[Week_Start],INT((ROW()-2)/20)+1)</f>
        <v>46153</v>
      </c>
      <c r="B375" t="str" cm="1">
        <f t="array" ref="B375">INDEX(tblDemandAssumptions[Customer_ID],MOD(ROW()-2,20)+1)</f>
        <v>C003</v>
      </c>
      <c r="C375" t="str" cm="1">
        <f t="array" ref="C375">INDEX(tblDemandAssumptions[Product_ID],MOD(ROW()-2,20)+1)</f>
        <v>P004</v>
      </c>
      <c r="D375" cm="1">
        <f t="array" ref="D375">INDEX(tblDemandAssumptions[Baseline_Weekly_Qty],MOD(ROW()-2,20)+1)</f>
        <v>2400</v>
      </c>
      <c r="E375">
        <f t="shared" si="40"/>
        <v>1.05</v>
      </c>
      <c r="F375">
        <v>1</v>
      </c>
      <c r="G375">
        <f t="shared" si="41"/>
        <v>2520</v>
      </c>
      <c r="H375">
        <v>1.02</v>
      </c>
      <c r="I375">
        <f t="shared" si="42"/>
        <v>2570</v>
      </c>
      <c r="J375" t="str">
        <f t="shared" si="43"/>
        <v>Normal</v>
      </c>
      <c r="K375">
        <f t="shared" si="44"/>
        <v>2520</v>
      </c>
      <c r="L375">
        <f t="shared" si="45"/>
        <v>-50</v>
      </c>
      <c r="M375" s="2">
        <f t="shared" si="46"/>
        <v>-1.9455252918287938E-2</v>
      </c>
      <c r="N375">
        <f t="shared" si="47"/>
        <v>50</v>
      </c>
    </row>
    <row r="376" spans="1:14">
      <c r="A376" s="1" cm="1">
        <f t="array" ref="A376">INDEX(tblWeeks[Week_Start],INT((ROW()-2)/20)+1)</f>
        <v>46153</v>
      </c>
      <c r="B376" t="str" cm="1">
        <f t="array" ref="B376">INDEX(tblDemandAssumptions[Customer_ID],MOD(ROW()-2,20)+1)</f>
        <v>C003</v>
      </c>
      <c r="C376" t="str" cm="1">
        <f t="array" ref="C376">INDEX(tblDemandAssumptions[Product_ID],MOD(ROW()-2,20)+1)</f>
        <v>P005</v>
      </c>
      <c r="D376" cm="1">
        <f t="array" ref="D376">INDEX(tblDemandAssumptions[Baseline_Weekly_Qty],MOD(ROW()-2,20)+1)</f>
        <v>1900</v>
      </c>
      <c r="E376">
        <f t="shared" si="40"/>
        <v>1.05</v>
      </c>
      <c r="F376">
        <v>0.98</v>
      </c>
      <c r="G376">
        <f t="shared" si="41"/>
        <v>1955</v>
      </c>
      <c r="H376">
        <v>0.96</v>
      </c>
      <c r="I376">
        <f t="shared" si="42"/>
        <v>1915</v>
      </c>
      <c r="J376" t="str">
        <f t="shared" si="43"/>
        <v>Normal</v>
      </c>
      <c r="K376">
        <f t="shared" si="44"/>
        <v>1955</v>
      </c>
      <c r="L376">
        <f t="shared" si="45"/>
        <v>40</v>
      </c>
      <c r="M376" s="2">
        <f t="shared" si="46"/>
        <v>2.0887728459530026E-2</v>
      </c>
      <c r="N376">
        <f t="shared" si="47"/>
        <v>40</v>
      </c>
    </row>
    <row r="377" spans="1:14">
      <c r="A377" s="1" cm="1">
        <f t="array" ref="A377">INDEX(tblWeeks[Week_Start],INT((ROW()-2)/20)+1)</f>
        <v>46153</v>
      </c>
      <c r="B377" t="str" cm="1">
        <f t="array" ref="B377">INDEX(tblDemandAssumptions[Customer_ID],MOD(ROW()-2,20)+1)</f>
        <v>C004</v>
      </c>
      <c r="C377" t="str" cm="1">
        <f t="array" ref="C377">INDEX(tblDemandAssumptions[Product_ID],MOD(ROW()-2,20)+1)</f>
        <v>P001</v>
      </c>
      <c r="D377" cm="1">
        <f t="array" ref="D377">INDEX(tblDemandAssumptions[Baseline_Weekly_Qty],MOD(ROW()-2,20)+1)</f>
        <v>2700</v>
      </c>
      <c r="E377">
        <f t="shared" si="40"/>
        <v>1.05</v>
      </c>
      <c r="F377">
        <v>1</v>
      </c>
      <c r="G377">
        <f t="shared" si="41"/>
        <v>2835</v>
      </c>
      <c r="H377">
        <v>0.96</v>
      </c>
      <c r="I377">
        <f t="shared" si="42"/>
        <v>2722</v>
      </c>
      <c r="J377" t="str">
        <f t="shared" si="43"/>
        <v>Normal</v>
      </c>
      <c r="K377">
        <f t="shared" si="44"/>
        <v>2835</v>
      </c>
      <c r="L377">
        <f t="shared" si="45"/>
        <v>113</v>
      </c>
      <c r="M377" s="2">
        <f t="shared" si="46"/>
        <v>4.1513592946362969E-2</v>
      </c>
      <c r="N377">
        <f t="shared" si="47"/>
        <v>113</v>
      </c>
    </row>
    <row r="378" spans="1:14">
      <c r="A378" s="1" cm="1">
        <f t="array" ref="A378">INDEX(tblWeeks[Week_Start],INT((ROW()-2)/20)+1)</f>
        <v>46153</v>
      </c>
      <c r="B378" t="str" cm="1">
        <f t="array" ref="B378">INDEX(tblDemandAssumptions[Customer_ID],MOD(ROW()-2,20)+1)</f>
        <v>C004</v>
      </c>
      <c r="C378" t="str" cm="1">
        <f t="array" ref="C378">INDEX(tblDemandAssumptions[Product_ID],MOD(ROW()-2,20)+1)</f>
        <v>P002</v>
      </c>
      <c r="D378" cm="1">
        <f t="array" ref="D378">INDEX(tblDemandAssumptions[Baseline_Weekly_Qty],MOD(ROW()-2,20)+1)</f>
        <v>2400</v>
      </c>
      <c r="E378">
        <f t="shared" si="40"/>
        <v>1.05</v>
      </c>
      <c r="F378">
        <v>1</v>
      </c>
      <c r="G378">
        <f t="shared" si="41"/>
        <v>2520</v>
      </c>
      <c r="H378">
        <v>1</v>
      </c>
      <c r="I378">
        <f t="shared" si="42"/>
        <v>2520</v>
      </c>
      <c r="J378" t="str">
        <f t="shared" si="43"/>
        <v>Normal</v>
      </c>
      <c r="K378">
        <f t="shared" si="44"/>
        <v>2520</v>
      </c>
      <c r="L378">
        <f t="shared" si="45"/>
        <v>0</v>
      </c>
      <c r="M378" s="2">
        <f t="shared" si="46"/>
        <v>0</v>
      </c>
      <c r="N378">
        <f t="shared" si="47"/>
        <v>0</v>
      </c>
    </row>
    <row r="379" spans="1:14">
      <c r="A379" s="1" cm="1">
        <f t="array" ref="A379">INDEX(tblWeeks[Week_Start],INT((ROW()-2)/20)+1)</f>
        <v>46153</v>
      </c>
      <c r="B379" t="str" cm="1">
        <f t="array" ref="B379">INDEX(tblDemandAssumptions[Customer_ID],MOD(ROW()-2,20)+1)</f>
        <v>C004</v>
      </c>
      <c r="C379" t="str" cm="1">
        <f t="array" ref="C379">INDEX(tblDemandAssumptions[Product_ID],MOD(ROW()-2,20)+1)</f>
        <v>P003</v>
      </c>
      <c r="D379" cm="1">
        <f t="array" ref="D379">INDEX(tblDemandAssumptions[Baseline_Weekly_Qty],MOD(ROW()-2,20)+1)</f>
        <v>2100</v>
      </c>
      <c r="E379">
        <f t="shared" si="40"/>
        <v>1.05</v>
      </c>
      <c r="F379">
        <v>1.04</v>
      </c>
      <c r="G379">
        <f t="shared" si="41"/>
        <v>2293</v>
      </c>
      <c r="H379">
        <v>1.03</v>
      </c>
      <c r="I379">
        <f t="shared" si="42"/>
        <v>2271</v>
      </c>
      <c r="J379" t="str">
        <f t="shared" si="43"/>
        <v>Normal</v>
      </c>
      <c r="K379">
        <f t="shared" si="44"/>
        <v>2293</v>
      </c>
      <c r="L379">
        <f t="shared" si="45"/>
        <v>22</v>
      </c>
      <c r="M379" s="2">
        <f t="shared" si="46"/>
        <v>9.687362395420519E-3</v>
      </c>
      <c r="N379">
        <f t="shared" si="47"/>
        <v>22</v>
      </c>
    </row>
    <row r="380" spans="1:14">
      <c r="A380" s="1" cm="1">
        <f t="array" ref="A380">INDEX(tblWeeks[Week_Start],INT((ROW()-2)/20)+1)</f>
        <v>46153</v>
      </c>
      <c r="B380" t="str" cm="1">
        <f t="array" ref="B380">INDEX(tblDemandAssumptions[Customer_ID],MOD(ROW()-2,20)+1)</f>
        <v>C004</v>
      </c>
      <c r="C380" t="str" cm="1">
        <f t="array" ref="C380">INDEX(tblDemandAssumptions[Product_ID],MOD(ROW()-2,20)+1)</f>
        <v>P004</v>
      </c>
      <c r="D380" cm="1">
        <f t="array" ref="D380">INDEX(tblDemandAssumptions[Baseline_Weekly_Qty],MOD(ROW()-2,20)+1)</f>
        <v>2600</v>
      </c>
      <c r="E380">
        <f t="shared" si="40"/>
        <v>1.05</v>
      </c>
      <c r="F380">
        <v>1.01</v>
      </c>
      <c r="G380">
        <f t="shared" si="41"/>
        <v>2757</v>
      </c>
      <c r="H380">
        <v>1.03</v>
      </c>
      <c r="I380">
        <f t="shared" si="42"/>
        <v>2812</v>
      </c>
      <c r="J380" t="str">
        <f t="shared" si="43"/>
        <v>Normal</v>
      </c>
      <c r="K380">
        <f t="shared" si="44"/>
        <v>2757</v>
      </c>
      <c r="L380">
        <f t="shared" si="45"/>
        <v>-55</v>
      </c>
      <c r="M380" s="2">
        <f t="shared" si="46"/>
        <v>-1.9559032716927455E-2</v>
      </c>
      <c r="N380">
        <f t="shared" si="47"/>
        <v>55</v>
      </c>
    </row>
    <row r="381" spans="1:14">
      <c r="A381" s="1" cm="1">
        <f t="array" ref="A381">INDEX(tblWeeks[Week_Start],INT((ROW()-2)/20)+1)</f>
        <v>46153</v>
      </c>
      <c r="B381" t="str" cm="1">
        <f t="array" ref="B381">INDEX(tblDemandAssumptions[Customer_ID],MOD(ROW()-2,20)+1)</f>
        <v>C004</v>
      </c>
      <c r="C381" t="str" cm="1">
        <f t="array" ref="C381">INDEX(tblDemandAssumptions[Product_ID],MOD(ROW()-2,20)+1)</f>
        <v>P005</v>
      </c>
      <c r="D381" cm="1">
        <f t="array" ref="D381">INDEX(tblDemandAssumptions[Baseline_Weekly_Qty],MOD(ROW()-2,20)+1)</f>
        <v>1800</v>
      </c>
      <c r="E381">
        <f t="shared" si="40"/>
        <v>1.05</v>
      </c>
      <c r="F381">
        <v>0.97</v>
      </c>
      <c r="G381">
        <f t="shared" si="41"/>
        <v>1833</v>
      </c>
      <c r="H381">
        <v>1.01</v>
      </c>
      <c r="I381">
        <f t="shared" si="42"/>
        <v>1909</v>
      </c>
      <c r="J381" t="str">
        <f t="shared" si="43"/>
        <v>Normal</v>
      </c>
      <c r="K381">
        <f t="shared" si="44"/>
        <v>1833</v>
      </c>
      <c r="L381">
        <f t="shared" si="45"/>
        <v>-76</v>
      </c>
      <c r="M381" s="2">
        <f t="shared" si="46"/>
        <v>-3.9811419591409117E-2</v>
      </c>
      <c r="N381">
        <f t="shared" si="47"/>
        <v>76</v>
      </c>
    </row>
    <row r="382" spans="1:14">
      <c r="A382" s="1" cm="1">
        <f t="array" ref="A382">INDEX(tblWeeks[Week_Start],INT((ROW()-2)/20)+1)</f>
        <v>46160</v>
      </c>
      <c r="B382" t="str" cm="1">
        <f t="array" ref="B382">INDEX(tblDemandAssumptions[Customer_ID],MOD(ROW()-2,20)+1)</f>
        <v>C001</v>
      </c>
      <c r="C382" t="str" cm="1">
        <f t="array" ref="C382">INDEX(tblDemandAssumptions[Product_ID],MOD(ROW()-2,20)+1)</f>
        <v>P001</v>
      </c>
      <c r="D382" cm="1">
        <f t="array" ref="D382">INDEX(tblDemandAssumptions[Baseline_Weekly_Qty],MOD(ROW()-2,20)+1)</f>
        <v>5200</v>
      </c>
      <c r="E382">
        <f t="shared" si="40"/>
        <v>1.05</v>
      </c>
      <c r="F382">
        <v>0.96</v>
      </c>
      <c r="G382">
        <f t="shared" si="41"/>
        <v>5242</v>
      </c>
      <c r="H382">
        <v>1.01</v>
      </c>
      <c r="I382">
        <f t="shared" si="42"/>
        <v>5515</v>
      </c>
      <c r="J382" t="str">
        <f t="shared" si="43"/>
        <v>Normal</v>
      </c>
      <c r="K382">
        <f t="shared" si="44"/>
        <v>5242</v>
      </c>
      <c r="L382">
        <f t="shared" si="45"/>
        <v>-273</v>
      </c>
      <c r="M382" s="2">
        <f t="shared" si="46"/>
        <v>-4.9501359927470533E-2</v>
      </c>
      <c r="N382">
        <f t="shared" si="47"/>
        <v>273</v>
      </c>
    </row>
    <row r="383" spans="1:14">
      <c r="A383" s="1" cm="1">
        <f t="array" ref="A383">INDEX(tblWeeks[Week_Start],INT((ROW()-2)/20)+1)</f>
        <v>46160</v>
      </c>
      <c r="B383" t="str" cm="1">
        <f t="array" ref="B383">INDEX(tblDemandAssumptions[Customer_ID],MOD(ROW()-2,20)+1)</f>
        <v>C001</v>
      </c>
      <c r="C383" t="str" cm="1">
        <f t="array" ref="C383">INDEX(tblDemandAssumptions[Product_ID],MOD(ROW()-2,20)+1)</f>
        <v>P002</v>
      </c>
      <c r="D383" cm="1">
        <f t="array" ref="D383">INDEX(tblDemandAssumptions[Baseline_Weekly_Qty],MOD(ROW()-2,20)+1)</f>
        <v>4100</v>
      </c>
      <c r="E383">
        <f t="shared" si="40"/>
        <v>1.05</v>
      </c>
      <c r="F383">
        <v>1</v>
      </c>
      <c r="G383">
        <f t="shared" si="41"/>
        <v>4305</v>
      </c>
      <c r="H383">
        <v>1.02</v>
      </c>
      <c r="I383">
        <f t="shared" si="42"/>
        <v>4391</v>
      </c>
      <c r="J383" t="str">
        <f t="shared" si="43"/>
        <v>Normal</v>
      </c>
      <c r="K383">
        <f t="shared" si="44"/>
        <v>4305</v>
      </c>
      <c r="L383">
        <f t="shared" si="45"/>
        <v>-86</v>
      </c>
      <c r="M383" s="2">
        <f t="shared" si="46"/>
        <v>-1.958551582782965E-2</v>
      </c>
      <c r="N383">
        <f t="shared" si="47"/>
        <v>86</v>
      </c>
    </row>
    <row r="384" spans="1:14">
      <c r="A384" s="1" cm="1">
        <f t="array" ref="A384">INDEX(tblWeeks[Week_Start],INT((ROW()-2)/20)+1)</f>
        <v>46160</v>
      </c>
      <c r="B384" t="str" cm="1">
        <f t="array" ref="B384">INDEX(tblDemandAssumptions[Customer_ID],MOD(ROW()-2,20)+1)</f>
        <v>C001</v>
      </c>
      <c r="C384" t="str" cm="1">
        <f t="array" ref="C384">INDEX(tblDemandAssumptions[Product_ID],MOD(ROW()-2,20)+1)</f>
        <v>P003</v>
      </c>
      <c r="D384" cm="1">
        <f t="array" ref="D384">INDEX(tblDemandAssumptions[Baseline_Weekly_Qty],MOD(ROW()-2,20)+1)</f>
        <v>3300</v>
      </c>
      <c r="E384">
        <f t="shared" si="40"/>
        <v>1.05</v>
      </c>
      <c r="F384">
        <v>0.97</v>
      </c>
      <c r="G384">
        <f t="shared" si="41"/>
        <v>3361</v>
      </c>
      <c r="H384">
        <v>1</v>
      </c>
      <c r="I384">
        <f t="shared" si="42"/>
        <v>3465</v>
      </c>
      <c r="J384" t="str">
        <f t="shared" si="43"/>
        <v>Normal</v>
      </c>
      <c r="K384">
        <f t="shared" si="44"/>
        <v>3361</v>
      </c>
      <c r="L384">
        <f t="shared" si="45"/>
        <v>-104</v>
      </c>
      <c r="M384" s="2">
        <f t="shared" si="46"/>
        <v>-3.0014430014430014E-2</v>
      </c>
      <c r="N384">
        <f t="shared" si="47"/>
        <v>104</v>
      </c>
    </row>
    <row r="385" spans="1:14">
      <c r="A385" s="1" cm="1">
        <f t="array" ref="A385">INDEX(tblWeeks[Week_Start],INT((ROW()-2)/20)+1)</f>
        <v>46160</v>
      </c>
      <c r="B385" t="str" cm="1">
        <f t="array" ref="B385">INDEX(tblDemandAssumptions[Customer_ID],MOD(ROW()-2,20)+1)</f>
        <v>C001</v>
      </c>
      <c r="C385" t="str" cm="1">
        <f t="array" ref="C385">INDEX(tblDemandAssumptions[Product_ID],MOD(ROW()-2,20)+1)</f>
        <v>P004</v>
      </c>
      <c r="D385" cm="1">
        <f t="array" ref="D385">INDEX(tblDemandAssumptions[Baseline_Weekly_Qty],MOD(ROW()-2,20)+1)</f>
        <v>3600</v>
      </c>
      <c r="E385">
        <f t="shared" si="40"/>
        <v>1.05</v>
      </c>
      <c r="F385">
        <v>1.01</v>
      </c>
      <c r="G385">
        <f t="shared" si="41"/>
        <v>3818</v>
      </c>
      <c r="H385">
        <v>1.01</v>
      </c>
      <c r="I385">
        <f t="shared" si="42"/>
        <v>3818</v>
      </c>
      <c r="J385" t="str">
        <f t="shared" si="43"/>
        <v>Normal</v>
      </c>
      <c r="K385">
        <f t="shared" si="44"/>
        <v>3818</v>
      </c>
      <c r="L385">
        <f t="shared" si="45"/>
        <v>0</v>
      </c>
      <c r="M385" s="2">
        <f t="shared" si="46"/>
        <v>0</v>
      </c>
      <c r="N385">
        <f t="shared" si="47"/>
        <v>0</v>
      </c>
    </row>
    <row r="386" spans="1:14">
      <c r="A386" s="1" cm="1">
        <f t="array" ref="A386">INDEX(tblWeeks[Week_Start],INT((ROW()-2)/20)+1)</f>
        <v>46160</v>
      </c>
      <c r="B386" t="str" cm="1">
        <f t="array" ref="B386">INDEX(tblDemandAssumptions[Customer_ID],MOD(ROW()-2,20)+1)</f>
        <v>C001</v>
      </c>
      <c r="C386" t="str" cm="1">
        <f t="array" ref="C386">INDEX(tblDemandAssumptions[Product_ID],MOD(ROW()-2,20)+1)</f>
        <v>P005</v>
      </c>
      <c r="D386" cm="1">
        <f t="array" ref="D386">INDEX(tblDemandAssumptions[Baseline_Weekly_Qty],MOD(ROW()-2,20)+1)</f>
        <v>2800</v>
      </c>
      <c r="E386">
        <f t="shared" ref="E386:E449" si="48">IF(MONTH(A386)&lt;=2,0.95,IF(MONTH(A386)&lt;=4,1,IF(MONTH(A386)&lt;=6,1.05,IF(MONTH(A386)&lt;=8,1.1,IF(MONTH(A386)&lt;=10,1,IF(MONTH(A386)=11,1.05,1.2))))))</f>
        <v>1.05</v>
      </c>
      <c r="F386">
        <v>0.95</v>
      </c>
      <c r="G386">
        <f t="shared" ref="G386:G449" si="49">ROUND(D386*E386*F386,0)</f>
        <v>2793</v>
      </c>
      <c r="H386">
        <v>0.99</v>
      </c>
      <c r="I386">
        <f t="shared" ref="I386:I449" si="50">ROUND(D386*E386*H386,0)</f>
        <v>2911</v>
      </c>
      <c r="J386" t="str">
        <f t="shared" ref="J386:J449" si="51">IF(AND(A386=DATE(2026,3,16),B386="C001",C386="P001"),"Promotion_Demand_Spike",IF(AND(A386=DATE(2026,6,8),B386="C002",C386="P004"),"Under_Forecast",IF(AND(A386=DATE(2026,7,20),B386="C003",C386="P003"),"Over_Forecast","Normal")))</f>
        <v>Normal</v>
      </c>
      <c r="K386">
        <f t="shared" ref="K386:K449" si="52">IF(J386="Promotion_Demand_Spike",ROUND(G386*1.35,0),IF(J386="Under_Forecast",ROUND(I386*1.25,0),IF(J386="Over_Forecast",ROUND(I386*0.72,0),G386)))</f>
        <v>2793</v>
      </c>
      <c r="L386">
        <f t="shared" ref="L386:L449" si="53">K386-I386</f>
        <v>-118</v>
      </c>
      <c r="M386" s="2">
        <f t="shared" ref="M386:M449" si="54">IF(I386=0,0,L386/I386)</f>
        <v>-4.0535898316729643E-2</v>
      </c>
      <c r="N386">
        <f t="shared" ref="N386:N449" si="55">ABS(L386)</f>
        <v>118</v>
      </c>
    </row>
    <row r="387" spans="1:14">
      <c r="A387" s="1" cm="1">
        <f t="array" ref="A387">INDEX(tblWeeks[Week_Start],INT((ROW()-2)/20)+1)</f>
        <v>46160</v>
      </c>
      <c r="B387" t="str" cm="1">
        <f t="array" ref="B387">INDEX(tblDemandAssumptions[Customer_ID],MOD(ROW()-2,20)+1)</f>
        <v>C002</v>
      </c>
      <c r="C387" t="str" cm="1">
        <f t="array" ref="C387">INDEX(tblDemandAssumptions[Product_ID],MOD(ROW()-2,20)+1)</f>
        <v>P001</v>
      </c>
      <c r="D387" cm="1">
        <f t="array" ref="D387">INDEX(tblDemandAssumptions[Baseline_Weekly_Qty],MOD(ROW()-2,20)+1)</f>
        <v>3400</v>
      </c>
      <c r="E387">
        <f t="shared" si="48"/>
        <v>1.05</v>
      </c>
      <c r="F387">
        <v>1.03</v>
      </c>
      <c r="G387">
        <f t="shared" si="49"/>
        <v>3677</v>
      </c>
      <c r="H387">
        <v>0.99</v>
      </c>
      <c r="I387">
        <f t="shared" si="50"/>
        <v>3534</v>
      </c>
      <c r="J387" t="str">
        <f t="shared" si="51"/>
        <v>Normal</v>
      </c>
      <c r="K387">
        <f t="shared" si="52"/>
        <v>3677</v>
      </c>
      <c r="L387">
        <f t="shared" si="53"/>
        <v>143</v>
      </c>
      <c r="M387" s="2">
        <f t="shared" si="54"/>
        <v>4.046406338426712E-2</v>
      </c>
      <c r="N387">
        <f t="shared" si="55"/>
        <v>143</v>
      </c>
    </row>
    <row r="388" spans="1:14">
      <c r="A388" s="1" cm="1">
        <f t="array" ref="A388">INDEX(tblWeeks[Week_Start],INT((ROW()-2)/20)+1)</f>
        <v>46160</v>
      </c>
      <c r="B388" t="str" cm="1">
        <f t="array" ref="B388">INDEX(tblDemandAssumptions[Customer_ID],MOD(ROW()-2,20)+1)</f>
        <v>C002</v>
      </c>
      <c r="C388" t="str" cm="1">
        <f t="array" ref="C388">INDEX(tblDemandAssumptions[Product_ID],MOD(ROW()-2,20)+1)</f>
        <v>P002</v>
      </c>
      <c r="D388" cm="1">
        <f t="array" ref="D388">INDEX(tblDemandAssumptions[Baseline_Weekly_Qty],MOD(ROW()-2,20)+1)</f>
        <v>3200</v>
      </c>
      <c r="E388">
        <f t="shared" si="48"/>
        <v>1.05</v>
      </c>
      <c r="F388">
        <v>1.02</v>
      </c>
      <c r="G388">
        <f t="shared" si="49"/>
        <v>3427</v>
      </c>
      <c r="H388">
        <v>1</v>
      </c>
      <c r="I388">
        <f t="shared" si="50"/>
        <v>3360</v>
      </c>
      <c r="J388" t="str">
        <f t="shared" si="51"/>
        <v>Normal</v>
      </c>
      <c r="K388">
        <f t="shared" si="52"/>
        <v>3427</v>
      </c>
      <c r="L388">
        <f t="shared" si="53"/>
        <v>67</v>
      </c>
      <c r="M388" s="2">
        <f t="shared" si="54"/>
        <v>1.9940476190476189E-2</v>
      </c>
      <c r="N388">
        <f t="shared" si="55"/>
        <v>67</v>
      </c>
    </row>
    <row r="389" spans="1:14">
      <c r="A389" s="1" cm="1">
        <f t="array" ref="A389">INDEX(tblWeeks[Week_Start],INT((ROW()-2)/20)+1)</f>
        <v>46160</v>
      </c>
      <c r="B389" t="str" cm="1">
        <f t="array" ref="B389">INDEX(tblDemandAssumptions[Customer_ID],MOD(ROW()-2,20)+1)</f>
        <v>C002</v>
      </c>
      <c r="C389" t="str" cm="1">
        <f t="array" ref="C389">INDEX(tblDemandAssumptions[Product_ID],MOD(ROW()-2,20)+1)</f>
        <v>P003</v>
      </c>
      <c r="D389" cm="1">
        <f t="array" ref="D389">INDEX(tblDemandAssumptions[Baseline_Weekly_Qty],MOD(ROW()-2,20)+1)</f>
        <v>2600</v>
      </c>
      <c r="E389">
        <f t="shared" si="48"/>
        <v>1.05</v>
      </c>
      <c r="F389">
        <v>1.05</v>
      </c>
      <c r="G389">
        <f t="shared" si="49"/>
        <v>2867</v>
      </c>
      <c r="H389">
        <v>1.04</v>
      </c>
      <c r="I389">
        <f t="shared" si="50"/>
        <v>2839</v>
      </c>
      <c r="J389" t="str">
        <f t="shared" si="51"/>
        <v>Normal</v>
      </c>
      <c r="K389">
        <f t="shared" si="52"/>
        <v>2867</v>
      </c>
      <c r="L389">
        <f t="shared" si="53"/>
        <v>28</v>
      </c>
      <c r="M389" s="2">
        <f t="shared" si="54"/>
        <v>9.8626276858048614E-3</v>
      </c>
      <c r="N389">
        <f t="shared" si="55"/>
        <v>28</v>
      </c>
    </row>
    <row r="390" spans="1:14">
      <c r="A390" s="1" cm="1">
        <f t="array" ref="A390">INDEX(tblWeeks[Week_Start],INT((ROW()-2)/20)+1)</f>
        <v>46160</v>
      </c>
      <c r="B390" t="str" cm="1">
        <f t="array" ref="B390">INDEX(tblDemandAssumptions[Customer_ID],MOD(ROW()-2,20)+1)</f>
        <v>C002</v>
      </c>
      <c r="C390" t="str" cm="1">
        <f t="array" ref="C390">INDEX(tblDemandAssumptions[Product_ID],MOD(ROW()-2,20)+1)</f>
        <v>P004</v>
      </c>
      <c r="D390" cm="1">
        <f t="array" ref="D390">INDEX(tblDemandAssumptions[Baseline_Weekly_Qty],MOD(ROW()-2,20)+1)</f>
        <v>2900</v>
      </c>
      <c r="E390">
        <f t="shared" si="48"/>
        <v>1.05</v>
      </c>
      <c r="F390">
        <v>1</v>
      </c>
      <c r="G390">
        <f t="shared" si="49"/>
        <v>3045</v>
      </c>
      <c r="H390">
        <v>0.96</v>
      </c>
      <c r="I390">
        <f t="shared" si="50"/>
        <v>2923</v>
      </c>
      <c r="J390" t="str">
        <f t="shared" si="51"/>
        <v>Normal</v>
      </c>
      <c r="K390">
        <f t="shared" si="52"/>
        <v>3045</v>
      </c>
      <c r="L390">
        <f t="shared" si="53"/>
        <v>122</v>
      </c>
      <c r="M390" s="2">
        <f t="shared" si="54"/>
        <v>4.1737940472117686E-2</v>
      </c>
      <c r="N390">
        <f t="shared" si="55"/>
        <v>122</v>
      </c>
    </row>
    <row r="391" spans="1:14">
      <c r="A391" s="1" cm="1">
        <f t="array" ref="A391">INDEX(tblWeeks[Week_Start],INT((ROW()-2)/20)+1)</f>
        <v>46160</v>
      </c>
      <c r="B391" t="str" cm="1">
        <f t="array" ref="B391">INDEX(tblDemandAssumptions[Customer_ID],MOD(ROW()-2,20)+1)</f>
        <v>C002</v>
      </c>
      <c r="C391" t="str" cm="1">
        <f t="array" ref="C391">INDEX(tblDemandAssumptions[Product_ID],MOD(ROW()-2,20)+1)</f>
        <v>P005</v>
      </c>
      <c r="D391" cm="1">
        <f t="array" ref="D391">INDEX(tblDemandAssumptions[Baseline_Weekly_Qty],MOD(ROW()-2,20)+1)</f>
        <v>2200</v>
      </c>
      <c r="E391">
        <f t="shared" si="48"/>
        <v>1.05</v>
      </c>
      <c r="F391">
        <v>0.99</v>
      </c>
      <c r="G391">
        <f t="shared" si="49"/>
        <v>2287</v>
      </c>
      <c r="H391">
        <v>1.03</v>
      </c>
      <c r="I391">
        <f t="shared" si="50"/>
        <v>2379</v>
      </c>
      <c r="J391" t="str">
        <f t="shared" si="51"/>
        <v>Normal</v>
      </c>
      <c r="K391">
        <f t="shared" si="52"/>
        <v>2287</v>
      </c>
      <c r="L391">
        <f t="shared" si="53"/>
        <v>-92</v>
      </c>
      <c r="M391" s="2">
        <f t="shared" si="54"/>
        <v>-3.8671710802858347E-2</v>
      </c>
      <c r="N391">
        <f t="shared" si="55"/>
        <v>92</v>
      </c>
    </row>
    <row r="392" spans="1:14">
      <c r="A392" s="1" cm="1">
        <f t="array" ref="A392">INDEX(tblWeeks[Week_Start],INT((ROW()-2)/20)+1)</f>
        <v>46160</v>
      </c>
      <c r="B392" t="str" cm="1">
        <f t="array" ref="B392">INDEX(tblDemandAssumptions[Customer_ID],MOD(ROW()-2,20)+1)</f>
        <v>C003</v>
      </c>
      <c r="C392" t="str" cm="1">
        <f t="array" ref="C392">INDEX(tblDemandAssumptions[Product_ID],MOD(ROW()-2,20)+1)</f>
        <v>P001</v>
      </c>
      <c r="D392" cm="1">
        <f t="array" ref="D392">INDEX(tblDemandAssumptions[Baseline_Weekly_Qty],MOD(ROW()-2,20)+1)</f>
        <v>3000</v>
      </c>
      <c r="E392">
        <f t="shared" si="48"/>
        <v>1.05</v>
      </c>
      <c r="F392">
        <v>1</v>
      </c>
      <c r="G392">
        <f t="shared" si="49"/>
        <v>3150</v>
      </c>
      <c r="H392">
        <v>0.99</v>
      </c>
      <c r="I392">
        <f t="shared" si="50"/>
        <v>3119</v>
      </c>
      <c r="J392" t="str">
        <f t="shared" si="51"/>
        <v>Normal</v>
      </c>
      <c r="K392">
        <f t="shared" si="52"/>
        <v>3150</v>
      </c>
      <c r="L392">
        <f t="shared" si="53"/>
        <v>31</v>
      </c>
      <c r="M392" s="2">
        <f t="shared" si="54"/>
        <v>9.9390830394357164E-3</v>
      </c>
      <c r="N392">
        <f t="shared" si="55"/>
        <v>31</v>
      </c>
    </row>
    <row r="393" spans="1:14">
      <c r="A393" s="1" cm="1">
        <f t="array" ref="A393">INDEX(tblWeeks[Week_Start],INT((ROW()-2)/20)+1)</f>
        <v>46160</v>
      </c>
      <c r="B393" t="str" cm="1">
        <f t="array" ref="B393">INDEX(tblDemandAssumptions[Customer_ID],MOD(ROW()-2,20)+1)</f>
        <v>C003</v>
      </c>
      <c r="C393" t="str" cm="1">
        <f t="array" ref="C393">INDEX(tblDemandAssumptions[Product_ID],MOD(ROW()-2,20)+1)</f>
        <v>P002</v>
      </c>
      <c r="D393" cm="1">
        <f t="array" ref="D393">INDEX(tblDemandAssumptions[Baseline_Weekly_Qty],MOD(ROW()-2,20)+1)</f>
        <v>2700</v>
      </c>
      <c r="E393">
        <f t="shared" si="48"/>
        <v>1.05</v>
      </c>
      <c r="F393">
        <v>1.02</v>
      </c>
      <c r="G393">
        <f t="shared" si="49"/>
        <v>2892</v>
      </c>
      <c r="H393">
        <v>1</v>
      </c>
      <c r="I393">
        <f t="shared" si="50"/>
        <v>2835</v>
      </c>
      <c r="J393" t="str">
        <f t="shared" si="51"/>
        <v>Normal</v>
      </c>
      <c r="K393">
        <f t="shared" si="52"/>
        <v>2892</v>
      </c>
      <c r="L393">
        <f t="shared" si="53"/>
        <v>57</v>
      </c>
      <c r="M393" s="2">
        <f t="shared" si="54"/>
        <v>2.0105820105820106E-2</v>
      </c>
      <c r="N393">
        <f t="shared" si="55"/>
        <v>57</v>
      </c>
    </row>
    <row r="394" spans="1:14">
      <c r="A394" s="1" cm="1">
        <f t="array" ref="A394">INDEX(tblWeeks[Week_Start],INT((ROW()-2)/20)+1)</f>
        <v>46160</v>
      </c>
      <c r="B394" t="str" cm="1">
        <f t="array" ref="B394">INDEX(tblDemandAssumptions[Customer_ID],MOD(ROW()-2,20)+1)</f>
        <v>C003</v>
      </c>
      <c r="C394" t="str" cm="1">
        <f t="array" ref="C394">INDEX(tblDemandAssumptions[Product_ID],MOD(ROW()-2,20)+1)</f>
        <v>P003</v>
      </c>
      <c r="D394" cm="1">
        <f t="array" ref="D394">INDEX(tblDemandAssumptions[Baseline_Weekly_Qty],MOD(ROW()-2,20)+1)</f>
        <v>2800</v>
      </c>
      <c r="E394">
        <f t="shared" si="48"/>
        <v>1.05</v>
      </c>
      <c r="F394">
        <v>0.99</v>
      </c>
      <c r="G394">
        <f t="shared" si="49"/>
        <v>2911</v>
      </c>
      <c r="H394">
        <v>1.04</v>
      </c>
      <c r="I394">
        <f t="shared" si="50"/>
        <v>3058</v>
      </c>
      <c r="J394" t="str">
        <f t="shared" si="51"/>
        <v>Normal</v>
      </c>
      <c r="K394">
        <f t="shared" si="52"/>
        <v>2911</v>
      </c>
      <c r="L394">
        <f t="shared" si="53"/>
        <v>-147</v>
      </c>
      <c r="M394" s="2">
        <f t="shared" si="54"/>
        <v>-4.8070634401569654E-2</v>
      </c>
      <c r="N394">
        <f t="shared" si="55"/>
        <v>147</v>
      </c>
    </row>
    <row r="395" spans="1:14">
      <c r="A395" s="1" cm="1">
        <f t="array" ref="A395">INDEX(tblWeeks[Week_Start],INT((ROW()-2)/20)+1)</f>
        <v>46160</v>
      </c>
      <c r="B395" t="str" cm="1">
        <f t="array" ref="B395">INDEX(tblDemandAssumptions[Customer_ID],MOD(ROW()-2,20)+1)</f>
        <v>C003</v>
      </c>
      <c r="C395" t="str" cm="1">
        <f t="array" ref="C395">INDEX(tblDemandAssumptions[Product_ID],MOD(ROW()-2,20)+1)</f>
        <v>P004</v>
      </c>
      <c r="D395" cm="1">
        <f t="array" ref="D395">INDEX(tblDemandAssumptions[Baseline_Weekly_Qty],MOD(ROW()-2,20)+1)</f>
        <v>2400</v>
      </c>
      <c r="E395">
        <f t="shared" si="48"/>
        <v>1.05</v>
      </c>
      <c r="F395">
        <v>1.01</v>
      </c>
      <c r="G395">
        <f t="shared" si="49"/>
        <v>2545</v>
      </c>
      <c r="H395">
        <v>1.03</v>
      </c>
      <c r="I395">
        <f t="shared" si="50"/>
        <v>2596</v>
      </c>
      <c r="J395" t="str">
        <f t="shared" si="51"/>
        <v>Normal</v>
      </c>
      <c r="K395">
        <f t="shared" si="52"/>
        <v>2545</v>
      </c>
      <c r="L395">
        <f t="shared" si="53"/>
        <v>-51</v>
      </c>
      <c r="M395" s="2">
        <f t="shared" si="54"/>
        <v>-1.9645608628659477E-2</v>
      </c>
      <c r="N395">
        <f t="shared" si="55"/>
        <v>51</v>
      </c>
    </row>
    <row r="396" spans="1:14">
      <c r="A396" s="1" cm="1">
        <f t="array" ref="A396">INDEX(tblWeeks[Week_Start],INT((ROW()-2)/20)+1)</f>
        <v>46160</v>
      </c>
      <c r="B396" t="str" cm="1">
        <f t="array" ref="B396">INDEX(tblDemandAssumptions[Customer_ID],MOD(ROW()-2,20)+1)</f>
        <v>C003</v>
      </c>
      <c r="C396" t="str" cm="1">
        <f t="array" ref="C396">INDEX(tblDemandAssumptions[Product_ID],MOD(ROW()-2,20)+1)</f>
        <v>P005</v>
      </c>
      <c r="D396" cm="1">
        <f t="array" ref="D396">INDEX(tblDemandAssumptions[Baseline_Weekly_Qty],MOD(ROW()-2,20)+1)</f>
        <v>1900</v>
      </c>
      <c r="E396">
        <f t="shared" si="48"/>
        <v>1.05</v>
      </c>
      <c r="F396">
        <v>1.02</v>
      </c>
      <c r="G396">
        <f t="shared" si="49"/>
        <v>2035</v>
      </c>
      <c r="H396">
        <v>0.97</v>
      </c>
      <c r="I396">
        <f t="shared" si="50"/>
        <v>1935</v>
      </c>
      <c r="J396" t="str">
        <f t="shared" si="51"/>
        <v>Normal</v>
      </c>
      <c r="K396">
        <f t="shared" si="52"/>
        <v>2035</v>
      </c>
      <c r="L396">
        <f t="shared" si="53"/>
        <v>100</v>
      </c>
      <c r="M396" s="2">
        <f t="shared" si="54"/>
        <v>5.1679586563307491E-2</v>
      </c>
      <c r="N396">
        <f t="shared" si="55"/>
        <v>100</v>
      </c>
    </row>
    <row r="397" spans="1:14">
      <c r="A397" s="1" cm="1">
        <f t="array" ref="A397">INDEX(tblWeeks[Week_Start],INT((ROW()-2)/20)+1)</f>
        <v>46160</v>
      </c>
      <c r="B397" t="str" cm="1">
        <f t="array" ref="B397">INDEX(tblDemandAssumptions[Customer_ID],MOD(ROW()-2,20)+1)</f>
        <v>C004</v>
      </c>
      <c r="C397" t="str" cm="1">
        <f t="array" ref="C397">INDEX(tblDemandAssumptions[Product_ID],MOD(ROW()-2,20)+1)</f>
        <v>P001</v>
      </c>
      <c r="D397" cm="1">
        <f t="array" ref="D397">INDEX(tblDemandAssumptions[Baseline_Weekly_Qty],MOD(ROW()-2,20)+1)</f>
        <v>2700</v>
      </c>
      <c r="E397">
        <f t="shared" si="48"/>
        <v>1.05</v>
      </c>
      <c r="F397">
        <v>1.05</v>
      </c>
      <c r="G397">
        <f t="shared" si="49"/>
        <v>2977</v>
      </c>
      <c r="H397">
        <v>1.03</v>
      </c>
      <c r="I397">
        <f t="shared" si="50"/>
        <v>2920</v>
      </c>
      <c r="J397" t="str">
        <f t="shared" si="51"/>
        <v>Normal</v>
      </c>
      <c r="K397">
        <f t="shared" si="52"/>
        <v>2977</v>
      </c>
      <c r="L397">
        <f t="shared" si="53"/>
        <v>57</v>
      </c>
      <c r="M397" s="2">
        <f t="shared" si="54"/>
        <v>1.9520547945205479E-2</v>
      </c>
      <c r="N397">
        <f t="shared" si="55"/>
        <v>57</v>
      </c>
    </row>
    <row r="398" spans="1:14">
      <c r="A398" s="1" cm="1">
        <f t="array" ref="A398">INDEX(tblWeeks[Week_Start],INT((ROW()-2)/20)+1)</f>
        <v>46160</v>
      </c>
      <c r="B398" t="str" cm="1">
        <f t="array" ref="B398">INDEX(tblDemandAssumptions[Customer_ID],MOD(ROW()-2,20)+1)</f>
        <v>C004</v>
      </c>
      <c r="C398" t="str" cm="1">
        <f t="array" ref="C398">INDEX(tblDemandAssumptions[Product_ID],MOD(ROW()-2,20)+1)</f>
        <v>P002</v>
      </c>
      <c r="D398" cm="1">
        <f t="array" ref="D398">INDEX(tblDemandAssumptions[Baseline_Weekly_Qty],MOD(ROW()-2,20)+1)</f>
        <v>2400</v>
      </c>
      <c r="E398">
        <f t="shared" si="48"/>
        <v>1.05</v>
      </c>
      <c r="F398">
        <v>1.05</v>
      </c>
      <c r="G398">
        <f t="shared" si="49"/>
        <v>2646</v>
      </c>
      <c r="H398">
        <v>1.04</v>
      </c>
      <c r="I398">
        <f t="shared" si="50"/>
        <v>2621</v>
      </c>
      <c r="J398" t="str">
        <f t="shared" si="51"/>
        <v>Normal</v>
      </c>
      <c r="K398">
        <f t="shared" si="52"/>
        <v>2646</v>
      </c>
      <c r="L398">
        <f t="shared" si="53"/>
        <v>25</v>
      </c>
      <c r="M398" s="2">
        <f t="shared" si="54"/>
        <v>9.5383441434566951E-3</v>
      </c>
      <c r="N398">
        <f t="shared" si="55"/>
        <v>25</v>
      </c>
    </row>
    <row r="399" spans="1:14">
      <c r="A399" s="1" cm="1">
        <f t="array" ref="A399">INDEX(tblWeeks[Week_Start],INT((ROW()-2)/20)+1)</f>
        <v>46160</v>
      </c>
      <c r="B399" t="str" cm="1">
        <f t="array" ref="B399">INDEX(tblDemandAssumptions[Customer_ID],MOD(ROW()-2,20)+1)</f>
        <v>C004</v>
      </c>
      <c r="C399" t="str" cm="1">
        <f t="array" ref="C399">INDEX(tblDemandAssumptions[Product_ID],MOD(ROW()-2,20)+1)</f>
        <v>P003</v>
      </c>
      <c r="D399" cm="1">
        <f t="array" ref="D399">INDEX(tblDemandAssumptions[Baseline_Weekly_Qty],MOD(ROW()-2,20)+1)</f>
        <v>2100</v>
      </c>
      <c r="E399">
        <f t="shared" si="48"/>
        <v>1.05</v>
      </c>
      <c r="F399">
        <v>1.04</v>
      </c>
      <c r="G399">
        <f t="shared" si="49"/>
        <v>2293</v>
      </c>
      <c r="H399">
        <v>0.98</v>
      </c>
      <c r="I399">
        <f t="shared" si="50"/>
        <v>2161</v>
      </c>
      <c r="J399" t="str">
        <f t="shared" si="51"/>
        <v>Normal</v>
      </c>
      <c r="K399">
        <f t="shared" si="52"/>
        <v>2293</v>
      </c>
      <c r="L399">
        <f t="shared" si="53"/>
        <v>132</v>
      </c>
      <c r="M399" s="2">
        <f t="shared" si="54"/>
        <v>6.1082832022211937E-2</v>
      </c>
      <c r="N399">
        <f t="shared" si="55"/>
        <v>132</v>
      </c>
    </row>
    <row r="400" spans="1:14">
      <c r="A400" s="1" cm="1">
        <f t="array" ref="A400">INDEX(tblWeeks[Week_Start],INT((ROW()-2)/20)+1)</f>
        <v>46160</v>
      </c>
      <c r="B400" t="str" cm="1">
        <f t="array" ref="B400">INDEX(tblDemandAssumptions[Customer_ID],MOD(ROW()-2,20)+1)</f>
        <v>C004</v>
      </c>
      <c r="C400" t="str" cm="1">
        <f t="array" ref="C400">INDEX(tblDemandAssumptions[Product_ID],MOD(ROW()-2,20)+1)</f>
        <v>P004</v>
      </c>
      <c r="D400" cm="1">
        <f t="array" ref="D400">INDEX(tblDemandAssumptions[Baseline_Weekly_Qty],MOD(ROW()-2,20)+1)</f>
        <v>2600</v>
      </c>
      <c r="E400">
        <f t="shared" si="48"/>
        <v>1.05</v>
      </c>
      <c r="F400">
        <v>1.01</v>
      </c>
      <c r="G400">
        <f t="shared" si="49"/>
        <v>2757</v>
      </c>
      <c r="H400">
        <v>1.01</v>
      </c>
      <c r="I400">
        <f t="shared" si="50"/>
        <v>2757</v>
      </c>
      <c r="J400" t="str">
        <f t="shared" si="51"/>
        <v>Normal</v>
      </c>
      <c r="K400">
        <f t="shared" si="52"/>
        <v>2757</v>
      </c>
      <c r="L400">
        <f t="shared" si="53"/>
        <v>0</v>
      </c>
      <c r="M400" s="2">
        <f t="shared" si="54"/>
        <v>0</v>
      </c>
      <c r="N400">
        <f t="shared" si="55"/>
        <v>0</v>
      </c>
    </row>
    <row r="401" spans="1:14">
      <c r="A401" s="1" cm="1">
        <f t="array" ref="A401">INDEX(tblWeeks[Week_Start],INT((ROW()-2)/20)+1)</f>
        <v>46160</v>
      </c>
      <c r="B401" t="str" cm="1">
        <f t="array" ref="B401">INDEX(tblDemandAssumptions[Customer_ID],MOD(ROW()-2,20)+1)</f>
        <v>C004</v>
      </c>
      <c r="C401" t="str" cm="1">
        <f t="array" ref="C401">INDEX(tblDemandAssumptions[Product_ID],MOD(ROW()-2,20)+1)</f>
        <v>P005</v>
      </c>
      <c r="D401" cm="1">
        <f t="array" ref="D401">INDEX(tblDemandAssumptions[Baseline_Weekly_Qty],MOD(ROW()-2,20)+1)</f>
        <v>1800</v>
      </c>
      <c r="E401">
        <f t="shared" si="48"/>
        <v>1.05</v>
      </c>
      <c r="F401">
        <v>1</v>
      </c>
      <c r="G401">
        <f t="shared" si="49"/>
        <v>1890</v>
      </c>
      <c r="H401">
        <v>0.96</v>
      </c>
      <c r="I401">
        <f t="shared" si="50"/>
        <v>1814</v>
      </c>
      <c r="J401" t="str">
        <f t="shared" si="51"/>
        <v>Normal</v>
      </c>
      <c r="K401">
        <f t="shared" si="52"/>
        <v>1890</v>
      </c>
      <c r="L401">
        <f t="shared" si="53"/>
        <v>76</v>
      </c>
      <c r="M401" s="2">
        <f t="shared" si="54"/>
        <v>4.1896361631753032E-2</v>
      </c>
      <c r="N401">
        <f t="shared" si="55"/>
        <v>76</v>
      </c>
    </row>
    <row r="402" spans="1:14">
      <c r="A402" s="1" cm="1">
        <f t="array" ref="A402">INDEX(tblWeeks[Week_Start],INT((ROW()-2)/20)+1)</f>
        <v>46167</v>
      </c>
      <c r="B402" t="str" cm="1">
        <f t="array" ref="B402">INDEX(tblDemandAssumptions[Customer_ID],MOD(ROW()-2,20)+1)</f>
        <v>C001</v>
      </c>
      <c r="C402" t="str" cm="1">
        <f t="array" ref="C402">INDEX(tblDemandAssumptions[Product_ID],MOD(ROW()-2,20)+1)</f>
        <v>P001</v>
      </c>
      <c r="D402" cm="1">
        <f t="array" ref="D402">INDEX(tblDemandAssumptions[Baseline_Weekly_Qty],MOD(ROW()-2,20)+1)</f>
        <v>5200</v>
      </c>
      <c r="E402">
        <f t="shared" si="48"/>
        <v>1.05</v>
      </c>
      <c r="F402">
        <v>1.01</v>
      </c>
      <c r="G402">
        <f t="shared" si="49"/>
        <v>5515</v>
      </c>
      <c r="H402">
        <v>1.02</v>
      </c>
      <c r="I402">
        <f t="shared" si="50"/>
        <v>5569</v>
      </c>
      <c r="J402" t="str">
        <f t="shared" si="51"/>
        <v>Normal</v>
      </c>
      <c r="K402">
        <f t="shared" si="52"/>
        <v>5515</v>
      </c>
      <c r="L402">
        <f t="shared" si="53"/>
        <v>-54</v>
      </c>
      <c r="M402" s="2">
        <f t="shared" si="54"/>
        <v>-9.696534386783983E-3</v>
      </c>
      <c r="N402">
        <f t="shared" si="55"/>
        <v>54</v>
      </c>
    </row>
    <row r="403" spans="1:14">
      <c r="A403" s="1" cm="1">
        <f t="array" ref="A403">INDEX(tblWeeks[Week_Start],INT((ROW()-2)/20)+1)</f>
        <v>46167</v>
      </c>
      <c r="B403" t="str" cm="1">
        <f t="array" ref="B403">INDEX(tblDemandAssumptions[Customer_ID],MOD(ROW()-2,20)+1)</f>
        <v>C001</v>
      </c>
      <c r="C403" t="str" cm="1">
        <f t="array" ref="C403">INDEX(tblDemandAssumptions[Product_ID],MOD(ROW()-2,20)+1)</f>
        <v>P002</v>
      </c>
      <c r="D403" cm="1">
        <f t="array" ref="D403">INDEX(tblDemandAssumptions[Baseline_Weekly_Qty],MOD(ROW()-2,20)+1)</f>
        <v>4100</v>
      </c>
      <c r="E403">
        <f t="shared" si="48"/>
        <v>1.05</v>
      </c>
      <c r="F403">
        <v>0.99</v>
      </c>
      <c r="G403">
        <f t="shared" si="49"/>
        <v>4262</v>
      </c>
      <c r="H403">
        <v>1</v>
      </c>
      <c r="I403">
        <f t="shared" si="50"/>
        <v>4305</v>
      </c>
      <c r="J403" t="str">
        <f t="shared" si="51"/>
        <v>Normal</v>
      </c>
      <c r="K403">
        <f t="shared" si="52"/>
        <v>4262</v>
      </c>
      <c r="L403">
        <f t="shared" si="53"/>
        <v>-43</v>
      </c>
      <c r="M403" s="2">
        <f t="shared" si="54"/>
        <v>-9.9883855981416966E-3</v>
      </c>
      <c r="N403">
        <f t="shared" si="55"/>
        <v>43</v>
      </c>
    </row>
    <row r="404" spans="1:14">
      <c r="A404" s="1" cm="1">
        <f t="array" ref="A404">INDEX(tblWeeks[Week_Start],INT((ROW()-2)/20)+1)</f>
        <v>46167</v>
      </c>
      <c r="B404" t="str" cm="1">
        <f t="array" ref="B404">INDEX(tblDemandAssumptions[Customer_ID],MOD(ROW()-2,20)+1)</f>
        <v>C001</v>
      </c>
      <c r="C404" t="str" cm="1">
        <f t="array" ref="C404">INDEX(tblDemandAssumptions[Product_ID],MOD(ROW()-2,20)+1)</f>
        <v>P003</v>
      </c>
      <c r="D404" cm="1">
        <f t="array" ref="D404">INDEX(tblDemandAssumptions[Baseline_Weekly_Qty],MOD(ROW()-2,20)+1)</f>
        <v>3300</v>
      </c>
      <c r="E404">
        <f t="shared" si="48"/>
        <v>1.05</v>
      </c>
      <c r="F404">
        <v>1.03</v>
      </c>
      <c r="G404">
        <f t="shared" si="49"/>
        <v>3569</v>
      </c>
      <c r="H404">
        <v>0.99</v>
      </c>
      <c r="I404">
        <f t="shared" si="50"/>
        <v>3430</v>
      </c>
      <c r="J404" t="str">
        <f t="shared" si="51"/>
        <v>Normal</v>
      </c>
      <c r="K404">
        <f t="shared" si="52"/>
        <v>3569</v>
      </c>
      <c r="L404">
        <f t="shared" si="53"/>
        <v>139</v>
      </c>
      <c r="M404" s="2">
        <f t="shared" si="54"/>
        <v>4.0524781341107874E-2</v>
      </c>
      <c r="N404">
        <f t="shared" si="55"/>
        <v>139</v>
      </c>
    </row>
    <row r="405" spans="1:14">
      <c r="A405" s="1" cm="1">
        <f t="array" ref="A405">INDEX(tblWeeks[Week_Start],INT((ROW()-2)/20)+1)</f>
        <v>46167</v>
      </c>
      <c r="B405" t="str" cm="1">
        <f t="array" ref="B405">INDEX(tblDemandAssumptions[Customer_ID],MOD(ROW()-2,20)+1)</f>
        <v>C001</v>
      </c>
      <c r="C405" t="str" cm="1">
        <f t="array" ref="C405">INDEX(tblDemandAssumptions[Product_ID],MOD(ROW()-2,20)+1)</f>
        <v>P004</v>
      </c>
      <c r="D405" cm="1">
        <f t="array" ref="D405">INDEX(tblDemandAssumptions[Baseline_Weekly_Qty],MOD(ROW()-2,20)+1)</f>
        <v>3600</v>
      </c>
      <c r="E405">
        <f t="shared" si="48"/>
        <v>1.05</v>
      </c>
      <c r="F405">
        <v>0.97</v>
      </c>
      <c r="G405">
        <f t="shared" si="49"/>
        <v>3667</v>
      </c>
      <c r="H405">
        <v>1.01</v>
      </c>
      <c r="I405">
        <f t="shared" si="50"/>
        <v>3818</v>
      </c>
      <c r="J405" t="str">
        <f t="shared" si="51"/>
        <v>Normal</v>
      </c>
      <c r="K405">
        <f t="shared" si="52"/>
        <v>3667</v>
      </c>
      <c r="L405">
        <f t="shared" si="53"/>
        <v>-151</v>
      </c>
      <c r="M405" s="2">
        <f t="shared" si="54"/>
        <v>-3.9549502357255108E-2</v>
      </c>
      <c r="N405">
        <f t="shared" si="55"/>
        <v>151</v>
      </c>
    </row>
    <row r="406" spans="1:14">
      <c r="A406" s="1" cm="1">
        <f t="array" ref="A406">INDEX(tblWeeks[Week_Start],INT((ROW()-2)/20)+1)</f>
        <v>46167</v>
      </c>
      <c r="B406" t="str" cm="1">
        <f t="array" ref="B406">INDEX(tblDemandAssumptions[Customer_ID],MOD(ROW()-2,20)+1)</f>
        <v>C001</v>
      </c>
      <c r="C406" t="str" cm="1">
        <f t="array" ref="C406">INDEX(tblDemandAssumptions[Product_ID],MOD(ROW()-2,20)+1)</f>
        <v>P005</v>
      </c>
      <c r="D406" cm="1">
        <f t="array" ref="D406">INDEX(tblDemandAssumptions[Baseline_Weekly_Qty],MOD(ROW()-2,20)+1)</f>
        <v>2800</v>
      </c>
      <c r="E406">
        <f t="shared" si="48"/>
        <v>1.05</v>
      </c>
      <c r="F406">
        <v>0.95</v>
      </c>
      <c r="G406">
        <f t="shared" si="49"/>
        <v>2793</v>
      </c>
      <c r="H406">
        <v>0.96</v>
      </c>
      <c r="I406">
        <f t="shared" si="50"/>
        <v>2822</v>
      </c>
      <c r="J406" t="str">
        <f t="shared" si="51"/>
        <v>Normal</v>
      </c>
      <c r="K406">
        <f t="shared" si="52"/>
        <v>2793</v>
      </c>
      <c r="L406">
        <f t="shared" si="53"/>
        <v>-29</v>
      </c>
      <c r="M406" s="2">
        <f t="shared" si="54"/>
        <v>-1.0276399716513111E-2</v>
      </c>
      <c r="N406">
        <f t="shared" si="55"/>
        <v>29</v>
      </c>
    </row>
    <row r="407" spans="1:14">
      <c r="A407" s="1" cm="1">
        <f t="array" ref="A407">INDEX(tblWeeks[Week_Start],INT((ROW()-2)/20)+1)</f>
        <v>46167</v>
      </c>
      <c r="B407" t="str" cm="1">
        <f t="array" ref="B407">INDEX(tblDemandAssumptions[Customer_ID],MOD(ROW()-2,20)+1)</f>
        <v>C002</v>
      </c>
      <c r="C407" t="str" cm="1">
        <f t="array" ref="C407">INDEX(tblDemandAssumptions[Product_ID],MOD(ROW()-2,20)+1)</f>
        <v>P001</v>
      </c>
      <c r="D407" cm="1">
        <f t="array" ref="D407">INDEX(tblDemandAssumptions[Baseline_Weekly_Qty],MOD(ROW()-2,20)+1)</f>
        <v>3400</v>
      </c>
      <c r="E407">
        <f t="shared" si="48"/>
        <v>1.05</v>
      </c>
      <c r="F407">
        <v>0.95</v>
      </c>
      <c r="G407">
        <f t="shared" si="49"/>
        <v>3392</v>
      </c>
      <c r="H407">
        <v>1</v>
      </c>
      <c r="I407">
        <f t="shared" si="50"/>
        <v>3570</v>
      </c>
      <c r="J407" t="str">
        <f t="shared" si="51"/>
        <v>Normal</v>
      </c>
      <c r="K407">
        <f t="shared" si="52"/>
        <v>3392</v>
      </c>
      <c r="L407">
        <f t="shared" si="53"/>
        <v>-178</v>
      </c>
      <c r="M407" s="2">
        <f t="shared" si="54"/>
        <v>-4.985994397759104E-2</v>
      </c>
      <c r="N407">
        <f t="shared" si="55"/>
        <v>178</v>
      </c>
    </row>
    <row r="408" spans="1:14">
      <c r="A408" s="1" cm="1">
        <f t="array" ref="A408">INDEX(tblWeeks[Week_Start],INT((ROW()-2)/20)+1)</f>
        <v>46167</v>
      </c>
      <c r="B408" t="str" cm="1">
        <f t="array" ref="B408">INDEX(tblDemandAssumptions[Customer_ID],MOD(ROW()-2,20)+1)</f>
        <v>C002</v>
      </c>
      <c r="C408" t="str" cm="1">
        <f t="array" ref="C408">INDEX(tblDemandAssumptions[Product_ID],MOD(ROW()-2,20)+1)</f>
        <v>P002</v>
      </c>
      <c r="D408" cm="1">
        <f t="array" ref="D408">INDEX(tblDemandAssumptions[Baseline_Weekly_Qty],MOD(ROW()-2,20)+1)</f>
        <v>3200</v>
      </c>
      <c r="E408">
        <f t="shared" si="48"/>
        <v>1.05</v>
      </c>
      <c r="F408">
        <v>0.98</v>
      </c>
      <c r="G408">
        <f t="shared" si="49"/>
        <v>3293</v>
      </c>
      <c r="H408">
        <v>1</v>
      </c>
      <c r="I408">
        <f t="shared" si="50"/>
        <v>3360</v>
      </c>
      <c r="J408" t="str">
        <f t="shared" si="51"/>
        <v>Normal</v>
      </c>
      <c r="K408">
        <f t="shared" si="52"/>
        <v>3293</v>
      </c>
      <c r="L408">
        <f t="shared" si="53"/>
        <v>-67</v>
      </c>
      <c r="M408" s="2">
        <f t="shared" si="54"/>
        <v>-1.9940476190476189E-2</v>
      </c>
      <c r="N408">
        <f t="shared" si="55"/>
        <v>67</v>
      </c>
    </row>
    <row r="409" spans="1:14">
      <c r="A409" s="1" cm="1">
        <f t="array" ref="A409">INDEX(tblWeeks[Week_Start],INT((ROW()-2)/20)+1)</f>
        <v>46167</v>
      </c>
      <c r="B409" t="str" cm="1">
        <f t="array" ref="B409">INDEX(tblDemandAssumptions[Customer_ID],MOD(ROW()-2,20)+1)</f>
        <v>C002</v>
      </c>
      <c r="C409" t="str" cm="1">
        <f t="array" ref="C409">INDEX(tblDemandAssumptions[Product_ID],MOD(ROW()-2,20)+1)</f>
        <v>P003</v>
      </c>
      <c r="D409" cm="1">
        <f t="array" ref="D409">INDEX(tblDemandAssumptions[Baseline_Weekly_Qty],MOD(ROW()-2,20)+1)</f>
        <v>2600</v>
      </c>
      <c r="E409">
        <f t="shared" si="48"/>
        <v>1.05</v>
      </c>
      <c r="F409">
        <v>1.04</v>
      </c>
      <c r="G409">
        <f t="shared" si="49"/>
        <v>2839</v>
      </c>
      <c r="H409">
        <v>0.98</v>
      </c>
      <c r="I409">
        <f t="shared" si="50"/>
        <v>2675</v>
      </c>
      <c r="J409" t="str">
        <f t="shared" si="51"/>
        <v>Normal</v>
      </c>
      <c r="K409">
        <f t="shared" si="52"/>
        <v>2839</v>
      </c>
      <c r="L409">
        <f t="shared" si="53"/>
        <v>164</v>
      </c>
      <c r="M409" s="2">
        <f t="shared" si="54"/>
        <v>6.1308411214953271E-2</v>
      </c>
      <c r="N409">
        <f t="shared" si="55"/>
        <v>164</v>
      </c>
    </row>
    <row r="410" spans="1:14">
      <c r="A410" s="1" cm="1">
        <f t="array" ref="A410">INDEX(tblWeeks[Week_Start],INT((ROW()-2)/20)+1)</f>
        <v>46167</v>
      </c>
      <c r="B410" t="str" cm="1">
        <f t="array" ref="B410">INDEX(tblDemandAssumptions[Customer_ID],MOD(ROW()-2,20)+1)</f>
        <v>C002</v>
      </c>
      <c r="C410" t="str" cm="1">
        <f t="array" ref="C410">INDEX(tblDemandAssumptions[Product_ID],MOD(ROW()-2,20)+1)</f>
        <v>P004</v>
      </c>
      <c r="D410" cm="1">
        <f t="array" ref="D410">INDEX(tblDemandAssumptions[Baseline_Weekly_Qty],MOD(ROW()-2,20)+1)</f>
        <v>2900</v>
      </c>
      <c r="E410">
        <f t="shared" si="48"/>
        <v>1.05</v>
      </c>
      <c r="F410">
        <v>1.01</v>
      </c>
      <c r="G410">
        <f t="shared" si="49"/>
        <v>3075</v>
      </c>
      <c r="H410">
        <v>1.01</v>
      </c>
      <c r="I410">
        <f t="shared" si="50"/>
        <v>3075</v>
      </c>
      <c r="J410" t="str">
        <f t="shared" si="51"/>
        <v>Normal</v>
      </c>
      <c r="K410">
        <f t="shared" si="52"/>
        <v>3075</v>
      </c>
      <c r="L410">
        <f t="shared" si="53"/>
        <v>0</v>
      </c>
      <c r="M410" s="2">
        <f t="shared" si="54"/>
        <v>0</v>
      </c>
      <c r="N410">
        <f t="shared" si="55"/>
        <v>0</v>
      </c>
    </row>
    <row r="411" spans="1:14">
      <c r="A411" s="1" cm="1">
        <f t="array" ref="A411">INDEX(tblWeeks[Week_Start],INT((ROW()-2)/20)+1)</f>
        <v>46167</v>
      </c>
      <c r="B411" t="str" cm="1">
        <f t="array" ref="B411">INDEX(tblDemandAssumptions[Customer_ID],MOD(ROW()-2,20)+1)</f>
        <v>C002</v>
      </c>
      <c r="C411" t="str" cm="1">
        <f t="array" ref="C411">INDEX(tblDemandAssumptions[Product_ID],MOD(ROW()-2,20)+1)</f>
        <v>P005</v>
      </c>
      <c r="D411" cm="1">
        <f t="array" ref="D411">INDEX(tblDemandAssumptions[Baseline_Weekly_Qty],MOD(ROW()-2,20)+1)</f>
        <v>2200</v>
      </c>
      <c r="E411">
        <f t="shared" si="48"/>
        <v>1.05</v>
      </c>
      <c r="F411">
        <v>0.98</v>
      </c>
      <c r="G411">
        <f t="shared" si="49"/>
        <v>2264</v>
      </c>
      <c r="H411">
        <v>0.98</v>
      </c>
      <c r="I411">
        <f t="shared" si="50"/>
        <v>2264</v>
      </c>
      <c r="J411" t="str">
        <f t="shared" si="51"/>
        <v>Normal</v>
      </c>
      <c r="K411">
        <f t="shared" si="52"/>
        <v>2264</v>
      </c>
      <c r="L411">
        <f t="shared" si="53"/>
        <v>0</v>
      </c>
      <c r="M411" s="2">
        <f t="shared" si="54"/>
        <v>0</v>
      </c>
      <c r="N411">
        <f t="shared" si="55"/>
        <v>0</v>
      </c>
    </row>
    <row r="412" spans="1:14">
      <c r="A412" s="1" cm="1">
        <f t="array" ref="A412">INDEX(tblWeeks[Week_Start],INT((ROW()-2)/20)+1)</f>
        <v>46167</v>
      </c>
      <c r="B412" t="str" cm="1">
        <f t="array" ref="B412">INDEX(tblDemandAssumptions[Customer_ID],MOD(ROW()-2,20)+1)</f>
        <v>C003</v>
      </c>
      <c r="C412" t="str" cm="1">
        <f t="array" ref="C412">INDEX(tblDemandAssumptions[Product_ID],MOD(ROW()-2,20)+1)</f>
        <v>P001</v>
      </c>
      <c r="D412" cm="1">
        <f t="array" ref="D412">INDEX(tblDemandAssumptions[Baseline_Weekly_Qty],MOD(ROW()-2,20)+1)</f>
        <v>3000</v>
      </c>
      <c r="E412">
        <f t="shared" si="48"/>
        <v>1.05</v>
      </c>
      <c r="F412">
        <v>1.05</v>
      </c>
      <c r="G412">
        <f t="shared" si="49"/>
        <v>3308</v>
      </c>
      <c r="H412">
        <v>0.96</v>
      </c>
      <c r="I412">
        <f t="shared" si="50"/>
        <v>3024</v>
      </c>
      <c r="J412" t="str">
        <f t="shared" si="51"/>
        <v>Normal</v>
      </c>
      <c r="K412">
        <f t="shared" si="52"/>
        <v>3308</v>
      </c>
      <c r="L412">
        <f t="shared" si="53"/>
        <v>284</v>
      </c>
      <c r="M412" s="2">
        <f t="shared" si="54"/>
        <v>9.391534391534391E-2</v>
      </c>
      <c r="N412">
        <f t="shared" si="55"/>
        <v>284</v>
      </c>
    </row>
    <row r="413" spans="1:14">
      <c r="A413" s="1" cm="1">
        <f t="array" ref="A413">INDEX(tblWeeks[Week_Start],INT((ROW()-2)/20)+1)</f>
        <v>46167</v>
      </c>
      <c r="B413" t="str" cm="1">
        <f t="array" ref="B413">INDEX(tblDemandAssumptions[Customer_ID],MOD(ROW()-2,20)+1)</f>
        <v>C003</v>
      </c>
      <c r="C413" t="str" cm="1">
        <f t="array" ref="C413">INDEX(tblDemandAssumptions[Product_ID],MOD(ROW()-2,20)+1)</f>
        <v>P002</v>
      </c>
      <c r="D413" cm="1">
        <f t="array" ref="D413">INDEX(tblDemandAssumptions[Baseline_Weekly_Qty],MOD(ROW()-2,20)+1)</f>
        <v>2700</v>
      </c>
      <c r="E413">
        <f t="shared" si="48"/>
        <v>1.05</v>
      </c>
      <c r="F413">
        <v>1.04</v>
      </c>
      <c r="G413">
        <f t="shared" si="49"/>
        <v>2948</v>
      </c>
      <c r="H413">
        <v>1.03</v>
      </c>
      <c r="I413">
        <f t="shared" si="50"/>
        <v>2920</v>
      </c>
      <c r="J413" t="str">
        <f t="shared" si="51"/>
        <v>Normal</v>
      </c>
      <c r="K413">
        <f t="shared" si="52"/>
        <v>2948</v>
      </c>
      <c r="L413">
        <f t="shared" si="53"/>
        <v>28</v>
      </c>
      <c r="M413" s="2">
        <f t="shared" si="54"/>
        <v>9.5890410958904115E-3</v>
      </c>
      <c r="N413">
        <f t="shared" si="55"/>
        <v>28</v>
      </c>
    </row>
    <row r="414" spans="1:14">
      <c r="A414" s="1" cm="1">
        <f t="array" ref="A414">INDEX(tblWeeks[Week_Start],INT((ROW()-2)/20)+1)</f>
        <v>46167</v>
      </c>
      <c r="B414" t="str" cm="1">
        <f t="array" ref="B414">INDEX(tblDemandAssumptions[Customer_ID],MOD(ROW()-2,20)+1)</f>
        <v>C003</v>
      </c>
      <c r="C414" t="str" cm="1">
        <f t="array" ref="C414">INDEX(tblDemandAssumptions[Product_ID],MOD(ROW()-2,20)+1)</f>
        <v>P003</v>
      </c>
      <c r="D414" cm="1">
        <f t="array" ref="D414">INDEX(tblDemandAssumptions[Baseline_Weekly_Qty],MOD(ROW()-2,20)+1)</f>
        <v>2800</v>
      </c>
      <c r="E414">
        <f t="shared" si="48"/>
        <v>1.05</v>
      </c>
      <c r="F414">
        <v>1.05</v>
      </c>
      <c r="G414">
        <f t="shared" si="49"/>
        <v>3087</v>
      </c>
      <c r="H414">
        <v>1.03</v>
      </c>
      <c r="I414">
        <f t="shared" si="50"/>
        <v>3028</v>
      </c>
      <c r="J414" t="str">
        <f t="shared" si="51"/>
        <v>Normal</v>
      </c>
      <c r="K414">
        <f t="shared" si="52"/>
        <v>3087</v>
      </c>
      <c r="L414">
        <f t="shared" si="53"/>
        <v>59</v>
      </c>
      <c r="M414" s="2">
        <f t="shared" si="54"/>
        <v>1.9484808454425365E-2</v>
      </c>
      <c r="N414">
        <f t="shared" si="55"/>
        <v>59</v>
      </c>
    </row>
    <row r="415" spans="1:14">
      <c r="A415" s="1" cm="1">
        <f t="array" ref="A415">INDEX(tblWeeks[Week_Start],INT((ROW()-2)/20)+1)</f>
        <v>46167</v>
      </c>
      <c r="B415" t="str" cm="1">
        <f t="array" ref="B415">INDEX(tblDemandAssumptions[Customer_ID],MOD(ROW()-2,20)+1)</f>
        <v>C003</v>
      </c>
      <c r="C415" t="str" cm="1">
        <f t="array" ref="C415">INDEX(tblDemandAssumptions[Product_ID],MOD(ROW()-2,20)+1)</f>
        <v>P004</v>
      </c>
      <c r="D415" cm="1">
        <f t="array" ref="D415">INDEX(tblDemandAssumptions[Baseline_Weekly_Qty],MOD(ROW()-2,20)+1)</f>
        <v>2400</v>
      </c>
      <c r="E415">
        <f t="shared" si="48"/>
        <v>1.05</v>
      </c>
      <c r="F415">
        <v>1.02</v>
      </c>
      <c r="G415">
        <f t="shared" si="49"/>
        <v>2570</v>
      </c>
      <c r="H415">
        <v>1.01</v>
      </c>
      <c r="I415">
        <f t="shared" si="50"/>
        <v>2545</v>
      </c>
      <c r="J415" t="str">
        <f t="shared" si="51"/>
        <v>Normal</v>
      </c>
      <c r="K415">
        <f t="shared" si="52"/>
        <v>2570</v>
      </c>
      <c r="L415">
        <f t="shared" si="53"/>
        <v>25</v>
      </c>
      <c r="M415" s="2">
        <f t="shared" si="54"/>
        <v>9.823182711198428E-3</v>
      </c>
      <c r="N415">
        <f t="shared" si="55"/>
        <v>25</v>
      </c>
    </row>
    <row r="416" spans="1:14">
      <c r="A416" s="1" cm="1">
        <f t="array" ref="A416">INDEX(tblWeeks[Week_Start],INT((ROW()-2)/20)+1)</f>
        <v>46167</v>
      </c>
      <c r="B416" t="str" cm="1">
        <f t="array" ref="B416">INDEX(tblDemandAssumptions[Customer_ID],MOD(ROW()-2,20)+1)</f>
        <v>C003</v>
      </c>
      <c r="C416" t="str" cm="1">
        <f t="array" ref="C416">INDEX(tblDemandAssumptions[Product_ID],MOD(ROW()-2,20)+1)</f>
        <v>P005</v>
      </c>
      <c r="D416" cm="1">
        <f t="array" ref="D416">INDEX(tblDemandAssumptions[Baseline_Weekly_Qty],MOD(ROW()-2,20)+1)</f>
        <v>1900</v>
      </c>
      <c r="E416">
        <f t="shared" si="48"/>
        <v>1.05</v>
      </c>
      <c r="F416">
        <v>1.04</v>
      </c>
      <c r="G416">
        <f t="shared" si="49"/>
        <v>2075</v>
      </c>
      <c r="H416">
        <v>1</v>
      </c>
      <c r="I416">
        <f t="shared" si="50"/>
        <v>1995</v>
      </c>
      <c r="J416" t="str">
        <f t="shared" si="51"/>
        <v>Normal</v>
      </c>
      <c r="K416">
        <f t="shared" si="52"/>
        <v>2075</v>
      </c>
      <c r="L416">
        <f t="shared" si="53"/>
        <v>80</v>
      </c>
      <c r="M416" s="2">
        <f t="shared" si="54"/>
        <v>4.0100250626566414E-2</v>
      </c>
      <c r="N416">
        <f t="shared" si="55"/>
        <v>80</v>
      </c>
    </row>
    <row r="417" spans="1:14">
      <c r="A417" s="1" cm="1">
        <f t="array" ref="A417">INDEX(tblWeeks[Week_Start],INT((ROW()-2)/20)+1)</f>
        <v>46167</v>
      </c>
      <c r="B417" t="str" cm="1">
        <f t="array" ref="B417">INDEX(tblDemandAssumptions[Customer_ID],MOD(ROW()-2,20)+1)</f>
        <v>C004</v>
      </c>
      <c r="C417" t="str" cm="1">
        <f t="array" ref="C417">INDEX(tblDemandAssumptions[Product_ID],MOD(ROW()-2,20)+1)</f>
        <v>P001</v>
      </c>
      <c r="D417" cm="1">
        <f t="array" ref="D417">INDEX(tblDemandAssumptions[Baseline_Weekly_Qty],MOD(ROW()-2,20)+1)</f>
        <v>2700</v>
      </c>
      <c r="E417">
        <f t="shared" si="48"/>
        <v>1.05</v>
      </c>
      <c r="F417">
        <v>0.98</v>
      </c>
      <c r="G417">
        <f t="shared" si="49"/>
        <v>2778</v>
      </c>
      <c r="H417">
        <v>1.01</v>
      </c>
      <c r="I417">
        <f t="shared" si="50"/>
        <v>2863</v>
      </c>
      <c r="J417" t="str">
        <f t="shared" si="51"/>
        <v>Normal</v>
      </c>
      <c r="K417">
        <f t="shared" si="52"/>
        <v>2778</v>
      </c>
      <c r="L417">
        <f t="shared" si="53"/>
        <v>-85</v>
      </c>
      <c r="M417" s="2">
        <f t="shared" si="54"/>
        <v>-2.9689137268599373E-2</v>
      </c>
      <c r="N417">
        <f t="shared" si="55"/>
        <v>85</v>
      </c>
    </row>
    <row r="418" spans="1:14">
      <c r="A418" s="1" cm="1">
        <f t="array" ref="A418">INDEX(tblWeeks[Week_Start],INT((ROW()-2)/20)+1)</f>
        <v>46167</v>
      </c>
      <c r="B418" t="str" cm="1">
        <f t="array" ref="B418">INDEX(tblDemandAssumptions[Customer_ID],MOD(ROW()-2,20)+1)</f>
        <v>C004</v>
      </c>
      <c r="C418" t="str" cm="1">
        <f t="array" ref="C418">INDEX(tblDemandAssumptions[Product_ID],MOD(ROW()-2,20)+1)</f>
        <v>P002</v>
      </c>
      <c r="D418" cm="1">
        <f t="array" ref="D418">INDEX(tblDemandAssumptions[Baseline_Weekly_Qty],MOD(ROW()-2,20)+1)</f>
        <v>2400</v>
      </c>
      <c r="E418">
        <f t="shared" si="48"/>
        <v>1.05</v>
      </c>
      <c r="F418">
        <v>1</v>
      </c>
      <c r="G418">
        <f t="shared" si="49"/>
        <v>2520</v>
      </c>
      <c r="H418">
        <v>1.01</v>
      </c>
      <c r="I418">
        <f t="shared" si="50"/>
        <v>2545</v>
      </c>
      <c r="J418" t="str">
        <f t="shared" si="51"/>
        <v>Normal</v>
      </c>
      <c r="K418">
        <f t="shared" si="52"/>
        <v>2520</v>
      </c>
      <c r="L418">
        <f t="shared" si="53"/>
        <v>-25</v>
      </c>
      <c r="M418" s="2">
        <f t="shared" si="54"/>
        <v>-9.823182711198428E-3</v>
      </c>
      <c r="N418">
        <f t="shared" si="55"/>
        <v>25</v>
      </c>
    </row>
    <row r="419" spans="1:14">
      <c r="A419" s="1" cm="1">
        <f t="array" ref="A419">INDEX(tblWeeks[Week_Start],INT((ROW()-2)/20)+1)</f>
        <v>46167</v>
      </c>
      <c r="B419" t="str" cm="1">
        <f t="array" ref="B419">INDEX(tblDemandAssumptions[Customer_ID],MOD(ROW()-2,20)+1)</f>
        <v>C004</v>
      </c>
      <c r="C419" t="str" cm="1">
        <f t="array" ref="C419">INDEX(tblDemandAssumptions[Product_ID],MOD(ROW()-2,20)+1)</f>
        <v>P003</v>
      </c>
      <c r="D419" cm="1">
        <f t="array" ref="D419">INDEX(tblDemandAssumptions[Baseline_Weekly_Qty],MOD(ROW()-2,20)+1)</f>
        <v>2100</v>
      </c>
      <c r="E419">
        <f t="shared" si="48"/>
        <v>1.05</v>
      </c>
      <c r="F419">
        <v>0.96</v>
      </c>
      <c r="G419">
        <f t="shared" si="49"/>
        <v>2117</v>
      </c>
      <c r="H419">
        <v>1.02</v>
      </c>
      <c r="I419">
        <f t="shared" si="50"/>
        <v>2249</v>
      </c>
      <c r="J419" t="str">
        <f t="shared" si="51"/>
        <v>Normal</v>
      </c>
      <c r="K419">
        <f t="shared" si="52"/>
        <v>2117</v>
      </c>
      <c r="L419">
        <f t="shared" si="53"/>
        <v>-132</v>
      </c>
      <c r="M419" s="2">
        <f t="shared" si="54"/>
        <v>-5.869275233437083E-2</v>
      </c>
      <c r="N419">
        <f t="shared" si="55"/>
        <v>132</v>
      </c>
    </row>
    <row r="420" spans="1:14">
      <c r="A420" s="1" cm="1">
        <f t="array" ref="A420">INDEX(tblWeeks[Week_Start],INT((ROW()-2)/20)+1)</f>
        <v>46167</v>
      </c>
      <c r="B420" t="str" cm="1">
        <f t="array" ref="B420">INDEX(tblDemandAssumptions[Customer_ID],MOD(ROW()-2,20)+1)</f>
        <v>C004</v>
      </c>
      <c r="C420" t="str" cm="1">
        <f t="array" ref="C420">INDEX(tblDemandAssumptions[Product_ID],MOD(ROW()-2,20)+1)</f>
        <v>P004</v>
      </c>
      <c r="D420" cm="1">
        <f t="array" ref="D420">INDEX(tblDemandAssumptions[Baseline_Weekly_Qty],MOD(ROW()-2,20)+1)</f>
        <v>2600</v>
      </c>
      <c r="E420">
        <f t="shared" si="48"/>
        <v>1.05</v>
      </c>
      <c r="F420">
        <v>1</v>
      </c>
      <c r="G420">
        <f t="shared" si="49"/>
        <v>2730</v>
      </c>
      <c r="H420">
        <v>0.96</v>
      </c>
      <c r="I420">
        <f t="shared" si="50"/>
        <v>2621</v>
      </c>
      <c r="J420" t="str">
        <f t="shared" si="51"/>
        <v>Normal</v>
      </c>
      <c r="K420">
        <f t="shared" si="52"/>
        <v>2730</v>
      </c>
      <c r="L420">
        <f t="shared" si="53"/>
        <v>109</v>
      </c>
      <c r="M420" s="2">
        <f t="shared" si="54"/>
        <v>4.1587180465471191E-2</v>
      </c>
      <c r="N420">
        <f t="shared" si="55"/>
        <v>109</v>
      </c>
    </row>
    <row r="421" spans="1:14">
      <c r="A421" s="1" cm="1">
        <f t="array" ref="A421">INDEX(tblWeeks[Week_Start],INT((ROW()-2)/20)+1)</f>
        <v>46167</v>
      </c>
      <c r="B421" t="str" cm="1">
        <f t="array" ref="B421">INDEX(tblDemandAssumptions[Customer_ID],MOD(ROW()-2,20)+1)</f>
        <v>C004</v>
      </c>
      <c r="C421" t="str" cm="1">
        <f t="array" ref="C421">INDEX(tblDemandAssumptions[Product_ID],MOD(ROW()-2,20)+1)</f>
        <v>P005</v>
      </c>
      <c r="D421" cm="1">
        <f t="array" ref="D421">INDEX(tblDemandAssumptions[Baseline_Weekly_Qty],MOD(ROW()-2,20)+1)</f>
        <v>1800</v>
      </c>
      <c r="E421">
        <f t="shared" si="48"/>
        <v>1.05</v>
      </c>
      <c r="F421">
        <v>0.99</v>
      </c>
      <c r="G421">
        <f t="shared" si="49"/>
        <v>1871</v>
      </c>
      <c r="H421">
        <v>0.99</v>
      </c>
      <c r="I421">
        <f t="shared" si="50"/>
        <v>1871</v>
      </c>
      <c r="J421" t="str">
        <f t="shared" si="51"/>
        <v>Normal</v>
      </c>
      <c r="K421">
        <f t="shared" si="52"/>
        <v>1871</v>
      </c>
      <c r="L421">
        <f t="shared" si="53"/>
        <v>0</v>
      </c>
      <c r="M421" s="2">
        <f t="shared" si="54"/>
        <v>0</v>
      </c>
      <c r="N421">
        <f t="shared" si="55"/>
        <v>0</v>
      </c>
    </row>
    <row r="422" spans="1:14">
      <c r="A422" s="1" cm="1">
        <f t="array" ref="A422">INDEX(tblWeeks[Week_Start],INT((ROW()-2)/20)+1)</f>
        <v>46174</v>
      </c>
      <c r="B422" t="str" cm="1">
        <f t="array" ref="B422">INDEX(tblDemandAssumptions[Customer_ID],MOD(ROW()-2,20)+1)</f>
        <v>C001</v>
      </c>
      <c r="C422" t="str" cm="1">
        <f t="array" ref="C422">INDEX(tblDemandAssumptions[Product_ID],MOD(ROW()-2,20)+1)</f>
        <v>P001</v>
      </c>
      <c r="D422" cm="1">
        <f t="array" ref="D422">INDEX(tblDemandAssumptions[Baseline_Weekly_Qty],MOD(ROW()-2,20)+1)</f>
        <v>5200</v>
      </c>
      <c r="E422">
        <f t="shared" si="48"/>
        <v>1.05</v>
      </c>
      <c r="F422">
        <v>0.97</v>
      </c>
      <c r="G422">
        <f t="shared" si="49"/>
        <v>5296</v>
      </c>
      <c r="H422">
        <v>1.02</v>
      </c>
      <c r="I422">
        <f t="shared" si="50"/>
        <v>5569</v>
      </c>
      <c r="J422" t="str">
        <f t="shared" si="51"/>
        <v>Normal</v>
      </c>
      <c r="K422">
        <f t="shared" si="52"/>
        <v>5296</v>
      </c>
      <c r="L422">
        <f t="shared" si="53"/>
        <v>-273</v>
      </c>
      <c r="M422" s="2">
        <f t="shared" si="54"/>
        <v>-4.9021368288741249E-2</v>
      </c>
      <c r="N422">
        <f t="shared" si="55"/>
        <v>273</v>
      </c>
    </row>
    <row r="423" spans="1:14">
      <c r="A423" s="1" cm="1">
        <f t="array" ref="A423">INDEX(tblWeeks[Week_Start],INT((ROW()-2)/20)+1)</f>
        <v>46174</v>
      </c>
      <c r="B423" t="str" cm="1">
        <f t="array" ref="B423">INDEX(tblDemandAssumptions[Customer_ID],MOD(ROW()-2,20)+1)</f>
        <v>C001</v>
      </c>
      <c r="C423" t="str" cm="1">
        <f t="array" ref="C423">INDEX(tblDemandAssumptions[Product_ID],MOD(ROW()-2,20)+1)</f>
        <v>P002</v>
      </c>
      <c r="D423" cm="1">
        <f t="array" ref="D423">INDEX(tblDemandAssumptions[Baseline_Weekly_Qty],MOD(ROW()-2,20)+1)</f>
        <v>4100</v>
      </c>
      <c r="E423">
        <f t="shared" si="48"/>
        <v>1.05</v>
      </c>
      <c r="F423">
        <v>0.95</v>
      </c>
      <c r="G423">
        <f t="shared" si="49"/>
        <v>4090</v>
      </c>
      <c r="H423">
        <v>1.04</v>
      </c>
      <c r="I423">
        <f t="shared" si="50"/>
        <v>4477</v>
      </c>
      <c r="J423" t="str">
        <f t="shared" si="51"/>
        <v>Normal</v>
      </c>
      <c r="K423">
        <f t="shared" si="52"/>
        <v>4090</v>
      </c>
      <c r="L423">
        <f t="shared" si="53"/>
        <v>-387</v>
      </c>
      <c r="M423" s="2">
        <f t="shared" si="54"/>
        <v>-8.6441813714540988E-2</v>
      </c>
      <c r="N423">
        <f t="shared" si="55"/>
        <v>387</v>
      </c>
    </row>
    <row r="424" spans="1:14">
      <c r="A424" s="1" cm="1">
        <f t="array" ref="A424">INDEX(tblWeeks[Week_Start],INT((ROW()-2)/20)+1)</f>
        <v>46174</v>
      </c>
      <c r="B424" t="str" cm="1">
        <f t="array" ref="B424">INDEX(tblDemandAssumptions[Customer_ID],MOD(ROW()-2,20)+1)</f>
        <v>C001</v>
      </c>
      <c r="C424" t="str" cm="1">
        <f t="array" ref="C424">INDEX(tblDemandAssumptions[Product_ID],MOD(ROW()-2,20)+1)</f>
        <v>P003</v>
      </c>
      <c r="D424" cm="1">
        <f t="array" ref="D424">INDEX(tblDemandAssumptions[Baseline_Weekly_Qty],MOD(ROW()-2,20)+1)</f>
        <v>3300</v>
      </c>
      <c r="E424">
        <f t="shared" si="48"/>
        <v>1.05</v>
      </c>
      <c r="F424">
        <v>1.02</v>
      </c>
      <c r="G424">
        <f t="shared" si="49"/>
        <v>3534</v>
      </c>
      <c r="H424">
        <v>0.99</v>
      </c>
      <c r="I424">
        <f t="shared" si="50"/>
        <v>3430</v>
      </c>
      <c r="J424" t="str">
        <f t="shared" si="51"/>
        <v>Normal</v>
      </c>
      <c r="K424">
        <f t="shared" si="52"/>
        <v>3534</v>
      </c>
      <c r="L424">
        <f t="shared" si="53"/>
        <v>104</v>
      </c>
      <c r="M424" s="2">
        <f t="shared" si="54"/>
        <v>3.0320699708454812E-2</v>
      </c>
      <c r="N424">
        <f t="shared" si="55"/>
        <v>104</v>
      </c>
    </row>
    <row r="425" spans="1:14">
      <c r="A425" s="1" cm="1">
        <f t="array" ref="A425">INDEX(tblWeeks[Week_Start],INT((ROW()-2)/20)+1)</f>
        <v>46174</v>
      </c>
      <c r="B425" t="str" cm="1">
        <f t="array" ref="B425">INDEX(tblDemandAssumptions[Customer_ID],MOD(ROW()-2,20)+1)</f>
        <v>C001</v>
      </c>
      <c r="C425" t="str" cm="1">
        <f t="array" ref="C425">INDEX(tblDemandAssumptions[Product_ID],MOD(ROW()-2,20)+1)</f>
        <v>P004</v>
      </c>
      <c r="D425" cm="1">
        <f t="array" ref="D425">INDEX(tblDemandAssumptions[Baseline_Weekly_Qty],MOD(ROW()-2,20)+1)</f>
        <v>3600</v>
      </c>
      <c r="E425">
        <f t="shared" si="48"/>
        <v>1.05</v>
      </c>
      <c r="F425">
        <v>1.04</v>
      </c>
      <c r="G425">
        <f t="shared" si="49"/>
        <v>3931</v>
      </c>
      <c r="H425">
        <v>1.03</v>
      </c>
      <c r="I425">
        <f t="shared" si="50"/>
        <v>3893</v>
      </c>
      <c r="J425" t="str">
        <f t="shared" si="51"/>
        <v>Normal</v>
      </c>
      <c r="K425">
        <f t="shared" si="52"/>
        <v>3931</v>
      </c>
      <c r="L425">
        <f t="shared" si="53"/>
        <v>38</v>
      </c>
      <c r="M425" s="2">
        <f t="shared" si="54"/>
        <v>9.7611096840482924E-3</v>
      </c>
      <c r="N425">
        <f t="shared" si="55"/>
        <v>38</v>
      </c>
    </row>
    <row r="426" spans="1:14">
      <c r="A426" s="1" cm="1">
        <f t="array" ref="A426">INDEX(tblWeeks[Week_Start],INT((ROW()-2)/20)+1)</f>
        <v>46174</v>
      </c>
      <c r="B426" t="str" cm="1">
        <f t="array" ref="B426">INDEX(tblDemandAssumptions[Customer_ID],MOD(ROW()-2,20)+1)</f>
        <v>C001</v>
      </c>
      <c r="C426" t="str" cm="1">
        <f t="array" ref="C426">INDEX(tblDemandAssumptions[Product_ID],MOD(ROW()-2,20)+1)</f>
        <v>P005</v>
      </c>
      <c r="D426" cm="1">
        <f t="array" ref="D426">INDEX(tblDemandAssumptions[Baseline_Weekly_Qty],MOD(ROW()-2,20)+1)</f>
        <v>2800</v>
      </c>
      <c r="E426">
        <f t="shared" si="48"/>
        <v>1.05</v>
      </c>
      <c r="F426">
        <v>1</v>
      </c>
      <c r="G426">
        <f t="shared" si="49"/>
        <v>2940</v>
      </c>
      <c r="H426">
        <v>0.96</v>
      </c>
      <c r="I426">
        <f t="shared" si="50"/>
        <v>2822</v>
      </c>
      <c r="J426" t="str">
        <f t="shared" si="51"/>
        <v>Normal</v>
      </c>
      <c r="K426">
        <f t="shared" si="52"/>
        <v>2940</v>
      </c>
      <c r="L426">
        <f t="shared" si="53"/>
        <v>118</v>
      </c>
      <c r="M426" s="2">
        <f t="shared" si="54"/>
        <v>4.1814316087880936E-2</v>
      </c>
      <c r="N426">
        <f t="shared" si="55"/>
        <v>118</v>
      </c>
    </row>
    <row r="427" spans="1:14">
      <c r="A427" s="1" cm="1">
        <f t="array" ref="A427">INDEX(tblWeeks[Week_Start],INT((ROW()-2)/20)+1)</f>
        <v>46174</v>
      </c>
      <c r="B427" t="str" cm="1">
        <f t="array" ref="B427">INDEX(tblDemandAssumptions[Customer_ID],MOD(ROW()-2,20)+1)</f>
        <v>C002</v>
      </c>
      <c r="C427" t="str" cm="1">
        <f t="array" ref="C427">INDEX(tblDemandAssumptions[Product_ID],MOD(ROW()-2,20)+1)</f>
        <v>P001</v>
      </c>
      <c r="D427" cm="1">
        <f t="array" ref="D427">INDEX(tblDemandAssumptions[Baseline_Weekly_Qty],MOD(ROW()-2,20)+1)</f>
        <v>3400</v>
      </c>
      <c r="E427">
        <f t="shared" si="48"/>
        <v>1.05</v>
      </c>
      <c r="F427">
        <v>0.96</v>
      </c>
      <c r="G427">
        <f t="shared" si="49"/>
        <v>3427</v>
      </c>
      <c r="H427">
        <v>1.04</v>
      </c>
      <c r="I427">
        <f t="shared" si="50"/>
        <v>3713</v>
      </c>
      <c r="J427" t="str">
        <f t="shared" si="51"/>
        <v>Normal</v>
      </c>
      <c r="K427">
        <f t="shared" si="52"/>
        <v>3427</v>
      </c>
      <c r="L427">
        <f t="shared" si="53"/>
        <v>-286</v>
      </c>
      <c r="M427" s="2">
        <f t="shared" si="54"/>
        <v>-7.7026663075680041E-2</v>
      </c>
      <c r="N427">
        <f t="shared" si="55"/>
        <v>286</v>
      </c>
    </row>
    <row r="428" spans="1:14">
      <c r="A428" s="1" cm="1">
        <f t="array" ref="A428">INDEX(tblWeeks[Week_Start],INT((ROW()-2)/20)+1)</f>
        <v>46174</v>
      </c>
      <c r="B428" t="str" cm="1">
        <f t="array" ref="B428">INDEX(tblDemandAssumptions[Customer_ID],MOD(ROW()-2,20)+1)</f>
        <v>C002</v>
      </c>
      <c r="C428" t="str" cm="1">
        <f t="array" ref="C428">INDEX(tblDemandAssumptions[Product_ID],MOD(ROW()-2,20)+1)</f>
        <v>P002</v>
      </c>
      <c r="D428" cm="1">
        <f t="array" ref="D428">INDEX(tblDemandAssumptions[Baseline_Weekly_Qty],MOD(ROW()-2,20)+1)</f>
        <v>3200</v>
      </c>
      <c r="E428">
        <f t="shared" si="48"/>
        <v>1.05</v>
      </c>
      <c r="F428">
        <v>0.95</v>
      </c>
      <c r="G428">
        <f t="shared" si="49"/>
        <v>3192</v>
      </c>
      <c r="H428">
        <v>1.02</v>
      </c>
      <c r="I428">
        <f t="shared" si="50"/>
        <v>3427</v>
      </c>
      <c r="J428" t="str">
        <f t="shared" si="51"/>
        <v>Normal</v>
      </c>
      <c r="K428">
        <f t="shared" si="52"/>
        <v>3192</v>
      </c>
      <c r="L428">
        <f t="shared" si="53"/>
        <v>-235</v>
      </c>
      <c r="M428" s="2">
        <f t="shared" si="54"/>
        <v>-6.8573096002334397E-2</v>
      </c>
      <c r="N428">
        <f t="shared" si="55"/>
        <v>235</v>
      </c>
    </row>
    <row r="429" spans="1:14">
      <c r="A429" s="1" cm="1">
        <f t="array" ref="A429">INDEX(tblWeeks[Week_Start],INT((ROW()-2)/20)+1)</f>
        <v>46174</v>
      </c>
      <c r="B429" t="str" cm="1">
        <f t="array" ref="B429">INDEX(tblDemandAssumptions[Customer_ID],MOD(ROW()-2,20)+1)</f>
        <v>C002</v>
      </c>
      <c r="C429" t="str" cm="1">
        <f t="array" ref="C429">INDEX(tblDemandAssumptions[Product_ID],MOD(ROW()-2,20)+1)</f>
        <v>P003</v>
      </c>
      <c r="D429" cm="1">
        <f t="array" ref="D429">INDEX(tblDemandAssumptions[Baseline_Weekly_Qty],MOD(ROW()-2,20)+1)</f>
        <v>2600</v>
      </c>
      <c r="E429">
        <f t="shared" si="48"/>
        <v>1.05</v>
      </c>
      <c r="F429">
        <v>0.98</v>
      </c>
      <c r="G429">
        <f t="shared" si="49"/>
        <v>2675</v>
      </c>
      <c r="H429">
        <v>1</v>
      </c>
      <c r="I429">
        <f t="shared" si="50"/>
        <v>2730</v>
      </c>
      <c r="J429" t="str">
        <f t="shared" si="51"/>
        <v>Normal</v>
      </c>
      <c r="K429">
        <f t="shared" si="52"/>
        <v>2675</v>
      </c>
      <c r="L429">
        <f t="shared" si="53"/>
        <v>-55</v>
      </c>
      <c r="M429" s="2">
        <f t="shared" si="54"/>
        <v>-2.0146520146520148E-2</v>
      </c>
      <c r="N429">
        <f t="shared" si="55"/>
        <v>55</v>
      </c>
    </row>
    <row r="430" spans="1:14">
      <c r="A430" s="1" cm="1">
        <f t="array" ref="A430">INDEX(tblWeeks[Week_Start],INT((ROW()-2)/20)+1)</f>
        <v>46174</v>
      </c>
      <c r="B430" t="str" cm="1">
        <f t="array" ref="B430">INDEX(tblDemandAssumptions[Customer_ID],MOD(ROW()-2,20)+1)</f>
        <v>C002</v>
      </c>
      <c r="C430" t="str" cm="1">
        <f t="array" ref="C430">INDEX(tblDemandAssumptions[Product_ID],MOD(ROW()-2,20)+1)</f>
        <v>P004</v>
      </c>
      <c r="D430" cm="1">
        <f t="array" ref="D430">INDEX(tblDemandAssumptions[Baseline_Weekly_Qty],MOD(ROW()-2,20)+1)</f>
        <v>2900</v>
      </c>
      <c r="E430">
        <f t="shared" si="48"/>
        <v>1.05</v>
      </c>
      <c r="F430">
        <v>1.05</v>
      </c>
      <c r="G430">
        <f t="shared" si="49"/>
        <v>3197</v>
      </c>
      <c r="H430">
        <v>1</v>
      </c>
      <c r="I430">
        <f t="shared" si="50"/>
        <v>3045</v>
      </c>
      <c r="J430" t="str">
        <f t="shared" si="51"/>
        <v>Normal</v>
      </c>
      <c r="K430">
        <f t="shared" si="52"/>
        <v>3197</v>
      </c>
      <c r="L430">
        <f t="shared" si="53"/>
        <v>152</v>
      </c>
      <c r="M430" s="2">
        <f t="shared" si="54"/>
        <v>4.991789819376026E-2</v>
      </c>
      <c r="N430">
        <f t="shared" si="55"/>
        <v>152</v>
      </c>
    </row>
    <row r="431" spans="1:14">
      <c r="A431" s="1" cm="1">
        <f t="array" ref="A431">INDEX(tblWeeks[Week_Start],INT((ROW()-2)/20)+1)</f>
        <v>46174</v>
      </c>
      <c r="B431" t="str" cm="1">
        <f t="array" ref="B431">INDEX(tblDemandAssumptions[Customer_ID],MOD(ROW()-2,20)+1)</f>
        <v>C002</v>
      </c>
      <c r="C431" t="str" cm="1">
        <f t="array" ref="C431">INDEX(tblDemandAssumptions[Product_ID],MOD(ROW()-2,20)+1)</f>
        <v>P005</v>
      </c>
      <c r="D431" cm="1">
        <f t="array" ref="D431">INDEX(tblDemandAssumptions[Baseline_Weekly_Qty],MOD(ROW()-2,20)+1)</f>
        <v>2200</v>
      </c>
      <c r="E431">
        <f t="shared" si="48"/>
        <v>1.05</v>
      </c>
      <c r="F431">
        <v>1</v>
      </c>
      <c r="G431">
        <f t="shared" si="49"/>
        <v>2310</v>
      </c>
      <c r="H431">
        <v>1.02</v>
      </c>
      <c r="I431">
        <f t="shared" si="50"/>
        <v>2356</v>
      </c>
      <c r="J431" t="str">
        <f t="shared" si="51"/>
        <v>Normal</v>
      </c>
      <c r="K431">
        <f t="shared" si="52"/>
        <v>2310</v>
      </c>
      <c r="L431">
        <f t="shared" si="53"/>
        <v>-46</v>
      </c>
      <c r="M431" s="2">
        <f t="shared" si="54"/>
        <v>-1.9524617996604415E-2</v>
      </c>
      <c r="N431">
        <f t="shared" si="55"/>
        <v>46</v>
      </c>
    </row>
    <row r="432" spans="1:14">
      <c r="A432" s="1" cm="1">
        <f t="array" ref="A432">INDEX(tblWeeks[Week_Start],INT((ROW()-2)/20)+1)</f>
        <v>46174</v>
      </c>
      <c r="B432" t="str" cm="1">
        <f t="array" ref="B432">INDEX(tblDemandAssumptions[Customer_ID],MOD(ROW()-2,20)+1)</f>
        <v>C003</v>
      </c>
      <c r="C432" t="str" cm="1">
        <f t="array" ref="C432">INDEX(tblDemandAssumptions[Product_ID],MOD(ROW()-2,20)+1)</f>
        <v>P001</v>
      </c>
      <c r="D432" cm="1">
        <f t="array" ref="D432">INDEX(tblDemandAssumptions[Baseline_Weekly_Qty],MOD(ROW()-2,20)+1)</f>
        <v>3000</v>
      </c>
      <c r="E432">
        <f t="shared" si="48"/>
        <v>1.05</v>
      </c>
      <c r="F432">
        <v>0.97</v>
      </c>
      <c r="G432">
        <f t="shared" si="49"/>
        <v>3056</v>
      </c>
      <c r="H432">
        <v>0.98</v>
      </c>
      <c r="I432">
        <f t="shared" si="50"/>
        <v>3087</v>
      </c>
      <c r="J432" t="str">
        <f t="shared" si="51"/>
        <v>Normal</v>
      </c>
      <c r="K432">
        <f t="shared" si="52"/>
        <v>3056</v>
      </c>
      <c r="L432">
        <f t="shared" si="53"/>
        <v>-31</v>
      </c>
      <c r="M432" s="2">
        <f t="shared" si="54"/>
        <v>-1.004211208292841E-2</v>
      </c>
      <c r="N432">
        <f t="shared" si="55"/>
        <v>31</v>
      </c>
    </row>
    <row r="433" spans="1:14">
      <c r="A433" s="1" cm="1">
        <f t="array" ref="A433">INDEX(tblWeeks[Week_Start],INT((ROW()-2)/20)+1)</f>
        <v>46174</v>
      </c>
      <c r="B433" t="str" cm="1">
        <f t="array" ref="B433">INDEX(tblDemandAssumptions[Customer_ID],MOD(ROW()-2,20)+1)</f>
        <v>C003</v>
      </c>
      <c r="C433" t="str" cm="1">
        <f t="array" ref="C433">INDEX(tblDemandAssumptions[Product_ID],MOD(ROW()-2,20)+1)</f>
        <v>P002</v>
      </c>
      <c r="D433" cm="1">
        <f t="array" ref="D433">INDEX(tblDemandAssumptions[Baseline_Weekly_Qty],MOD(ROW()-2,20)+1)</f>
        <v>2700</v>
      </c>
      <c r="E433">
        <f t="shared" si="48"/>
        <v>1.05</v>
      </c>
      <c r="F433">
        <v>0.95</v>
      </c>
      <c r="G433">
        <f t="shared" si="49"/>
        <v>2693</v>
      </c>
      <c r="H433">
        <v>1</v>
      </c>
      <c r="I433">
        <f t="shared" si="50"/>
        <v>2835</v>
      </c>
      <c r="J433" t="str">
        <f t="shared" si="51"/>
        <v>Normal</v>
      </c>
      <c r="K433">
        <f t="shared" si="52"/>
        <v>2693</v>
      </c>
      <c r="L433">
        <f t="shared" si="53"/>
        <v>-142</v>
      </c>
      <c r="M433" s="2">
        <f t="shared" si="54"/>
        <v>-5.0088183421516753E-2</v>
      </c>
      <c r="N433">
        <f t="shared" si="55"/>
        <v>142</v>
      </c>
    </row>
    <row r="434" spans="1:14">
      <c r="A434" s="1" cm="1">
        <f t="array" ref="A434">INDEX(tblWeeks[Week_Start],INT((ROW()-2)/20)+1)</f>
        <v>46174</v>
      </c>
      <c r="B434" t="str" cm="1">
        <f t="array" ref="B434">INDEX(tblDemandAssumptions[Customer_ID],MOD(ROW()-2,20)+1)</f>
        <v>C003</v>
      </c>
      <c r="C434" t="str" cm="1">
        <f t="array" ref="C434">INDEX(tblDemandAssumptions[Product_ID],MOD(ROW()-2,20)+1)</f>
        <v>P003</v>
      </c>
      <c r="D434" cm="1">
        <f t="array" ref="D434">INDEX(tblDemandAssumptions[Baseline_Weekly_Qty],MOD(ROW()-2,20)+1)</f>
        <v>2800</v>
      </c>
      <c r="E434">
        <f t="shared" si="48"/>
        <v>1.05</v>
      </c>
      <c r="F434">
        <v>0.95</v>
      </c>
      <c r="G434">
        <f t="shared" si="49"/>
        <v>2793</v>
      </c>
      <c r="H434">
        <v>1</v>
      </c>
      <c r="I434">
        <f t="shared" si="50"/>
        <v>2940</v>
      </c>
      <c r="J434" t="str">
        <f t="shared" si="51"/>
        <v>Normal</v>
      </c>
      <c r="K434">
        <f t="shared" si="52"/>
        <v>2793</v>
      </c>
      <c r="L434">
        <f t="shared" si="53"/>
        <v>-147</v>
      </c>
      <c r="M434" s="2">
        <f t="shared" si="54"/>
        <v>-0.05</v>
      </c>
      <c r="N434">
        <f t="shared" si="55"/>
        <v>147</v>
      </c>
    </row>
    <row r="435" spans="1:14">
      <c r="A435" s="1" cm="1">
        <f t="array" ref="A435">INDEX(tblWeeks[Week_Start],INT((ROW()-2)/20)+1)</f>
        <v>46174</v>
      </c>
      <c r="B435" t="str" cm="1">
        <f t="array" ref="B435">INDEX(tblDemandAssumptions[Customer_ID],MOD(ROW()-2,20)+1)</f>
        <v>C003</v>
      </c>
      <c r="C435" t="str" cm="1">
        <f t="array" ref="C435">INDEX(tblDemandAssumptions[Product_ID],MOD(ROW()-2,20)+1)</f>
        <v>P004</v>
      </c>
      <c r="D435" cm="1">
        <f t="array" ref="D435">INDEX(tblDemandAssumptions[Baseline_Weekly_Qty],MOD(ROW()-2,20)+1)</f>
        <v>2400</v>
      </c>
      <c r="E435">
        <f t="shared" si="48"/>
        <v>1.05</v>
      </c>
      <c r="F435">
        <v>0.97</v>
      </c>
      <c r="G435">
        <f t="shared" si="49"/>
        <v>2444</v>
      </c>
      <c r="H435">
        <v>1.02</v>
      </c>
      <c r="I435">
        <f t="shared" si="50"/>
        <v>2570</v>
      </c>
      <c r="J435" t="str">
        <f t="shared" si="51"/>
        <v>Normal</v>
      </c>
      <c r="K435">
        <f t="shared" si="52"/>
        <v>2444</v>
      </c>
      <c r="L435">
        <f t="shared" si="53"/>
        <v>-126</v>
      </c>
      <c r="M435" s="2">
        <f t="shared" si="54"/>
        <v>-4.9027237354085602E-2</v>
      </c>
      <c r="N435">
        <f t="shared" si="55"/>
        <v>126</v>
      </c>
    </row>
    <row r="436" spans="1:14">
      <c r="A436" s="1" cm="1">
        <f t="array" ref="A436">INDEX(tblWeeks[Week_Start],INT((ROW()-2)/20)+1)</f>
        <v>46174</v>
      </c>
      <c r="B436" t="str" cm="1">
        <f t="array" ref="B436">INDEX(tblDemandAssumptions[Customer_ID],MOD(ROW()-2,20)+1)</f>
        <v>C003</v>
      </c>
      <c r="C436" t="str" cm="1">
        <f t="array" ref="C436">INDEX(tblDemandAssumptions[Product_ID],MOD(ROW()-2,20)+1)</f>
        <v>P005</v>
      </c>
      <c r="D436" cm="1">
        <f t="array" ref="D436">INDEX(tblDemandAssumptions[Baseline_Weekly_Qty],MOD(ROW()-2,20)+1)</f>
        <v>1900</v>
      </c>
      <c r="E436">
        <f t="shared" si="48"/>
        <v>1.05</v>
      </c>
      <c r="F436">
        <v>0.96</v>
      </c>
      <c r="G436">
        <f t="shared" si="49"/>
        <v>1915</v>
      </c>
      <c r="H436">
        <v>0.98</v>
      </c>
      <c r="I436">
        <f t="shared" si="50"/>
        <v>1955</v>
      </c>
      <c r="J436" t="str">
        <f t="shared" si="51"/>
        <v>Normal</v>
      </c>
      <c r="K436">
        <f t="shared" si="52"/>
        <v>1915</v>
      </c>
      <c r="L436">
        <f t="shared" si="53"/>
        <v>-40</v>
      </c>
      <c r="M436" s="2">
        <f t="shared" si="54"/>
        <v>-2.0460358056265986E-2</v>
      </c>
      <c r="N436">
        <f t="shared" si="55"/>
        <v>40</v>
      </c>
    </row>
    <row r="437" spans="1:14">
      <c r="A437" s="1" cm="1">
        <f t="array" ref="A437">INDEX(tblWeeks[Week_Start],INT((ROW()-2)/20)+1)</f>
        <v>46174</v>
      </c>
      <c r="B437" t="str" cm="1">
        <f t="array" ref="B437">INDEX(tblDemandAssumptions[Customer_ID],MOD(ROW()-2,20)+1)</f>
        <v>C004</v>
      </c>
      <c r="C437" t="str" cm="1">
        <f t="array" ref="C437">INDEX(tblDemandAssumptions[Product_ID],MOD(ROW()-2,20)+1)</f>
        <v>P001</v>
      </c>
      <c r="D437" cm="1">
        <f t="array" ref="D437">INDEX(tblDemandAssumptions[Baseline_Weekly_Qty],MOD(ROW()-2,20)+1)</f>
        <v>2700</v>
      </c>
      <c r="E437">
        <f t="shared" si="48"/>
        <v>1.05</v>
      </c>
      <c r="F437">
        <v>1.03</v>
      </c>
      <c r="G437">
        <f t="shared" si="49"/>
        <v>2920</v>
      </c>
      <c r="H437">
        <v>0.96</v>
      </c>
      <c r="I437">
        <f t="shared" si="50"/>
        <v>2722</v>
      </c>
      <c r="J437" t="str">
        <f t="shared" si="51"/>
        <v>Normal</v>
      </c>
      <c r="K437">
        <f t="shared" si="52"/>
        <v>2920</v>
      </c>
      <c r="L437">
        <f t="shared" si="53"/>
        <v>198</v>
      </c>
      <c r="M437" s="2">
        <f t="shared" si="54"/>
        <v>7.274063188831742E-2</v>
      </c>
      <c r="N437">
        <f t="shared" si="55"/>
        <v>198</v>
      </c>
    </row>
    <row r="438" spans="1:14">
      <c r="A438" s="1" cm="1">
        <f t="array" ref="A438">INDEX(tblWeeks[Week_Start],INT((ROW()-2)/20)+1)</f>
        <v>46174</v>
      </c>
      <c r="B438" t="str" cm="1">
        <f t="array" ref="B438">INDEX(tblDemandAssumptions[Customer_ID],MOD(ROW()-2,20)+1)</f>
        <v>C004</v>
      </c>
      <c r="C438" t="str" cm="1">
        <f t="array" ref="C438">INDEX(tblDemandAssumptions[Product_ID],MOD(ROW()-2,20)+1)</f>
        <v>P002</v>
      </c>
      <c r="D438" cm="1">
        <f t="array" ref="D438">INDEX(tblDemandAssumptions[Baseline_Weekly_Qty],MOD(ROW()-2,20)+1)</f>
        <v>2400</v>
      </c>
      <c r="E438">
        <f t="shared" si="48"/>
        <v>1.05</v>
      </c>
      <c r="F438">
        <v>1</v>
      </c>
      <c r="G438">
        <f t="shared" si="49"/>
        <v>2520</v>
      </c>
      <c r="H438">
        <v>1.02</v>
      </c>
      <c r="I438">
        <f t="shared" si="50"/>
        <v>2570</v>
      </c>
      <c r="J438" t="str">
        <f t="shared" si="51"/>
        <v>Normal</v>
      </c>
      <c r="K438">
        <f t="shared" si="52"/>
        <v>2520</v>
      </c>
      <c r="L438">
        <f t="shared" si="53"/>
        <v>-50</v>
      </c>
      <c r="M438" s="2">
        <f t="shared" si="54"/>
        <v>-1.9455252918287938E-2</v>
      </c>
      <c r="N438">
        <f t="shared" si="55"/>
        <v>50</v>
      </c>
    </row>
    <row r="439" spans="1:14">
      <c r="A439" s="1" cm="1">
        <f t="array" ref="A439">INDEX(tblWeeks[Week_Start],INT((ROW()-2)/20)+1)</f>
        <v>46174</v>
      </c>
      <c r="B439" t="str" cm="1">
        <f t="array" ref="B439">INDEX(tblDemandAssumptions[Customer_ID],MOD(ROW()-2,20)+1)</f>
        <v>C004</v>
      </c>
      <c r="C439" t="str" cm="1">
        <f t="array" ref="C439">INDEX(tblDemandAssumptions[Product_ID],MOD(ROW()-2,20)+1)</f>
        <v>P003</v>
      </c>
      <c r="D439" cm="1">
        <f t="array" ref="D439">INDEX(tblDemandAssumptions[Baseline_Weekly_Qty],MOD(ROW()-2,20)+1)</f>
        <v>2100</v>
      </c>
      <c r="E439">
        <f t="shared" si="48"/>
        <v>1.05</v>
      </c>
      <c r="F439">
        <v>1.05</v>
      </c>
      <c r="G439">
        <f t="shared" si="49"/>
        <v>2315</v>
      </c>
      <c r="H439">
        <v>0.98</v>
      </c>
      <c r="I439">
        <f t="shared" si="50"/>
        <v>2161</v>
      </c>
      <c r="J439" t="str">
        <f t="shared" si="51"/>
        <v>Normal</v>
      </c>
      <c r="K439">
        <f t="shared" si="52"/>
        <v>2315</v>
      </c>
      <c r="L439">
        <f t="shared" si="53"/>
        <v>154</v>
      </c>
      <c r="M439" s="2">
        <f t="shared" si="54"/>
        <v>7.1263304025913923E-2</v>
      </c>
      <c r="N439">
        <f t="shared" si="55"/>
        <v>154</v>
      </c>
    </row>
    <row r="440" spans="1:14">
      <c r="A440" s="1" cm="1">
        <f t="array" ref="A440">INDEX(tblWeeks[Week_Start],INT((ROW()-2)/20)+1)</f>
        <v>46174</v>
      </c>
      <c r="B440" t="str" cm="1">
        <f t="array" ref="B440">INDEX(tblDemandAssumptions[Customer_ID],MOD(ROW()-2,20)+1)</f>
        <v>C004</v>
      </c>
      <c r="C440" t="str" cm="1">
        <f t="array" ref="C440">INDEX(tblDemandAssumptions[Product_ID],MOD(ROW()-2,20)+1)</f>
        <v>P004</v>
      </c>
      <c r="D440" cm="1">
        <f t="array" ref="D440">INDEX(tblDemandAssumptions[Baseline_Weekly_Qty],MOD(ROW()-2,20)+1)</f>
        <v>2600</v>
      </c>
      <c r="E440">
        <f t="shared" si="48"/>
        <v>1.05</v>
      </c>
      <c r="F440">
        <v>1.03</v>
      </c>
      <c r="G440">
        <f t="shared" si="49"/>
        <v>2812</v>
      </c>
      <c r="H440">
        <v>1.04</v>
      </c>
      <c r="I440">
        <f t="shared" si="50"/>
        <v>2839</v>
      </c>
      <c r="J440" t="str">
        <f t="shared" si="51"/>
        <v>Normal</v>
      </c>
      <c r="K440">
        <f t="shared" si="52"/>
        <v>2812</v>
      </c>
      <c r="L440">
        <f t="shared" si="53"/>
        <v>-27</v>
      </c>
      <c r="M440" s="2">
        <f t="shared" si="54"/>
        <v>-9.5103909827404017E-3</v>
      </c>
      <c r="N440">
        <f t="shared" si="55"/>
        <v>27</v>
      </c>
    </row>
    <row r="441" spans="1:14">
      <c r="A441" s="1" cm="1">
        <f t="array" ref="A441">INDEX(tblWeeks[Week_Start],INT((ROW()-2)/20)+1)</f>
        <v>46174</v>
      </c>
      <c r="B441" t="str" cm="1">
        <f t="array" ref="B441">INDEX(tblDemandAssumptions[Customer_ID],MOD(ROW()-2,20)+1)</f>
        <v>C004</v>
      </c>
      <c r="C441" t="str" cm="1">
        <f t="array" ref="C441">INDEX(tblDemandAssumptions[Product_ID],MOD(ROW()-2,20)+1)</f>
        <v>P005</v>
      </c>
      <c r="D441" cm="1">
        <f t="array" ref="D441">INDEX(tblDemandAssumptions[Baseline_Weekly_Qty],MOD(ROW()-2,20)+1)</f>
        <v>1800</v>
      </c>
      <c r="E441">
        <f t="shared" si="48"/>
        <v>1.05</v>
      </c>
      <c r="F441">
        <v>0.95</v>
      </c>
      <c r="G441">
        <f t="shared" si="49"/>
        <v>1796</v>
      </c>
      <c r="H441">
        <v>1.03</v>
      </c>
      <c r="I441">
        <f t="shared" si="50"/>
        <v>1947</v>
      </c>
      <c r="J441" t="str">
        <f t="shared" si="51"/>
        <v>Normal</v>
      </c>
      <c r="K441">
        <f t="shared" si="52"/>
        <v>1796</v>
      </c>
      <c r="L441">
        <f t="shared" si="53"/>
        <v>-151</v>
      </c>
      <c r="M441" s="2">
        <f t="shared" si="54"/>
        <v>-7.7555213148433486E-2</v>
      </c>
      <c r="N441">
        <f t="shared" si="55"/>
        <v>151</v>
      </c>
    </row>
    <row r="442" spans="1:14">
      <c r="A442" s="1" cm="1">
        <f t="array" ref="A442">INDEX(tblWeeks[Week_Start],INT((ROW()-2)/20)+1)</f>
        <v>46181</v>
      </c>
      <c r="B442" t="str" cm="1">
        <f t="array" ref="B442">INDEX(tblDemandAssumptions[Customer_ID],MOD(ROW()-2,20)+1)</f>
        <v>C001</v>
      </c>
      <c r="C442" t="str" cm="1">
        <f t="array" ref="C442">INDEX(tblDemandAssumptions[Product_ID],MOD(ROW()-2,20)+1)</f>
        <v>P001</v>
      </c>
      <c r="D442" cm="1">
        <f t="array" ref="D442">INDEX(tblDemandAssumptions[Baseline_Weekly_Qty],MOD(ROW()-2,20)+1)</f>
        <v>5200</v>
      </c>
      <c r="E442">
        <f t="shared" si="48"/>
        <v>1.05</v>
      </c>
      <c r="F442">
        <v>1</v>
      </c>
      <c r="G442">
        <f t="shared" si="49"/>
        <v>5460</v>
      </c>
      <c r="H442">
        <v>1.02</v>
      </c>
      <c r="I442">
        <f t="shared" si="50"/>
        <v>5569</v>
      </c>
      <c r="J442" t="str">
        <f t="shared" si="51"/>
        <v>Normal</v>
      </c>
      <c r="K442">
        <f t="shared" si="52"/>
        <v>5460</v>
      </c>
      <c r="L442">
        <f t="shared" si="53"/>
        <v>-109</v>
      </c>
      <c r="M442" s="2">
        <f t="shared" si="54"/>
        <v>-1.9572634225175075E-2</v>
      </c>
      <c r="N442">
        <f t="shared" si="55"/>
        <v>109</v>
      </c>
    </row>
    <row r="443" spans="1:14">
      <c r="A443" s="1" cm="1">
        <f t="array" ref="A443">INDEX(tblWeeks[Week_Start],INT((ROW()-2)/20)+1)</f>
        <v>46181</v>
      </c>
      <c r="B443" t="str" cm="1">
        <f t="array" ref="B443">INDEX(tblDemandAssumptions[Customer_ID],MOD(ROW()-2,20)+1)</f>
        <v>C001</v>
      </c>
      <c r="C443" t="str" cm="1">
        <f t="array" ref="C443">INDEX(tblDemandAssumptions[Product_ID],MOD(ROW()-2,20)+1)</f>
        <v>P002</v>
      </c>
      <c r="D443" cm="1">
        <f t="array" ref="D443">INDEX(tblDemandAssumptions[Baseline_Weekly_Qty],MOD(ROW()-2,20)+1)</f>
        <v>4100</v>
      </c>
      <c r="E443">
        <f t="shared" si="48"/>
        <v>1.05</v>
      </c>
      <c r="F443">
        <v>0.99</v>
      </c>
      <c r="G443">
        <f t="shared" si="49"/>
        <v>4262</v>
      </c>
      <c r="H443">
        <v>0.99</v>
      </c>
      <c r="I443">
        <f t="shared" si="50"/>
        <v>4262</v>
      </c>
      <c r="J443" t="str">
        <f t="shared" si="51"/>
        <v>Normal</v>
      </c>
      <c r="K443">
        <f t="shared" si="52"/>
        <v>4262</v>
      </c>
      <c r="L443">
        <f t="shared" si="53"/>
        <v>0</v>
      </c>
      <c r="M443" s="2">
        <f t="shared" si="54"/>
        <v>0</v>
      </c>
      <c r="N443">
        <f t="shared" si="55"/>
        <v>0</v>
      </c>
    </row>
    <row r="444" spans="1:14">
      <c r="A444" s="1" cm="1">
        <f t="array" ref="A444">INDEX(tblWeeks[Week_Start],INT((ROW()-2)/20)+1)</f>
        <v>46181</v>
      </c>
      <c r="B444" t="str" cm="1">
        <f t="array" ref="B444">INDEX(tblDemandAssumptions[Customer_ID],MOD(ROW()-2,20)+1)</f>
        <v>C001</v>
      </c>
      <c r="C444" t="str" cm="1">
        <f t="array" ref="C444">INDEX(tblDemandAssumptions[Product_ID],MOD(ROW()-2,20)+1)</f>
        <v>P003</v>
      </c>
      <c r="D444" cm="1">
        <f t="array" ref="D444">INDEX(tblDemandAssumptions[Baseline_Weekly_Qty],MOD(ROW()-2,20)+1)</f>
        <v>3300</v>
      </c>
      <c r="E444">
        <f t="shared" si="48"/>
        <v>1.05</v>
      </c>
      <c r="F444">
        <v>0.95</v>
      </c>
      <c r="G444">
        <f t="shared" si="49"/>
        <v>3292</v>
      </c>
      <c r="H444">
        <v>0.97</v>
      </c>
      <c r="I444">
        <f t="shared" si="50"/>
        <v>3361</v>
      </c>
      <c r="J444" t="str">
        <f t="shared" si="51"/>
        <v>Normal</v>
      </c>
      <c r="K444">
        <f t="shared" si="52"/>
        <v>3292</v>
      </c>
      <c r="L444">
        <f t="shared" si="53"/>
        <v>-69</v>
      </c>
      <c r="M444" s="2">
        <f t="shared" si="54"/>
        <v>-2.0529604284439156E-2</v>
      </c>
      <c r="N444">
        <f t="shared" si="55"/>
        <v>69</v>
      </c>
    </row>
    <row r="445" spans="1:14">
      <c r="A445" s="1" cm="1">
        <f t="array" ref="A445">INDEX(tblWeeks[Week_Start],INT((ROW()-2)/20)+1)</f>
        <v>46181</v>
      </c>
      <c r="B445" t="str" cm="1">
        <f t="array" ref="B445">INDEX(tblDemandAssumptions[Customer_ID],MOD(ROW()-2,20)+1)</f>
        <v>C001</v>
      </c>
      <c r="C445" t="str" cm="1">
        <f t="array" ref="C445">INDEX(tblDemandAssumptions[Product_ID],MOD(ROW()-2,20)+1)</f>
        <v>P004</v>
      </c>
      <c r="D445" cm="1">
        <f t="array" ref="D445">INDEX(tblDemandAssumptions[Baseline_Weekly_Qty],MOD(ROW()-2,20)+1)</f>
        <v>3600</v>
      </c>
      <c r="E445">
        <f t="shared" si="48"/>
        <v>1.05</v>
      </c>
      <c r="F445">
        <v>0.97</v>
      </c>
      <c r="G445">
        <f t="shared" si="49"/>
        <v>3667</v>
      </c>
      <c r="H445">
        <v>0.99</v>
      </c>
      <c r="I445">
        <f t="shared" si="50"/>
        <v>3742</v>
      </c>
      <c r="J445" t="str">
        <f t="shared" si="51"/>
        <v>Normal</v>
      </c>
      <c r="K445">
        <f t="shared" si="52"/>
        <v>3667</v>
      </c>
      <c r="L445">
        <f t="shared" si="53"/>
        <v>-75</v>
      </c>
      <c r="M445" s="2">
        <f t="shared" si="54"/>
        <v>-2.0042757883484766E-2</v>
      </c>
      <c r="N445">
        <f t="shared" si="55"/>
        <v>75</v>
      </c>
    </row>
    <row r="446" spans="1:14">
      <c r="A446" s="1" cm="1">
        <f t="array" ref="A446">INDEX(tblWeeks[Week_Start],INT((ROW()-2)/20)+1)</f>
        <v>46181</v>
      </c>
      <c r="B446" t="str" cm="1">
        <f t="array" ref="B446">INDEX(tblDemandAssumptions[Customer_ID],MOD(ROW()-2,20)+1)</f>
        <v>C001</v>
      </c>
      <c r="C446" t="str" cm="1">
        <f t="array" ref="C446">INDEX(tblDemandAssumptions[Product_ID],MOD(ROW()-2,20)+1)</f>
        <v>P005</v>
      </c>
      <c r="D446" cm="1">
        <f t="array" ref="D446">INDEX(tblDemandAssumptions[Baseline_Weekly_Qty],MOD(ROW()-2,20)+1)</f>
        <v>2800</v>
      </c>
      <c r="E446">
        <f t="shared" si="48"/>
        <v>1.05</v>
      </c>
      <c r="F446">
        <v>0.98</v>
      </c>
      <c r="G446">
        <f t="shared" si="49"/>
        <v>2881</v>
      </c>
      <c r="H446">
        <v>0.96</v>
      </c>
      <c r="I446">
        <f t="shared" si="50"/>
        <v>2822</v>
      </c>
      <c r="J446" t="str">
        <f t="shared" si="51"/>
        <v>Normal</v>
      </c>
      <c r="K446">
        <f t="shared" si="52"/>
        <v>2881</v>
      </c>
      <c r="L446">
        <f t="shared" si="53"/>
        <v>59</v>
      </c>
      <c r="M446" s="2">
        <f t="shared" si="54"/>
        <v>2.0907158043940468E-2</v>
      </c>
      <c r="N446">
        <f t="shared" si="55"/>
        <v>59</v>
      </c>
    </row>
    <row r="447" spans="1:14">
      <c r="A447" s="1" cm="1">
        <f t="array" ref="A447">INDEX(tblWeeks[Week_Start],INT((ROW()-2)/20)+1)</f>
        <v>46181</v>
      </c>
      <c r="B447" t="str" cm="1">
        <f t="array" ref="B447">INDEX(tblDemandAssumptions[Customer_ID],MOD(ROW()-2,20)+1)</f>
        <v>C002</v>
      </c>
      <c r="C447" t="str" cm="1">
        <f t="array" ref="C447">INDEX(tblDemandAssumptions[Product_ID],MOD(ROW()-2,20)+1)</f>
        <v>P001</v>
      </c>
      <c r="D447" cm="1">
        <f t="array" ref="D447">INDEX(tblDemandAssumptions[Baseline_Weekly_Qty],MOD(ROW()-2,20)+1)</f>
        <v>3400</v>
      </c>
      <c r="E447">
        <f t="shared" si="48"/>
        <v>1.05</v>
      </c>
      <c r="F447">
        <v>0.97</v>
      </c>
      <c r="G447">
        <f t="shared" si="49"/>
        <v>3463</v>
      </c>
      <c r="H447">
        <v>1.03</v>
      </c>
      <c r="I447">
        <f t="shared" si="50"/>
        <v>3677</v>
      </c>
      <c r="J447" t="str">
        <f t="shared" si="51"/>
        <v>Normal</v>
      </c>
      <c r="K447">
        <f t="shared" si="52"/>
        <v>3463</v>
      </c>
      <c r="L447">
        <f t="shared" si="53"/>
        <v>-214</v>
      </c>
      <c r="M447" s="2">
        <f t="shared" si="54"/>
        <v>-5.8199619254827306E-2</v>
      </c>
      <c r="N447">
        <f t="shared" si="55"/>
        <v>214</v>
      </c>
    </row>
    <row r="448" spans="1:14">
      <c r="A448" s="1" cm="1">
        <f t="array" ref="A448">INDEX(tblWeeks[Week_Start],INT((ROW()-2)/20)+1)</f>
        <v>46181</v>
      </c>
      <c r="B448" t="str" cm="1">
        <f t="array" ref="B448">INDEX(tblDemandAssumptions[Customer_ID],MOD(ROW()-2,20)+1)</f>
        <v>C002</v>
      </c>
      <c r="C448" t="str" cm="1">
        <f t="array" ref="C448">INDEX(tblDemandAssumptions[Product_ID],MOD(ROW()-2,20)+1)</f>
        <v>P002</v>
      </c>
      <c r="D448" cm="1">
        <f t="array" ref="D448">INDEX(tblDemandAssumptions[Baseline_Weekly_Qty],MOD(ROW()-2,20)+1)</f>
        <v>3200</v>
      </c>
      <c r="E448">
        <f t="shared" si="48"/>
        <v>1.05</v>
      </c>
      <c r="F448">
        <v>0.98</v>
      </c>
      <c r="G448">
        <f t="shared" si="49"/>
        <v>3293</v>
      </c>
      <c r="H448">
        <v>0.98</v>
      </c>
      <c r="I448">
        <f t="shared" si="50"/>
        <v>3293</v>
      </c>
      <c r="J448" t="str">
        <f t="shared" si="51"/>
        <v>Normal</v>
      </c>
      <c r="K448">
        <f t="shared" si="52"/>
        <v>3293</v>
      </c>
      <c r="L448">
        <f t="shared" si="53"/>
        <v>0</v>
      </c>
      <c r="M448" s="2">
        <f t="shared" si="54"/>
        <v>0</v>
      </c>
      <c r="N448">
        <f t="shared" si="55"/>
        <v>0</v>
      </c>
    </row>
    <row r="449" spans="1:14">
      <c r="A449" s="1" cm="1">
        <f t="array" ref="A449">INDEX(tblWeeks[Week_Start],INT((ROW()-2)/20)+1)</f>
        <v>46181</v>
      </c>
      <c r="B449" t="str" cm="1">
        <f t="array" ref="B449">INDEX(tblDemandAssumptions[Customer_ID],MOD(ROW()-2,20)+1)</f>
        <v>C002</v>
      </c>
      <c r="C449" t="str" cm="1">
        <f t="array" ref="C449">INDEX(tblDemandAssumptions[Product_ID],MOD(ROW()-2,20)+1)</f>
        <v>P003</v>
      </c>
      <c r="D449" cm="1">
        <f t="array" ref="D449">INDEX(tblDemandAssumptions[Baseline_Weekly_Qty],MOD(ROW()-2,20)+1)</f>
        <v>2600</v>
      </c>
      <c r="E449">
        <f t="shared" si="48"/>
        <v>1.05</v>
      </c>
      <c r="F449">
        <v>1.01</v>
      </c>
      <c r="G449">
        <f t="shared" si="49"/>
        <v>2757</v>
      </c>
      <c r="H449">
        <v>1.02</v>
      </c>
      <c r="I449">
        <f t="shared" si="50"/>
        <v>2785</v>
      </c>
      <c r="J449" t="str">
        <f t="shared" si="51"/>
        <v>Normal</v>
      </c>
      <c r="K449">
        <f t="shared" si="52"/>
        <v>2757</v>
      </c>
      <c r="L449">
        <f t="shared" si="53"/>
        <v>-28</v>
      </c>
      <c r="M449" s="2">
        <f t="shared" si="54"/>
        <v>-1.0053859964093357E-2</v>
      </c>
      <c r="N449">
        <f t="shared" si="55"/>
        <v>28</v>
      </c>
    </row>
    <row r="450" spans="1:14">
      <c r="A450" s="1" cm="1">
        <f t="array" ref="A450">INDEX(tblWeeks[Week_Start],INT((ROW()-2)/20)+1)</f>
        <v>46181</v>
      </c>
      <c r="B450" t="str" cm="1">
        <f t="array" ref="B450">INDEX(tblDemandAssumptions[Customer_ID],MOD(ROW()-2,20)+1)</f>
        <v>C002</v>
      </c>
      <c r="C450" t="str" cm="1">
        <f t="array" ref="C450">INDEX(tblDemandAssumptions[Product_ID],MOD(ROW()-2,20)+1)</f>
        <v>P004</v>
      </c>
      <c r="D450" cm="1">
        <f t="array" ref="D450">INDEX(tblDemandAssumptions[Baseline_Weekly_Qty],MOD(ROW()-2,20)+1)</f>
        <v>2900</v>
      </c>
      <c r="E450">
        <f t="shared" ref="E450:E513" si="56">IF(MONTH(A450)&lt;=2,0.95,IF(MONTH(A450)&lt;=4,1,IF(MONTH(A450)&lt;=6,1.05,IF(MONTH(A450)&lt;=8,1.1,IF(MONTH(A450)&lt;=10,1,IF(MONTH(A450)=11,1.05,1.2))))))</f>
        <v>1.05</v>
      </c>
      <c r="F450">
        <v>1.01</v>
      </c>
      <c r="G450">
        <f t="shared" ref="G450:G513" si="57">ROUND(D450*E450*F450,0)</f>
        <v>3075</v>
      </c>
      <c r="H450">
        <v>1.02</v>
      </c>
      <c r="I450">
        <f t="shared" ref="I450:I513" si="58">ROUND(D450*E450*H450,0)</f>
        <v>3106</v>
      </c>
      <c r="J450" t="str">
        <f t="shared" ref="J450:J513" si="59">IF(AND(A450=DATE(2026,3,16),B450="C001",C450="P001"),"Promotion_Demand_Spike",IF(AND(A450=DATE(2026,6,8),B450="C002",C450="P004"),"Under_Forecast",IF(AND(A450=DATE(2026,7,20),B450="C003",C450="P003"),"Over_Forecast","Normal")))</f>
        <v>Under_Forecast</v>
      </c>
      <c r="K450">
        <f t="shared" ref="K450:K513" si="60">IF(J450="Promotion_Demand_Spike",ROUND(G450*1.35,0),IF(J450="Under_Forecast",ROUND(I450*1.25,0),IF(J450="Over_Forecast",ROUND(I450*0.72,0),G450)))</f>
        <v>3883</v>
      </c>
      <c r="L450">
        <f t="shared" ref="L450:L513" si="61">K450-I450</f>
        <v>777</v>
      </c>
      <c r="M450" s="2">
        <f t="shared" ref="M450:M513" si="62">IF(I450=0,0,L450/I450)</f>
        <v>0.2501609787508049</v>
      </c>
      <c r="N450">
        <f t="shared" ref="N450:N513" si="63">ABS(L450)</f>
        <v>777</v>
      </c>
    </row>
    <row r="451" spans="1:14">
      <c r="A451" s="1" cm="1">
        <f t="array" ref="A451">INDEX(tblWeeks[Week_Start],INT((ROW()-2)/20)+1)</f>
        <v>46181</v>
      </c>
      <c r="B451" t="str" cm="1">
        <f t="array" ref="B451">INDEX(tblDemandAssumptions[Customer_ID],MOD(ROW()-2,20)+1)</f>
        <v>C002</v>
      </c>
      <c r="C451" t="str" cm="1">
        <f t="array" ref="C451">INDEX(tblDemandAssumptions[Product_ID],MOD(ROW()-2,20)+1)</f>
        <v>P005</v>
      </c>
      <c r="D451" cm="1">
        <f t="array" ref="D451">INDEX(tblDemandAssumptions[Baseline_Weekly_Qty],MOD(ROW()-2,20)+1)</f>
        <v>2200</v>
      </c>
      <c r="E451">
        <f t="shared" si="56"/>
        <v>1.05</v>
      </c>
      <c r="F451">
        <v>0.99</v>
      </c>
      <c r="G451">
        <f t="shared" si="57"/>
        <v>2287</v>
      </c>
      <c r="H451">
        <v>1.04</v>
      </c>
      <c r="I451">
        <f t="shared" si="58"/>
        <v>2402</v>
      </c>
      <c r="J451" t="str">
        <f t="shared" si="59"/>
        <v>Normal</v>
      </c>
      <c r="K451">
        <f t="shared" si="60"/>
        <v>2287</v>
      </c>
      <c r="L451">
        <f t="shared" si="61"/>
        <v>-115</v>
      </c>
      <c r="M451" s="2">
        <f t="shared" si="62"/>
        <v>-4.7876769358867609E-2</v>
      </c>
      <c r="N451">
        <f t="shared" si="63"/>
        <v>115</v>
      </c>
    </row>
    <row r="452" spans="1:14">
      <c r="A452" s="1" cm="1">
        <f t="array" ref="A452">INDEX(tblWeeks[Week_Start],INT((ROW()-2)/20)+1)</f>
        <v>46181</v>
      </c>
      <c r="B452" t="str" cm="1">
        <f t="array" ref="B452">INDEX(tblDemandAssumptions[Customer_ID],MOD(ROW()-2,20)+1)</f>
        <v>C003</v>
      </c>
      <c r="C452" t="str" cm="1">
        <f t="array" ref="C452">INDEX(tblDemandAssumptions[Product_ID],MOD(ROW()-2,20)+1)</f>
        <v>P001</v>
      </c>
      <c r="D452" cm="1">
        <f t="array" ref="D452">INDEX(tblDemandAssumptions[Baseline_Weekly_Qty],MOD(ROW()-2,20)+1)</f>
        <v>3000</v>
      </c>
      <c r="E452">
        <f t="shared" si="56"/>
        <v>1.05</v>
      </c>
      <c r="F452">
        <v>1.05</v>
      </c>
      <c r="G452">
        <f t="shared" si="57"/>
        <v>3308</v>
      </c>
      <c r="H452">
        <v>0.98</v>
      </c>
      <c r="I452">
        <f t="shared" si="58"/>
        <v>3087</v>
      </c>
      <c r="J452" t="str">
        <f t="shared" si="59"/>
        <v>Normal</v>
      </c>
      <c r="K452">
        <f t="shared" si="60"/>
        <v>3308</v>
      </c>
      <c r="L452">
        <f t="shared" si="61"/>
        <v>221</v>
      </c>
      <c r="M452" s="2">
        <f t="shared" si="62"/>
        <v>7.1590540978296077E-2</v>
      </c>
      <c r="N452">
        <f t="shared" si="63"/>
        <v>221</v>
      </c>
    </row>
    <row r="453" spans="1:14">
      <c r="A453" s="1" cm="1">
        <f t="array" ref="A453">INDEX(tblWeeks[Week_Start],INT((ROW()-2)/20)+1)</f>
        <v>46181</v>
      </c>
      <c r="B453" t="str" cm="1">
        <f t="array" ref="B453">INDEX(tblDemandAssumptions[Customer_ID],MOD(ROW()-2,20)+1)</f>
        <v>C003</v>
      </c>
      <c r="C453" t="str" cm="1">
        <f t="array" ref="C453">INDEX(tblDemandAssumptions[Product_ID],MOD(ROW()-2,20)+1)</f>
        <v>P002</v>
      </c>
      <c r="D453" cm="1">
        <f t="array" ref="D453">INDEX(tblDemandAssumptions[Baseline_Weekly_Qty],MOD(ROW()-2,20)+1)</f>
        <v>2700</v>
      </c>
      <c r="E453">
        <f t="shared" si="56"/>
        <v>1.05</v>
      </c>
      <c r="F453">
        <v>1.05</v>
      </c>
      <c r="G453">
        <f t="shared" si="57"/>
        <v>2977</v>
      </c>
      <c r="H453">
        <v>0.96</v>
      </c>
      <c r="I453">
        <f t="shared" si="58"/>
        <v>2722</v>
      </c>
      <c r="J453" t="str">
        <f t="shared" si="59"/>
        <v>Normal</v>
      </c>
      <c r="K453">
        <f t="shared" si="60"/>
        <v>2977</v>
      </c>
      <c r="L453">
        <f t="shared" si="61"/>
        <v>255</v>
      </c>
      <c r="M453" s="2">
        <f t="shared" si="62"/>
        <v>9.3681116825863331E-2</v>
      </c>
      <c r="N453">
        <f t="shared" si="63"/>
        <v>255</v>
      </c>
    </row>
    <row r="454" spans="1:14">
      <c r="A454" s="1" cm="1">
        <f t="array" ref="A454">INDEX(tblWeeks[Week_Start],INT((ROW()-2)/20)+1)</f>
        <v>46181</v>
      </c>
      <c r="B454" t="str" cm="1">
        <f t="array" ref="B454">INDEX(tblDemandAssumptions[Customer_ID],MOD(ROW()-2,20)+1)</f>
        <v>C003</v>
      </c>
      <c r="C454" t="str" cm="1">
        <f t="array" ref="C454">INDEX(tblDemandAssumptions[Product_ID],MOD(ROW()-2,20)+1)</f>
        <v>P003</v>
      </c>
      <c r="D454" cm="1">
        <f t="array" ref="D454">INDEX(tblDemandAssumptions[Baseline_Weekly_Qty],MOD(ROW()-2,20)+1)</f>
        <v>2800</v>
      </c>
      <c r="E454">
        <f t="shared" si="56"/>
        <v>1.05</v>
      </c>
      <c r="F454">
        <v>0.98</v>
      </c>
      <c r="G454">
        <f t="shared" si="57"/>
        <v>2881</v>
      </c>
      <c r="H454">
        <v>1.01</v>
      </c>
      <c r="I454">
        <f t="shared" si="58"/>
        <v>2969</v>
      </c>
      <c r="J454" t="str">
        <f t="shared" si="59"/>
        <v>Normal</v>
      </c>
      <c r="K454">
        <f t="shared" si="60"/>
        <v>2881</v>
      </c>
      <c r="L454">
        <f t="shared" si="61"/>
        <v>-88</v>
      </c>
      <c r="M454" s="2">
        <f t="shared" si="62"/>
        <v>-2.9639609296059279E-2</v>
      </c>
      <c r="N454">
        <f t="shared" si="63"/>
        <v>88</v>
      </c>
    </row>
    <row r="455" spans="1:14">
      <c r="A455" s="1" cm="1">
        <f t="array" ref="A455">INDEX(tblWeeks[Week_Start],INT((ROW()-2)/20)+1)</f>
        <v>46181</v>
      </c>
      <c r="B455" t="str" cm="1">
        <f t="array" ref="B455">INDEX(tblDemandAssumptions[Customer_ID],MOD(ROW()-2,20)+1)</f>
        <v>C003</v>
      </c>
      <c r="C455" t="str" cm="1">
        <f t="array" ref="C455">INDEX(tblDemandAssumptions[Product_ID],MOD(ROW()-2,20)+1)</f>
        <v>P004</v>
      </c>
      <c r="D455" cm="1">
        <f t="array" ref="D455">INDEX(tblDemandAssumptions[Baseline_Weekly_Qty],MOD(ROW()-2,20)+1)</f>
        <v>2400</v>
      </c>
      <c r="E455">
        <f t="shared" si="56"/>
        <v>1.05</v>
      </c>
      <c r="F455">
        <v>1.01</v>
      </c>
      <c r="G455">
        <f t="shared" si="57"/>
        <v>2545</v>
      </c>
      <c r="H455">
        <v>1.03</v>
      </c>
      <c r="I455">
        <f t="shared" si="58"/>
        <v>2596</v>
      </c>
      <c r="J455" t="str">
        <f t="shared" si="59"/>
        <v>Normal</v>
      </c>
      <c r="K455">
        <f t="shared" si="60"/>
        <v>2545</v>
      </c>
      <c r="L455">
        <f t="shared" si="61"/>
        <v>-51</v>
      </c>
      <c r="M455" s="2">
        <f t="shared" si="62"/>
        <v>-1.9645608628659477E-2</v>
      </c>
      <c r="N455">
        <f t="shared" si="63"/>
        <v>51</v>
      </c>
    </row>
    <row r="456" spans="1:14">
      <c r="A456" s="1" cm="1">
        <f t="array" ref="A456">INDEX(tblWeeks[Week_Start],INT((ROW()-2)/20)+1)</f>
        <v>46181</v>
      </c>
      <c r="B456" t="str" cm="1">
        <f t="array" ref="B456">INDEX(tblDemandAssumptions[Customer_ID],MOD(ROW()-2,20)+1)</f>
        <v>C003</v>
      </c>
      <c r="C456" t="str" cm="1">
        <f t="array" ref="C456">INDEX(tblDemandAssumptions[Product_ID],MOD(ROW()-2,20)+1)</f>
        <v>P005</v>
      </c>
      <c r="D456" cm="1">
        <f t="array" ref="D456">INDEX(tblDemandAssumptions[Baseline_Weekly_Qty],MOD(ROW()-2,20)+1)</f>
        <v>1900</v>
      </c>
      <c r="E456">
        <f t="shared" si="56"/>
        <v>1.05</v>
      </c>
      <c r="F456">
        <v>0.99</v>
      </c>
      <c r="G456">
        <f t="shared" si="57"/>
        <v>1975</v>
      </c>
      <c r="H456">
        <v>1.04</v>
      </c>
      <c r="I456">
        <f t="shared" si="58"/>
        <v>2075</v>
      </c>
      <c r="J456" t="str">
        <f t="shared" si="59"/>
        <v>Normal</v>
      </c>
      <c r="K456">
        <f t="shared" si="60"/>
        <v>1975</v>
      </c>
      <c r="L456">
        <f t="shared" si="61"/>
        <v>-100</v>
      </c>
      <c r="M456" s="2">
        <f t="shared" si="62"/>
        <v>-4.8192771084337352E-2</v>
      </c>
      <c r="N456">
        <f t="shared" si="63"/>
        <v>100</v>
      </c>
    </row>
    <row r="457" spans="1:14">
      <c r="A457" s="1" cm="1">
        <f t="array" ref="A457">INDEX(tblWeeks[Week_Start],INT((ROW()-2)/20)+1)</f>
        <v>46181</v>
      </c>
      <c r="B457" t="str" cm="1">
        <f t="array" ref="B457">INDEX(tblDemandAssumptions[Customer_ID],MOD(ROW()-2,20)+1)</f>
        <v>C004</v>
      </c>
      <c r="C457" t="str" cm="1">
        <f t="array" ref="C457">INDEX(tblDemandAssumptions[Product_ID],MOD(ROW()-2,20)+1)</f>
        <v>P001</v>
      </c>
      <c r="D457" cm="1">
        <f t="array" ref="D457">INDEX(tblDemandAssumptions[Baseline_Weekly_Qty],MOD(ROW()-2,20)+1)</f>
        <v>2700</v>
      </c>
      <c r="E457">
        <f t="shared" si="56"/>
        <v>1.05</v>
      </c>
      <c r="F457">
        <v>0.97</v>
      </c>
      <c r="G457">
        <f t="shared" si="57"/>
        <v>2750</v>
      </c>
      <c r="H457">
        <v>0.97</v>
      </c>
      <c r="I457">
        <f t="shared" si="58"/>
        <v>2750</v>
      </c>
      <c r="J457" t="str">
        <f t="shared" si="59"/>
        <v>Normal</v>
      </c>
      <c r="K457">
        <f t="shared" si="60"/>
        <v>2750</v>
      </c>
      <c r="L457">
        <f t="shared" si="61"/>
        <v>0</v>
      </c>
      <c r="M457" s="2">
        <f t="shared" si="62"/>
        <v>0</v>
      </c>
      <c r="N457">
        <f t="shared" si="63"/>
        <v>0</v>
      </c>
    </row>
    <row r="458" spans="1:14">
      <c r="A458" s="1" cm="1">
        <f t="array" ref="A458">INDEX(tblWeeks[Week_Start],INT((ROW()-2)/20)+1)</f>
        <v>46181</v>
      </c>
      <c r="B458" t="str" cm="1">
        <f t="array" ref="B458">INDEX(tblDemandAssumptions[Customer_ID],MOD(ROW()-2,20)+1)</f>
        <v>C004</v>
      </c>
      <c r="C458" t="str" cm="1">
        <f t="array" ref="C458">INDEX(tblDemandAssumptions[Product_ID],MOD(ROW()-2,20)+1)</f>
        <v>P002</v>
      </c>
      <c r="D458" cm="1">
        <f t="array" ref="D458">INDEX(tblDemandAssumptions[Baseline_Weekly_Qty],MOD(ROW()-2,20)+1)</f>
        <v>2400</v>
      </c>
      <c r="E458">
        <f t="shared" si="56"/>
        <v>1.05</v>
      </c>
      <c r="F458">
        <v>0.97</v>
      </c>
      <c r="G458">
        <f t="shared" si="57"/>
        <v>2444</v>
      </c>
      <c r="H458">
        <v>0.96</v>
      </c>
      <c r="I458">
        <f t="shared" si="58"/>
        <v>2419</v>
      </c>
      <c r="J458" t="str">
        <f t="shared" si="59"/>
        <v>Normal</v>
      </c>
      <c r="K458">
        <f t="shared" si="60"/>
        <v>2444</v>
      </c>
      <c r="L458">
        <f t="shared" si="61"/>
        <v>25</v>
      </c>
      <c r="M458" s="2">
        <f t="shared" si="62"/>
        <v>1.0334849111202976E-2</v>
      </c>
      <c r="N458">
        <f t="shared" si="63"/>
        <v>25</v>
      </c>
    </row>
    <row r="459" spans="1:14">
      <c r="A459" s="1" cm="1">
        <f t="array" ref="A459">INDEX(tblWeeks[Week_Start],INT((ROW()-2)/20)+1)</f>
        <v>46181</v>
      </c>
      <c r="B459" t="str" cm="1">
        <f t="array" ref="B459">INDEX(tblDemandAssumptions[Customer_ID],MOD(ROW()-2,20)+1)</f>
        <v>C004</v>
      </c>
      <c r="C459" t="str" cm="1">
        <f t="array" ref="C459">INDEX(tblDemandAssumptions[Product_ID],MOD(ROW()-2,20)+1)</f>
        <v>P003</v>
      </c>
      <c r="D459" cm="1">
        <f t="array" ref="D459">INDEX(tblDemandAssumptions[Baseline_Weekly_Qty],MOD(ROW()-2,20)+1)</f>
        <v>2100</v>
      </c>
      <c r="E459">
        <f t="shared" si="56"/>
        <v>1.05</v>
      </c>
      <c r="F459">
        <v>1.01</v>
      </c>
      <c r="G459">
        <f t="shared" si="57"/>
        <v>2227</v>
      </c>
      <c r="H459">
        <v>1.01</v>
      </c>
      <c r="I459">
        <f t="shared" si="58"/>
        <v>2227</v>
      </c>
      <c r="J459" t="str">
        <f t="shared" si="59"/>
        <v>Normal</v>
      </c>
      <c r="K459">
        <f t="shared" si="60"/>
        <v>2227</v>
      </c>
      <c r="L459">
        <f t="shared" si="61"/>
        <v>0</v>
      </c>
      <c r="M459" s="2">
        <f t="shared" si="62"/>
        <v>0</v>
      </c>
      <c r="N459">
        <f t="shared" si="63"/>
        <v>0</v>
      </c>
    </row>
    <row r="460" spans="1:14">
      <c r="A460" s="1" cm="1">
        <f t="array" ref="A460">INDEX(tblWeeks[Week_Start],INT((ROW()-2)/20)+1)</f>
        <v>46181</v>
      </c>
      <c r="B460" t="str" cm="1">
        <f t="array" ref="B460">INDEX(tblDemandAssumptions[Customer_ID],MOD(ROW()-2,20)+1)</f>
        <v>C004</v>
      </c>
      <c r="C460" t="str" cm="1">
        <f t="array" ref="C460">INDEX(tblDemandAssumptions[Product_ID],MOD(ROW()-2,20)+1)</f>
        <v>P004</v>
      </c>
      <c r="D460" cm="1">
        <f t="array" ref="D460">INDEX(tblDemandAssumptions[Baseline_Weekly_Qty],MOD(ROW()-2,20)+1)</f>
        <v>2600</v>
      </c>
      <c r="E460">
        <f t="shared" si="56"/>
        <v>1.05</v>
      </c>
      <c r="F460">
        <v>1</v>
      </c>
      <c r="G460">
        <f t="shared" si="57"/>
        <v>2730</v>
      </c>
      <c r="H460">
        <v>1</v>
      </c>
      <c r="I460">
        <f t="shared" si="58"/>
        <v>2730</v>
      </c>
      <c r="J460" t="str">
        <f t="shared" si="59"/>
        <v>Normal</v>
      </c>
      <c r="K460">
        <f t="shared" si="60"/>
        <v>2730</v>
      </c>
      <c r="L460">
        <f t="shared" si="61"/>
        <v>0</v>
      </c>
      <c r="M460" s="2">
        <f t="shared" si="62"/>
        <v>0</v>
      </c>
      <c r="N460">
        <f t="shared" si="63"/>
        <v>0</v>
      </c>
    </row>
    <row r="461" spans="1:14">
      <c r="A461" s="1" cm="1">
        <f t="array" ref="A461">INDEX(tblWeeks[Week_Start],INT((ROW()-2)/20)+1)</f>
        <v>46181</v>
      </c>
      <c r="B461" t="str" cm="1">
        <f t="array" ref="B461">INDEX(tblDemandAssumptions[Customer_ID],MOD(ROW()-2,20)+1)</f>
        <v>C004</v>
      </c>
      <c r="C461" t="str" cm="1">
        <f t="array" ref="C461">INDEX(tblDemandAssumptions[Product_ID],MOD(ROW()-2,20)+1)</f>
        <v>P005</v>
      </c>
      <c r="D461" cm="1">
        <f t="array" ref="D461">INDEX(tblDemandAssumptions[Baseline_Weekly_Qty],MOD(ROW()-2,20)+1)</f>
        <v>1800</v>
      </c>
      <c r="E461">
        <f t="shared" si="56"/>
        <v>1.05</v>
      </c>
      <c r="F461">
        <v>1</v>
      </c>
      <c r="G461">
        <f t="shared" si="57"/>
        <v>1890</v>
      </c>
      <c r="H461">
        <v>1.03</v>
      </c>
      <c r="I461">
        <f t="shared" si="58"/>
        <v>1947</v>
      </c>
      <c r="J461" t="str">
        <f t="shared" si="59"/>
        <v>Normal</v>
      </c>
      <c r="K461">
        <f t="shared" si="60"/>
        <v>1890</v>
      </c>
      <c r="L461">
        <f t="shared" si="61"/>
        <v>-57</v>
      </c>
      <c r="M461" s="2">
        <f t="shared" si="62"/>
        <v>-2.9275808936825885E-2</v>
      </c>
      <c r="N461">
        <f t="shared" si="63"/>
        <v>57</v>
      </c>
    </row>
    <row r="462" spans="1:14">
      <c r="A462" s="1" cm="1">
        <f t="array" ref="A462">INDEX(tblWeeks[Week_Start],INT((ROW()-2)/20)+1)</f>
        <v>46188</v>
      </c>
      <c r="B462" t="str" cm="1">
        <f t="array" ref="B462">INDEX(tblDemandAssumptions[Customer_ID],MOD(ROW()-2,20)+1)</f>
        <v>C001</v>
      </c>
      <c r="C462" t="str" cm="1">
        <f t="array" ref="C462">INDEX(tblDemandAssumptions[Product_ID],MOD(ROW()-2,20)+1)</f>
        <v>P001</v>
      </c>
      <c r="D462" cm="1">
        <f t="array" ref="D462">INDEX(tblDemandAssumptions[Baseline_Weekly_Qty],MOD(ROW()-2,20)+1)</f>
        <v>5200</v>
      </c>
      <c r="E462">
        <f t="shared" si="56"/>
        <v>1.05</v>
      </c>
      <c r="F462">
        <v>0.97</v>
      </c>
      <c r="G462">
        <f t="shared" si="57"/>
        <v>5296</v>
      </c>
      <c r="H462">
        <v>0.99</v>
      </c>
      <c r="I462">
        <f t="shared" si="58"/>
        <v>5405</v>
      </c>
      <c r="J462" t="str">
        <f t="shared" si="59"/>
        <v>Normal</v>
      </c>
      <c r="K462">
        <f t="shared" si="60"/>
        <v>5296</v>
      </c>
      <c r="L462">
        <f t="shared" si="61"/>
        <v>-109</v>
      </c>
      <c r="M462" s="2">
        <f t="shared" si="62"/>
        <v>-2.0166512488436632E-2</v>
      </c>
      <c r="N462">
        <f t="shared" si="63"/>
        <v>109</v>
      </c>
    </row>
    <row r="463" spans="1:14">
      <c r="A463" s="1" cm="1">
        <f t="array" ref="A463">INDEX(tblWeeks[Week_Start],INT((ROW()-2)/20)+1)</f>
        <v>46188</v>
      </c>
      <c r="B463" t="str" cm="1">
        <f t="array" ref="B463">INDEX(tblDemandAssumptions[Customer_ID],MOD(ROW()-2,20)+1)</f>
        <v>C001</v>
      </c>
      <c r="C463" t="str" cm="1">
        <f t="array" ref="C463">INDEX(tblDemandAssumptions[Product_ID],MOD(ROW()-2,20)+1)</f>
        <v>P002</v>
      </c>
      <c r="D463" cm="1">
        <f t="array" ref="D463">INDEX(tblDemandAssumptions[Baseline_Weekly_Qty],MOD(ROW()-2,20)+1)</f>
        <v>4100</v>
      </c>
      <c r="E463">
        <f t="shared" si="56"/>
        <v>1.05</v>
      </c>
      <c r="F463">
        <v>0.95</v>
      </c>
      <c r="G463">
        <f t="shared" si="57"/>
        <v>4090</v>
      </c>
      <c r="H463">
        <v>0.97</v>
      </c>
      <c r="I463">
        <f t="shared" si="58"/>
        <v>4176</v>
      </c>
      <c r="J463" t="str">
        <f t="shared" si="59"/>
        <v>Normal</v>
      </c>
      <c r="K463">
        <f t="shared" si="60"/>
        <v>4090</v>
      </c>
      <c r="L463">
        <f t="shared" si="61"/>
        <v>-86</v>
      </c>
      <c r="M463" s="2">
        <f t="shared" si="62"/>
        <v>-2.0593869731800767E-2</v>
      </c>
      <c r="N463">
        <f t="shared" si="63"/>
        <v>86</v>
      </c>
    </row>
    <row r="464" spans="1:14">
      <c r="A464" s="1" cm="1">
        <f t="array" ref="A464">INDEX(tblWeeks[Week_Start],INT((ROW()-2)/20)+1)</f>
        <v>46188</v>
      </c>
      <c r="B464" t="str" cm="1">
        <f t="array" ref="B464">INDEX(tblDemandAssumptions[Customer_ID],MOD(ROW()-2,20)+1)</f>
        <v>C001</v>
      </c>
      <c r="C464" t="str" cm="1">
        <f t="array" ref="C464">INDEX(tblDemandAssumptions[Product_ID],MOD(ROW()-2,20)+1)</f>
        <v>P003</v>
      </c>
      <c r="D464" cm="1">
        <f t="array" ref="D464">INDEX(tblDemandAssumptions[Baseline_Weekly_Qty],MOD(ROW()-2,20)+1)</f>
        <v>3300</v>
      </c>
      <c r="E464">
        <f t="shared" si="56"/>
        <v>1.05</v>
      </c>
      <c r="F464">
        <v>0.95</v>
      </c>
      <c r="G464">
        <f t="shared" si="57"/>
        <v>3292</v>
      </c>
      <c r="H464">
        <v>1</v>
      </c>
      <c r="I464">
        <f t="shared" si="58"/>
        <v>3465</v>
      </c>
      <c r="J464" t="str">
        <f t="shared" si="59"/>
        <v>Normal</v>
      </c>
      <c r="K464">
        <f t="shared" si="60"/>
        <v>3292</v>
      </c>
      <c r="L464">
        <f t="shared" si="61"/>
        <v>-173</v>
      </c>
      <c r="M464" s="2">
        <f t="shared" si="62"/>
        <v>-4.9927849927849925E-2</v>
      </c>
      <c r="N464">
        <f t="shared" si="63"/>
        <v>173</v>
      </c>
    </row>
    <row r="465" spans="1:14">
      <c r="A465" s="1" cm="1">
        <f t="array" ref="A465">INDEX(tblWeeks[Week_Start],INT((ROW()-2)/20)+1)</f>
        <v>46188</v>
      </c>
      <c r="B465" t="str" cm="1">
        <f t="array" ref="B465">INDEX(tblDemandAssumptions[Customer_ID],MOD(ROW()-2,20)+1)</f>
        <v>C001</v>
      </c>
      <c r="C465" t="str" cm="1">
        <f t="array" ref="C465">INDEX(tblDemandAssumptions[Product_ID],MOD(ROW()-2,20)+1)</f>
        <v>P004</v>
      </c>
      <c r="D465" cm="1">
        <f t="array" ref="D465">INDEX(tblDemandAssumptions[Baseline_Weekly_Qty],MOD(ROW()-2,20)+1)</f>
        <v>3600</v>
      </c>
      <c r="E465">
        <f t="shared" si="56"/>
        <v>1.05</v>
      </c>
      <c r="F465">
        <v>1.01</v>
      </c>
      <c r="G465">
        <f t="shared" si="57"/>
        <v>3818</v>
      </c>
      <c r="H465">
        <v>0.98</v>
      </c>
      <c r="I465">
        <f t="shared" si="58"/>
        <v>3704</v>
      </c>
      <c r="J465" t="str">
        <f t="shared" si="59"/>
        <v>Normal</v>
      </c>
      <c r="K465">
        <f t="shared" si="60"/>
        <v>3818</v>
      </c>
      <c r="L465">
        <f t="shared" si="61"/>
        <v>114</v>
      </c>
      <c r="M465" s="2">
        <f t="shared" si="62"/>
        <v>3.0777537796976243E-2</v>
      </c>
      <c r="N465">
        <f t="shared" si="63"/>
        <v>114</v>
      </c>
    </row>
    <row r="466" spans="1:14">
      <c r="A466" s="1" cm="1">
        <f t="array" ref="A466">INDEX(tblWeeks[Week_Start],INT((ROW()-2)/20)+1)</f>
        <v>46188</v>
      </c>
      <c r="B466" t="str" cm="1">
        <f t="array" ref="B466">INDEX(tblDemandAssumptions[Customer_ID],MOD(ROW()-2,20)+1)</f>
        <v>C001</v>
      </c>
      <c r="C466" t="str" cm="1">
        <f t="array" ref="C466">INDEX(tblDemandAssumptions[Product_ID],MOD(ROW()-2,20)+1)</f>
        <v>P005</v>
      </c>
      <c r="D466" cm="1">
        <f t="array" ref="D466">INDEX(tblDemandAssumptions[Baseline_Weekly_Qty],MOD(ROW()-2,20)+1)</f>
        <v>2800</v>
      </c>
      <c r="E466">
        <f t="shared" si="56"/>
        <v>1.05</v>
      </c>
      <c r="F466">
        <v>1</v>
      </c>
      <c r="G466">
        <f t="shared" si="57"/>
        <v>2940</v>
      </c>
      <c r="H466">
        <v>0.96</v>
      </c>
      <c r="I466">
        <f t="shared" si="58"/>
        <v>2822</v>
      </c>
      <c r="J466" t="str">
        <f t="shared" si="59"/>
        <v>Normal</v>
      </c>
      <c r="K466">
        <f t="shared" si="60"/>
        <v>2940</v>
      </c>
      <c r="L466">
        <f t="shared" si="61"/>
        <v>118</v>
      </c>
      <c r="M466" s="2">
        <f t="shared" si="62"/>
        <v>4.1814316087880936E-2</v>
      </c>
      <c r="N466">
        <f t="shared" si="63"/>
        <v>118</v>
      </c>
    </row>
    <row r="467" spans="1:14">
      <c r="A467" s="1" cm="1">
        <f t="array" ref="A467">INDEX(tblWeeks[Week_Start],INT((ROW()-2)/20)+1)</f>
        <v>46188</v>
      </c>
      <c r="B467" t="str" cm="1">
        <f t="array" ref="B467">INDEX(tblDemandAssumptions[Customer_ID],MOD(ROW()-2,20)+1)</f>
        <v>C002</v>
      </c>
      <c r="C467" t="str" cm="1">
        <f t="array" ref="C467">INDEX(tblDemandAssumptions[Product_ID],MOD(ROW()-2,20)+1)</f>
        <v>P001</v>
      </c>
      <c r="D467" cm="1">
        <f t="array" ref="D467">INDEX(tblDemandAssumptions[Baseline_Weekly_Qty],MOD(ROW()-2,20)+1)</f>
        <v>3400</v>
      </c>
      <c r="E467">
        <f t="shared" si="56"/>
        <v>1.05</v>
      </c>
      <c r="F467">
        <v>1.01</v>
      </c>
      <c r="G467">
        <f t="shared" si="57"/>
        <v>3606</v>
      </c>
      <c r="H467">
        <v>1.02</v>
      </c>
      <c r="I467">
        <f t="shared" si="58"/>
        <v>3641</v>
      </c>
      <c r="J467" t="str">
        <f t="shared" si="59"/>
        <v>Normal</v>
      </c>
      <c r="K467">
        <f t="shared" si="60"/>
        <v>3606</v>
      </c>
      <c r="L467">
        <f t="shared" si="61"/>
        <v>-35</v>
      </c>
      <c r="M467" s="2">
        <f t="shared" si="62"/>
        <v>-9.6127437517165622E-3</v>
      </c>
      <c r="N467">
        <f t="shared" si="63"/>
        <v>35</v>
      </c>
    </row>
    <row r="468" spans="1:14">
      <c r="A468" s="1" cm="1">
        <f t="array" ref="A468">INDEX(tblWeeks[Week_Start],INT((ROW()-2)/20)+1)</f>
        <v>46188</v>
      </c>
      <c r="B468" t="str" cm="1">
        <f t="array" ref="B468">INDEX(tblDemandAssumptions[Customer_ID],MOD(ROW()-2,20)+1)</f>
        <v>C002</v>
      </c>
      <c r="C468" t="str" cm="1">
        <f t="array" ref="C468">INDEX(tblDemandAssumptions[Product_ID],MOD(ROW()-2,20)+1)</f>
        <v>P002</v>
      </c>
      <c r="D468" cm="1">
        <f t="array" ref="D468">INDEX(tblDemandAssumptions[Baseline_Weekly_Qty],MOD(ROW()-2,20)+1)</f>
        <v>3200</v>
      </c>
      <c r="E468">
        <f t="shared" si="56"/>
        <v>1.05</v>
      </c>
      <c r="F468">
        <v>1.01</v>
      </c>
      <c r="G468">
        <f t="shared" si="57"/>
        <v>3394</v>
      </c>
      <c r="H468">
        <v>0.96</v>
      </c>
      <c r="I468">
        <f t="shared" si="58"/>
        <v>3226</v>
      </c>
      <c r="J468" t="str">
        <f t="shared" si="59"/>
        <v>Normal</v>
      </c>
      <c r="K468">
        <f t="shared" si="60"/>
        <v>3394</v>
      </c>
      <c r="L468">
        <f t="shared" si="61"/>
        <v>168</v>
      </c>
      <c r="M468" s="2">
        <f t="shared" si="62"/>
        <v>5.2076875387476754E-2</v>
      </c>
      <c r="N468">
        <f t="shared" si="63"/>
        <v>168</v>
      </c>
    </row>
    <row r="469" spans="1:14">
      <c r="A469" s="1" cm="1">
        <f t="array" ref="A469">INDEX(tblWeeks[Week_Start],INT((ROW()-2)/20)+1)</f>
        <v>46188</v>
      </c>
      <c r="B469" t="str" cm="1">
        <f t="array" ref="B469">INDEX(tblDemandAssumptions[Customer_ID],MOD(ROW()-2,20)+1)</f>
        <v>C002</v>
      </c>
      <c r="C469" t="str" cm="1">
        <f t="array" ref="C469">INDEX(tblDemandAssumptions[Product_ID],MOD(ROW()-2,20)+1)</f>
        <v>P003</v>
      </c>
      <c r="D469" cm="1">
        <f t="array" ref="D469">INDEX(tblDemandAssumptions[Baseline_Weekly_Qty],MOD(ROW()-2,20)+1)</f>
        <v>2600</v>
      </c>
      <c r="E469">
        <f t="shared" si="56"/>
        <v>1.05</v>
      </c>
      <c r="F469">
        <v>0.98</v>
      </c>
      <c r="G469">
        <f t="shared" si="57"/>
        <v>2675</v>
      </c>
      <c r="H469">
        <v>0.96</v>
      </c>
      <c r="I469">
        <f t="shared" si="58"/>
        <v>2621</v>
      </c>
      <c r="J469" t="str">
        <f t="shared" si="59"/>
        <v>Normal</v>
      </c>
      <c r="K469">
        <f t="shared" si="60"/>
        <v>2675</v>
      </c>
      <c r="L469">
        <f t="shared" si="61"/>
        <v>54</v>
      </c>
      <c r="M469" s="2">
        <f t="shared" si="62"/>
        <v>2.0602823349866461E-2</v>
      </c>
      <c r="N469">
        <f t="shared" si="63"/>
        <v>54</v>
      </c>
    </row>
    <row r="470" spans="1:14">
      <c r="A470" s="1" cm="1">
        <f t="array" ref="A470">INDEX(tblWeeks[Week_Start],INT((ROW()-2)/20)+1)</f>
        <v>46188</v>
      </c>
      <c r="B470" t="str" cm="1">
        <f t="array" ref="B470">INDEX(tblDemandAssumptions[Customer_ID],MOD(ROW()-2,20)+1)</f>
        <v>C002</v>
      </c>
      <c r="C470" t="str" cm="1">
        <f t="array" ref="C470">INDEX(tblDemandAssumptions[Product_ID],MOD(ROW()-2,20)+1)</f>
        <v>P004</v>
      </c>
      <c r="D470" cm="1">
        <f t="array" ref="D470">INDEX(tblDemandAssumptions[Baseline_Weekly_Qty],MOD(ROW()-2,20)+1)</f>
        <v>2900</v>
      </c>
      <c r="E470">
        <f t="shared" si="56"/>
        <v>1.05</v>
      </c>
      <c r="F470">
        <v>1.05</v>
      </c>
      <c r="G470">
        <f t="shared" si="57"/>
        <v>3197</v>
      </c>
      <c r="H470">
        <v>1.04</v>
      </c>
      <c r="I470">
        <f t="shared" si="58"/>
        <v>3167</v>
      </c>
      <c r="J470" t="str">
        <f t="shared" si="59"/>
        <v>Normal</v>
      </c>
      <c r="K470">
        <f t="shared" si="60"/>
        <v>3197</v>
      </c>
      <c r="L470">
        <f t="shared" si="61"/>
        <v>30</v>
      </c>
      <c r="M470" s="2">
        <f t="shared" si="62"/>
        <v>9.4726870855699405E-3</v>
      </c>
      <c r="N470">
        <f t="shared" si="63"/>
        <v>30</v>
      </c>
    </row>
    <row r="471" spans="1:14">
      <c r="A471" s="1" cm="1">
        <f t="array" ref="A471">INDEX(tblWeeks[Week_Start],INT((ROW()-2)/20)+1)</f>
        <v>46188</v>
      </c>
      <c r="B471" t="str" cm="1">
        <f t="array" ref="B471">INDEX(tblDemandAssumptions[Customer_ID],MOD(ROW()-2,20)+1)</f>
        <v>C002</v>
      </c>
      <c r="C471" t="str" cm="1">
        <f t="array" ref="C471">INDEX(tblDemandAssumptions[Product_ID],MOD(ROW()-2,20)+1)</f>
        <v>P005</v>
      </c>
      <c r="D471" cm="1">
        <f t="array" ref="D471">INDEX(tblDemandAssumptions[Baseline_Weekly_Qty],MOD(ROW()-2,20)+1)</f>
        <v>2200</v>
      </c>
      <c r="E471">
        <f t="shared" si="56"/>
        <v>1.05</v>
      </c>
      <c r="F471">
        <v>1</v>
      </c>
      <c r="G471">
        <f t="shared" si="57"/>
        <v>2310</v>
      </c>
      <c r="H471">
        <v>1.01</v>
      </c>
      <c r="I471">
        <f t="shared" si="58"/>
        <v>2333</v>
      </c>
      <c r="J471" t="str">
        <f t="shared" si="59"/>
        <v>Normal</v>
      </c>
      <c r="K471">
        <f t="shared" si="60"/>
        <v>2310</v>
      </c>
      <c r="L471">
        <f t="shared" si="61"/>
        <v>-23</v>
      </c>
      <c r="M471" s="2">
        <f t="shared" si="62"/>
        <v>-9.8585512216030867E-3</v>
      </c>
      <c r="N471">
        <f t="shared" si="63"/>
        <v>23</v>
      </c>
    </row>
    <row r="472" spans="1:14">
      <c r="A472" s="1" cm="1">
        <f t="array" ref="A472">INDEX(tblWeeks[Week_Start],INT((ROW()-2)/20)+1)</f>
        <v>46188</v>
      </c>
      <c r="B472" t="str" cm="1">
        <f t="array" ref="B472">INDEX(tblDemandAssumptions[Customer_ID],MOD(ROW()-2,20)+1)</f>
        <v>C003</v>
      </c>
      <c r="C472" t="str" cm="1">
        <f t="array" ref="C472">INDEX(tblDemandAssumptions[Product_ID],MOD(ROW()-2,20)+1)</f>
        <v>P001</v>
      </c>
      <c r="D472" cm="1">
        <f t="array" ref="D472">INDEX(tblDemandAssumptions[Baseline_Weekly_Qty],MOD(ROW()-2,20)+1)</f>
        <v>3000</v>
      </c>
      <c r="E472">
        <f t="shared" si="56"/>
        <v>1.05</v>
      </c>
      <c r="F472">
        <v>0.97</v>
      </c>
      <c r="G472">
        <f t="shared" si="57"/>
        <v>3056</v>
      </c>
      <c r="H472">
        <v>0.97</v>
      </c>
      <c r="I472">
        <f t="shared" si="58"/>
        <v>3056</v>
      </c>
      <c r="J472" t="str">
        <f t="shared" si="59"/>
        <v>Normal</v>
      </c>
      <c r="K472">
        <f t="shared" si="60"/>
        <v>3056</v>
      </c>
      <c r="L472">
        <f t="shared" si="61"/>
        <v>0</v>
      </c>
      <c r="M472" s="2">
        <f t="shared" si="62"/>
        <v>0</v>
      </c>
      <c r="N472">
        <f t="shared" si="63"/>
        <v>0</v>
      </c>
    </row>
    <row r="473" spans="1:14">
      <c r="A473" s="1" cm="1">
        <f t="array" ref="A473">INDEX(tblWeeks[Week_Start],INT((ROW()-2)/20)+1)</f>
        <v>46188</v>
      </c>
      <c r="B473" t="str" cm="1">
        <f t="array" ref="B473">INDEX(tblDemandAssumptions[Customer_ID],MOD(ROW()-2,20)+1)</f>
        <v>C003</v>
      </c>
      <c r="C473" t="str" cm="1">
        <f t="array" ref="C473">INDEX(tblDemandAssumptions[Product_ID],MOD(ROW()-2,20)+1)</f>
        <v>P002</v>
      </c>
      <c r="D473" cm="1">
        <f t="array" ref="D473">INDEX(tblDemandAssumptions[Baseline_Weekly_Qty],MOD(ROW()-2,20)+1)</f>
        <v>2700</v>
      </c>
      <c r="E473">
        <f t="shared" si="56"/>
        <v>1.05</v>
      </c>
      <c r="F473">
        <v>0.95</v>
      </c>
      <c r="G473">
        <f t="shared" si="57"/>
        <v>2693</v>
      </c>
      <c r="H473">
        <v>1.01</v>
      </c>
      <c r="I473">
        <f t="shared" si="58"/>
        <v>2863</v>
      </c>
      <c r="J473" t="str">
        <f t="shared" si="59"/>
        <v>Normal</v>
      </c>
      <c r="K473">
        <f t="shared" si="60"/>
        <v>2693</v>
      </c>
      <c r="L473">
        <f t="shared" si="61"/>
        <v>-170</v>
      </c>
      <c r="M473" s="2">
        <f t="shared" si="62"/>
        <v>-5.9378274537198746E-2</v>
      </c>
      <c r="N473">
        <f t="shared" si="63"/>
        <v>170</v>
      </c>
    </row>
    <row r="474" spans="1:14">
      <c r="A474" s="1" cm="1">
        <f t="array" ref="A474">INDEX(tblWeeks[Week_Start],INT((ROW()-2)/20)+1)</f>
        <v>46188</v>
      </c>
      <c r="B474" t="str" cm="1">
        <f t="array" ref="B474">INDEX(tblDemandAssumptions[Customer_ID],MOD(ROW()-2,20)+1)</f>
        <v>C003</v>
      </c>
      <c r="C474" t="str" cm="1">
        <f t="array" ref="C474">INDEX(tblDemandAssumptions[Product_ID],MOD(ROW()-2,20)+1)</f>
        <v>P003</v>
      </c>
      <c r="D474" cm="1">
        <f t="array" ref="D474">INDEX(tblDemandAssumptions[Baseline_Weekly_Qty],MOD(ROW()-2,20)+1)</f>
        <v>2800</v>
      </c>
      <c r="E474">
        <f t="shared" si="56"/>
        <v>1.05</v>
      </c>
      <c r="F474">
        <v>0.96</v>
      </c>
      <c r="G474">
        <f t="shared" si="57"/>
        <v>2822</v>
      </c>
      <c r="H474">
        <v>1.01</v>
      </c>
      <c r="I474">
        <f t="shared" si="58"/>
        <v>2969</v>
      </c>
      <c r="J474" t="str">
        <f t="shared" si="59"/>
        <v>Normal</v>
      </c>
      <c r="K474">
        <f t="shared" si="60"/>
        <v>2822</v>
      </c>
      <c r="L474">
        <f t="shared" si="61"/>
        <v>-147</v>
      </c>
      <c r="M474" s="2">
        <f t="shared" si="62"/>
        <v>-4.9511620074099025E-2</v>
      </c>
      <c r="N474">
        <f t="shared" si="63"/>
        <v>147</v>
      </c>
    </row>
    <row r="475" spans="1:14">
      <c r="A475" s="1" cm="1">
        <f t="array" ref="A475">INDEX(tblWeeks[Week_Start],INT((ROW()-2)/20)+1)</f>
        <v>46188</v>
      </c>
      <c r="B475" t="str" cm="1">
        <f t="array" ref="B475">INDEX(tblDemandAssumptions[Customer_ID],MOD(ROW()-2,20)+1)</f>
        <v>C003</v>
      </c>
      <c r="C475" t="str" cm="1">
        <f t="array" ref="C475">INDEX(tblDemandAssumptions[Product_ID],MOD(ROW()-2,20)+1)</f>
        <v>P004</v>
      </c>
      <c r="D475" cm="1">
        <f t="array" ref="D475">INDEX(tblDemandAssumptions[Baseline_Weekly_Qty],MOD(ROW()-2,20)+1)</f>
        <v>2400</v>
      </c>
      <c r="E475">
        <f t="shared" si="56"/>
        <v>1.05</v>
      </c>
      <c r="F475">
        <v>1.02</v>
      </c>
      <c r="G475">
        <f t="shared" si="57"/>
        <v>2570</v>
      </c>
      <c r="H475">
        <v>0.99</v>
      </c>
      <c r="I475">
        <f t="shared" si="58"/>
        <v>2495</v>
      </c>
      <c r="J475" t="str">
        <f t="shared" si="59"/>
        <v>Normal</v>
      </c>
      <c r="K475">
        <f t="shared" si="60"/>
        <v>2570</v>
      </c>
      <c r="L475">
        <f t="shared" si="61"/>
        <v>75</v>
      </c>
      <c r="M475" s="2">
        <f t="shared" si="62"/>
        <v>3.0060120240480961E-2</v>
      </c>
      <c r="N475">
        <f t="shared" si="63"/>
        <v>75</v>
      </c>
    </row>
    <row r="476" spans="1:14">
      <c r="A476" s="1" cm="1">
        <f t="array" ref="A476">INDEX(tblWeeks[Week_Start],INT((ROW()-2)/20)+1)</f>
        <v>46188</v>
      </c>
      <c r="B476" t="str" cm="1">
        <f t="array" ref="B476">INDEX(tblDemandAssumptions[Customer_ID],MOD(ROW()-2,20)+1)</f>
        <v>C003</v>
      </c>
      <c r="C476" t="str" cm="1">
        <f t="array" ref="C476">INDEX(tblDemandAssumptions[Product_ID],MOD(ROW()-2,20)+1)</f>
        <v>P005</v>
      </c>
      <c r="D476" cm="1">
        <f t="array" ref="D476">INDEX(tblDemandAssumptions[Baseline_Weekly_Qty],MOD(ROW()-2,20)+1)</f>
        <v>1900</v>
      </c>
      <c r="E476">
        <f t="shared" si="56"/>
        <v>1.05</v>
      </c>
      <c r="F476">
        <v>0.95</v>
      </c>
      <c r="G476">
        <f t="shared" si="57"/>
        <v>1895</v>
      </c>
      <c r="H476">
        <v>1.02</v>
      </c>
      <c r="I476">
        <f t="shared" si="58"/>
        <v>2035</v>
      </c>
      <c r="J476" t="str">
        <f t="shared" si="59"/>
        <v>Normal</v>
      </c>
      <c r="K476">
        <f t="shared" si="60"/>
        <v>1895</v>
      </c>
      <c r="L476">
        <f t="shared" si="61"/>
        <v>-140</v>
      </c>
      <c r="M476" s="2">
        <f t="shared" si="62"/>
        <v>-6.8796068796068796E-2</v>
      </c>
      <c r="N476">
        <f t="shared" si="63"/>
        <v>140</v>
      </c>
    </row>
    <row r="477" spans="1:14">
      <c r="A477" s="1" cm="1">
        <f t="array" ref="A477">INDEX(tblWeeks[Week_Start],INT((ROW()-2)/20)+1)</f>
        <v>46188</v>
      </c>
      <c r="B477" t="str" cm="1">
        <f t="array" ref="B477">INDEX(tblDemandAssumptions[Customer_ID],MOD(ROW()-2,20)+1)</f>
        <v>C004</v>
      </c>
      <c r="C477" t="str" cm="1">
        <f t="array" ref="C477">INDEX(tblDemandAssumptions[Product_ID],MOD(ROW()-2,20)+1)</f>
        <v>P001</v>
      </c>
      <c r="D477" cm="1">
        <f t="array" ref="D477">INDEX(tblDemandAssumptions[Baseline_Weekly_Qty],MOD(ROW()-2,20)+1)</f>
        <v>2700</v>
      </c>
      <c r="E477">
        <f t="shared" si="56"/>
        <v>1.05</v>
      </c>
      <c r="F477">
        <v>1</v>
      </c>
      <c r="G477">
        <f t="shared" si="57"/>
        <v>2835</v>
      </c>
      <c r="H477">
        <v>1.02</v>
      </c>
      <c r="I477">
        <f t="shared" si="58"/>
        <v>2892</v>
      </c>
      <c r="J477" t="str">
        <f t="shared" si="59"/>
        <v>Normal</v>
      </c>
      <c r="K477">
        <f t="shared" si="60"/>
        <v>2835</v>
      </c>
      <c r="L477">
        <f t="shared" si="61"/>
        <v>-57</v>
      </c>
      <c r="M477" s="2">
        <f t="shared" si="62"/>
        <v>-1.970954356846473E-2</v>
      </c>
      <c r="N477">
        <f t="shared" si="63"/>
        <v>57</v>
      </c>
    </row>
    <row r="478" spans="1:14">
      <c r="A478" s="1" cm="1">
        <f t="array" ref="A478">INDEX(tblWeeks[Week_Start],INT((ROW()-2)/20)+1)</f>
        <v>46188</v>
      </c>
      <c r="B478" t="str" cm="1">
        <f t="array" ref="B478">INDEX(tblDemandAssumptions[Customer_ID],MOD(ROW()-2,20)+1)</f>
        <v>C004</v>
      </c>
      <c r="C478" t="str" cm="1">
        <f t="array" ref="C478">INDEX(tblDemandAssumptions[Product_ID],MOD(ROW()-2,20)+1)</f>
        <v>P002</v>
      </c>
      <c r="D478" cm="1">
        <f t="array" ref="D478">INDEX(tblDemandAssumptions[Baseline_Weekly_Qty],MOD(ROW()-2,20)+1)</f>
        <v>2400</v>
      </c>
      <c r="E478">
        <f t="shared" si="56"/>
        <v>1.05</v>
      </c>
      <c r="F478">
        <v>1.05</v>
      </c>
      <c r="G478">
        <f t="shared" si="57"/>
        <v>2646</v>
      </c>
      <c r="H478">
        <v>1.04</v>
      </c>
      <c r="I478">
        <f t="shared" si="58"/>
        <v>2621</v>
      </c>
      <c r="J478" t="str">
        <f t="shared" si="59"/>
        <v>Normal</v>
      </c>
      <c r="K478">
        <f t="shared" si="60"/>
        <v>2646</v>
      </c>
      <c r="L478">
        <f t="shared" si="61"/>
        <v>25</v>
      </c>
      <c r="M478" s="2">
        <f t="shared" si="62"/>
        <v>9.5383441434566951E-3</v>
      </c>
      <c r="N478">
        <f t="shared" si="63"/>
        <v>25</v>
      </c>
    </row>
    <row r="479" spans="1:14">
      <c r="A479" s="1" cm="1">
        <f t="array" ref="A479">INDEX(tblWeeks[Week_Start],INT((ROW()-2)/20)+1)</f>
        <v>46188</v>
      </c>
      <c r="B479" t="str" cm="1">
        <f t="array" ref="B479">INDEX(tblDemandAssumptions[Customer_ID],MOD(ROW()-2,20)+1)</f>
        <v>C004</v>
      </c>
      <c r="C479" t="str" cm="1">
        <f t="array" ref="C479">INDEX(tblDemandAssumptions[Product_ID],MOD(ROW()-2,20)+1)</f>
        <v>P003</v>
      </c>
      <c r="D479" cm="1">
        <f t="array" ref="D479">INDEX(tblDemandAssumptions[Baseline_Weekly_Qty],MOD(ROW()-2,20)+1)</f>
        <v>2100</v>
      </c>
      <c r="E479">
        <f t="shared" si="56"/>
        <v>1.05</v>
      </c>
      <c r="F479">
        <v>1.05</v>
      </c>
      <c r="G479">
        <f t="shared" si="57"/>
        <v>2315</v>
      </c>
      <c r="H479">
        <v>0.96</v>
      </c>
      <c r="I479">
        <f t="shared" si="58"/>
        <v>2117</v>
      </c>
      <c r="J479" t="str">
        <f t="shared" si="59"/>
        <v>Normal</v>
      </c>
      <c r="K479">
        <f t="shared" si="60"/>
        <v>2315</v>
      </c>
      <c r="L479">
        <f t="shared" si="61"/>
        <v>198</v>
      </c>
      <c r="M479" s="2">
        <f t="shared" si="62"/>
        <v>9.3528578176665086E-2</v>
      </c>
      <c r="N479">
        <f t="shared" si="63"/>
        <v>198</v>
      </c>
    </row>
    <row r="480" spans="1:14">
      <c r="A480" s="1" cm="1">
        <f t="array" ref="A480">INDEX(tblWeeks[Week_Start],INT((ROW()-2)/20)+1)</f>
        <v>46188</v>
      </c>
      <c r="B480" t="str" cm="1">
        <f t="array" ref="B480">INDEX(tblDemandAssumptions[Customer_ID],MOD(ROW()-2,20)+1)</f>
        <v>C004</v>
      </c>
      <c r="C480" t="str" cm="1">
        <f t="array" ref="C480">INDEX(tblDemandAssumptions[Product_ID],MOD(ROW()-2,20)+1)</f>
        <v>P004</v>
      </c>
      <c r="D480" cm="1">
        <f t="array" ref="D480">INDEX(tblDemandAssumptions[Baseline_Weekly_Qty],MOD(ROW()-2,20)+1)</f>
        <v>2600</v>
      </c>
      <c r="E480">
        <f t="shared" si="56"/>
        <v>1.05</v>
      </c>
      <c r="F480">
        <v>0.97</v>
      </c>
      <c r="G480">
        <f t="shared" si="57"/>
        <v>2648</v>
      </c>
      <c r="H480">
        <v>1.04</v>
      </c>
      <c r="I480">
        <f t="shared" si="58"/>
        <v>2839</v>
      </c>
      <c r="J480" t="str">
        <f t="shared" si="59"/>
        <v>Normal</v>
      </c>
      <c r="K480">
        <f t="shared" si="60"/>
        <v>2648</v>
      </c>
      <c r="L480">
        <f t="shared" si="61"/>
        <v>-191</v>
      </c>
      <c r="M480" s="2">
        <f t="shared" si="62"/>
        <v>-6.7277210285311723E-2</v>
      </c>
      <c r="N480">
        <f t="shared" si="63"/>
        <v>191</v>
      </c>
    </row>
    <row r="481" spans="1:14">
      <c r="A481" s="1" cm="1">
        <f t="array" ref="A481">INDEX(tblWeeks[Week_Start],INT((ROW()-2)/20)+1)</f>
        <v>46188</v>
      </c>
      <c r="B481" t="str" cm="1">
        <f t="array" ref="B481">INDEX(tblDemandAssumptions[Customer_ID],MOD(ROW()-2,20)+1)</f>
        <v>C004</v>
      </c>
      <c r="C481" t="str" cm="1">
        <f t="array" ref="C481">INDEX(tblDemandAssumptions[Product_ID],MOD(ROW()-2,20)+1)</f>
        <v>P005</v>
      </c>
      <c r="D481" cm="1">
        <f t="array" ref="D481">INDEX(tblDemandAssumptions[Baseline_Weekly_Qty],MOD(ROW()-2,20)+1)</f>
        <v>1800</v>
      </c>
      <c r="E481">
        <f t="shared" si="56"/>
        <v>1.05</v>
      </c>
      <c r="F481">
        <v>0.96</v>
      </c>
      <c r="G481">
        <f t="shared" si="57"/>
        <v>1814</v>
      </c>
      <c r="H481">
        <v>1.04</v>
      </c>
      <c r="I481">
        <f t="shared" si="58"/>
        <v>1966</v>
      </c>
      <c r="J481" t="str">
        <f t="shared" si="59"/>
        <v>Normal</v>
      </c>
      <c r="K481">
        <f t="shared" si="60"/>
        <v>1814</v>
      </c>
      <c r="L481">
        <f t="shared" si="61"/>
        <v>-152</v>
      </c>
      <c r="M481" s="2">
        <f t="shared" si="62"/>
        <v>-7.7314343845371308E-2</v>
      </c>
      <c r="N481">
        <f t="shared" si="63"/>
        <v>152</v>
      </c>
    </row>
    <row r="482" spans="1:14">
      <c r="A482" s="1" cm="1">
        <f t="array" ref="A482">INDEX(tblWeeks[Week_Start],INT((ROW()-2)/20)+1)</f>
        <v>46195</v>
      </c>
      <c r="B482" t="str" cm="1">
        <f t="array" ref="B482">INDEX(tblDemandAssumptions[Customer_ID],MOD(ROW()-2,20)+1)</f>
        <v>C001</v>
      </c>
      <c r="C482" t="str" cm="1">
        <f t="array" ref="C482">INDEX(tblDemandAssumptions[Product_ID],MOD(ROW()-2,20)+1)</f>
        <v>P001</v>
      </c>
      <c r="D482" cm="1">
        <f t="array" ref="D482">INDEX(tblDemandAssumptions[Baseline_Weekly_Qty],MOD(ROW()-2,20)+1)</f>
        <v>5200</v>
      </c>
      <c r="E482">
        <f t="shared" si="56"/>
        <v>1.05</v>
      </c>
      <c r="F482">
        <v>1.02</v>
      </c>
      <c r="G482">
        <f t="shared" si="57"/>
        <v>5569</v>
      </c>
      <c r="H482">
        <v>1</v>
      </c>
      <c r="I482">
        <f t="shared" si="58"/>
        <v>5460</v>
      </c>
      <c r="J482" t="str">
        <f t="shared" si="59"/>
        <v>Normal</v>
      </c>
      <c r="K482">
        <f t="shared" si="60"/>
        <v>5569</v>
      </c>
      <c r="L482">
        <f t="shared" si="61"/>
        <v>109</v>
      </c>
      <c r="M482" s="2">
        <f t="shared" si="62"/>
        <v>1.9963369963369962E-2</v>
      </c>
      <c r="N482">
        <f t="shared" si="63"/>
        <v>109</v>
      </c>
    </row>
    <row r="483" spans="1:14">
      <c r="A483" s="1" cm="1">
        <f t="array" ref="A483">INDEX(tblWeeks[Week_Start],INT((ROW()-2)/20)+1)</f>
        <v>46195</v>
      </c>
      <c r="B483" t="str" cm="1">
        <f t="array" ref="B483">INDEX(tblDemandAssumptions[Customer_ID],MOD(ROW()-2,20)+1)</f>
        <v>C001</v>
      </c>
      <c r="C483" t="str" cm="1">
        <f t="array" ref="C483">INDEX(tblDemandAssumptions[Product_ID],MOD(ROW()-2,20)+1)</f>
        <v>P002</v>
      </c>
      <c r="D483" cm="1">
        <f t="array" ref="D483">INDEX(tblDemandAssumptions[Baseline_Weekly_Qty],MOD(ROW()-2,20)+1)</f>
        <v>4100</v>
      </c>
      <c r="E483">
        <f t="shared" si="56"/>
        <v>1.05</v>
      </c>
      <c r="F483">
        <v>1.05</v>
      </c>
      <c r="G483">
        <f t="shared" si="57"/>
        <v>4520</v>
      </c>
      <c r="H483">
        <v>1.03</v>
      </c>
      <c r="I483">
        <f t="shared" si="58"/>
        <v>4434</v>
      </c>
      <c r="J483" t="str">
        <f t="shared" si="59"/>
        <v>Normal</v>
      </c>
      <c r="K483">
        <f t="shared" si="60"/>
        <v>4520</v>
      </c>
      <c r="L483">
        <f t="shared" si="61"/>
        <v>86</v>
      </c>
      <c r="M483" s="2">
        <f t="shared" si="62"/>
        <v>1.9395579612088407E-2</v>
      </c>
      <c r="N483">
        <f t="shared" si="63"/>
        <v>86</v>
      </c>
    </row>
    <row r="484" spans="1:14">
      <c r="A484" s="1" cm="1">
        <f t="array" ref="A484">INDEX(tblWeeks[Week_Start],INT((ROW()-2)/20)+1)</f>
        <v>46195</v>
      </c>
      <c r="B484" t="str" cm="1">
        <f t="array" ref="B484">INDEX(tblDemandAssumptions[Customer_ID],MOD(ROW()-2,20)+1)</f>
        <v>C001</v>
      </c>
      <c r="C484" t="str" cm="1">
        <f t="array" ref="C484">INDEX(tblDemandAssumptions[Product_ID],MOD(ROW()-2,20)+1)</f>
        <v>P003</v>
      </c>
      <c r="D484" cm="1">
        <f t="array" ref="D484">INDEX(tblDemandAssumptions[Baseline_Weekly_Qty],MOD(ROW()-2,20)+1)</f>
        <v>3300</v>
      </c>
      <c r="E484">
        <f t="shared" si="56"/>
        <v>1.05</v>
      </c>
      <c r="F484">
        <v>0.95</v>
      </c>
      <c r="G484">
        <f t="shared" si="57"/>
        <v>3292</v>
      </c>
      <c r="H484">
        <v>0.97</v>
      </c>
      <c r="I484">
        <f t="shared" si="58"/>
        <v>3361</v>
      </c>
      <c r="J484" t="str">
        <f t="shared" si="59"/>
        <v>Normal</v>
      </c>
      <c r="K484">
        <f t="shared" si="60"/>
        <v>3292</v>
      </c>
      <c r="L484">
        <f t="shared" si="61"/>
        <v>-69</v>
      </c>
      <c r="M484" s="2">
        <f t="shared" si="62"/>
        <v>-2.0529604284439156E-2</v>
      </c>
      <c r="N484">
        <f t="shared" si="63"/>
        <v>69</v>
      </c>
    </row>
    <row r="485" spans="1:14">
      <c r="A485" s="1" cm="1">
        <f t="array" ref="A485">INDEX(tblWeeks[Week_Start],INT((ROW()-2)/20)+1)</f>
        <v>46195</v>
      </c>
      <c r="B485" t="str" cm="1">
        <f t="array" ref="B485">INDEX(tblDemandAssumptions[Customer_ID],MOD(ROW()-2,20)+1)</f>
        <v>C001</v>
      </c>
      <c r="C485" t="str" cm="1">
        <f t="array" ref="C485">INDEX(tblDemandAssumptions[Product_ID],MOD(ROW()-2,20)+1)</f>
        <v>P004</v>
      </c>
      <c r="D485" cm="1">
        <f t="array" ref="D485">INDEX(tblDemandAssumptions[Baseline_Weekly_Qty],MOD(ROW()-2,20)+1)</f>
        <v>3600</v>
      </c>
      <c r="E485">
        <f t="shared" si="56"/>
        <v>1.05</v>
      </c>
      <c r="F485">
        <v>1.05</v>
      </c>
      <c r="G485">
        <f t="shared" si="57"/>
        <v>3969</v>
      </c>
      <c r="H485">
        <v>0.97</v>
      </c>
      <c r="I485">
        <f t="shared" si="58"/>
        <v>3667</v>
      </c>
      <c r="J485" t="str">
        <f t="shared" si="59"/>
        <v>Normal</v>
      </c>
      <c r="K485">
        <f t="shared" si="60"/>
        <v>3969</v>
      </c>
      <c r="L485">
        <f t="shared" si="61"/>
        <v>302</v>
      </c>
      <c r="M485" s="2">
        <f t="shared" si="62"/>
        <v>8.2356149440959911E-2</v>
      </c>
      <c r="N485">
        <f t="shared" si="63"/>
        <v>302</v>
      </c>
    </row>
    <row r="486" spans="1:14">
      <c r="A486" s="1" cm="1">
        <f t="array" ref="A486">INDEX(tblWeeks[Week_Start],INT((ROW()-2)/20)+1)</f>
        <v>46195</v>
      </c>
      <c r="B486" t="str" cm="1">
        <f t="array" ref="B486">INDEX(tblDemandAssumptions[Customer_ID],MOD(ROW()-2,20)+1)</f>
        <v>C001</v>
      </c>
      <c r="C486" t="str" cm="1">
        <f t="array" ref="C486">INDEX(tblDemandAssumptions[Product_ID],MOD(ROW()-2,20)+1)</f>
        <v>P005</v>
      </c>
      <c r="D486" cm="1">
        <f t="array" ref="D486">INDEX(tblDemandAssumptions[Baseline_Weekly_Qty],MOD(ROW()-2,20)+1)</f>
        <v>2800</v>
      </c>
      <c r="E486">
        <f t="shared" si="56"/>
        <v>1.05</v>
      </c>
      <c r="F486">
        <v>0.99</v>
      </c>
      <c r="G486">
        <f t="shared" si="57"/>
        <v>2911</v>
      </c>
      <c r="H486">
        <v>0.96</v>
      </c>
      <c r="I486">
        <f t="shared" si="58"/>
        <v>2822</v>
      </c>
      <c r="J486" t="str">
        <f t="shared" si="59"/>
        <v>Normal</v>
      </c>
      <c r="K486">
        <f t="shared" si="60"/>
        <v>2911</v>
      </c>
      <c r="L486">
        <f t="shared" si="61"/>
        <v>89</v>
      </c>
      <c r="M486" s="2">
        <f t="shared" si="62"/>
        <v>3.1537916371367825E-2</v>
      </c>
      <c r="N486">
        <f t="shared" si="63"/>
        <v>89</v>
      </c>
    </row>
    <row r="487" spans="1:14">
      <c r="A487" s="1" cm="1">
        <f t="array" ref="A487">INDEX(tblWeeks[Week_Start],INT((ROW()-2)/20)+1)</f>
        <v>46195</v>
      </c>
      <c r="B487" t="str" cm="1">
        <f t="array" ref="B487">INDEX(tblDemandAssumptions[Customer_ID],MOD(ROW()-2,20)+1)</f>
        <v>C002</v>
      </c>
      <c r="C487" t="str" cm="1">
        <f t="array" ref="C487">INDEX(tblDemandAssumptions[Product_ID],MOD(ROW()-2,20)+1)</f>
        <v>P001</v>
      </c>
      <c r="D487" cm="1">
        <f t="array" ref="D487">INDEX(tblDemandAssumptions[Baseline_Weekly_Qty],MOD(ROW()-2,20)+1)</f>
        <v>3400</v>
      </c>
      <c r="E487">
        <f t="shared" si="56"/>
        <v>1.05</v>
      </c>
      <c r="F487">
        <v>1.05</v>
      </c>
      <c r="G487">
        <f t="shared" si="57"/>
        <v>3749</v>
      </c>
      <c r="H487">
        <v>1.04</v>
      </c>
      <c r="I487">
        <f t="shared" si="58"/>
        <v>3713</v>
      </c>
      <c r="J487" t="str">
        <f t="shared" si="59"/>
        <v>Normal</v>
      </c>
      <c r="K487">
        <f t="shared" si="60"/>
        <v>3749</v>
      </c>
      <c r="L487">
        <f t="shared" si="61"/>
        <v>36</v>
      </c>
      <c r="M487" s="2">
        <f t="shared" si="62"/>
        <v>9.6956638836520337E-3</v>
      </c>
      <c r="N487">
        <f t="shared" si="63"/>
        <v>36</v>
      </c>
    </row>
    <row r="488" spans="1:14">
      <c r="A488" s="1" cm="1">
        <f t="array" ref="A488">INDEX(tblWeeks[Week_Start],INT((ROW()-2)/20)+1)</f>
        <v>46195</v>
      </c>
      <c r="B488" t="str" cm="1">
        <f t="array" ref="B488">INDEX(tblDemandAssumptions[Customer_ID],MOD(ROW()-2,20)+1)</f>
        <v>C002</v>
      </c>
      <c r="C488" t="str" cm="1">
        <f t="array" ref="C488">INDEX(tblDemandAssumptions[Product_ID],MOD(ROW()-2,20)+1)</f>
        <v>P002</v>
      </c>
      <c r="D488" cm="1">
        <f t="array" ref="D488">INDEX(tblDemandAssumptions[Baseline_Weekly_Qty],MOD(ROW()-2,20)+1)</f>
        <v>3200</v>
      </c>
      <c r="E488">
        <f t="shared" si="56"/>
        <v>1.05</v>
      </c>
      <c r="F488">
        <v>0.99</v>
      </c>
      <c r="G488">
        <f t="shared" si="57"/>
        <v>3326</v>
      </c>
      <c r="H488">
        <v>1.03</v>
      </c>
      <c r="I488">
        <f t="shared" si="58"/>
        <v>3461</v>
      </c>
      <c r="J488" t="str">
        <f t="shared" si="59"/>
        <v>Normal</v>
      </c>
      <c r="K488">
        <f t="shared" si="60"/>
        <v>3326</v>
      </c>
      <c r="L488">
        <f t="shared" si="61"/>
        <v>-135</v>
      </c>
      <c r="M488" s="2">
        <f t="shared" si="62"/>
        <v>-3.9006067610517191E-2</v>
      </c>
      <c r="N488">
        <f t="shared" si="63"/>
        <v>135</v>
      </c>
    </row>
    <row r="489" spans="1:14">
      <c r="A489" s="1" cm="1">
        <f t="array" ref="A489">INDEX(tblWeeks[Week_Start],INT((ROW()-2)/20)+1)</f>
        <v>46195</v>
      </c>
      <c r="B489" t="str" cm="1">
        <f t="array" ref="B489">INDEX(tblDemandAssumptions[Customer_ID],MOD(ROW()-2,20)+1)</f>
        <v>C002</v>
      </c>
      <c r="C489" t="str" cm="1">
        <f t="array" ref="C489">INDEX(tblDemandAssumptions[Product_ID],MOD(ROW()-2,20)+1)</f>
        <v>P003</v>
      </c>
      <c r="D489" cm="1">
        <f t="array" ref="D489">INDEX(tblDemandAssumptions[Baseline_Weekly_Qty],MOD(ROW()-2,20)+1)</f>
        <v>2600</v>
      </c>
      <c r="E489">
        <f t="shared" si="56"/>
        <v>1.05</v>
      </c>
      <c r="F489">
        <v>1.03</v>
      </c>
      <c r="G489">
        <f t="shared" si="57"/>
        <v>2812</v>
      </c>
      <c r="H489">
        <v>1.04</v>
      </c>
      <c r="I489">
        <f t="shared" si="58"/>
        <v>2839</v>
      </c>
      <c r="J489" t="str">
        <f t="shared" si="59"/>
        <v>Normal</v>
      </c>
      <c r="K489">
        <f t="shared" si="60"/>
        <v>2812</v>
      </c>
      <c r="L489">
        <f t="shared" si="61"/>
        <v>-27</v>
      </c>
      <c r="M489" s="2">
        <f t="shared" si="62"/>
        <v>-9.5103909827404017E-3</v>
      </c>
      <c r="N489">
        <f t="shared" si="63"/>
        <v>27</v>
      </c>
    </row>
    <row r="490" spans="1:14">
      <c r="A490" s="1" cm="1">
        <f t="array" ref="A490">INDEX(tblWeeks[Week_Start],INT((ROW()-2)/20)+1)</f>
        <v>46195</v>
      </c>
      <c r="B490" t="str" cm="1">
        <f t="array" ref="B490">INDEX(tblDemandAssumptions[Customer_ID],MOD(ROW()-2,20)+1)</f>
        <v>C002</v>
      </c>
      <c r="C490" t="str" cm="1">
        <f t="array" ref="C490">INDEX(tblDemandAssumptions[Product_ID],MOD(ROW()-2,20)+1)</f>
        <v>P004</v>
      </c>
      <c r="D490" cm="1">
        <f t="array" ref="D490">INDEX(tblDemandAssumptions[Baseline_Weekly_Qty],MOD(ROW()-2,20)+1)</f>
        <v>2900</v>
      </c>
      <c r="E490">
        <f t="shared" si="56"/>
        <v>1.05</v>
      </c>
      <c r="F490">
        <v>1.03</v>
      </c>
      <c r="G490">
        <f t="shared" si="57"/>
        <v>3136</v>
      </c>
      <c r="H490">
        <v>1.01</v>
      </c>
      <c r="I490">
        <f t="shared" si="58"/>
        <v>3075</v>
      </c>
      <c r="J490" t="str">
        <f t="shared" si="59"/>
        <v>Normal</v>
      </c>
      <c r="K490">
        <f t="shared" si="60"/>
        <v>3136</v>
      </c>
      <c r="L490">
        <f t="shared" si="61"/>
        <v>61</v>
      </c>
      <c r="M490" s="2">
        <f t="shared" si="62"/>
        <v>1.9837398373983739E-2</v>
      </c>
      <c r="N490">
        <f t="shared" si="63"/>
        <v>61</v>
      </c>
    </row>
    <row r="491" spans="1:14">
      <c r="A491" s="1" cm="1">
        <f t="array" ref="A491">INDEX(tblWeeks[Week_Start],INT((ROW()-2)/20)+1)</f>
        <v>46195</v>
      </c>
      <c r="B491" t="str" cm="1">
        <f t="array" ref="B491">INDEX(tblDemandAssumptions[Customer_ID],MOD(ROW()-2,20)+1)</f>
        <v>C002</v>
      </c>
      <c r="C491" t="str" cm="1">
        <f t="array" ref="C491">INDEX(tblDemandAssumptions[Product_ID],MOD(ROW()-2,20)+1)</f>
        <v>P005</v>
      </c>
      <c r="D491" cm="1">
        <f t="array" ref="D491">INDEX(tblDemandAssumptions[Baseline_Weekly_Qty],MOD(ROW()-2,20)+1)</f>
        <v>2200</v>
      </c>
      <c r="E491">
        <f t="shared" si="56"/>
        <v>1.05</v>
      </c>
      <c r="F491">
        <v>1.01</v>
      </c>
      <c r="G491">
        <f t="shared" si="57"/>
        <v>2333</v>
      </c>
      <c r="H491">
        <v>1.03</v>
      </c>
      <c r="I491">
        <f t="shared" si="58"/>
        <v>2379</v>
      </c>
      <c r="J491" t="str">
        <f t="shared" si="59"/>
        <v>Normal</v>
      </c>
      <c r="K491">
        <f t="shared" si="60"/>
        <v>2333</v>
      </c>
      <c r="L491">
        <f t="shared" si="61"/>
        <v>-46</v>
      </c>
      <c r="M491" s="2">
        <f t="shared" si="62"/>
        <v>-1.9335855401429174E-2</v>
      </c>
      <c r="N491">
        <f t="shared" si="63"/>
        <v>46</v>
      </c>
    </row>
    <row r="492" spans="1:14">
      <c r="A492" s="1" cm="1">
        <f t="array" ref="A492">INDEX(tblWeeks[Week_Start],INT((ROW()-2)/20)+1)</f>
        <v>46195</v>
      </c>
      <c r="B492" t="str" cm="1">
        <f t="array" ref="B492">INDEX(tblDemandAssumptions[Customer_ID],MOD(ROW()-2,20)+1)</f>
        <v>C003</v>
      </c>
      <c r="C492" t="str" cm="1">
        <f t="array" ref="C492">INDEX(tblDemandAssumptions[Product_ID],MOD(ROW()-2,20)+1)</f>
        <v>P001</v>
      </c>
      <c r="D492" cm="1">
        <f t="array" ref="D492">INDEX(tblDemandAssumptions[Baseline_Weekly_Qty],MOD(ROW()-2,20)+1)</f>
        <v>3000</v>
      </c>
      <c r="E492">
        <f t="shared" si="56"/>
        <v>1.05</v>
      </c>
      <c r="F492">
        <v>1.01</v>
      </c>
      <c r="G492">
        <f t="shared" si="57"/>
        <v>3182</v>
      </c>
      <c r="H492">
        <v>1.04</v>
      </c>
      <c r="I492">
        <f t="shared" si="58"/>
        <v>3276</v>
      </c>
      <c r="J492" t="str">
        <f t="shared" si="59"/>
        <v>Normal</v>
      </c>
      <c r="K492">
        <f t="shared" si="60"/>
        <v>3182</v>
      </c>
      <c r="L492">
        <f t="shared" si="61"/>
        <v>-94</v>
      </c>
      <c r="M492" s="2">
        <f t="shared" si="62"/>
        <v>-2.8693528693528692E-2</v>
      </c>
      <c r="N492">
        <f t="shared" si="63"/>
        <v>94</v>
      </c>
    </row>
    <row r="493" spans="1:14">
      <c r="A493" s="1" cm="1">
        <f t="array" ref="A493">INDEX(tblWeeks[Week_Start],INT((ROW()-2)/20)+1)</f>
        <v>46195</v>
      </c>
      <c r="B493" t="str" cm="1">
        <f t="array" ref="B493">INDEX(tblDemandAssumptions[Customer_ID],MOD(ROW()-2,20)+1)</f>
        <v>C003</v>
      </c>
      <c r="C493" t="str" cm="1">
        <f t="array" ref="C493">INDEX(tblDemandAssumptions[Product_ID],MOD(ROW()-2,20)+1)</f>
        <v>P002</v>
      </c>
      <c r="D493" cm="1">
        <f t="array" ref="D493">INDEX(tblDemandAssumptions[Baseline_Weekly_Qty],MOD(ROW()-2,20)+1)</f>
        <v>2700</v>
      </c>
      <c r="E493">
        <f t="shared" si="56"/>
        <v>1.05</v>
      </c>
      <c r="F493">
        <v>1</v>
      </c>
      <c r="G493">
        <f t="shared" si="57"/>
        <v>2835</v>
      </c>
      <c r="H493">
        <v>0.96</v>
      </c>
      <c r="I493">
        <f t="shared" si="58"/>
        <v>2722</v>
      </c>
      <c r="J493" t="str">
        <f t="shared" si="59"/>
        <v>Normal</v>
      </c>
      <c r="K493">
        <f t="shared" si="60"/>
        <v>2835</v>
      </c>
      <c r="L493">
        <f t="shared" si="61"/>
        <v>113</v>
      </c>
      <c r="M493" s="2">
        <f t="shared" si="62"/>
        <v>4.1513592946362969E-2</v>
      </c>
      <c r="N493">
        <f t="shared" si="63"/>
        <v>113</v>
      </c>
    </row>
    <row r="494" spans="1:14">
      <c r="A494" s="1" cm="1">
        <f t="array" ref="A494">INDEX(tblWeeks[Week_Start],INT((ROW()-2)/20)+1)</f>
        <v>46195</v>
      </c>
      <c r="B494" t="str" cm="1">
        <f t="array" ref="B494">INDEX(tblDemandAssumptions[Customer_ID],MOD(ROW()-2,20)+1)</f>
        <v>C003</v>
      </c>
      <c r="C494" t="str" cm="1">
        <f t="array" ref="C494">INDEX(tblDemandAssumptions[Product_ID],MOD(ROW()-2,20)+1)</f>
        <v>P003</v>
      </c>
      <c r="D494" cm="1">
        <f t="array" ref="D494">INDEX(tblDemandAssumptions[Baseline_Weekly_Qty],MOD(ROW()-2,20)+1)</f>
        <v>2800</v>
      </c>
      <c r="E494">
        <f t="shared" si="56"/>
        <v>1.05</v>
      </c>
      <c r="F494">
        <v>1.03</v>
      </c>
      <c r="G494">
        <f t="shared" si="57"/>
        <v>3028</v>
      </c>
      <c r="H494">
        <v>1.04</v>
      </c>
      <c r="I494">
        <f t="shared" si="58"/>
        <v>3058</v>
      </c>
      <c r="J494" t="str">
        <f t="shared" si="59"/>
        <v>Normal</v>
      </c>
      <c r="K494">
        <f t="shared" si="60"/>
        <v>3028</v>
      </c>
      <c r="L494">
        <f t="shared" si="61"/>
        <v>-30</v>
      </c>
      <c r="M494" s="2">
        <f t="shared" si="62"/>
        <v>-9.8103335513407448E-3</v>
      </c>
      <c r="N494">
        <f t="shared" si="63"/>
        <v>30</v>
      </c>
    </row>
    <row r="495" spans="1:14">
      <c r="A495" s="1" cm="1">
        <f t="array" ref="A495">INDEX(tblWeeks[Week_Start],INT((ROW()-2)/20)+1)</f>
        <v>46195</v>
      </c>
      <c r="B495" t="str" cm="1">
        <f t="array" ref="B495">INDEX(tblDemandAssumptions[Customer_ID],MOD(ROW()-2,20)+1)</f>
        <v>C003</v>
      </c>
      <c r="C495" t="str" cm="1">
        <f t="array" ref="C495">INDEX(tblDemandAssumptions[Product_ID],MOD(ROW()-2,20)+1)</f>
        <v>P004</v>
      </c>
      <c r="D495" cm="1">
        <f t="array" ref="D495">INDEX(tblDemandAssumptions[Baseline_Weekly_Qty],MOD(ROW()-2,20)+1)</f>
        <v>2400</v>
      </c>
      <c r="E495">
        <f t="shared" si="56"/>
        <v>1.05</v>
      </c>
      <c r="F495">
        <v>1.02</v>
      </c>
      <c r="G495">
        <f t="shared" si="57"/>
        <v>2570</v>
      </c>
      <c r="H495">
        <v>1.04</v>
      </c>
      <c r="I495">
        <f t="shared" si="58"/>
        <v>2621</v>
      </c>
      <c r="J495" t="str">
        <f t="shared" si="59"/>
        <v>Normal</v>
      </c>
      <c r="K495">
        <f t="shared" si="60"/>
        <v>2570</v>
      </c>
      <c r="L495">
        <f t="shared" si="61"/>
        <v>-51</v>
      </c>
      <c r="M495" s="2">
        <f t="shared" si="62"/>
        <v>-1.9458222052651658E-2</v>
      </c>
      <c r="N495">
        <f t="shared" si="63"/>
        <v>51</v>
      </c>
    </row>
    <row r="496" spans="1:14">
      <c r="A496" s="1" cm="1">
        <f t="array" ref="A496">INDEX(tblWeeks[Week_Start],INT((ROW()-2)/20)+1)</f>
        <v>46195</v>
      </c>
      <c r="B496" t="str" cm="1">
        <f t="array" ref="B496">INDEX(tblDemandAssumptions[Customer_ID],MOD(ROW()-2,20)+1)</f>
        <v>C003</v>
      </c>
      <c r="C496" t="str" cm="1">
        <f t="array" ref="C496">INDEX(tblDemandAssumptions[Product_ID],MOD(ROW()-2,20)+1)</f>
        <v>P005</v>
      </c>
      <c r="D496" cm="1">
        <f t="array" ref="D496">INDEX(tblDemandAssumptions[Baseline_Weekly_Qty],MOD(ROW()-2,20)+1)</f>
        <v>1900</v>
      </c>
      <c r="E496">
        <f t="shared" si="56"/>
        <v>1.05</v>
      </c>
      <c r="F496">
        <v>0.95</v>
      </c>
      <c r="G496">
        <f t="shared" si="57"/>
        <v>1895</v>
      </c>
      <c r="H496">
        <v>1.04</v>
      </c>
      <c r="I496">
        <f t="shared" si="58"/>
        <v>2075</v>
      </c>
      <c r="J496" t="str">
        <f t="shared" si="59"/>
        <v>Normal</v>
      </c>
      <c r="K496">
        <f t="shared" si="60"/>
        <v>1895</v>
      </c>
      <c r="L496">
        <f t="shared" si="61"/>
        <v>-180</v>
      </c>
      <c r="M496" s="2">
        <f t="shared" si="62"/>
        <v>-8.6746987951807228E-2</v>
      </c>
      <c r="N496">
        <f t="shared" si="63"/>
        <v>180</v>
      </c>
    </row>
    <row r="497" spans="1:14">
      <c r="A497" s="1" cm="1">
        <f t="array" ref="A497">INDEX(tblWeeks[Week_Start],INT((ROW()-2)/20)+1)</f>
        <v>46195</v>
      </c>
      <c r="B497" t="str" cm="1">
        <f t="array" ref="B497">INDEX(tblDemandAssumptions[Customer_ID],MOD(ROW()-2,20)+1)</f>
        <v>C004</v>
      </c>
      <c r="C497" t="str" cm="1">
        <f t="array" ref="C497">INDEX(tblDemandAssumptions[Product_ID],MOD(ROW()-2,20)+1)</f>
        <v>P001</v>
      </c>
      <c r="D497" cm="1">
        <f t="array" ref="D497">INDEX(tblDemandAssumptions[Baseline_Weekly_Qty],MOD(ROW()-2,20)+1)</f>
        <v>2700</v>
      </c>
      <c r="E497">
        <f t="shared" si="56"/>
        <v>1.05</v>
      </c>
      <c r="F497">
        <v>0.95</v>
      </c>
      <c r="G497">
        <f t="shared" si="57"/>
        <v>2693</v>
      </c>
      <c r="H497">
        <v>1.02</v>
      </c>
      <c r="I497">
        <f t="shared" si="58"/>
        <v>2892</v>
      </c>
      <c r="J497" t="str">
        <f t="shared" si="59"/>
        <v>Normal</v>
      </c>
      <c r="K497">
        <f t="shared" si="60"/>
        <v>2693</v>
      </c>
      <c r="L497">
        <f t="shared" si="61"/>
        <v>-199</v>
      </c>
      <c r="M497" s="2">
        <f t="shared" si="62"/>
        <v>-6.8810511756569853E-2</v>
      </c>
      <c r="N497">
        <f t="shared" si="63"/>
        <v>199</v>
      </c>
    </row>
    <row r="498" spans="1:14">
      <c r="A498" s="1" cm="1">
        <f t="array" ref="A498">INDEX(tblWeeks[Week_Start],INT((ROW()-2)/20)+1)</f>
        <v>46195</v>
      </c>
      <c r="B498" t="str" cm="1">
        <f t="array" ref="B498">INDEX(tblDemandAssumptions[Customer_ID],MOD(ROW()-2,20)+1)</f>
        <v>C004</v>
      </c>
      <c r="C498" t="str" cm="1">
        <f t="array" ref="C498">INDEX(tblDemandAssumptions[Product_ID],MOD(ROW()-2,20)+1)</f>
        <v>P002</v>
      </c>
      <c r="D498" cm="1">
        <f t="array" ref="D498">INDEX(tblDemandAssumptions[Baseline_Weekly_Qty],MOD(ROW()-2,20)+1)</f>
        <v>2400</v>
      </c>
      <c r="E498">
        <f t="shared" si="56"/>
        <v>1.05</v>
      </c>
      <c r="F498">
        <v>1.04</v>
      </c>
      <c r="G498">
        <f t="shared" si="57"/>
        <v>2621</v>
      </c>
      <c r="H498">
        <v>0.99</v>
      </c>
      <c r="I498">
        <f t="shared" si="58"/>
        <v>2495</v>
      </c>
      <c r="J498" t="str">
        <f t="shared" si="59"/>
        <v>Normal</v>
      </c>
      <c r="K498">
        <f t="shared" si="60"/>
        <v>2621</v>
      </c>
      <c r="L498">
        <f t="shared" si="61"/>
        <v>126</v>
      </c>
      <c r="M498" s="2">
        <f t="shared" si="62"/>
        <v>5.0501002004008019E-2</v>
      </c>
      <c r="N498">
        <f t="shared" si="63"/>
        <v>126</v>
      </c>
    </row>
    <row r="499" spans="1:14">
      <c r="A499" s="1" cm="1">
        <f t="array" ref="A499">INDEX(tblWeeks[Week_Start],INT((ROW()-2)/20)+1)</f>
        <v>46195</v>
      </c>
      <c r="B499" t="str" cm="1">
        <f t="array" ref="B499">INDEX(tblDemandAssumptions[Customer_ID],MOD(ROW()-2,20)+1)</f>
        <v>C004</v>
      </c>
      <c r="C499" t="str" cm="1">
        <f t="array" ref="C499">INDEX(tblDemandAssumptions[Product_ID],MOD(ROW()-2,20)+1)</f>
        <v>P003</v>
      </c>
      <c r="D499" cm="1">
        <f t="array" ref="D499">INDEX(tblDemandAssumptions[Baseline_Weekly_Qty],MOD(ROW()-2,20)+1)</f>
        <v>2100</v>
      </c>
      <c r="E499">
        <f t="shared" si="56"/>
        <v>1.05</v>
      </c>
      <c r="F499">
        <v>0.99</v>
      </c>
      <c r="G499">
        <f t="shared" si="57"/>
        <v>2183</v>
      </c>
      <c r="H499">
        <v>1.03</v>
      </c>
      <c r="I499">
        <f t="shared" si="58"/>
        <v>2271</v>
      </c>
      <c r="J499" t="str">
        <f t="shared" si="59"/>
        <v>Normal</v>
      </c>
      <c r="K499">
        <f t="shared" si="60"/>
        <v>2183</v>
      </c>
      <c r="L499">
        <f t="shared" si="61"/>
        <v>-88</v>
      </c>
      <c r="M499" s="2">
        <f t="shared" si="62"/>
        <v>-3.8749449581682076E-2</v>
      </c>
      <c r="N499">
        <f t="shared" si="63"/>
        <v>88</v>
      </c>
    </row>
    <row r="500" spans="1:14">
      <c r="A500" s="1" cm="1">
        <f t="array" ref="A500">INDEX(tblWeeks[Week_Start],INT((ROW()-2)/20)+1)</f>
        <v>46195</v>
      </c>
      <c r="B500" t="str" cm="1">
        <f t="array" ref="B500">INDEX(tblDemandAssumptions[Customer_ID],MOD(ROW()-2,20)+1)</f>
        <v>C004</v>
      </c>
      <c r="C500" t="str" cm="1">
        <f t="array" ref="C500">INDEX(tblDemandAssumptions[Product_ID],MOD(ROW()-2,20)+1)</f>
        <v>P004</v>
      </c>
      <c r="D500" cm="1">
        <f t="array" ref="D500">INDEX(tblDemandAssumptions[Baseline_Weekly_Qty],MOD(ROW()-2,20)+1)</f>
        <v>2600</v>
      </c>
      <c r="E500">
        <f t="shared" si="56"/>
        <v>1.05</v>
      </c>
      <c r="F500">
        <v>1.03</v>
      </c>
      <c r="G500">
        <f t="shared" si="57"/>
        <v>2812</v>
      </c>
      <c r="H500">
        <v>1.02</v>
      </c>
      <c r="I500">
        <f t="shared" si="58"/>
        <v>2785</v>
      </c>
      <c r="J500" t="str">
        <f t="shared" si="59"/>
        <v>Normal</v>
      </c>
      <c r="K500">
        <f t="shared" si="60"/>
        <v>2812</v>
      </c>
      <c r="L500">
        <f t="shared" si="61"/>
        <v>27</v>
      </c>
      <c r="M500" s="2">
        <f t="shared" si="62"/>
        <v>9.6947935368043095E-3</v>
      </c>
      <c r="N500">
        <f t="shared" si="63"/>
        <v>27</v>
      </c>
    </row>
    <row r="501" spans="1:14">
      <c r="A501" s="1" cm="1">
        <f t="array" ref="A501">INDEX(tblWeeks[Week_Start],INT((ROW()-2)/20)+1)</f>
        <v>46195</v>
      </c>
      <c r="B501" t="str" cm="1">
        <f t="array" ref="B501">INDEX(tblDemandAssumptions[Customer_ID],MOD(ROW()-2,20)+1)</f>
        <v>C004</v>
      </c>
      <c r="C501" t="str" cm="1">
        <f t="array" ref="C501">INDEX(tblDemandAssumptions[Product_ID],MOD(ROW()-2,20)+1)</f>
        <v>P005</v>
      </c>
      <c r="D501" cm="1">
        <f t="array" ref="D501">INDEX(tblDemandAssumptions[Baseline_Weekly_Qty],MOD(ROW()-2,20)+1)</f>
        <v>1800</v>
      </c>
      <c r="E501">
        <f t="shared" si="56"/>
        <v>1.05</v>
      </c>
      <c r="F501">
        <v>0.99</v>
      </c>
      <c r="G501">
        <f t="shared" si="57"/>
        <v>1871</v>
      </c>
      <c r="H501">
        <v>1.04</v>
      </c>
      <c r="I501">
        <f t="shared" si="58"/>
        <v>1966</v>
      </c>
      <c r="J501" t="str">
        <f t="shared" si="59"/>
        <v>Normal</v>
      </c>
      <c r="K501">
        <f t="shared" si="60"/>
        <v>1871</v>
      </c>
      <c r="L501">
        <f t="shared" si="61"/>
        <v>-95</v>
      </c>
      <c r="M501" s="2">
        <f t="shared" si="62"/>
        <v>-4.8321464903357071E-2</v>
      </c>
      <c r="N501">
        <f t="shared" si="63"/>
        <v>95</v>
      </c>
    </row>
    <row r="502" spans="1:14">
      <c r="A502" s="1" cm="1">
        <f t="array" ref="A502">INDEX(tblWeeks[Week_Start],INT((ROW()-2)/20)+1)</f>
        <v>46202</v>
      </c>
      <c r="B502" t="str" cm="1">
        <f t="array" ref="B502">INDEX(tblDemandAssumptions[Customer_ID],MOD(ROW()-2,20)+1)</f>
        <v>C001</v>
      </c>
      <c r="C502" t="str" cm="1">
        <f t="array" ref="C502">INDEX(tblDemandAssumptions[Product_ID],MOD(ROW()-2,20)+1)</f>
        <v>P001</v>
      </c>
      <c r="D502" cm="1">
        <f t="array" ref="D502">INDEX(tblDemandAssumptions[Baseline_Weekly_Qty],MOD(ROW()-2,20)+1)</f>
        <v>5200</v>
      </c>
      <c r="E502">
        <f t="shared" si="56"/>
        <v>1.05</v>
      </c>
      <c r="F502">
        <v>0.99</v>
      </c>
      <c r="G502">
        <f t="shared" si="57"/>
        <v>5405</v>
      </c>
      <c r="H502">
        <v>1.04</v>
      </c>
      <c r="I502">
        <f t="shared" si="58"/>
        <v>5678</v>
      </c>
      <c r="J502" t="str">
        <f t="shared" si="59"/>
        <v>Normal</v>
      </c>
      <c r="K502">
        <f t="shared" si="60"/>
        <v>5405</v>
      </c>
      <c r="L502">
        <f t="shared" si="61"/>
        <v>-273</v>
      </c>
      <c r="M502" s="2">
        <f t="shared" si="62"/>
        <v>-4.80803099682987E-2</v>
      </c>
      <c r="N502">
        <f t="shared" si="63"/>
        <v>273</v>
      </c>
    </row>
    <row r="503" spans="1:14">
      <c r="A503" s="1" cm="1">
        <f t="array" ref="A503">INDEX(tblWeeks[Week_Start],INT((ROW()-2)/20)+1)</f>
        <v>46202</v>
      </c>
      <c r="B503" t="str" cm="1">
        <f t="array" ref="B503">INDEX(tblDemandAssumptions[Customer_ID],MOD(ROW()-2,20)+1)</f>
        <v>C001</v>
      </c>
      <c r="C503" t="str" cm="1">
        <f t="array" ref="C503">INDEX(tblDemandAssumptions[Product_ID],MOD(ROW()-2,20)+1)</f>
        <v>P002</v>
      </c>
      <c r="D503" cm="1">
        <f t="array" ref="D503">INDEX(tblDemandAssumptions[Baseline_Weekly_Qty],MOD(ROW()-2,20)+1)</f>
        <v>4100</v>
      </c>
      <c r="E503">
        <f t="shared" si="56"/>
        <v>1.05</v>
      </c>
      <c r="F503">
        <v>1</v>
      </c>
      <c r="G503">
        <f t="shared" si="57"/>
        <v>4305</v>
      </c>
      <c r="H503">
        <v>0.99</v>
      </c>
      <c r="I503">
        <f t="shared" si="58"/>
        <v>4262</v>
      </c>
      <c r="J503" t="str">
        <f t="shared" si="59"/>
        <v>Normal</v>
      </c>
      <c r="K503">
        <f t="shared" si="60"/>
        <v>4305</v>
      </c>
      <c r="L503">
        <f t="shared" si="61"/>
        <v>43</v>
      </c>
      <c r="M503" s="2">
        <f t="shared" si="62"/>
        <v>1.008916001877053E-2</v>
      </c>
      <c r="N503">
        <f t="shared" si="63"/>
        <v>43</v>
      </c>
    </row>
    <row r="504" spans="1:14">
      <c r="A504" s="1" cm="1">
        <f t="array" ref="A504">INDEX(tblWeeks[Week_Start],INT((ROW()-2)/20)+1)</f>
        <v>46202</v>
      </c>
      <c r="B504" t="str" cm="1">
        <f t="array" ref="B504">INDEX(tblDemandAssumptions[Customer_ID],MOD(ROW()-2,20)+1)</f>
        <v>C001</v>
      </c>
      <c r="C504" t="str" cm="1">
        <f t="array" ref="C504">INDEX(tblDemandAssumptions[Product_ID],MOD(ROW()-2,20)+1)</f>
        <v>P003</v>
      </c>
      <c r="D504" cm="1">
        <f t="array" ref="D504">INDEX(tblDemandAssumptions[Baseline_Weekly_Qty],MOD(ROW()-2,20)+1)</f>
        <v>3300</v>
      </c>
      <c r="E504">
        <f t="shared" si="56"/>
        <v>1.05</v>
      </c>
      <c r="F504">
        <v>1.02</v>
      </c>
      <c r="G504">
        <f t="shared" si="57"/>
        <v>3534</v>
      </c>
      <c r="H504">
        <v>0.99</v>
      </c>
      <c r="I504">
        <f t="shared" si="58"/>
        <v>3430</v>
      </c>
      <c r="J504" t="str">
        <f t="shared" si="59"/>
        <v>Normal</v>
      </c>
      <c r="K504">
        <f t="shared" si="60"/>
        <v>3534</v>
      </c>
      <c r="L504">
        <f t="shared" si="61"/>
        <v>104</v>
      </c>
      <c r="M504" s="2">
        <f t="shared" si="62"/>
        <v>3.0320699708454812E-2</v>
      </c>
      <c r="N504">
        <f t="shared" si="63"/>
        <v>104</v>
      </c>
    </row>
    <row r="505" spans="1:14">
      <c r="A505" s="1" cm="1">
        <f t="array" ref="A505">INDEX(tblWeeks[Week_Start],INT((ROW()-2)/20)+1)</f>
        <v>46202</v>
      </c>
      <c r="B505" t="str" cm="1">
        <f t="array" ref="B505">INDEX(tblDemandAssumptions[Customer_ID],MOD(ROW()-2,20)+1)</f>
        <v>C001</v>
      </c>
      <c r="C505" t="str" cm="1">
        <f t="array" ref="C505">INDEX(tblDemandAssumptions[Product_ID],MOD(ROW()-2,20)+1)</f>
        <v>P004</v>
      </c>
      <c r="D505" cm="1">
        <f t="array" ref="D505">INDEX(tblDemandAssumptions[Baseline_Weekly_Qty],MOD(ROW()-2,20)+1)</f>
        <v>3600</v>
      </c>
      <c r="E505">
        <f t="shared" si="56"/>
        <v>1.05</v>
      </c>
      <c r="F505">
        <v>1.04</v>
      </c>
      <c r="G505">
        <f t="shared" si="57"/>
        <v>3931</v>
      </c>
      <c r="H505">
        <v>0.97</v>
      </c>
      <c r="I505">
        <f t="shared" si="58"/>
        <v>3667</v>
      </c>
      <c r="J505" t="str">
        <f t="shared" si="59"/>
        <v>Normal</v>
      </c>
      <c r="K505">
        <f t="shared" si="60"/>
        <v>3931</v>
      </c>
      <c r="L505">
        <f t="shared" si="61"/>
        <v>264</v>
      </c>
      <c r="M505" s="2">
        <f t="shared" si="62"/>
        <v>7.1993455140441781E-2</v>
      </c>
      <c r="N505">
        <f t="shared" si="63"/>
        <v>264</v>
      </c>
    </row>
    <row r="506" spans="1:14">
      <c r="A506" s="1" cm="1">
        <f t="array" ref="A506">INDEX(tblWeeks[Week_Start],INT((ROW()-2)/20)+1)</f>
        <v>46202</v>
      </c>
      <c r="B506" t="str" cm="1">
        <f t="array" ref="B506">INDEX(tblDemandAssumptions[Customer_ID],MOD(ROW()-2,20)+1)</f>
        <v>C001</v>
      </c>
      <c r="C506" t="str" cm="1">
        <f t="array" ref="C506">INDEX(tblDemandAssumptions[Product_ID],MOD(ROW()-2,20)+1)</f>
        <v>P005</v>
      </c>
      <c r="D506" cm="1">
        <f t="array" ref="D506">INDEX(tblDemandAssumptions[Baseline_Weekly_Qty],MOD(ROW()-2,20)+1)</f>
        <v>2800</v>
      </c>
      <c r="E506">
        <f t="shared" si="56"/>
        <v>1.05</v>
      </c>
      <c r="F506">
        <v>1.01</v>
      </c>
      <c r="G506">
        <f t="shared" si="57"/>
        <v>2969</v>
      </c>
      <c r="H506">
        <v>0.99</v>
      </c>
      <c r="I506">
        <f t="shared" si="58"/>
        <v>2911</v>
      </c>
      <c r="J506" t="str">
        <f t="shared" si="59"/>
        <v>Normal</v>
      </c>
      <c r="K506">
        <f t="shared" si="60"/>
        <v>2969</v>
      </c>
      <c r="L506">
        <f t="shared" si="61"/>
        <v>58</v>
      </c>
      <c r="M506" s="2">
        <f t="shared" si="62"/>
        <v>1.9924424596358639E-2</v>
      </c>
      <c r="N506">
        <f t="shared" si="63"/>
        <v>58</v>
      </c>
    </row>
    <row r="507" spans="1:14">
      <c r="A507" s="1" cm="1">
        <f t="array" ref="A507">INDEX(tblWeeks[Week_Start],INT((ROW()-2)/20)+1)</f>
        <v>46202</v>
      </c>
      <c r="B507" t="str" cm="1">
        <f t="array" ref="B507">INDEX(tblDemandAssumptions[Customer_ID],MOD(ROW()-2,20)+1)</f>
        <v>C002</v>
      </c>
      <c r="C507" t="str" cm="1">
        <f t="array" ref="C507">INDEX(tblDemandAssumptions[Product_ID],MOD(ROW()-2,20)+1)</f>
        <v>P001</v>
      </c>
      <c r="D507" cm="1">
        <f t="array" ref="D507">INDEX(tblDemandAssumptions[Baseline_Weekly_Qty],MOD(ROW()-2,20)+1)</f>
        <v>3400</v>
      </c>
      <c r="E507">
        <f t="shared" si="56"/>
        <v>1.05</v>
      </c>
      <c r="F507">
        <v>1.02</v>
      </c>
      <c r="G507">
        <f t="shared" si="57"/>
        <v>3641</v>
      </c>
      <c r="H507">
        <v>1.04</v>
      </c>
      <c r="I507">
        <f t="shared" si="58"/>
        <v>3713</v>
      </c>
      <c r="J507" t="str">
        <f t="shared" si="59"/>
        <v>Normal</v>
      </c>
      <c r="K507">
        <f t="shared" si="60"/>
        <v>3641</v>
      </c>
      <c r="L507">
        <f t="shared" si="61"/>
        <v>-72</v>
      </c>
      <c r="M507" s="2">
        <f t="shared" si="62"/>
        <v>-1.9391327767304067E-2</v>
      </c>
      <c r="N507">
        <f t="shared" si="63"/>
        <v>72</v>
      </c>
    </row>
    <row r="508" spans="1:14">
      <c r="A508" s="1" cm="1">
        <f t="array" ref="A508">INDEX(tblWeeks[Week_Start],INT((ROW()-2)/20)+1)</f>
        <v>46202</v>
      </c>
      <c r="B508" t="str" cm="1">
        <f t="array" ref="B508">INDEX(tblDemandAssumptions[Customer_ID],MOD(ROW()-2,20)+1)</f>
        <v>C002</v>
      </c>
      <c r="C508" t="str" cm="1">
        <f t="array" ref="C508">INDEX(tblDemandAssumptions[Product_ID],MOD(ROW()-2,20)+1)</f>
        <v>P002</v>
      </c>
      <c r="D508" cm="1">
        <f t="array" ref="D508">INDEX(tblDemandAssumptions[Baseline_Weekly_Qty],MOD(ROW()-2,20)+1)</f>
        <v>3200</v>
      </c>
      <c r="E508">
        <f t="shared" si="56"/>
        <v>1.05</v>
      </c>
      <c r="F508">
        <v>1.02</v>
      </c>
      <c r="G508">
        <f t="shared" si="57"/>
        <v>3427</v>
      </c>
      <c r="H508">
        <v>0.99</v>
      </c>
      <c r="I508">
        <f t="shared" si="58"/>
        <v>3326</v>
      </c>
      <c r="J508" t="str">
        <f t="shared" si="59"/>
        <v>Normal</v>
      </c>
      <c r="K508">
        <f t="shared" si="60"/>
        <v>3427</v>
      </c>
      <c r="L508">
        <f t="shared" si="61"/>
        <v>101</v>
      </c>
      <c r="M508" s="2">
        <f t="shared" si="62"/>
        <v>3.0366806975345762E-2</v>
      </c>
      <c r="N508">
        <f t="shared" si="63"/>
        <v>101</v>
      </c>
    </row>
    <row r="509" spans="1:14">
      <c r="A509" s="1" cm="1">
        <f t="array" ref="A509">INDEX(tblWeeks[Week_Start],INT((ROW()-2)/20)+1)</f>
        <v>46202</v>
      </c>
      <c r="B509" t="str" cm="1">
        <f t="array" ref="B509">INDEX(tblDemandAssumptions[Customer_ID],MOD(ROW()-2,20)+1)</f>
        <v>C002</v>
      </c>
      <c r="C509" t="str" cm="1">
        <f t="array" ref="C509">INDEX(tblDemandAssumptions[Product_ID],MOD(ROW()-2,20)+1)</f>
        <v>P003</v>
      </c>
      <c r="D509" cm="1">
        <f t="array" ref="D509">INDEX(tblDemandAssumptions[Baseline_Weekly_Qty],MOD(ROW()-2,20)+1)</f>
        <v>2600</v>
      </c>
      <c r="E509">
        <f t="shared" si="56"/>
        <v>1.05</v>
      </c>
      <c r="F509">
        <v>1.04</v>
      </c>
      <c r="G509">
        <f t="shared" si="57"/>
        <v>2839</v>
      </c>
      <c r="H509">
        <v>1.02</v>
      </c>
      <c r="I509">
        <f t="shared" si="58"/>
        <v>2785</v>
      </c>
      <c r="J509" t="str">
        <f t="shared" si="59"/>
        <v>Normal</v>
      </c>
      <c r="K509">
        <f t="shared" si="60"/>
        <v>2839</v>
      </c>
      <c r="L509">
        <f t="shared" si="61"/>
        <v>54</v>
      </c>
      <c r="M509" s="2">
        <f t="shared" si="62"/>
        <v>1.9389587073608619E-2</v>
      </c>
      <c r="N509">
        <f t="shared" si="63"/>
        <v>54</v>
      </c>
    </row>
    <row r="510" spans="1:14">
      <c r="A510" s="1" cm="1">
        <f t="array" ref="A510">INDEX(tblWeeks[Week_Start],INT((ROW()-2)/20)+1)</f>
        <v>46202</v>
      </c>
      <c r="B510" t="str" cm="1">
        <f t="array" ref="B510">INDEX(tblDemandAssumptions[Customer_ID],MOD(ROW()-2,20)+1)</f>
        <v>C002</v>
      </c>
      <c r="C510" t="str" cm="1">
        <f t="array" ref="C510">INDEX(tblDemandAssumptions[Product_ID],MOD(ROW()-2,20)+1)</f>
        <v>P004</v>
      </c>
      <c r="D510" cm="1">
        <f t="array" ref="D510">INDEX(tblDemandAssumptions[Baseline_Weekly_Qty],MOD(ROW()-2,20)+1)</f>
        <v>2900</v>
      </c>
      <c r="E510">
        <f t="shared" si="56"/>
        <v>1.05</v>
      </c>
      <c r="F510">
        <v>1.03</v>
      </c>
      <c r="G510">
        <f t="shared" si="57"/>
        <v>3136</v>
      </c>
      <c r="H510">
        <v>0.97</v>
      </c>
      <c r="I510">
        <f t="shared" si="58"/>
        <v>2954</v>
      </c>
      <c r="J510" t="str">
        <f t="shared" si="59"/>
        <v>Normal</v>
      </c>
      <c r="K510">
        <f t="shared" si="60"/>
        <v>3136</v>
      </c>
      <c r="L510">
        <f t="shared" si="61"/>
        <v>182</v>
      </c>
      <c r="M510" s="2">
        <f t="shared" si="62"/>
        <v>6.1611374407582936E-2</v>
      </c>
      <c r="N510">
        <f t="shared" si="63"/>
        <v>182</v>
      </c>
    </row>
    <row r="511" spans="1:14">
      <c r="A511" s="1" cm="1">
        <f t="array" ref="A511">INDEX(tblWeeks[Week_Start],INT((ROW()-2)/20)+1)</f>
        <v>46202</v>
      </c>
      <c r="B511" t="str" cm="1">
        <f t="array" ref="B511">INDEX(tblDemandAssumptions[Customer_ID],MOD(ROW()-2,20)+1)</f>
        <v>C002</v>
      </c>
      <c r="C511" t="str" cm="1">
        <f t="array" ref="C511">INDEX(tblDemandAssumptions[Product_ID],MOD(ROW()-2,20)+1)</f>
        <v>P005</v>
      </c>
      <c r="D511" cm="1">
        <f t="array" ref="D511">INDEX(tblDemandAssumptions[Baseline_Weekly_Qty],MOD(ROW()-2,20)+1)</f>
        <v>2200</v>
      </c>
      <c r="E511">
        <f t="shared" si="56"/>
        <v>1.05</v>
      </c>
      <c r="F511">
        <v>1.03</v>
      </c>
      <c r="G511">
        <f t="shared" si="57"/>
        <v>2379</v>
      </c>
      <c r="H511">
        <v>1.02</v>
      </c>
      <c r="I511">
        <f t="shared" si="58"/>
        <v>2356</v>
      </c>
      <c r="J511" t="str">
        <f t="shared" si="59"/>
        <v>Normal</v>
      </c>
      <c r="K511">
        <f t="shared" si="60"/>
        <v>2379</v>
      </c>
      <c r="L511">
        <f t="shared" si="61"/>
        <v>23</v>
      </c>
      <c r="M511" s="2">
        <f t="shared" si="62"/>
        <v>9.7623089983022073E-3</v>
      </c>
      <c r="N511">
        <f t="shared" si="63"/>
        <v>23</v>
      </c>
    </row>
    <row r="512" spans="1:14">
      <c r="A512" s="1" cm="1">
        <f t="array" ref="A512">INDEX(tblWeeks[Week_Start],INT((ROW()-2)/20)+1)</f>
        <v>46202</v>
      </c>
      <c r="B512" t="str" cm="1">
        <f t="array" ref="B512">INDEX(tblDemandAssumptions[Customer_ID],MOD(ROW()-2,20)+1)</f>
        <v>C003</v>
      </c>
      <c r="C512" t="str" cm="1">
        <f t="array" ref="C512">INDEX(tblDemandAssumptions[Product_ID],MOD(ROW()-2,20)+1)</f>
        <v>P001</v>
      </c>
      <c r="D512" cm="1">
        <f t="array" ref="D512">INDEX(tblDemandAssumptions[Baseline_Weekly_Qty],MOD(ROW()-2,20)+1)</f>
        <v>3000</v>
      </c>
      <c r="E512">
        <f t="shared" si="56"/>
        <v>1.05</v>
      </c>
      <c r="F512">
        <v>0.98</v>
      </c>
      <c r="G512">
        <f t="shared" si="57"/>
        <v>3087</v>
      </c>
      <c r="H512">
        <v>1.02</v>
      </c>
      <c r="I512">
        <f t="shared" si="58"/>
        <v>3213</v>
      </c>
      <c r="J512" t="str">
        <f t="shared" si="59"/>
        <v>Normal</v>
      </c>
      <c r="K512">
        <f t="shared" si="60"/>
        <v>3087</v>
      </c>
      <c r="L512">
        <f t="shared" si="61"/>
        <v>-126</v>
      </c>
      <c r="M512" s="2">
        <f t="shared" si="62"/>
        <v>-3.9215686274509803E-2</v>
      </c>
      <c r="N512">
        <f t="shared" si="63"/>
        <v>126</v>
      </c>
    </row>
    <row r="513" spans="1:14">
      <c r="A513" s="1" cm="1">
        <f t="array" ref="A513">INDEX(tblWeeks[Week_Start],INT((ROW()-2)/20)+1)</f>
        <v>46202</v>
      </c>
      <c r="B513" t="str" cm="1">
        <f t="array" ref="B513">INDEX(tblDemandAssumptions[Customer_ID],MOD(ROW()-2,20)+1)</f>
        <v>C003</v>
      </c>
      <c r="C513" t="str" cm="1">
        <f t="array" ref="C513">INDEX(tblDemandAssumptions[Product_ID],MOD(ROW()-2,20)+1)</f>
        <v>P002</v>
      </c>
      <c r="D513" cm="1">
        <f t="array" ref="D513">INDEX(tblDemandAssumptions[Baseline_Weekly_Qty],MOD(ROW()-2,20)+1)</f>
        <v>2700</v>
      </c>
      <c r="E513">
        <f t="shared" si="56"/>
        <v>1.05</v>
      </c>
      <c r="F513">
        <v>1.01</v>
      </c>
      <c r="G513">
        <f t="shared" si="57"/>
        <v>2863</v>
      </c>
      <c r="H513">
        <v>1.01</v>
      </c>
      <c r="I513">
        <f t="shared" si="58"/>
        <v>2863</v>
      </c>
      <c r="J513" t="str">
        <f t="shared" si="59"/>
        <v>Normal</v>
      </c>
      <c r="K513">
        <f t="shared" si="60"/>
        <v>2863</v>
      </c>
      <c r="L513">
        <f t="shared" si="61"/>
        <v>0</v>
      </c>
      <c r="M513" s="2">
        <f t="shared" si="62"/>
        <v>0</v>
      </c>
      <c r="N513">
        <f t="shared" si="63"/>
        <v>0</v>
      </c>
    </row>
    <row r="514" spans="1:14">
      <c r="A514" s="1" cm="1">
        <f t="array" ref="A514">INDEX(tblWeeks[Week_Start],INT((ROW()-2)/20)+1)</f>
        <v>46202</v>
      </c>
      <c r="B514" t="str" cm="1">
        <f t="array" ref="B514">INDEX(tblDemandAssumptions[Customer_ID],MOD(ROW()-2,20)+1)</f>
        <v>C003</v>
      </c>
      <c r="C514" t="str" cm="1">
        <f t="array" ref="C514">INDEX(tblDemandAssumptions[Product_ID],MOD(ROW()-2,20)+1)</f>
        <v>P003</v>
      </c>
      <c r="D514" cm="1">
        <f t="array" ref="D514">INDEX(tblDemandAssumptions[Baseline_Weekly_Qty],MOD(ROW()-2,20)+1)</f>
        <v>2800</v>
      </c>
      <c r="E514">
        <f t="shared" ref="E514:E577" si="64">IF(MONTH(A514)&lt;=2,0.95,IF(MONTH(A514)&lt;=4,1,IF(MONTH(A514)&lt;=6,1.05,IF(MONTH(A514)&lt;=8,1.1,IF(MONTH(A514)&lt;=10,1,IF(MONTH(A514)=11,1.05,1.2))))))</f>
        <v>1.05</v>
      </c>
      <c r="F514">
        <v>0.97</v>
      </c>
      <c r="G514">
        <f t="shared" ref="G514:G577" si="65">ROUND(D514*E514*F514,0)</f>
        <v>2852</v>
      </c>
      <c r="H514">
        <v>0.98</v>
      </c>
      <c r="I514">
        <f t="shared" ref="I514:I577" si="66">ROUND(D514*E514*H514,0)</f>
        <v>2881</v>
      </c>
      <c r="J514" t="str">
        <f t="shared" ref="J514:J577" si="67">IF(AND(A514=DATE(2026,3,16),B514="C001",C514="P001"),"Promotion_Demand_Spike",IF(AND(A514=DATE(2026,6,8),B514="C002",C514="P004"),"Under_Forecast",IF(AND(A514=DATE(2026,7,20),B514="C003",C514="P003"),"Over_Forecast","Normal")))</f>
        <v>Normal</v>
      </c>
      <c r="K514">
        <f t="shared" ref="K514:K577" si="68">IF(J514="Promotion_Demand_Spike",ROUND(G514*1.35,0),IF(J514="Under_Forecast",ROUND(I514*1.25,0),IF(J514="Over_Forecast",ROUND(I514*0.72,0),G514)))</f>
        <v>2852</v>
      </c>
      <c r="L514">
        <f t="shared" ref="L514:L577" si="69">K514-I514</f>
        <v>-29</v>
      </c>
      <c r="M514" s="2">
        <f t="shared" ref="M514:M577" si="70">IF(I514=0,0,L514/I514)</f>
        <v>-1.0065949323151684E-2</v>
      </c>
      <c r="N514">
        <f t="shared" ref="N514:N577" si="71">ABS(L514)</f>
        <v>29</v>
      </c>
    </row>
    <row r="515" spans="1:14">
      <c r="A515" s="1" cm="1">
        <f t="array" ref="A515">INDEX(tblWeeks[Week_Start],INT((ROW()-2)/20)+1)</f>
        <v>46202</v>
      </c>
      <c r="B515" t="str" cm="1">
        <f t="array" ref="B515">INDEX(tblDemandAssumptions[Customer_ID],MOD(ROW()-2,20)+1)</f>
        <v>C003</v>
      </c>
      <c r="C515" t="str" cm="1">
        <f t="array" ref="C515">INDEX(tblDemandAssumptions[Product_ID],MOD(ROW()-2,20)+1)</f>
        <v>P004</v>
      </c>
      <c r="D515" cm="1">
        <f t="array" ref="D515">INDEX(tblDemandAssumptions[Baseline_Weekly_Qty],MOD(ROW()-2,20)+1)</f>
        <v>2400</v>
      </c>
      <c r="E515">
        <f t="shared" si="64"/>
        <v>1.05</v>
      </c>
      <c r="F515">
        <v>0.98</v>
      </c>
      <c r="G515">
        <f t="shared" si="65"/>
        <v>2470</v>
      </c>
      <c r="H515">
        <v>1.03</v>
      </c>
      <c r="I515">
        <f t="shared" si="66"/>
        <v>2596</v>
      </c>
      <c r="J515" t="str">
        <f t="shared" si="67"/>
        <v>Normal</v>
      </c>
      <c r="K515">
        <f t="shared" si="68"/>
        <v>2470</v>
      </c>
      <c r="L515">
        <f t="shared" si="69"/>
        <v>-126</v>
      </c>
      <c r="M515" s="2">
        <f t="shared" si="70"/>
        <v>-4.8536209553158703E-2</v>
      </c>
      <c r="N515">
        <f t="shared" si="71"/>
        <v>126</v>
      </c>
    </row>
    <row r="516" spans="1:14">
      <c r="A516" s="1" cm="1">
        <f t="array" ref="A516">INDEX(tblWeeks[Week_Start],INT((ROW()-2)/20)+1)</f>
        <v>46202</v>
      </c>
      <c r="B516" t="str" cm="1">
        <f t="array" ref="B516">INDEX(tblDemandAssumptions[Customer_ID],MOD(ROW()-2,20)+1)</f>
        <v>C003</v>
      </c>
      <c r="C516" t="str" cm="1">
        <f t="array" ref="C516">INDEX(tblDemandAssumptions[Product_ID],MOD(ROW()-2,20)+1)</f>
        <v>P005</v>
      </c>
      <c r="D516" cm="1">
        <f t="array" ref="D516">INDEX(tblDemandAssumptions[Baseline_Weekly_Qty],MOD(ROW()-2,20)+1)</f>
        <v>1900</v>
      </c>
      <c r="E516">
        <f t="shared" si="64"/>
        <v>1.05</v>
      </c>
      <c r="F516">
        <v>1.02</v>
      </c>
      <c r="G516">
        <f t="shared" si="65"/>
        <v>2035</v>
      </c>
      <c r="H516">
        <v>0.98</v>
      </c>
      <c r="I516">
        <f t="shared" si="66"/>
        <v>1955</v>
      </c>
      <c r="J516" t="str">
        <f t="shared" si="67"/>
        <v>Normal</v>
      </c>
      <c r="K516">
        <f t="shared" si="68"/>
        <v>2035</v>
      </c>
      <c r="L516">
        <f t="shared" si="69"/>
        <v>80</v>
      </c>
      <c r="M516" s="2">
        <f t="shared" si="70"/>
        <v>4.0920716112531973E-2</v>
      </c>
      <c r="N516">
        <f t="shared" si="71"/>
        <v>80</v>
      </c>
    </row>
    <row r="517" spans="1:14">
      <c r="A517" s="1" cm="1">
        <f t="array" ref="A517">INDEX(tblWeeks[Week_Start],INT((ROW()-2)/20)+1)</f>
        <v>46202</v>
      </c>
      <c r="B517" t="str" cm="1">
        <f t="array" ref="B517">INDEX(tblDemandAssumptions[Customer_ID],MOD(ROW()-2,20)+1)</f>
        <v>C004</v>
      </c>
      <c r="C517" t="str" cm="1">
        <f t="array" ref="C517">INDEX(tblDemandAssumptions[Product_ID],MOD(ROW()-2,20)+1)</f>
        <v>P001</v>
      </c>
      <c r="D517" cm="1">
        <f t="array" ref="D517">INDEX(tblDemandAssumptions[Baseline_Weekly_Qty],MOD(ROW()-2,20)+1)</f>
        <v>2700</v>
      </c>
      <c r="E517">
        <f t="shared" si="64"/>
        <v>1.05</v>
      </c>
      <c r="F517">
        <v>1.04</v>
      </c>
      <c r="G517">
        <f t="shared" si="65"/>
        <v>2948</v>
      </c>
      <c r="H517">
        <v>0.99</v>
      </c>
      <c r="I517">
        <f t="shared" si="66"/>
        <v>2807</v>
      </c>
      <c r="J517" t="str">
        <f t="shared" si="67"/>
        <v>Normal</v>
      </c>
      <c r="K517">
        <f t="shared" si="68"/>
        <v>2948</v>
      </c>
      <c r="L517">
        <f t="shared" si="69"/>
        <v>141</v>
      </c>
      <c r="M517" s="2">
        <f t="shared" si="70"/>
        <v>5.0231563947274668E-2</v>
      </c>
      <c r="N517">
        <f t="shared" si="71"/>
        <v>141</v>
      </c>
    </row>
    <row r="518" spans="1:14">
      <c r="A518" s="1" cm="1">
        <f t="array" ref="A518">INDEX(tblWeeks[Week_Start],INT((ROW()-2)/20)+1)</f>
        <v>46202</v>
      </c>
      <c r="B518" t="str" cm="1">
        <f t="array" ref="B518">INDEX(tblDemandAssumptions[Customer_ID],MOD(ROW()-2,20)+1)</f>
        <v>C004</v>
      </c>
      <c r="C518" t="str" cm="1">
        <f t="array" ref="C518">INDEX(tblDemandAssumptions[Product_ID],MOD(ROW()-2,20)+1)</f>
        <v>P002</v>
      </c>
      <c r="D518" cm="1">
        <f t="array" ref="D518">INDEX(tblDemandAssumptions[Baseline_Weekly_Qty],MOD(ROW()-2,20)+1)</f>
        <v>2400</v>
      </c>
      <c r="E518">
        <f t="shared" si="64"/>
        <v>1.05</v>
      </c>
      <c r="F518">
        <v>1.05</v>
      </c>
      <c r="G518">
        <f t="shared" si="65"/>
        <v>2646</v>
      </c>
      <c r="H518">
        <v>0.96</v>
      </c>
      <c r="I518">
        <f t="shared" si="66"/>
        <v>2419</v>
      </c>
      <c r="J518" t="str">
        <f t="shared" si="67"/>
        <v>Normal</v>
      </c>
      <c r="K518">
        <f t="shared" si="68"/>
        <v>2646</v>
      </c>
      <c r="L518">
        <f t="shared" si="69"/>
        <v>227</v>
      </c>
      <c r="M518" s="2">
        <f t="shared" si="70"/>
        <v>9.3840429929723024E-2</v>
      </c>
      <c r="N518">
        <f t="shared" si="71"/>
        <v>227</v>
      </c>
    </row>
    <row r="519" spans="1:14">
      <c r="A519" s="1" cm="1">
        <f t="array" ref="A519">INDEX(tblWeeks[Week_Start],INT((ROW()-2)/20)+1)</f>
        <v>46202</v>
      </c>
      <c r="B519" t="str" cm="1">
        <f t="array" ref="B519">INDEX(tblDemandAssumptions[Customer_ID],MOD(ROW()-2,20)+1)</f>
        <v>C004</v>
      </c>
      <c r="C519" t="str" cm="1">
        <f t="array" ref="C519">INDEX(tblDemandAssumptions[Product_ID],MOD(ROW()-2,20)+1)</f>
        <v>P003</v>
      </c>
      <c r="D519" cm="1">
        <f t="array" ref="D519">INDEX(tblDemandAssumptions[Baseline_Weekly_Qty],MOD(ROW()-2,20)+1)</f>
        <v>2100</v>
      </c>
      <c r="E519">
        <f t="shared" si="64"/>
        <v>1.05</v>
      </c>
      <c r="F519">
        <v>1.02</v>
      </c>
      <c r="G519">
        <f t="shared" si="65"/>
        <v>2249</v>
      </c>
      <c r="H519">
        <v>0.99</v>
      </c>
      <c r="I519">
        <f t="shared" si="66"/>
        <v>2183</v>
      </c>
      <c r="J519" t="str">
        <f t="shared" si="67"/>
        <v>Normal</v>
      </c>
      <c r="K519">
        <f t="shared" si="68"/>
        <v>2249</v>
      </c>
      <c r="L519">
        <f t="shared" si="69"/>
        <v>66</v>
      </c>
      <c r="M519" s="2">
        <f t="shared" si="70"/>
        <v>3.0233623453962438E-2</v>
      </c>
      <c r="N519">
        <f t="shared" si="71"/>
        <v>66</v>
      </c>
    </row>
    <row r="520" spans="1:14">
      <c r="A520" s="1" cm="1">
        <f t="array" ref="A520">INDEX(tblWeeks[Week_Start],INT((ROW()-2)/20)+1)</f>
        <v>46202</v>
      </c>
      <c r="B520" t="str" cm="1">
        <f t="array" ref="B520">INDEX(tblDemandAssumptions[Customer_ID],MOD(ROW()-2,20)+1)</f>
        <v>C004</v>
      </c>
      <c r="C520" t="str" cm="1">
        <f t="array" ref="C520">INDEX(tblDemandAssumptions[Product_ID],MOD(ROW()-2,20)+1)</f>
        <v>P004</v>
      </c>
      <c r="D520" cm="1">
        <f t="array" ref="D520">INDEX(tblDemandAssumptions[Baseline_Weekly_Qty],MOD(ROW()-2,20)+1)</f>
        <v>2600</v>
      </c>
      <c r="E520">
        <f t="shared" si="64"/>
        <v>1.05</v>
      </c>
      <c r="F520">
        <v>0.96</v>
      </c>
      <c r="G520">
        <f t="shared" si="65"/>
        <v>2621</v>
      </c>
      <c r="H520">
        <v>0.96</v>
      </c>
      <c r="I520">
        <f t="shared" si="66"/>
        <v>2621</v>
      </c>
      <c r="J520" t="str">
        <f t="shared" si="67"/>
        <v>Normal</v>
      </c>
      <c r="K520">
        <f t="shared" si="68"/>
        <v>2621</v>
      </c>
      <c r="L520">
        <f t="shared" si="69"/>
        <v>0</v>
      </c>
      <c r="M520" s="2">
        <f t="shared" si="70"/>
        <v>0</v>
      </c>
      <c r="N520">
        <f t="shared" si="71"/>
        <v>0</v>
      </c>
    </row>
    <row r="521" spans="1:14">
      <c r="A521" s="1" cm="1">
        <f t="array" ref="A521">INDEX(tblWeeks[Week_Start],INT((ROW()-2)/20)+1)</f>
        <v>46202</v>
      </c>
      <c r="B521" t="str" cm="1">
        <f t="array" ref="B521">INDEX(tblDemandAssumptions[Customer_ID],MOD(ROW()-2,20)+1)</f>
        <v>C004</v>
      </c>
      <c r="C521" t="str" cm="1">
        <f t="array" ref="C521">INDEX(tblDemandAssumptions[Product_ID],MOD(ROW()-2,20)+1)</f>
        <v>P005</v>
      </c>
      <c r="D521" cm="1">
        <f t="array" ref="D521">INDEX(tblDemandAssumptions[Baseline_Weekly_Qty],MOD(ROW()-2,20)+1)</f>
        <v>1800</v>
      </c>
      <c r="E521">
        <f t="shared" si="64"/>
        <v>1.05</v>
      </c>
      <c r="F521">
        <v>1.05</v>
      </c>
      <c r="G521">
        <f t="shared" si="65"/>
        <v>1985</v>
      </c>
      <c r="H521">
        <v>1</v>
      </c>
      <c r="I521">
        <f t="shared" si="66"/>
        <v>1890</v>
      </c>
      <c r="J521" t="str">
        <f t="shared" si="67"/>
        <v>Normal</v>
      </c>
      <c r="K521">
        <f t="shared" si="68"/>
        <v>1985</v>
      </c>
      <c r="L521">
        <f t="shared" si="69"/>
        <v>95</v>
      </c>
      <c r="M521" s="2">
        <f t="shared" si="70"/>
        <v>5.0264550264550262E-2</v>
      </c>
      <c r="N521">
        <f t="shared" si="71"/>
        <v>95</v>
      </c>
    </row>
    <row r="522" spans="1:14">
      <c r="A522" s="1" cm="1">
        <f t="array" ref="A522">INDEX(tblWeeks[Week_Start],INT((ROW()-2)/20)+1)</f>
        <v>46209</v>
      </c>
      <c r="B522" t="str" cm="1">
        <f t="array" ref="B522">INDEX(tblDemandAssumptions[Customer_ID],MOD(ROW()-2,20)+1)</f>
        <v>C001</v>
      </c>
      <c r="C522" t="str" cm="1">
        <f t="array" ref="C522">INDEX(tblDemandAssumptions[Product_ID],MOD(ROW()-2,20)+1)</f>
        <v>P001</v>
      </c>
      <c r="D522" cm="1">
        <f t="array" ref="D522">INDEX(tblDemandAssumptions[Baseline_Weekly_Qty],MOD(ROW()-2,20)+1)</f>
        <v>5200</v>
      </c>
      <c r="E522">
        <f t="shared" si="64"/>
        <v>1.1000000000000001</v>
      </c>
      <c r="F522">
        <v>0.95</v>
      </c>
      <c r="G522">
        <f t="shared" si="65"/>
        <v>5434</v>
      </c>
      <c r="H522">
        <v>1.04</v>
      </c>
      <c r="I522">
        <f t="shared" si="66"/>
        <v>5949</v>
      </c>
      <c r="J522" t="str">
        <f t="shared" si="67"/>
        <v>Normal</v>
      </c>
      <c r="K522">
        <f t="shared" si="68"/>
        <v>5434</v>
      </c>
      <c r="L522">
        <f t="shared" si="69"/>
        <v>-515</v>
      </c>
      <c r="M522" s="2">
        <f t="shared" si="70"/>
        <v>-8.6569171289292313E-2</v>
      </c>
      <c r="N522">
        <f t="shared" si="71"/>
        <v>515</v>
      </c>
    </row>
    <row r="523" spans="1:14">
      <c r="A523" s="1" cm="1">
        <f t="array" ref="A523">INDEX(tblWeeks[Week_Start],INT((ROW()-2)/20)+1)</f>
        <v>46209</v>
      </c>
      <c r="B523" t="str" cm="1">
        <f t="array" ref="B523">INDEX(tblDemandAssumptions[Customer_ID],MOD(ROW()-2,20)+1)</f>
        <v>C001</v>
      </c>
      <c r="C523" t="str" cm="1">
        <f t="array" ref="C523">INDEX(tblDemandAssumptions[Product_ID],MOD(ROW()-2,20)+1)</f>
        <v>P002</v>
      </c>
      <c r="D523" cm="1">
        <f t="array" ref="D523">INDEX(tblDemandAssumptions[Baseline_Weekly_Qty],MOD(ROW()-2,20)+1)</f>
        <v>4100</v>
      </c>
      <c r="E523">
        <f t="shared" si="64"/>
        <v>1.1000000000000001</v>
      </c>
      <c r="F523">
        <v>1.02</v>
      </c>
      <c r="G523">
        <f t="shared" si="65"/>
        <v>4600</v>
      </c>
      <c r="H523">
        <v>1.02</v>
      </c>
      <c r="I523">
        <f t="shared" si="66"/>
        <v>4600</v>
      </c>
      <c r="J523" t="str">
        <f t="shared" si="67"/>
        <v>Normal</v>
      </c>
      <c r="K523">
        <f t="shared" si="68"/>
        <v>4600</v>
      </c>
      <c r="L523">
        <f t="shared" si="69"/>
        <v>0</v>
      </c>
      <c r="M523" s="2">
        <f t="shared" si="70"/>
        <v>0</v>
      </c>
      <c r="N523">
        <f t="shared" si="71"/>
        <v>0</v>
      </c>
    </row>
    <row r="524" spans="1:14">
      <c r="A524" s="1" cm="1">
        <f t="array" ref="A524">INDEX(tblWeeks[Week_Start],INT((ROW()-2)/20)+1)</f>
        <v>46209</v>
      </c>
      <c r="B524" t="str" cm="1">
        <f t="array" ref="B524">INDEX(tblDemandAssumptions[Customer_ID],MOD(ROW()-2,20)+1)</f>
        <v>C001</v>
      </c>
      <c r="C524" t="str" cm="1">
        <f t="array" ref="C524">INDEX(tblDemandAssumptions[Product_ID],MOD(ROW()-2,20)+1)</f>
        <v>P003</v>
      </c>
      <c r="D524" cm="1">
        <f t="array" ref="D524">INDEX(tblDemandAssumptions[Baseline_Weekly_Qty],MOD(ROW()-2,20)+1)</f>
        <v>3300</v>
      </c>
      <c r="E524">
        <f t="shared" si="64"/>
        <v>1.1000000000000001</v>
      </c>
      <c r="F524">
        <v>0.96</v>
      </c>
      <c r="G524">
        <f t="shared" si="65"/>
        <v>3485</v>
      </c>
      <c r="H524">
        <v>1.03</v>
      </c>
      <c r="I524">
        <f t="shared" si="66"/>
        <v>3739</v>
      </c>
      <c r="J524" t="str">
        <f t="shared" si="67"/>
        <v>Normal</v>
      </c>
      <c r="K524">
        <f t="shared" si="68"/>
        <v>3485</v>
      </c>
      <c r="L524">
        <f t="shared" si="69"/>
        <v>-254</v>
      </c>
      <c r="M524" s="2">
        <f t="shared" si="70"/>
        <v>-6.7932602300080233E-2</v>
      </c>
      <c r="N524">
        <f t="shared" si="71"/>
        <v>254</v>
      </c>
    </row>
    <row r="525" spans="1:14">
      <c r="A525" s="1" cm="1">
        <f t="array" ref="A525">INDEX(tblWeeks[Week_Start],INT((ROW()-2)/20)+1)</f>
        <v>46209</v>
      </c>
      <c r="B525" t="str" cm="1">
        <f t="array" ref="B525">INDEX(tblDemandAssumptions[Customer_ID],MOD(ROW()-2,20)+1)</f>
        <v>C001</v>
      </c>
      <c r="C525" t="str" cm="1">
        <f t="array" ref="C525">INDEX(tblDemandAssumptions[Product_ID],MOD(ROW()-2,20)+1)</f>
        <v>P004</v>
      </c>
      <c r="D525" cm="1">
        <f t="array" ref="D525">INDEX(tblDemandAssumptions[Baseline_Weekly_Qty],MOD(ROW()-2,20)+1)</f>
        <v>3600</v>
      </c>
      <c r="E525">
        <f t="shared" si="64"/>
        <v>1.1000000000000001</v>
      </c>
      <c r="F525">
        <v>0.96</v>
      </c>
      <c r="G525">
        <f t="shared" si="65"/>
        <v>3802</v>
      </c>
      <c r="H525">
        <v>1</v>
      </c>
      <c r="I525">
        <f t="shared" si="66"/>
        <v>3960</v>
      </c>
      <c r="J525" t="str">
        <f t="shared" si="67"/>
        <v>Normal</v>
      </c>
      <c r="K525">
        <f t="shared" si="68"/>
        <v>3802</v>
      </c>
      <c r="L525">
        <f t="shared" si="69"/>
        <v>-158</v>
      </c>
      <c r="M525" s="2">
        <f t="shared" si="70"/>
        <v>-3.9898989898989899E-2</v>
      </c>
      <c r="N525">
        <f t="shared" si="71"/>
        <v>158</v>
      </c>
    </row>
    <row r="526" spans="1:14">
      <c r="A526" s="1" cm="1">
        <f t="array" ref="A526">INDEX(tblWeeks[Week_Start],INT((ROW()-2)/20)+1)</f>
        <v>46209</v>
      </c>
      <c r="B526" t="str" cm="1">
        <f t="array" ref="B526">INDEX(tblDemandAssumptions[Customer_ID],MOD(ROW()-2,20)+1)</f>
        <v>C001</v>
      </c>
      <c r="C526" t="str" cm="1">
        <f t="array" ref="C526">INDEX(tblDemandAssumptions[Product_ID],MOD(ROW()-2,20)+1)</f>
        <v>P005</v>
      </c>
      <c r="D526" cm="1">
        <f t="array" ref="D526">INDEX(tblDemandAssumptions[Baseline_Weekly_Qty],MOD(ROW()-2,20)+1)</f>
        <v>2800</v>
      </c>
      <c r="E526">
        <f t="shared" si="64"/>
        <v>1.1000000000000001</v>
      </c>
      <c r="F526">
        <v>1.02</v>
      </c>
      <c r="G526">
        <f t="shared" si="65"/>
        <v>3142</v>
      </c>
      <c r="H526">
        <v>0.98</v>
      </c>
      <c r="I526">
        <f t="shared" si="66"/>
        <v>3018</v>
      </c>
      <c r="J526" t="str">
        <f t="shared" si="67"/>
        <v>Normal</v>
      </c>
      <c r="K526">
        <f t="shared" si="68"/>
        <v>3142</v>
      </c>
      <c r="L526">
        <f t="shared" si="69"/>
        <v>124</v>
      </c>
      <c r="M526" s="2">
        <f t="shared" si="70"/>
        <v>4.108681245858184E-2</v>
      </c>
      <c r="N526">
        <f t="shared" si="71"/>
        <v>124</v>
      </c>
    </row>
    <row r="527" spans="1:14">
      <c r="A527" s="1" cm="1">
        <f t="array" ref="A527">INDEX(tblWeeks[Week_Start],INT((ROW()-2)/20)+1)</f>
        <v>46209</v>
      </c>
      <c r="B527" t="str" cm="1">
        <f t="array" ref="B527">INDEX(tblDemandAssumptions[Customer_ID],MOD(ROW()-2,20)+1)</f>
        <v>C002</v>
      </c>
      <c r="C527" t="str" cm="1">
        <f t="array" ref="C527">INDEX(tblDemandAssumptions[Product_ID],MOD(ROW()-2,20)+1)</f>
        <v>P001</v>
      </c>
      <c r="D527" cm="1">
        <f t="array" ref="D527">INDEX(tblDemandAssumptions[Baseline_Weekly_Qty],MOD(ROW()-2,20)+1)</f>
        <v>3400</v>
      </c>
      <c r="E527">
        <f t="shared" si="64"/>
        <v>1.1000000000000001</v>
      </c>
      <c r="F527">
        <v>1.05</v>
      </c>
      <c r="G527">
        <f t="shared" si="65"/>
        <v>3927</v>
      </c>
      <c r="H527">
        <v>1.02</v>
      </c>
      <c r="I527">
        <f t="shared" si="66"/>
        <v>3815</v>
      </c>
      <c r="J527" t="str">
        <f t="shared" si="67"/>
        <v>Normal</v>
      </c>
      <c r="K527">
        <f t="shared" si="68"/>
        <v>3927</v>
      </c>
      <c r="L527">
        <f t="shared" si="69"/>
        <v>112</v>
      </c>
      <c r="M527" s="2">
        <f t="shared" si="70"/>
        <v>2.9357798165137616E-2</v>
      </c>
      <c r="N527">
        <f t="shared" si="71"/>
        <v>112</v>
      </c>
    </row>
    <row r="528" spans="1:14">
      <c r="A528" s="1" cm="1">
        <f t="array" ref="A528">INDEX(tblWeeks[Week_Start],INT((ROW()-2)/20)+1)</f>
        <v>46209</v>
      </c>
      <c r="B528" t="str" cm="1">
        <f t="array" ref="B528">INDEX(tblDemandAssumptions[Customer_ID],MOD(ROW()-2,20)+1)</f>
        <v>C002</v>
      </c>
      <c r="C528" t="str" cm="1">
        <f t="array" ref="C528">INDEX(tblDemandAssumptions[Product_ID],MOD(ROW()-2,20)+1)</f>
        <v>P002</v>
      </c>
      <c r="D528" cm="1">
        <f t="array" ref="D528">INDEX(tblDemandAssumptions[Baseline_Weekly_Qty],MOD(ROW()-2,20)+1)</f>
        <v>3200</v>
      </c>
      <c r="E528">
        <f t="shared" si="64"/>
        <v>1.1000000000000001</v>
      </c>
      <c r="F528">
        <v>1</v>
      </c>
      <c r="G528">
        <f t="shared" si="65"/>
        <v>3520</v>
      </c>
      <c r="H528">
        <v>0.96</v>
      </c>
      <c r="I528">
        <f t="shared" si="66"/>
        <v>3379</v>
      </c>
      <c r="J528" t="str">
        <f t="shared" si="67"/>
        <v>Normal</v>
      </c>
      <c r="K528">
        <f t="shared" si="68"/>
        <v>3520</v>
      </c>
      <c r="L528">
        <f t="shared" si="69"/>
        <v>141</v>
      </c>
      <c r="M528" s="2">
        <f t="shared" si="70"/>
        <v>4.172832198875407E-2</v>
      </c>
      <c r="N528">
        <f t="shared" si="71"/>
        <v>141</v>
      </c>
    </row>
    <row r="529" spans="1:14">
      <c r="A529" s="1" cm="1">
        <f t="array" ref="A529">INDEX(tblWeeks[Week_Start],INT((ROW()-2)/20)+1)</f>
        <v>46209</v>
      </c>
      <c r="B529" t="str" cm="1">
        <f t="array" ref="B529">INDEX(tblDemandAssumptions[Customer_ID],MOD(ROW()-2,20)+1)</f>
        <v>C002</v>
      </c>
      <c r="C529" t="str" cm="1">
        <f t="array" ref="C529">INDEX(tblDemandAssumptions[Product_ID],MOD(ROW()-2,20)+1)</f>
        <v>P003</v>
      </c>
      <c r="D529" cm="1">
        <f t="array" ref="D529">INDEX(tblDemandAssumptions[Baseline_Weekly_Qty],MOD(ROW()-2,20)+1)</f>
        <v>2600</v>
      </c>
      <c r="E529">
        <f t="shared" si="64"/>
        <v>1.1000000000000001</v>
      </c>
      <c r="F529">
        <v>0.98</v>
      </c>
      <c r="G529">
        <f t="shared" si="65"/>
        <v>2803</v>
      </c>
      <c r="H529">
        <v>0.99</v>
      </c>
      <c r="I529">
        <f t="shared" si="66"/>
        <v>2831</v>
      </c>
      <c r="J529" t="str">
        <f t="shared" si="67"/>
        <v>Normal</v>
      </c>
      <c r="K529">
        <f t="shared" si="68"/>
        <v>2803</v>
      </c>
      <c r="L529">
        <f t="shared" si="69"/>
        <v>-28</v>
      </c>
      <c r="M529" s="2">
        <f t="shared" si="70"/>
        <v>-9.8904980572235967E-3</v>
      </c>
      <c r="N529">
        <f t="shared" si="71"/>
        <v>28</v>
      </c>
    </row>
    <row r="530" spans="1:14">
      <c r="A530" s="1" cm="1">
        <f t="array" ref="A530">INDEX(tblWeeks[Week_Start],INT((ROW()-2)/20)+1)</f>
        <v>46209</v>
      </c>
      <c r="B530" t="str" cm="1">
        <f t="array" ref="B530">INDEX(tblDemandAssumptions[Customer_ID],MOD(ROW()-2,20)+1)</f>
        <v>C002</v>
      </c>
      <c r="C530" t="str" cm="1">
        <f t="array" ref="C530">INDEX(tblDemandAssumptions[Product_ID],MOD(ROW()-2,20)+1)</f>
        <v>P004</v>
      </c>
      <c r="D530" cm="1">
        <f t="array" ref="D530">INDEX(tblDemandAssumptions[Baseline_Weekly_Qty],MOD(ROW()-2,20)+1)</f>
        <v>2900</v>
      </c>
      <c r="E530">
        <f t="shared" si="64"/>
        <v>1.1000000000000001</v>
      </c>
      <c r="F530">
        <v>0.96</v>
      </c>
      <c r="G530">
        <f t="shared" si="65"/>
        <v>3062</v>
      </c>
      <c r="H530">
        <v>1</v>
      </c>
      <c r="I530">
        <f t="shared" si="66"/>
        <v>3190</v>
      </c>
      <c r="J530" t="str">
        <f t="shared" si="67"/>
        <v>Normal</v>
      </c>
      <c r="K530">
        <f t="shared" si="68"/>
        <v>3062</v>
      </c>
      <c r="L530">
        <f t="shared" si="69"/>
        <v>-128</v>
      </c>
      <c r="M530" s="2">
        <f t="shared" si="70"/>
        <v>-4.0125391849529783E-2</v>
      </c>
      <c r="N530">
        <f t="shared" si="71"/>
        <v>128</v>
      </c>
    </row>
    <row r="531" spans="1:14">
      <c r="A531" s="1" cm="1">
        <f t="array" ref="A531">INDEX(tblWeeks[Week_Start],INT((ROW()-2)/20)+1)</f>
        <v>46209</v>
      </c>
      <c r="B531" t="str" cm="1">
        <f t="array" ref="B531">INDEX(tblDemandAssumptions[Customer_ID],MOD(ROW()-2,20)+1)</f>
        <v>C002</v>
      </c>
      <c r="C531" t="str" cm="1">
        <f t="array" ref="C531">INDEX(tblDemandAssumptions[Product_ID],MOD(ROW()-2,20)+1)</f>
        <v>P005</v>
      </c>
      <c r="D531" cm="1">
        <f t="array" ref="D531">INDEX(tblDemandAssumptions[Baseline_Weekly_Qty],MOD(ROW()-2,20)+1)</f>
        <v>2200</v>
      </c>
      <c r="E531">
        <f t="shared" si="64"/>
        <v>1.1000000000000001</v>
      </c>
      <c r="F531">
        <v>1.02</v>
      </c>
      <c r="G531">
        <f t="shared" si="65"/>
        <v>2468</v>
      </c>
      <c r="H531">
        <v>0.96</v>
      </c>
      <c r="I531">
        <f t="shared" si="66"/>
        <v>2323</v>
      </c>
      <c r="J531" t="str">
        <f t="shared" si="67"/>
        <v>Normal</v>
      </c>
      <c r="K531">
        <f t="shared" si="68"/>
        <v>2468</v>
      </c>
      <c r="L531">
        <f t="shared" si="69"/>
        <v>145</v>
      </c>
      <c r="M531" s="2">
        <f t="shared" si="70"/>
        <v>6.2419285406801549E-2</v>
      </c>
      <c r="N531">
        <f t="shared" si="71"/>
        <v>145</v>
      </c>
    </row>
    <row r="532" spans="1:14">
      <c r="A532" s="1" cm="1">
        <f t="array" ref="A532">INDEX(tblWeeks[Week_Start],INT((ROW()-2)/20)+1)</f>
        <v>46209</v>
      </c>
      <c r="B532" t="str" cm="1">
        <f t="array" ref="B532">INDEX(tblDemandAssumptions[Customer_ID],MOD(ROW()-2,20)+1)</f>
        <v>C003</v>
      </c>
      <c r="C532" t="str" cm="1">
        <f t="array" ref="C532">INDEX(tblDemandAssumptions[Product_ID],MOD(ROW()-2,20)+1)</f>
        <v>P001</v>
      </c>
      <c r="D532" cm="1">
        <f t="array" ref="D532">INDEX(tblDemandAssumptions[Baseline_Weekly_Qty],MOD(ROW()-2,20)+1)</f>
        <v>3000</v>
      </c>
      <c r="E532">
        <f t="shared" si="64"/>
        <v>1.1000000000000001</v>
      </c>
      <c r="F532">
        <v>0.96</v>
      </c>
      <c r="G532">
        <f t="shared" si="65"/>
        <v>3168</v>
      </c>
      <c r="H532">
        <v>1.04</v>
      </c>
      <c r="I532">
        <f t="shared" si="66"/>
        <v>3432</v>
      </c>
      <c r="J532" t="str">
        <f t="shared" si="67"/>
        <v>Normal</v>
      </c>
      <c r="K532">
        <f t="shared" si="68"/>
        <v>3168</v>
      </c>
      <c r="L532">
        <f t="shared" si="69"/>
        <v>-264</v>
      </c>
      <c r="M532" s="2">
        <f t="shared" si="70"/>
        <v>-7.6923076923076927E-2</v>
      </c>
      <c r="N532">
        <f t="shared" si="71"/>
        <v>264</v>
      </c>
    </row>
    <row r="533" spans="1:14">
      <c r="A533" s="1" cm="1">
        <f t="array" ref="A533">INDEX(tblWeeks[Week_Start],INT((ROW()-2)/20)+1)</f>
        <v>46209</v>
      </c>
      <c r="B533" t="str" cm="1">
        <f t="array" ref="B533">INDEX(tblDemandAssumptions[Customer_ID],MOD(ROW()-2,20)+1)</f>
        <v>C003</v>
      </c>
      <c r="C533" t="str" cm="1">
        <f t="array" ref="C533">INDEX(tblDemandAssumptions[Product_ID],MOD(ROW()-2,20)+1)</f>
        <v>P002</v>
      </c>
      <c r="D533" cm="1">
        <f t="array" ref="D533">INDEX(tblDemandAssumptions[Baseline_Weekly_Qty],MOD(ROW()-2,20)+1)</f>
        <v>2700</v>
      </c>
      <c r="E533">
        <f t="shared" si="64"/>
        <v>1.1000000000000001</v>
      </c>
      <c r="F533">
        <v>1.05</v>
      </c>
      <c r="G533">
        <f t="shared" si="65"/>
        <v>3119</v>
      </c>
      <c r="H533">
        <v>1</v>
      </c>
      <c r="I533">
        <f t="shared" si="66"/>
        <v>2970</v>
      </c>
      <c r="J533" t="str">
        <f t="shared" si="67"/>
        <v>Normal</v>
      </c>
      <c r="K533">
        <f t="shared" si="68"/>
        <v>3119</v>
      </c>
      <c r="L533">
        <f t="shared" si="69"/>
        <v>149</v>
      </c>
      <c r="M533" s="2">
        <f t="shared" si="70"/>
        <v>5.0168350168350168E-2</v>
      </c>
      <c r="N533">
        <f t="shared" si="71"/>
        <v>149</v>
      </c>
    </row>
    <row r="534" spans="1:14">
      <c r="A534" s="1" cm="1">
        <f t="array" ref="A534">INDEX(tblWeeks[Week_Start],INT((ROW()-2)/20)+1)</f>
        <v>46209</v>
      </c>
      <c r="B534" t="str" cm="1">
        <f t="array" ref="B534">INDEX(tblDemandAssumptions[Customer_ID],MOD(ROW()-2,20)+1)</f>
        <v>C003</v>
      </c>
      <c r="C534" t="str" cm="1">
        <f t="array" ref="C534">INDEX(tblDemandAssumptions[Product_ID],MOD(ROW()-2,20)+1)</f>
        <v>P003</v>
      </c>
      <c r="D534" cm="1">
        <f t="array" ref="D534">INDEX(tblDemandAssumptions[Baseline_Weekly_Qty],MOD(ROW()-2,20)+1)</f>
        <v>2800</v>
      </c>
      <c r="E534">
        <f t="shared" si="64"/>
        <v>1.1000000000000001</v>
      </c>
      <c r="F534">
        <v>1</v>
      </c>
      <c r="G534">
        <f t="shared" si="65"/>
        <v>3080</v>
      </c>
      <c r="H534">
        <v>1</v>
      </c>
      <c r="I534">
        <f t="shared" si="66"/>
        <v>3080</v>
      </c>
      <c r="J534" t="str">
        <f t="shared" si="67"/>
        <v>Normal</v>
      </c>
      <c r="K534">
        <f t="shared" si="68"/>
        <v>3080</v>
      </c>
      <c r="L534">
        <f t="shared" si="69"/>
        <v>0</v>
      </c>
      <c r="M534" s="2">
        <f t="shared" si="70"/>
        <v>0</v>
      </c>
      <c r="N534">
        <f t="shared" si="71"/>
        <v>0</v>
      </c>
    </row>
    <row r="535" spans="1:14">
      <c r="A535" s="1" cm="1">
        <f t="array" ref="A535">INDEX(tblWeeks[Week_Start],INT((ROW()-2)/20)+1)</f>
        <v>46209</v>
      </c>
      <c r="B535" t="str" cm="1">
        <f t="array" ref="B535">INDEX(tblDemandAssumptions[Customer_ID],MOD(ROW()-2,20)+1)</f>
        <v>C003</v>
      </c>
      <c r="C535" t="str" cm="1">
        <f t="array" ref="C535">INDEX(tblDemandAssumptions[Product_ID],MOD(ROW()-2,20)+1)</f>
        <v>P004</v>
      </c>
      <c r="D535" cm="1">
        <f t="array" ref="D535">INDEX(tblDemandAssumptions[Baseline_Weekly_Qty],MOD(ROW()-2,20)+1)</f>
        <v>2400</v>
      </c>
      <c r="E535">
        <f t="shared" si="64"/>
        <v>1.1000000000000001</v>
      </c>
      <c r="F535">
        <v>1</v>
      </c>
      <c r="G535">
        <f t="shared" si="65"/>
        <v>2640</v>
      </c>
      <c r="H535">
        <v>0.99</v>
      </c>
      <c r="I535">
        <f t="shared" si="66"/>
        <v>2614</v>
      </c>
      <c r="J535" t="str">
        <f t="shared" si="67"/>
        <v>Normal</v>
      </c>
      <c r="K535">
        <f t="shared" si="68"/>
        <v>2640</v>
      </c>
      <c r="L535">
        <f t="shared" si="69"/>
        <v>26</v>
      </c>
      <c r="M535" s="2">
        <f t="shared" si="70"/>
        <v>9.9464422341239474E-3</v>
      </c>
      <c r="N535">
        <f t="shared" si="71"/>
        <v>26</v>
      </c>
    </row>
    <row r="536" spans="1:14">
      <c r="A536" s="1" cm="1">
        <f t="array" ref="A536">INDEX(tblWeeks[Week_Start],INT((ROW()-2)/20)+1)</f>
        <v>46209</v>
      </c>
      <c r="B536" t="str" cm="1">
        <f t="array" ref="B536">INDEX(tblDemandAssumptions[Customer_ID],MOD(ROW()-2,20)+1)</f>
        <v>C003</v>
      </c>
      <c r="C536" t="str" cm="1">
        <f t="array" ref="C536">INDEX(tblDemandAssumptions[Product_ID],MOD(ROW()-2,20)+1)</f>
        <v>P005</v>
      </c>
      <c r="D536" cm="1">
        <f t="array" ref="D536">INDEX(tblDemandAssumptions[Baseline_Weekly_Qty],MOD(ROW()-2,20)+1)</f>
        <v>1900</v>
      </c>
      <c r="E536">
        <f t="shared" si="64"/>
        <v>1.1000000000000001</v>
      </c>
      <c r="F536">
        <v>0.95</v>
      </c>
      <c r="G536">
        <f t="shared" si="65"/>
        <v>1986</v>
      </c>
      <c r="H536">
        <v>0.99</v>
      </c>
      <c r="I536">
        <f t="shared" si="66"/>
        <v>2069</v>
      </c>
      <c r="J536" t="str">
        <f t="shared" si="67"/>
        <v>Normal</v>
      </c>
      <c r="K536">
        <f t="shared" si="68"/>
        <v>1986</v>
      </c>
      <c r="L536">
        <f t="shared" si="69"/>
        <v>-83</v>
      </c>
      <c r="M536" s="2">
        <f t="shared" si="70"/>
        <v>-4.0115998066698889E-2</v>
      </c>
      <c r="N536">
        <f t="shared" si="71"/>
        <v>83</v>
      </c>
    </row>
    <row r="537" spans="1:14">
      <c r="A537" s="1" cm="1">
        <f t="array" ref="A537">INDEX(tblWeeks[Week_Start],INT((ROW()-2)/20)+1)</f>
        <v>46209</v>
      </c>
      <c r="B537" t="str" cm="1">
        <f t="array" ref="B537">INDEX(tblDemandAssumptions[Customer_ID],MOD(ROW()-2,20)+1)</f>
        <v>C004</v>
      </c>
      <c r="C537" t="str" cm="1">
        <f t="array" ref="C537">INDEX(tblDemandAssumptions[Product_ID],MOD(ROW()-2,20)+1)</f>
        <v>P001</v>
      </c>
      <c r="D537" cm="1">
        <f t="array" ref="D537">INDEX(tblDemandAssumptions[Baseline_Weekly_Qty],MOD(ROW()-2,20)+1)</f>
        <v>2700</v>
      </c>
      <c r="E537">
        <f t="shared" si="64"/>
        <v>1.1000000000000001</v>
      </c>
      <c r="F537">
        <v>0.99</v>
      </c>
      <c r="G537">
        <f t="shared" si="65"/>
        <v>2940</v>
      </c>
      <c r="H537">
        <v>1.02</v>
      </c>
      <c r="I537">
        <f t="shared" si="66"/>
        <v>3029</v>
      </c>
      <c r="J537" t="str">
        <f t="shared" si="67"/>
        <v>Normal</v>
      </c>
      <c r="K537">
        <f t="shared" si="68"/>
        <v>2940</v>
      </c>
      <c r="L537">
        <f t="shared" si="69"/>
        <v>-89</v>
      </c>
      <c r="M537" s="2">
        <f t="shared" si="70"/>
        <v>-2.9382634532849124E-2</v>
      </c>
      <c r="N537">
        <f t="shared" si="71"/>
        <v>89</v>
      </c>
    </row>
    <row r="538" spans="1:14">
      <c r="A538" s="1" cm="1">
        <f t="array" ref="A538">INDEX(tblWeeks[Week_Start],INT((ROW()-2)/20)+1)</f>
        <v>46209</v>
      </c>
      <c r="B538" t="str" cm="1">
        <f t="array" ref="B538">INDEX(tblDemandAssumptions[Customer_ID],MOD(ROW()-2,20)+1)</f>
        <v>C004</v>
      </c>
      <c r="C538" t="str" cm="1">
        <f t="array" ref="C538">INDEX(tblDemandAssumptions[Product_ID],MOD(ROW()-2,20)+1)</f>
        <v>P002</v>
      </c>
      <c r="D538" cm="1">
        <f t="array" ref="D538">INDEX(tblDemandAssumptions[Baseline_Weekly_Qty],MOD(ROW()-2,20)+1)</f>
        <v>2400</v>
      </c>
      <c r="E538">
        <f t="shared" si="64"/>
        <v>1.1000000000000001</v>
      </c>
      <c r="F538">
        <v>0.96</v>
      </c>
      <c r="G538">
        <f t="shared" si="65"/>
        <v>2534</v>
      </c>
      <c r="H538">
        <v>1.04</v>
      </c>
      <c r="I538">
        <f t="shared" si="66"/>
        <v>2746</v>
      </c>
      <c r="J538" t="str">
        <f t="shared" si="67"/>
        <v>Normal</v>
      </c>
      <c r="K538">
        <f t="shared" si="68"/>
        <v>2534</v>
      </c>
      <c r="L538">
        <f t="shared" si="69"/>
        <v>-212</v>
      </c>
      <c r="M538" s="2">
        <f t="shared" si="70"/>
        <v>-7.7203204661325561E-2</v>
      </c>
      <c r="N538">
        <f t="shared" si="71"/>
        <v>212</v>
      </c>
    </row>
    <row r="539" spans="1:14">
      <c r="A539" s="1" cm="1">
        <f t="array" ref="A539">INDEX(tblWeeks[Week_Start],INT((ROW()-2)/20)+1)</f>
        <v>46209</v>
      </c>
      <c r="B539" t="str" cm="1">
        <f t="array" ref="B539">INDEX(tblDemandAssumptions[Customer_ID],MOD(ROW()-2,20)+1)</f>
        <v>C004</v>
      </c>
      <c r="C539" t="str" cm="1">
        <f t="array" ref="C539">INDEX(tblDemandAssumptions[Product_ID],MOD(ROW()-2,20)+1)</f>
        <v>P003</v>
      </c>
      <c r="D539" cm="1">
        <f t="array" ref="D539">INDEX(tblDemandAssumptions[Baseline_Weekly_Qty],MOD(ROW()-2,20)+1)</f>
        <v>2100</v>
      </c>
      <c r="E539">
        <f t="shared" si="64"/>
        <v>1.1000000000000001</v>
      </c>
      <c r="F539">
        <v>1</v>
      </c>
      <c r="G539">
        <f t="shared" si="65"/>
        <v>2310</v>
      </c>
      <c r="H539">
        <v>0.97</v>
      </c>
      <c r="I539">
        <f t="shared" si="66"/>
        <v>2241</v>
      </c>
      <c r="J539" t="str">
        <f t="shared" si="67"/>
        <v>Normal</v>
      </c>
      <c r="K539">
        <f t="shared" si="68"/>
        <v>2310</v>
      </c>
      <c r="L539">
        <f t="shared" si="69"/>
        <v>69</v>
      </c>
      <c r="M539" s="2">
        <f t="shared" si="70"/>
        <v>3.0789825970548863E-2</v>
      </c>
      <c r="N539">
        <f t="shared" si="71"/>
        <v>69</v>
      </c>
    </row>
    <row r="540" spans="1:14">
      <c r="A540" s="1" cm="1">
        <f t="array" ref="A540">INDEX(tblWeeks[Week_Start],INT((ROW()-2)/20)+1)</f>
        <v>46209</v>
      </c>
      <c r="B540" t="str" cm="1">
        <f t="array" ref="B540">INDEX(tblDemandAssumptions[Customer_ID],MOD(ROW()-2,20)+1)</f>
        <v>C004</v>
      </c>
      <c r="C540" t="str" cm="1">
        <f t="array" ref="C540">INDEX(tblDemandAssumptions[Product_ID],MOD(ROW()-2,20)+1)</f>
        <v>P004</v>
      </c>
      <c r="D540" cm="1">
        <f t="array" ref="D540">INDEX(tblDemandAssumptions[Baseline_Weekly_Qty],MOD(ROW()-2,20)+1)</f>
        <v>2600</v>
      </c>
      <c r="E540">
        <f t="shared" si="64"/>
        <v>1.1000000000000001</v>
      </c>
      <c r="F540">
        <v>1.05</v>
      </c>
      <c r="G540">
        <f t="shared" si="65"/>
        <v>3003</v>
      </c>
      <c r="H540">
        <v>1.02</v>
      </c>
      <c r="I540">
        <f t="shared" si="66"/>
        <v>2917</v>
      </c>
      <c r="J540" t="str">
        <f t="shared" si="67"/>
        <v>Normal</v>
      </c>
      <c r="K540">
        <f t="shared" si="68"/>
        <v>3003</v>
      </c>
      <c r="L540">
        <f t="shared" si="69"/>
        <v>86</v>
      </c>
      <c r="M540" s="2">
        <f t="shared" si="70"/>
        <v>2.9482344874871443E-2</v>
      </c>
      <c r="N540">
        <f t="shared" si="71"/>
        <v>86</v>
      </c>
    </row>
    <row r="541" spans="1:14">
      <c r="A541" s="1" cm="1">
        <f t="array" ref="A541">INDEX(tblWeeks[Week_Start],INT((ROW()-2)/20)+1)</f>
        <v>46209</v>
      </c>
      <c r="B541" t="str" cm="1">
        <f t="array" ref="B541">INDEX(tblDemandAssumptions[Customer_ID],MOD(ROW()-2,20)+1)</f>
        <v>C004</v>
      </c>
      <c r="C541" t="str" cm="1">
        <f t="array" ref="C541">INDEX(tblDemandAssumptions[Product_ID],MOD(ROW()-2,20)+1)</f>
        <v>P005</v>
      </c>
      <c r="D541" cm="1">
        <f t="array" ref="D541">INDEX(tblDemandAssumptions[Baseline_Weekly_Qty],MOD(ROW()-2,20)+1)</f>
        <v>1800</v>
      </c>
      <c r="E541">
        <f t="shared" si="64"/>
        <v>1.1000000000000001</v>
      </c>
      <c r="F541">
        <v>1.05</v>
      </c>
      <c r="G541">
        <f t="shared" si="65"/>
        <v>2079</v>
      </c>
      <c r="H541">
        <v>1.03</v>
      </c>
      <c r="I541">
        <f t="shared" si="66"/>
        <v>2039</v>
      </c>
      <c r="J541" t="str">
        <f t="shared" si="67"/>
        <v>Normal</v>
      </c>
      <c r="K541">
        <f t="shared" si="68"/>
        <v>2079</v>
      </c>
      <c r="L541">
        <f t="shared" si="69"/>
        <v>40</v>
      </c>
      <c r="M541" s="2">
        <f t="shared" si="70"/>
        <v>1.96174595389897E-2</v>
      </c>
      <c r="N541">
        <f t="shared" si="71"/>
        <v>40</v>
      </c>
    </row>
    <row r="542" spans="1:14">
      <c r="A542" s="1" cm="1">
        <f t="array" ref="A542">INDEX(tblWeeks[Week_Start],INT((ROW()-2)/20)+1)</f>
        <v>46216</v>
      </c>
      <c r="B542" t="str" cm="1">
        <f t="array" ref="B542">INDEX(tblDemandAssumptions[Customer_ID],MOD(ROW()-2,20)+1)</f>
        <v>C001</v>
      </c>
      <c r="C542" t="str" cm="1">
        <f t="array" ref="C542">INDEX(tblDemandAssumptions[Product_ID],MOD(ROW()-2,20)+1)</f>
        <v>P001</v>
      </c>
      <c r="D542" cm="1">
        <f t="array" ref="D542">INDEX(tblDemandAssumptions[Baseline_Weekly_Qty],MOD(ROW()-2,20)+1)</f>
        <v>5200</v>
      </c>
      <c r="E542">
        <f t="shared" si="64"/>
        <v>1.1000000000000001</v>
      </c>
      <c r="F542">
        <v>1.01</v>
      </c>
      <c r="G542">
        <f t="shared" si="65"/>
        <v>5777</v>
      </c>
      <c r="H542">
        <v>1.02</v>
      </c>
      <c r="I542">
        <f t="shared" si="66"/>
        <v>5834</v>
      </c>
      <c r="J542" t="str">
        <f t="shared" si="67"/>
        <v>Normal</v>
      </c>
      <c r="K542">
        <f t="shared" si="68"/>
        <v>5777</v>
      </c>
      <c r="L542">
        <f t="shared" si="69"/>
        <v>-57</v>
      </c>
      <c r="M542" s="2">
        <f t="shared" si="70"/>
        <v>-9.7703119643469324E-3</v>
      </c>
      <c r="N542">
        <f t="shared" si="71"/>
        <v>57</v>
      </c>
    </row>
    <row r="543" spans="1:14">
      <c r="A543" s="1" cm="1">
        <f t="array" ref="A543">INDEX(tblWeeks[Week_Start],INT((ROW()-2)/20)+1)</f>
        <v>46216</v>
      </c>
      <c r="B543" t="str" cm="1">
        <f t="array" ref="B543">INDEX(tblDemandAssumptions[Customer_ID],MOD(ROW()-2,20)+1)</f>
        <v>C001</v>
      </c>
      <c r="C543" t="str" cm="1">
        <f t="array" ref="C543">INDEX(tblDemandAssumptions[Product_ID],MOD(ROW()-2,20)+1)</f>
        <v>P002</v>
      </c>
      <c r="D543" cm="1">
        <f t="array" ref="D543">INDEX(tblDemandAssumptions[Baseline_Weekly_Qty],MOD(ROW()-2,20)+1)</f>
        <v>4100</v>
      </c>
      <c r="E543">
        <f t="shared" si="64"/>
        <v>1.1000000000000001</v>
      </c>
      <c r="F543">
        <v>0.96</v>
      </c>
      <c r="G543">
        <f t="shared" si="65"/>
        <v>4330</v>
      </c>
      <c r="H543">
        <v>1.03</v>
      </c>
      <c r="I543">
        <f t="shared" si="66"/>
        <v>4645</v>
      </c>
      <c r="J543" t="str">
        <f t="shared" si="67"/>
        <v>Normal</v>
      </c>
      <c r="K543">
        <f t="shared" si="68"/>
        <v>4330</v>
      </c>
      <c r="L543">
        <f t="shared" si="69"/>
        <v>-315</v>
      </c>
      <c r="M543" s="2">
        <f t="shared" si="70"/>
        <v>-6.7814854682454254E-2</v>
      </c>
      <c r="N543">
        <f t="shared" si="71"/>
        <v>315</v>
      </c>
    </row>
    <row r="544" spans="1:14">
      <c r="A544" s="1" cm="1">
        <f t="array" ref="A544">INDEX(tblWeeks[Week_Start],INT((ROW()-2)/20)+1)</f>
        <v>46216</v>
      </c>
      <c r="B544" t="str" cm="1">
        <f t="array" ref="B544">INDEX(tblDemandAssumptions[Customer_ID],MOD(ROW()-2,20)+1)</f>
        <v>C001</v>
      </c>
      <c r="C544" t="str" cm="1">
        <f t="array" ref="C544">INDEX(tblDemandAssumptions[Product_ID],MOD(ROW()-2,20)+1)</f>
        <v>P003</v>
      </c>
      <c r="D544" cm="1">
        <f t="array" ref="D544">INDEX(tblDemandAssumptions[Baseline_Weekly_Qty],MOD(ROW()-2,20)+1)</f>
        <v>3300</v>
      </c>
      <c r="E544">
        <f t="shared" si="64"/>
        <v>1.1000000000000001</v>
      </c>
      <c r="F544">
        <v>1.05</v>
      </c>
      <c r="G544">
        <f t="shared" si="65"/>
        <v>3812</v>
      </c>
      <c r="H544">
        <v>0.99</v>
      </c>
      <c r="I544">
        <f t="shared" si="66"/>
        <v>3594</v>
      </c>
      <c r="J544" t="str">
        <f t="shared" si="67"/>
        <v>Normal</v>
      </c>
      <c r="K544">
        <f t="shared" si="68"/>
        <v>3812</v>
      </c>
      <c r="L544">
        <f t="shared" si="69"/>
        <v>218</v>
      </c>
      <c r="M544" s="2">
        <f t="shared" si="70"/>
        <v>6.0656649972175847E-2</v>
      </c>
      <c r="N544">
        <f t="shared" si="71"/>
        <v>218</v>
      </c>
    </row>
    <row r="545" spans="1:14">
      <c r="A545" s="1" cm="1">
        <f t="array" ref="A545">INDEX(tblWeeks[Week_Start],INT((ROW()-2)/20)+1)</f>
        <v>46216</v>
      </c>
      <c r="B545" t="str" cm="1">
        <f t="array" ref="B545">INDEX(tblDemandAssumptions[Customer_ID],MOD(ROW()-2,20)+1)</f>
        <v>C001</v>
      </c>
      <c r="C545" t="str" cm="1">
        <f t="array" ref="C545">INDEX(tblDemandAssumptions[Product_ID],MOD(ROW()-2,20)+1)</f>
        <v>P004</v>
      </c>
      <c r="D545" cm="1">
        <f t="array" ref="D545">INDEX(tblDemandAssumptions[Baseline_Weekly_Qty],MOD(ROW()-2,20)+1)</f>
        <v>3600</v>
      </c>
      <c r="E545">
        <f t="shared" si="64"/>
        <v>1.1000000000000001</v>
      </c>
      <c r="F545">
        <v>0.97</v>
      </c>
      <c r="G545">
        <f t="shared" si="65"/>
        <v>3841</v>
      </c>
      <c r="H545">
        <v>1.04</v>
      </c>
      <c r="I545">
        <f t="shared" si="66"/>
        <v>4118</v>
      </c>
      <c r="J545" t="str">
        <f t="shared" si="67"/>
        <v>Normal</v>
      </c>
      <c r="K545">
        <f t="shared" si="68"/>
        <v>3841</v>
      </c>
      <c r="L545">
        <f t="shared" si="69"/>
        <v>-277</v>
      </c>
      <c r="M545" s="2">
        <f t="shared" si="70"/>
        <v>-6.7265662943176305E-2</v>
      </c>
      <c r="N545">
        <f t="shared" si="71"/>
        <v>277</v>
      </c>
    </row>
    <row r="546" spans="1:14">
      <c r="A546" s="1" cm="1">
        <f t="array" ref="A546">INDEX(tblWeeks[Week_Start],INT((ROW()-2)/20)+1)</f>
        <v>46216</v>
      </c>
      <c r="B546" t="str" cm="1">
        <f t="array" ref="B546">INDEX(tblDemandAssumptions[Customer_ID],MOD(ROW()-2,20)+1)</f>
        <v>C001</v>
      </c>
      <c r="C546" t="str" cm="1">
        <f t="array" ref="C546">INDEX(tblDemandAssumptions[Product_ID],MOD(ROW()-2,20)+1)</f>
        <v>P005</v>
      </c>
      <c r="D546" cm="1">
        <f t="array" ref="D546">INDEX(tblDemandAssumptions[Baseline_Weekly_Qty],MOD(ROW()-2,20)+1)</f>
        <v>2800</v>
      </c>
      <c r="E546">
        <f t="shared" si="64"/>
        <v>1.1000000000000001</v>
      </c>
      <c r="F546">
        <v>1.05</v>
      </c>
      <c r="G546">
        <f t="shared" si="65"/>
        <v>3234</v>
      </c>
      <c r="H546">
        <v>1.03</v>
      </c>
      <c r="I546">
        <f t="shared" si="66"/>
        <v>3172</v>
      </c>
      <c r="J546" t="str">
        <f t="shared" si="67"/>
        <v>Normal</v>
      </c>
      <c r="K546">
        <f t="shared" si="68"/>
        <v>3234</v>
      </c>
      <c r="L546">
        <f t="shared" si="69"/>
        <v>62</v>
      </c>
      <c r="M546" s="2">
        <f t="shared" si="70"/>
        <v>1.9546027742749054E-2</v>
      </c>
      <c r="N546">
        <f t="shared" si="71"/>
        <v>62</v>
      </c>
    </row>
    <row r="547" spans="1:14">
      <c r="A547" s="1" cm="1">
        <f t="array" ref="A547">INDEX(tblWeeks[Week_Start],INT((ROW()-2)/20)+1)</f>
        <v>46216</v>
      </c>
      <c r="B547" t="str" cm="1">
        <f t="array" ref="B547">INDEX(tblDemandAssumptions[Customer_ID],MOD(ROW()-2,20)+1)</f>
        <v>C002</v>
      </c>
      <c r="C547" t="str" cm="1">
        <f t="array" ref="C547">INDEX(tblDemandAssumptions[Product_ID],MOD(ROW()-2,20)+1)</f>
        <v>P001</v>
      </c>
      <c r="D547" cm="1">
        <f t="array" ref="D547">INDEX(tblDemandAssumptions[Baseline_Weekly_Qty],MOD(ROW()-2,20)+1)</f>
        <v>3400</v>
      </c>
      <c r="E547">
        <f t="shared" si="64"/>
        <v>1.1000000000000001</v>
      </c>
      <c r="F547">
        <v>1.01</v>
      </c>
      <c r="G547">
        <f t="shared" si="65"/>
        <v>3777</v>
      </c>
      <c r="H547">
        <v>0.98</v>
      </c>
      <c r="I547">
        <f t="shared" si="66"/>
        <v>3665</v>
      </c>
      <c r="J547" t="str">
        <f t="shared" si="67"/>
        <v>Normal</v>
      </c>
      <c r="K547">
        <f t="shared" si="68"/>
        <v>3777</v>
      </c>
      <c r="L547">
        <f t="shared" si="69"/>
        <v>112</v>
      </c>
      <c r="M547" s="2">
        <f t="shared" si="70"/>
        <v>3.0559345156889496E-2</v>
      </c>
      <c r="N547">
        <f t="shared" si="71"/>
        <v>112</v>
      </c>
    </row>
    <row r="548" spans="1:14">
      <c r="A548" s="1" cm="1">
        <f t="array" ref="A548">INDEX(tblWeeks[Week_Start],INT((ROW()-2)/20)+1)</f>
        <v>46216</v>
      </c>
      <c r="B548" t="str" cm="1">
        <f t="array" ref="B548">INDEX(tblDemandAssumptions[Customer_ID],MOD(ROW()-2,20)+1)</f>
        <v>C002</v>
      </c>
      <c r="C548" t="str" cm="1">
        <f t="array" ref="C548">INDEX(tblDemandAssumptions[Product_ID],MOD(ROW()-2,20)+1)</f>
        <v>P002</v>
      </c>
      <c r="D548" cm="1">
        <f t="array" ref="D548">INDEX(tblDemandAssumptions[Baseline_Weekly_Qty],MOD(ROW()-2,20)+1)</f>
        <v>3200</v>
      </c>
      <c r="E548">
        <f t="shared" si="64"/>
        <v>1.1000000000000001</v>
      </c>
      <c r="F548">
        <v>1.02</v>
      </c>
      <c r="G548">
        <f t="shared" si="65"/>
        <v>3590</v>
      </c>
      <c r="H548">
        <v>1.03</v>
      </c>
      <c r="I548">
        <f t="shared" si="66"/>
        <v>3626</v>
      </c>
      <c r="J548" t="str">
        <f t="shared" si="67"/>
        <v>Normal</v>
      </c>
      <c r="K548">
        <f t="shared" si="68"/>
        <v>3590</v>
      </c>
      <c r="L548">
        <f t="shared" si="69"/>
        <v>-36</v>
      </c>
      <c r="M548" s="2">
        <f t="shared" si="70"/>
        <v>-9.9282956425813564E-3</v>
      </c>
      <c r="N548">
        <f t="shared" si="71"/>
        <v>36</v>
      </c>
    </row>
    <row r="549" spans="1:14">
      <c r="A549" s="1" cm="1">
        <f t="array" ref="A549">INDEX(tblWeeks[Week_Start],INT((ROW()-2)/20)+1)</f>
        <v>46216</v>
      </c>
      <c r="B549" t="str" cm="1">
        <f t="array" ref="B549">INDEX(tblDemandAssumptions[Customer_ID],MOD(ROW()-2,20)+1)</f>
        <v>C002</v>
      </c>
      <c r="C549" t="str" cm="1">
        <f t="array" ref="C549">INDEX(tblDemandAssumptions[Product_ID],MOD(ROW()-2,20)+1)</f>
        <v>P003</v>
      </c>
      <c r="D549" cm="1">
        <f t="array" ref="D549">INDEX(tblDemandAssumptions[Baseline_Weekly_Qty],MOD(ROW()-2,20)+1)</f>
        <v>2600</v>
      </c>
      <c r="E549">
        <f t="shared" si="64"/>
        <v>1.1000000000000001</v>
      </c>
      <c r="F549">
        <v>0.98</v>
      </c>
      <c r="G549">
        <f t="shared" si="65"/>
        <v>2803</v>
      </c>
      <c r="H549">
        <v>1.01</v>
      </c>
      <c r="I549">
        <f t="shared" si="66"/>
        <v>2889</v>
      </c>
      <c r="J549" t="str">
        <f t="shared" si="67"/>
        <v>Normal</v>
      </c>
      <c r="K549">
        <f t="shared" si="68"/>
        <v>2803</v>
      </c>
      <c r="L549">
        <f t="shared" si="69"/>
        <v>-86</v>
      </c>
      <c r="M549" s="2">
        <f t="shared" si="70"/>
        <v>-2.9768085842852197E-2</v>
      </c>
      <c r="N549">
        <f t="shared" si="71"/>
        <v>86</v>
      </c>
    </row>
    <row r="550" spans="1:14">
      <c r="A550" s="1" cm="1">
        <f t="array" ref="A550">INDEX(tblWeeks[Week_Start],INT((ROW()-2)/20)+1)</f>
        <v>46216</v>
      </c>
      <c r="B550" t="str" cm="1">
        <f t="array" ref="B550">INDEX(tblDemandAssumptions[Customer_ID],MOD(ROW()-2,20)+1)</f>
        <v>C002</v>
      </c>
      <c r="C550" t="str" cm="1">
        <f t="array" ref="C550">INDEX(tblDemandAssumptions[Product_ID],MOD(ROW()-2,20)+1)</f>
        <v>P004</v>
      </c>
      <c r="D550" cm="1">
        <f t="array" ref="D550">INDEX(tblDemandAssumptions[Baseline_Weekly_Qty],MOD(ROW()-2,20)+1)</f>
        <v>2900</v>
      </c>
      <c r="E550">
        <f t="shared" si="64"/>
        <v>1.1000000000000001</v>
      </c>
      <c r="F550">
        <v>0.99</v>
      </c>
      <c r="G550">
        <f t="shared" si="65"/>
        <v>3158</v>
      </c>
      <c r="H550">
        <v>1.04</v>
      </c>
      <c r="I550">
        <f t="shared" si="66"/>
        <v>3318</v>
      </c>
      <c r="J550" t="str">
        <f t="shared" si="67"/>
        <v>Normal</v>
      </c>
      <c r="K550">
        <f t="shared" si="68"/>
        <v>3158</v>
      </c>
      <c r="L550">
        <f t="shared" si="69"/>
        <v>-160</v>
      </c>
      <c r="M550" s="2">
        <f t="shared" si="70"/>
        <v>-4.822182037371911E-2</v>
      </c>
      <c r="N550">
        <f t="shared" si="71"/>
        <v>160</v>
      </c>
    </row>
    <row r="551" spans="1:14">
      <c r="A551" s="1" cm="1">
        <f t="array" ref="A551">INDEX(tblWeeks[Week_Start],INT((ROW()-2)/20)+1)</f>
        <v>46216</v>
      </c>
      <c r="B551" t="str" cm="1">
        <f t="array" ref="B551">INDEX(tblDemandAssumptions[Customer_ID],MOD(ROW()-2,20)+1)</f>
        <v>C002</v>
      </c>
      <c r="C551" t="str" cm="1">
        <f t="array" ref="C551">INDEX(tblDemandAssumptions[Product_ID],MOD(ROW()-2,20)+1)</f>
        <v>P005</v>
      </c>
      <c r="D551" cm="1">
        <f t="array" ref="D551">INDEX(tblDemandAssumptions[Baseline_Weekly_Qty],MOD(ROW()-2,20)+1)</f>
        <v>2200</v>
      </c>
      <c r="E551">
        <f t="shared" si="64"/>
        <v>1.1000000000000001</v>
      </c>
      <c r="F551">
        <v>0.99</v>
      </c>
      <c r="G551">
        <f t="shared" si="65"/>
        <v>2396</v>
      </c>
      <c r="H551">
        <v>1.02</v>
      </c>
      <c r="I551">
        <f t="shared" si="66"/>
        <v>2468</v>
      </c>
      <c r="J551" t="str">
        <f t="shared" si="67"/>
        <v>Normal</v>
      </c>
      <c r="K551">
        <f t="shared" si="68"/>
        <v>2396</v>
      </c>
      <c r="L551">
        <f t="shared" si="69"/>
        <v>-72</v>
      </c>
      <c r="M551" s="2">
        <f t="shared" si="70"/>
        <v>-2.9173419773095625E-2</v>
      </c>
      <c r="N551">
        <f t="shared" si="71"/>
        <v>72</v>
      </c>
    </row>
    <row r="552" spans="1:14">
      <c r="A552" s="1" cm="1">
        <f t="array" ref="A552">INDEX(tblWeeks[Week_Start],INT((ROW()-2)/20)+1)</f>
        <v>46216</v>
      </c>
      <c r="B552" t="str" cm="1">
        <f t="array" ref="B552">INDEX(tblDemandAssumptions[Customer_ID],MOD(ROW()-2,20)+1)</f>
        <v>C003</v>
      </c>
      <c r="C552" t="str" cm="1">
        <f t="array" ref="C552">INDEX(tblDemandAssumptions[Product_ID],MOD(ROW()-2,20)+1)</f>
        <v>P001</v>
      </c>
      <c r="D552" cm="1">
        <f t="array" ref="D552">INDEX(tblDemandAssumptions[Baseline_Weekly_Qty],MOD(ROW()-2,20)+1)</f>
        <v>3000</v>
      </c>
      <c r="E552">
        <f t="shared" si="64"/>
        <v>1.1000000000000001</v>
      </c>
      <c r="F552">
        <v>0.95</v>
      </c>
      <c r="G552">
        <f t="shared" si="65"/>
        <v>3135</v>
      </c>
      <c r="H552">
        <v>1</v>
      </c>
      <c r="I552">
        <f t="shared" si="66"/>
        <v>3300</v>
      </c>
      <c r="J552" t="str">
        <f t="shared" si="67"/>
        <v>Normal</v>
      </c>
      <c r="K552">
        <f t="shared" si="68"/>
        <v>3135</v>
      </c>
      <c r="L552">
        <f t="shared" si="69"/>
        <v>-165</v>
      </c>
      <c r="M552" s="2">
        <f t="shared" si="70"/>
        <v>-0.05</v>
      </c>
      <c r="N552">
        <f t="shared" si="71"/>
        <v>165</v>
      </c>
    </row>
    <row r="553" spans="1:14">
      <c r="A553" s="1" cm="1">
        <f t="array" ref="A553">INDEX(tblWeeks[Week_Start],INT((ROW()-2)/20)+1)</f>
        <v>46216</v>
      </c>
      <c r="B553" t="str" cm="1">
        <f t="array" ref="B553">INDEX(tblDemandAssumptions[Customer_ID],MOD(ROW()-2,20)+1)</f>
        <v>C003</v>
      </c>
      <c r="C553" t="str" cm="1">
        <f t="array" ref="C553">INDEX(tblDemandAssumptions[Product_ID],MOD(ROW()-2,20)+1)</f>
        <v>P002</v>
      </c>
      <c r="D553" cm="1">
        <f t="array" ref="D553">INDEX(tblDemandAssumptions[Baseline_Weekly_Qty],MOD(ROW()-2,20)+1)</f>
        <v>2700</v>
      </c>
      <c r="E553">
        <f t="shared" si="64"/>
        <v>1.1000000000000001</v>
      </c>
      <c r="F553">
        <v>1.02</v>
      </c>
      <c r="G553">
        <f t="shared" si="65"/>
        <v>3029</v>
      </c>
      <c r="H553">
        <v>0.97</v>
      </c>
      <c r="I553">
        <f t="shared" si="66"/>
        <v>2881</v>
      </c>
      <c r="J553" t="str">
        <f t="shared" si="67"/>
        <v>Normal</v>
      </c>
      <c r="K553">
        <f t="shared" si="68"/>
        <v>3029</v>
      </c>
      <c r="L553">
        <f t="shared" si="69"/>
        <v>148</v>
      </c>
      <c r="M553" s="2">
        <f t="shared" si="70"/>
        <v>5.137105171815342E-2</v>
      </c>
      <c r="N553">
        <f t="shared" si="71"/>
        <v>148</v>
      </c>
    </row>
    <row r="554" spans="1:14">
      <c r="A554" s="1" cm="1">
        <f t="array" ref="A554">INDEX(tblWeeks[Week_Start],INT((ROW()-2)/20)+1)</f>
        <v>46216</v>
      </c>
      <c r="B554" t="str" cm="1">
        <f t="array" ref="B554">INDEX(tblDemandAssumptions[Customer_ID],MOD(ROW()-2,20)+1)</f>
        <v>C003</v>
      </c>
      <c r="C554" t="str" cm="1">
        <f t="array" ref="C554">INDEX(tblDemandAssumptions[Product_ID],MOD(ROW()-2,20)+1)</f>
        <v>P003</v>
      </c>
      <c r="D554" cm="1">
        <f t="array" ref="D554">INDEX(tblDemandAssumptions[Baseline_Weekly_Qty],MOD(ROW()-2,20)+1)</f>
        <v>2800</v>
      </c>
      <c r="E554">
        <f t="shared" si="64"/>
        <v>1.1000000000000001</v>
      </c>
      <c r="F554">
        <v>1.01</v>
      </c>
      <c r="G554">
        <f t="shared" si="65"/>
        <v>3111</v>
      </c>
      <c r="H554">
        <v>0.97</v>
      </c>
      <c r="I554">
        <f t="shared" si="66"/>
        <v>2988</v>
      </c>
      <c r="J554" t="str">
        <f t="shared" si="67"/>
        <v>Normal</v>
      </c>
      <c r="K554">
        <f t="shared" si="68"/>
        <v>3111</v>
      </c>
      <c r="L554">
        <f t="shared" si="69"/>
        <v>123</v>
      </c>
      <c r="M554" s="2">
        <f t="shared" si="70"/>
        <v>4.1164658634538151E-2</v>
      </c>
      <c r="N554">
        <f t="shared" si="71"/>
        <v>123</v>
      </c>
    </row>
    <row r="555" spans="1:14">
      <c r="A555" s="1" cm="1">
        <f t="array" ref="A555">INDEX(tblWeeks[Week_Start],INT((ROW()-2)/20)+1)</f>
        <v>46216</v>
      </c>
      <c r="B555" t="str" cm="1">
        <f t="array" ref="B555">INDEX(tblDemandAssumptions[Customer_ID],MOD(ROW()-2,20)+1)</f>
        <v>C003</v>
      </c>
      <c r="C555" t="str" cm="1">
        <f t="array" ref="C555">INDEX(tblDemandAssumptions[Product_ID],MOD(ROW()-2,20)+1)</f>
        <v>P004</v>
      </c>
      <c r="D555" cm="1">
        <f t="array" ref="D555">INDEX(tblDemandAssumptions[Baseline_Weekly_Qty],MOD(ROW()-2,20)+1)</f>
        <v>2400</v>
      </c>
      <c r="E555">
        <f t="shared" si="64"/>
        <v>1.1000000000000001</v>
      </c>
      <c r="F555">
        <v>0.95</v>
      </c>
      <c r="G555">
        <f t="shared" si="65"/>
        <v>2508</v>
      </c>
      <c r="H555">
        <v>1</v>
      </c>
      <c r="I555">
        <f t="shared" si="66"/>
        <v>2640</v>
      </c>
      <c r="J555" t="str">
        <f t="shared" si="67"/>
        <v>Normal</v>
      </c>
      <c r="K555">
        <f t="shared" si="68"/>
        <v>2508</v>
      </c>
      <c r="L555">
        <f t="shared" si="69"/>
        <v>-132</v>
      </c>
      <c r="M555" s="2">
        <f t="shared" si="70"/>
        <v>-0.05</v>
      </c>
      <c r="N555">
        <f t="shared" si="71"/>
        <v>132</v>
      </c>
    </row>
    <row r="556" spans="1:14">
      <c r="A556" s="1" cm="1">
        <f t="array" ref="A556">INDEX(tblWeeks[Week_Start],INT((ROW()-2)/20)+1)</f>
        <v>46216</v>
      </c>
      <c r="B556" t="str" cm="1">
        <f t="array" ref="B556">INDEX(tblDemandAssumptions[Customer_ID],MOD(ROW()-2,20)+1)</f>
        <v>C003</v>
      </c>
      <c r="C556" t="str" cm="1">
        <f t="array" ref="C556">INDEX(tblDemandAssumptions[Product_ID],MOD(ROW()-2,20)+1)</f>
        <v>P005</v>
      </c>
      <c r="D556" cm="1">
        <f t="array" ref="D556">INDEX(tblDemandAssumptions[Baseline_Weekly_Qty],MOD(ROW()-2,20)+1)</f>
        <v>1900</v>
      </c>
      <c r="E556">
        <f t="shared" si="64"/>
        <v>1.1000000000000001</v>
      </c>
      <c r="F556">
        <v>0.98</v>
      </c>
      <c r="G556">
        <f t="shared" si="65"/>
        <v>2048</v>
      </c>
      <c r="H556">
        <v>1.03</v>
      </c>
      <c r="I556">
        <f t="shared" si="66"/>
        <v>2153</v>
      </c>
      <c r="J556" t="str">
        <f t="shared" si="67"/>
        <v>Normal</v>
      </c>
      <c r="K556">
        <f t="shared" si="68"/>
        <v>2048</v>
      </c>
      <c r="L556">
        <f t="shared" si="69"/>
        <v>-105</v>
      </c>
      <c r="M556" s="2">
        <f t="shared" si="70"/>
        <v>-4.8769159312587088E-2</v>
      </c>
      <c r="N556">
        <f t="shared" si="71"/>
        <v>105</v>
      </c>
    </row>
    <row r="557" spans="1:14">
      <c r="A557" s="1" cm="1">
        <f t="array" ref="A557">INDEX(tblWeeks[Week_Start],INT((ROW()-2)/20)+1)</f>
        <v>46216</v>
      </c>
      <c r="B557" t="str" cm="1">
        <f t="array" ref="B557">INDEX(tblDemandAssumptions[Customer_ID],MOD(ROW()-2,20)+1)</f>
        <v>C004</v>
      </c>
      <c r="C557" t="str" cm="1">
        <f t="array" ref="C557">INDEX(tblDemandAssumptions[Product_ID],MOD(ROW()-2,20)+1)</f>
        <v>P001</v>
      </c>
      <c r="D557" cm="1">
        <f t="array" ref="D557">INDEX(tblDemandAssumptions[Baseline_Weekly_Qty],MOD(ROW()-2,20)+1)</f>
        <v>2700</v>
      </c>
      <c r="E557">
        <f t="shared" si="64"/>
        <v>1.1000000000000001</v>
      </c>
      <c r="F557">
        <v>0.98</v>
      </c>
      <c r="G557">
        <f t="shared" si="65"/>
        <v>2911</v>
      </c>
      <c r="H557">
        <v>1.03</v>
      </c>
      <c r="I557">
        <f t="shared" si="66"/>
        <v>3059</v>
      </c>
      <c r="J557" t="str">
        <f t="shared" si="67"/>
        <v>Normal</v>
      </c>
      <c r="K557">
        <f t="shared" si="68"/>
        <v>2911</v>
      </c>
      <c r="L557">
        <f t="shared" si="69"/>
        <v>-148</v>
      </c>
      <c r="M557" s="2">
        <f t="shared" si="70"/>
        <v>-4.8381824125531221E-2</v>
      </c>
      <c r="N557">
        <f t="shared" si="71"/>
        <v>148</v>
      </c>
    </row>
    <row r="558" spans="1:14">
      <c r="A558" s="1" cm="1">
        <f t="array" ref="A558">INDEX(tblWeeks[Week_Start],INT((ROW()-2)/20)+1)</f>
        <v>46216</v>
      </c>
      <c r="B558" t="str" cm="1">
        <f t="array" ref="B558">INDEX(tblDemandAssumptions[Customer_ID],MOD(ROW()-2,20)+1)</f>
        <v>C004</v>
      </c>
      <c r="C558" t="str" cm="1">
        <f t="array" ref="C558">INDEX(tblDemandAssumptions[Product_ID],MOD(ROW()-2,20)+1)</f>
        <v>P002</v>
      </c>
      <c r="D558" cm="1">
        <f t="array" ref="D558">INDEX(tblDemandAssumptions[Baseline_Weekly_Qty],MOD(ROW()-2,20)+1)</f>
        <v>2400</v>
      </c>
      <c r="E558">
        <f t="shared" si="64"/>
        <v>1.1000000000000001</v>
      </c>
      <c r="F558">
        <v>1.03</v>
      </c>
      <c r="G558">
        <f t="shared" si="65"/>
        <v>2719</v>
      </c>
      <c r="H558">
        <v>1.01</v>
      </c>
      <c r="I558">
        <f t="shared" si="66"/>
        <v>2666</v>
      </c>
      <c r="J558" t="str">
        <f t="shared" si="67"/>
        <v>Normal</v>
      </c>
      <c r="K558">
        <f t="shared" si="68"/>
        <v>2719</v>
      </c>
      <c r="L558">
        <f t="shared" si="69"/>
        <v>53</v>
      </c>
      <c r="M558" s="2">
        <f t="shared" si="70"/>
        <v>1.9879969992498126E-2</v>
      </c>
      <c r="N558">
        <f t="shared" si="71"/>
        <v>53</v>
      </c>
    </row>
    <row r="559" spans="1:14">
      <c r="A559" s="1" cm="1">
        <f t="array" ref="A559">INDEX(tblWeeks[Week_Start],INT((ROW()-2)/20)+1)</f>
        <v>46216</v>
      </c>
      <c r="B559" t="str" cm="1">
        <f t="array" ref="B559">INDEX(tblDemandAssumptions[Customer_ID],MOD(ROW()-2,20)+1)</f>
        <v>C004</v>
      </c>
      <c r="C559" t="str" cm="1">
        <f t="array" ref="C559">INDEX(tblDemandAssumptions[Product_ID],MOD(ROW()-2,20)+1)</f>
        <v>P003</v>
      </c>
      <c r="D559" cm="1">
        <f t="array" ref="D559">INDEX(tblDemandAssumptions[Baseline_Weekly_Qty],MOD(ROW()-2,20)+1)</f>
        <v>2100</v>
      </c>
      <c r="E559">
        <f t="shared" si="64"/>
        <v>1.1000000000000001</v>
      </c>
      <c r="F559">
        <v>1.03</v>
      </c>
      <c r="G559">
        <f t="shared" si="65"/>
        <v>2379</v>
      </c>
      <c r="H559">
        <v>0.98</v>
      </c>
      <c r="I559">
        <f t="shared" si="66"/>
        <v>2264</v>
      </c>
      <c r="J559" t="str">
        <f t="shared" si="67"/>
        <v>Normal</v>
      </c>
      <c r="K559">
        <f t="shared" si="68"/>
        <v>2379</v>
      </c>
      <c r="L559">
        <f t="shared" si="69"/>
        <v>115</v>
      </c>
      <c r="M559" s="2">
        <f t="shared" si="70"/>
        <v>5.0795053003533569E-2</v>
      </c>
      <c r="N559">
        <f t="shared" si="71"/>
        <v>115</v>
      </c>
    </row>
    <row r="560" spans="1:14">
      <c r="A560" s="1" cm="1">
        <f t="array" ref="A560">INDEX(tblWeeks[Week_Start],INT((ROW()-2)/20)+1)</f>
        <v>46216</v>
      </c>
      <c r="B560" t="str" cm="1">
        <f t="array" ref="B560">INDEX(tblDemandAssumptions[Customer_ID],MOD(ROW()-2,20)+1)</f>
        <v>C004</v>
      </c>
      <c r="C560" t="str" cm="1">
        <f t="array" ref="C560">INDEX(tblDemandAssumptions[Product_ID],MOD(ROW()-2,20)+1)</f>
        <v>P004</v>
      </c>
      <c r="D560" cm="1">
        <f t="array" ref="D560">INDEX(tblDemandAssumptions[Baseline_Weekly_Qty],MOD(ROW()-2,20)+1)</f>
        <v>2600</v>
      </c>
      <c r="E560">
        <f t="shared" si="64"/>
        <v>1.1000000000000001</v>
      </c>
      <c r="F560">
        <v>0.97</v>
      </c>
      <c r="G560">
        <f t="shared" si="65"/>
        <v>2774</v>
      </c>
      <c r="H560">
        <v>1.02</v>
      </c>
      <c r="I560">
        <f t="shared" si="66"/>
        <v>2917</v>
      </c>
      <c r="J560" t="str">
        <f t="shared" si="67"/>
        <v>Normal</v>
      </c>
      <c r="K560">
        <f t="shared" si="68"/>
        <v>2774</v>
      </c>
      <c r="L560">
        <f t="shared" si="69"/>
        <v>-143</v>
      </c>
      <c r="M560" s="2">
        <f t="shared" si="70"/>
        <v>-4.9022968803565305E-2</v>
      </c>
      <c r="N560">
        <f t="shared" si="71"/>
        <v>143</v>
      </c>
    </row>
    <row r="561" spans="1:14">
      <c r="A561" s="1" cm="1">
        <f t="array" ref="A561">INDEX(tblWeeks[Week_Start],INT((ROW()-2)/20)+1)</f>
        <v>46216</v>
      </c>
      <c r="B561" t="str" cm="1">
        <f t="array" ref="B561">INDEX(tblDemandAssumptions[Customer_ID],MOD(ROW()-2,20)+1)</f>
        <v>C004</v>
      </c>
      <c r="C561" t="str" cm="1">
        <f t="array" ref="C561">INDEX(tblDemandAssumptions[Product_ID],MOD(ROW()-2,20)+1)</f>
        <v>P005</v>
      </c>
      <c r="D561" cm="1">
        <f t="array" ref="D561">INDEX(tblDemandAssumptions[Baseline_Weekly_Qty],MOD(ROW()-2,20)+1)</f>
        <v>1800</v>
      </c>
      <c r="E561">
        <f t="shared" si="64"/>
        <v>1.1000000000000001</v>
      </c>
      <c r="F561">
        <v>1.03</v>
      </c>
      <c r="G561">
        <f t="shared" si="65"/>
        <v>2039</v>
      </c>
      <c r="H561">
        <v>1.02</v>
      </c>
      <c r="I561">
        <f t="shared" si="66"/>
        <v>2020</v>
      </c>
      <c r="J561" t="str">
        <f t="shared" si="67"/>
        <v>Normal</v>
      </c>
      <c r="K561">
        <f t="shared" si="68"/>
        <v>2039</v>
      </c>
      <c r="L561">
        <f t="shared" si="69"/>
        <v>19</v>
      </c>
      <c r="M561" s="2">
        <f t="shared" si="70"/>
        <v>9.4059405940594056E-3</v>
      </c>
      <c r="N561">
        <f t="shared" si="71"/>
        <v>19</v>
      </c>
    </row>
    <row r="562" spans="1:14">
      <c r="A562" s="1" cm="1">
        <f t="array" ref="A562">INDEX(tblWeeks[Week_Start],INT((ROW()-2)/20)+1)</f>
        <v>46223</v>
      </c>
      <c r="B562" t="str" cm="1">
        <f t="array" ref="B562">INDEX(tblDemandAssumptions[Customer_ID],MOD(ROW()-2,20)+1)</f>
        <v>C001</v>
      </c>
      <c r="C562" t="str" cm="1">
        <f t="array" ref="C562">INDEX(tblDemandAssumptions[Product_ID],MOD(ROW()-2,20)+1)</f>
        <v>P001</v>
      </c>
      <c r="D562" cm="1">
        <f t="array" ref="D562">INDEX(tblDemandAssumptions[Baseline_Weekly_Qty],MOD(ROW()-2,20)+1)</f>
        <v>5200</v>
      </c>
      <c r="E562">
        <f t="shared" si="64"/>
        <v>1.1000000000000001</v>
      </c>
      <c r="F562">
        <v>0.96</v>
      </c>
      <c r="G562">
        <f t="shared" si="65"/>
        <v>5491</v>
      </c>
      <c r="H562">
        <v>0.96</v>
      </c>
      <c r="I562">
        <f t="shared" si="66"/>
        <v>5491</v>
      </c>
      <c r="J562" t="str">
        <f t="shared" si="67"/>
        <v>Normal</v>
      </c>
      <c r="K562">
        <f t="shared" si="68"/>
        <v>5491</v>
      </c>
      <c r="L562">
        <f t="shared" si="69"/>
        <v>0</v>
      </c>
      <c r="M562" s="2">
        <f t="shared" si="70"/>
        <v>0</v>
      </c>
      <c r="N562">
        <f t="shared" si="71"/>
        <v>0</v>
      </c>
    </row>
    <row r="563" spans="1:14">
      <c r="A563" s="1" cm="1">
        <f t="array" ref="A563">INDEX(tblWeeks[Week_Start],INT((ROW()-2)/20)+1)</f>
        <v>46223</v>
      </c>
      <c r="B563" t="str" cm="1">
        <f t="array" ref="B563">INDEX(tblDemandAssumptions[Customer_ID],MOD(ROW()-2,20)+1)</f>
        <v>C001</v>
      </c>
      <c r="C563" t="str" cm="1">
        <f t="array" ref="C563">INDEX(tblDemandAssumptions[Product_ID],MOD(ROW()-2,20)+1)</f>
        <v>P002</v>
      </c>
      <c r="D563" cm="1">
        <f t="array" ref="D563">INDEX(tblDemandAssumptions[Baseline_Weekly_Qty],MOD(ROW()-2,20)+1)</f>
        <v>4100</v>
      </c>
      <c r="E563">
        <f t="shared" si="64"/>
        <v>1.1000000000000001</v>
      </c>
      <c r="F563">
        <v>1</v>
      </c>
      <c r="G563">
        <f t="shared" si="65"/>
        <v>4510</v>
      </c>
      <c r="H563">
        <v>1.02</v>
      </c>
      <c r="I563">
        <f t="shared" si="66"/>
        <v>4600</v>
      </c>
      <c r="J563" t="str">
        <f t="shared" si="67"/>
        <v>Normal</v>
      </c>
      <c r="K563">
        <f t="shared" si="68"/>
        <v>4510</v>
      </c>
      <c r="L563">
        <f t="shared" si="69"/>
        <v>-90</v>
      </c>
      <c r="M563" s="2">
        <f t="shared" si="70"/>
        <v>-1.9565217391304349E-2</v>
      </c>
      <c r="N563">
        <f t="shared" si="71"/>
        <v>90</v>
      </c>
    </row>
    <row r="564" spans="1:14">
      <c r="A564" s="1" cm="1">
        <f t="array" ref="A564">INDEX(tblWeeks[Week_Start],INT((ROW()-2)/20)+1)</f>
        <v>46223</v>
      </c>
      <c r="B564" t="str" cm="1">
        <f t="array" ref="B564">INDEX(tblDemandAssumptions[Customer_ID],MOD(ROW()-2,20)+1)</f>
        <v>C001</v>
      </c>
      <c r="C564" t="str" cm="1">
        <f t="array" ref="C564">INDEX(tblDemandAssumptions[Product_ID],MOD(ROW()-2,20)+1)</f>
        <v>P003</v>
      </c>
      <c r="D564" cm="1">
        <f t="array" ref="D564">INDEX(tblDemandAssumptions[Baseline_Weekly_Qty],MOD(ROW()-2,20)+1)</f>
        <v>3300</v>
      </c>
      <c r="E564">
        <f t="shared" si="64"/>
        <v>1.1000000000000001</v>
      </c>
      <c r="F564">
        <v>1.04</v>
      </c>
      <c r="G564">
        <f t="shared" si="65"/>
        <v>3775</v>
      </c>
      <c r="H564">
        <v>0.99</v>
      </c>
      <c r="I564">
        <f t="shared" si="66"/>
        <v>3594</v>
      </c>
      <c r="J564" t="str">
        <f t="shared" si="67"/>
        <v>Normal</v>
      </c>
      <c r="K564">
        <f t="shared" si="68"/>
        <v>3775</v>
      </c>
      <c r="L564">
        <f t="shared" si="69"/>
        <v>181</v>
      </c>
      <c r="M564" s="2">
        <f t="shared" si="70"/>
        <v>5.0361713967723987E-2</v>
      </c>
      <c r="N564">
        <f t="shared" si="71"/>
        <v>181</v>
      </c>
    </row>
    <row r="565" spans="1:14">
      <c r="A565" s="1" cm="1">
        <f t="array" ref="A565">INDEX(tblWeeks[Week_Start],INT((ROW()-2)/20)+1)</f>
        <v>46223</v>
      </c>
      <c r="B565" t="str" cm="1">
        <f t="array" ref="B565">INDEX(tblDemandAssumptions[Customer_ID],MOD(ROW()-2,20)+1)</f>
        <v>C001</v>
      </c>
      <c r="C565" t="str" cm="1">
        <f t="array" ref="C565">INDEX(tblDemandAssumptions[Product_ID],MOD(ROW()-2,20)+1)</f>
        <v>P004</v>
      </c>
      <c r="D565" cm="1">
        <f t="array" ref="D565">INDEX(tblDemandAssumptions[Baseline_Weekly_Qty],MOD(ROW()-2,20)+1)</f>
        <v>3600</v>
      </c>
      <c r="E565">
        <f t="shared" si="64"/>
        <v>1.1000000000000001</v>
      </c>
      <c r="F565">
        <v>0.98</v>
      </c>
      <c r="G565">
        <f t="shared" si="65"/>
        <v>3881</v>
      </c>
      <c r="H565">
        <v>1.01</v>
      </c>
      <c r="I565">
        <f t="shared" si="66"/>
        <v>4000</v>
      </c>
      <c r="J565" t="str">
        <f t="shared" si="67"/>
        <v>Normal</v>
      </c>
      <c r="K565">
        <f t="shared" si="68"/>
        <v>3881</v>
      </c>
      <c r="L565">
        <f t="shared" si="69"/>
        <v>-119</v>
      </c>
      <c r="M565" s="2">
        <f t="shared" si="70"/>
        <v>-2.9749999999999999E-2</v>
      </c>
      <c r="N565">
        <f t="shared" si="71"/>
        <v>119</v>
      </c>
    </row>
    <row r="566" spans="1:14">
      <c r="A566" s="1" cm="1">
        <f t="array" ref="A566">INDEX(tblWeeks[Week_Start],INT((ROW()-2)/20)+1)</f>
        <v>46223</v>
      </c>
      <c r="B566" t="str" cm="1">
        <f t="array" ref="B566">INDEX(tblDemandAssumptions[Customer_ID],MOD(ROW()-2,20)+1)</f>
        <v>C001</v>
      </c>
      <c r="C566" t="str" cm="1">
        <f t="array" ref="C566">INDEX(tblDemandAssumptions[Product_ID],MOD(ROW()-2,20)+1)</f>
        <v>P005</v>
      </c>
      <c r="D566" cm="1">
        <f t="array" ref="D566">INDEX(tblDemandAssumptions[Baseline_Weekly_Qty],MOD(ROW()-2,20)+1)</f>
        <v>2800</v>
      </c>
      <c r="E566">
        <f t="shared" si="64"/>
        <v>1.1000000000000001</v>
      </c>
      <c r="F566">
        <v>0.97</v>
      </c>
      <c r="G566">
        <f t="shared" si="65"/>
        <v>2988</v>
      </c>
      <c r="H566">
        <v>0.99</v>
      </c>
      <c r="I566">
        <f t="shared" si="66"/>
        <v>3049</v>
      </c>
      <c r="J566" t="str">
        <f t="shared" si="67"/>
        <v>Normal</v>
      </c>
      <c r="K566">
        <f t="shared" si="68"/>
        <v>2988</v>
      </c>
      <c r="L566">
        <f t="shared" si="69"/>
        <v>-61</v>
      </c>
      <c r="M566" s="2">
        <f t="shared" si="70"/>
        <v>-2.0006559527714005E-2</v>
      </c>
      <c r="N566">
        <f t="shared" si="71"/>
        <v>61</v>
      </c>
    </row>
    <row r="567" spans="1:14">
      <c r="A567" s="1" cm="1">
        <f t="array" ref="A567">INDEX(tblWeeks[Week_Start],INT((ROW()-2)/20)+1)</f>
        <v>46223</v>
      </c>
      <c r="B567" t="str" cm="1">
        <f t="array" ref="B567">INDEX(tblDemandAssumptions[Customer_ID],MOD(ROW()-2,20)+1)</f>
        <v>C002</v>
      </c>
      <c r="C567" t="str" cm="1">
        <f t="array" ref="C567">INDEX(tblDemandAssumptions[Product_ID],MOD(ROW()-2,20)+1)</f>
        <v>P001</v>
      </c>
      <c r="D567" cm="1">
        <f t="array" ref="D567">INDEX(tblDemandAssumptions[Baseline_Weekly_Qty],MOD(ROW()-2,20)+1)</f>
        <v>3400</v>
      </c>
      <c r="E567">
        <f t="shared" si="64"/>
        <v>1.1000000000000001</v>
      </c>
      <c r="F567">
        <v>1.05</v>
      </c>
      <c r="G567">
        <f t="shared" si="65"/>
        <v>3927</v>
      </c>
      <c r="H567">
        <v>1.04</v>
      </c>
      <c r="I567">
        <f t="shared" si="66"/>
        <v>3890</v>
      </c>
      <c r="J567" t="str">
        <f t="shared" si="67"/>
        <v>Normal</v>
      </c>
      <c r="K567">
        <f t="shared" si="68"/>
        <v>3927</v>
      </c>
      <c r="L567">
        <f t="shared" si="69"/>
        <v>37</v>
      </c>
      <c r="M567" s="2">
        <f t="shared" si="70"/>
        <v>9.5115681233933162E-3</v>
      </c>
      <c r="N567">
        <f t="shared" si="71"/>
        <v>37</v>
      </c>
    </row>
    <row r="568" spans="1:14">
      <c r="A568" s="1" cm="1">
        <f t="array" ref="A568">INDEX(tblWeeks[Week_Start],INT((ROW()-2)/20)+1)</f>
        <v>46223</v>
      </c>
      <c r="B568" t="str" cm="1">
        <f t="array" ref="B568">INDEX(tblDemandAssumptions[Customer_ID],MOD(ROW()-2,20)+1)</f>
        <v>C002</v>
      </c>
      <c r="C568" t="str" cm="1">
        <f t="array" ref="C568">INDEX(tblDemandAssumptions[Product_ID],MOD(ROW()-2,20)+1)</f>
        <v>P002</v>
      </c>
      <c r="D568" cm="1">
        <f t="array" ref="D568">INDEX(tblDemandAssumptions[Baseline_Weekly_Qty],MOD(ROW()-2,20)+1)</f>
        <v>3200</v>
      </c>
      <c r="E568">
        <f t="shared" si="64"/>
        <v>1.1000000000000001</v>
      </c>
      <c r="F568">
        <v>0.99</v>
      </c>
      <c r="G568">
        <f t="shared" si="65"/>
        <v>3485</v>
      </c>
      <c r="H568">
        <v>1.01</v>
      </c>
      <c r="I568">
        <f t="shared" si="66"/>
        <v>3555</v>
      </c>
      <c r="J568" t="str">
        <f t="shared" si="67"/>
        <v>Normal</v>
      </c>
      <c r="K568">
        <f t="shared" si="68"/>
        <v>3485</v>
      </c>
      <c r="L568">
        <f t="shared" si="69"/>
        <v>-70</v>
      </c>
      <c r="M568" s="2">
        <f t="shared" si="70"/>
        <v>-1.969057665260197E-2</v>
      </c>
      <c r="N568">
        <f t="shared" si="71"/>
        <v>70</v>
      </c>
    </row>
    <row r="569" spans="1:14">
      <c r="A569" s="1" cm="1">
        <f t="array" ref="A569">INDEX(tblWeeks[Week_Start],INT((ROW()-2)/20)+1)</f>
        <v>46223</v>
      </c>
      <c r="B569" t="str" cm="1">
        <f t="array" ref="B569">INDEX(tblDemandAssumptions[Customer_ID],MOD(ROW()-2,20)+1)</f>
        <v>C002</v>
      </c>
      <c r="C569" t="str" cm="1">
        <f t="array" ref="C569">INDEX(tblDemandAssumptions[Product_ID],MOD(ROW()-2,20)+1)</f>
        <v>P003</v>
      </c>
      <c r="D569" cm="1">
        <f t="array" ref="D569">INDEX(tblDemandAssumptions[Baseline_Weekly_Qty],MOD(ROW()-2,20)+1)</f>
        <v>2600</v>
      </c>
      <c r="E569">
        <f t="shared" si="64"/>
        <v>1.1000000000000001</v>
      </c>
      <c r="F569">
        <v>0.99</v>
      </c>
      <c r="G569">
        <f t="shared" si="65"/>
        <v>2831</v>
      </c>
      <c r="H569">
        <v>0.97</v>
      </c>
      <c r="I569">
        <f t="shared" si="66"/>
        <v>2774</v>
      </c>
      <c r="J569" t="str">
        <f t="shared" si="67"/>
        <v>Normal</v>
      </c>
      <c r="K569">
        <f t="shared" si="68"/>
        <v>2831</v>
      </c>
      <c r="L569">
        <f t="shared" si="69"/>
        <v>57</v>
      </c>
      <c r="M569" s="2">
        <f t="shared" si="70"/>
        <v>2.0547945205479451E-2</v>
      </c>
      <c r="N569">
        <f t="shared" si="71"/>
        <v>57</v>
      </c>
    </row>
    <row r="570" spans="1:14">
      <c r="A570" s="1" cm="1">
        <f t="array" ref="A570">INDEX(tblWeeks[Week_Start],INT((ROW()-2)/20)+1)</f>
        <v>46223</v>
      </c>
      <c r="B570" t="str" cm="1">
        <f t="array" ref="B570">INDEX(tblDemandAssumptions[Customer_ID],MOD(ROW()-2,20)+1)</f>
        <v>C002</v>
      </c>
      <c r="C570" t="str" cm="1">
        <f t="array" ref="C570">INDEX(tblDemandAssumptions[Product_ID],MOD(ROW()-2,20)+1)</f>
        <v>P004</v>
      </c>
      <c r="D570" cm="1">
        <f t="array" ref="D570">INDEX(tblDemandAssumptions[Baseline_Weekly_Qty],MOD(ROW()-2,20)+1)</f>
        <v>2900</v>
      </c>
      <c r="E570">
        <f t="shared" si="64"/>
        <v>1.1000000000000001</v>
      </c>
      <c r="F570">
        <v>0.97</v>
      </c>
      <c r="G570">
        <f t="shared" si="65"/>
        <v>3094</v>
      </c>
      <c r="H570">
        <v>1.01</v>
      </c>
      <c r="I570">
        <f t="shared" si="66"/>
        <v>3222</v>
      </c>
      <c r="J570" t="str">
        <f t="shared" si="67"/>
        <v>Normal</v>
      </c>
      <c r="K570">
        <f t="shared" si="68"/>
        <v>3094</v>
      </c>
      <c r="L570">
        <f t="shared" si="69"/>
        <v>-128</v>
      </c>
      <c r="M570" s="2">
        <f t="shared" si="70"/>
        <v>-3.9726877715704531E-2</v>
      </c>
      <c r="N570">
        <f t="shared" si="71"/>
        <v>128</v>
      </c>
    </row>
    <row r="571" spans="1:14">
      <c r="A571" s="1" cm="1">
        <f t="array" ref="A571">INDEX(tblWeeks[Week_Start],INT((ROW()-2)/20)+1)</f>
        <v>46223</v>
      </c>
      <c r="B571" t="str" cm="1">
        <f t="array" ref="B571">INDEX(tblDemandAssumptions[Customer_ID],MOD(ROW()-2,20)+1)</f>
        <v>C002</v>
      </c>
      <c r="C571" t="str" cm="1">
        <f t="array" ref="C571">INDEX(tblDemandAssumptions[Product_ID],MOD(ROW()-2,20)+1)</f>
        <v>P005</v>
      </c>
      <c r="D571" cm="1">
        <f t="array" ref="D571">INDEX(tblDemandAssumptions[Baseline_Weekly_Qty],MOD(ROW()-2,20)+1)</f>
        <v>2200</v>
      </c>
      <c r="E571">
        <f t="shared" si="64"/>
        <v>1.1000000000000001</v>
      </c>
      <c r="F571">
        <v>1.03</v>
      </c>
      <c r="G571">
        <f t="shared" si="65"/>
        <v>2493</v>
      </c>
      <c r="H571">
        <v>0.99</v>
      </c>
      <c r="I571">
        <f t="shared" si="66"/>
        <v>2396</v>
      </c>
      <c r="J571" t="str">
        <f t="shared" si="67"/>
        <v>Normal</v>
      </c>
      <c r="K571">
        <f t="shared" si="68"/>
        <v>2493</v>
      </c>
      <c r="L571">
        <f t="shared" si="69"/>
        <v>97</v>
      </c>
      <c r="M571" s="2">
        <f t="shared" si="70"/>
        <v>4.0484140233722869E-2</v>
      </c>
      <c r="N571">
        <f t="shared" si="71"/>
        <v>97</v>
      </c>
    </row>
    <row r="572" spans="1:14">
      <c r="A572" s="1" cm="1">
        <f t="array" ref="A572">INDEX(tblWeeks[Week_Start],INT((ROW()-2)/20)+1)</f>
        <v>46223</v>
      </c>
      <c r="B572" t="str" cm="1">
        <f t="array" ref="B572">INDEX(tblDemandAssumptions[Customer_ID],MOD(ROW()-2,20)+1)</f>
        <v>C003</v>
      </c>
      <c r="C572" t="str" cm="1">
        <f t="array" ref="C572">INDEX(tblDemandAssumptions[Product_ID],MOD(ROW()-2,20)+1)</f>
        <v>P001</v>
      </c>
      <c r="D572" cm="1">
        <f t="array" ref="D572">INDEX(tblDemandAssumptions[Baseline_Weekly_Qty],MOD(ROW()-2,20)+1)</f>
        <v>3000</v>
      </c>
      <c r="E572">
        <f t="shared" si="64"/>
        <v>1.1000000000000001</v>
      </c>
      <c r="F572">
        <v>0.96</v>
      </c>
      <c r="G572">
        <f t="shared" si="65"/>
        <v>3168</v>
      </c>
      <c r="H572">
        <v>1.04</v>
      </c>
      <c r="I572">
        <f t="shared" si="66"/>
        <v>3432</v>
      </c>
      <c r="J572" t="str">
        <f t="shared" si="67"/>
        <v>Normal</v>
      </c>
      <c r="K572">
        <f t="shared" si="68"/>
        <v>3168</v>
      </c>
      <c r="L572">
        <f t="shared" si="69"/>
        <v>-264</v>
      </c>
      <c r="M572" s="2">
        <f t="shared" si="70"/>
        <v>-7.6923076923076927E-2</v>
      </c>
      <c r="N572">
        <f t="shared" si="71"/>
        <v>264</v>
      </c>
    </row>
    <row r="573" spans="1:14">
      <c r="A573" s="1" cm="1">
        <f t="array" ref="A573">INDEX(tblWeeks[Week_Start],INT((ROW()-2)/20)+1)</f>
        <v>46223</v>
      </c>
      <c r="B573" t="str" cm="1">
        <f t="array" ref="B573">INDEX(tblDemandAssumptions[Customer_ID],MOD(ROW()-2,20)+1)</f>
        <v>C003</v>
      </c>
      <c r="C573" t="str" cm="1">
        <f t="array" ref="C573">INDEX(tblDemandAssumptions[Product_ID],MOD(ROW()-2,20)+1)</f>
        <v>P002</v>
      </c>
      <c r="D573" cm="1">
        <f t="array" ref="D573">INDEX(tblDemandAssumptions[Baseline_Weekly_Qty],MOD(ROW()-2,20)+1)</f>
        <v>2700</v>
      </c>
      <c r="E573">
        <f t="shared" si="64"/>
        <v>1.1000000000000001</v>
      </c>
      <c r="F573">
        <v>1.04</v>
      </c>
      <c r="G573">
        <f t="shared" si="65"/>
        <v>3089</v>
      </c>
      <c r="H573">
        <v>0.97</v>
      </c>
      <c r="I573">
        <f t="shared" si="66"/>
        <v>2881</v>
      </c>
      <c r="J573" t="str">
        <f t="shared" si="67"/>
        <v>Normal</v>
      </c>
      <c r="K573">
        <f t="shared" si="68"/>
        <v>3089</v>
      </c>
      <c r="L573">
        <f t="shared" si="69"/>
        <v>208</v>
      </c>
      <c r="M573" s="2">
        <f t="shared" si="70"/>
        <v>7.2197153766053457E-2</v>
      </c>
      <c r="N573">
        <f t="shared" si="71"/>
        <v>208</v>
      </c>
    </row>
    <row r="574" spans="1:14">
      <c r="A574" s="1" cm="1">
        <f t="array" ref="A574">INDEX(tblWeeks[Week_Start],INT((ROW()-2)/20)+1)</f>
        <v>46223</v>
      </c>
      <c r="B574" t="str" cm="1">
        <f t="array" ref="B574">INDEX(tblDemandAssumptions[Customer_ID],MOD(ROW()-2,20)+1)</f>
        <v>C003</v>
      </c>
      <c r="C574" t="str" cm="1">
        <f t="array" ref="C574">INDEX(tblDemandAssumptions[Product_ID],MOD(ROW()-2,20)+1)</f>
        <v>P003</v>
      </c>
      <c r="D574" cm="1">
        <f t="array" ref="D574">INDEX(tblDemandAssumptions[Baseline_Weekly_Qty],MOD(ROW()-2,20)+1)</f>
        <v>2800</v>
      </c>
      <c r="E574">
        <f t="shared" si="64"/>
        <v>1.1000000000000001</v>
      </c>
      <c r="F574">
        <v>0.97</v>
      </c>
      <c r="G574">
        <f t="shared" si="65"/>
        <v>2988</v>
      </c>
      <c r="H574">
        <v>1.02</v>
      </c>
      <c r="I574">
        <f t="shared" si="66"/>
        <v>3142</v>
      </c>
      <c r="J574" t="str">
        <f t="shared" si="67"/>
        <v>Over_Forecast</v>
      </c>
      <c r="K574">
        <f t="shared" si="68"/>
        <v>2262</v>
      </c>
      <c r="L574">
        <f t="shared" si="69"/>
        <v>-880</v>
      </c>
      <c r="M574" s="2">
        <f t="shared" si="70"/>
        <v>-0.28007638446849142</v>
      </c>
      <c r="N574">
        <f t="shared" si="71"/>
        <v>880</v>
      </c>
    </row>
    <row r="575" spans="1:14">
      <c r="A575" s="1" cm="1">
        <f t="array" ref="A575">INDEX(tblWeeks[Week_Start],INT((ROW()-2)/20)+1)</f>
        <v>46223</v>
      </c>
      <c r="B575" t="str" cm="1">
        <f t="array" ref="B575">INDEX(tblDemandAssumptions[Customer_ID],MOD(ROW()-2,20)+1)</f>
        <v>C003</v>
      </c>
      <c r="C575" t="str" cm="1">
        <f t="array" ref="C575">INDEX(tblDemandAssumptions[Product_ID],MOD(ROW()-2,20)+1)</f>
        <v>P004</v>
      </c>
      <c r="D575" cm="1">
        <f t="array" ref="D575">INDEX(tblDemandAssumptions[Baseline_Weekly_Qty],MOD(ROW()-2,20)+1)</f>
        <v>2400</v>
      </c>
      <c r="E575">
        <f t="shared" si="64"/>
        <v>1.1000000000000001</v>
      </c>
      <c r="F575">
        <v>0.99</v>
      </c>
      <c r="G575">
        <f t="shared" si="65"/>
        <v>2614</v>
      </c>
      <c r="H575">
        <v>0.96</v>
      </c>
      <c r="I575">
        <f t="shared" si="66"/>
        <v>2534</v>
      </c>
      <c r="J575" t="str">
        <f t="shared" si="67"/>
        <v>Normal</v>
      </c>
      <c r="K575">
        <f t="shared" si="68"/>
        <v>2614</v>
      </c>
      <c r="L575">
        <f t="shared" si="69"/>
        <v>80</v>
      </c>
      <c r="M575" s="2">
        <f t="shared" si="70"/>
        <v>3.1570639305445937E-2</v>
      </c>
      <c r="N575">
        <f t="shared" si="71"/>
        <v>80</v>
      </c>
    </row>
    <row r="576" spans="1:14">
      <c r="A576" s="1" cm="1">
        <f t="array" ref="A576">INDEX(tblWeeks[Week_Start],INT((ROW()-2)/20)+1)</f>
        <v>46223</v>
      </c>
      <c r="B576" t="str" cm="1">
        <f t="array" ref="B576">INDEX(tblDemandAssumptions[Customer_ID],MOD(ROW()-2,20)+1)</f>
        <v>C003</v>
      </c>
      <c r="C576" t="str" cm="1">
        <f t="array" ref="C576">INDEX(tblDemandAssumptions[Product_ID],MOD(ROW()-2,20)+1)</f>
        <v>P005</v>
      </c>
      <c r="D576" cm="1">
        <f t="array" ref="D576">INDEX(tblDemandAssumptions[Baseline_Weekly_Qty],MOD(ROW()-2,20)+1)</f>
        <v>1900</v>
      </c>
      <c r="E576">
        <f t="shared" si="64"/>
        <v>1.1000000000000001</v>
      </c>
      <c r="F576">
        <v>1.02</v>
      </c>
      <c r="G576">
        <f t="shared" si="65"/>
        <v>2132</v>
      </c>
      <c r="H576">
        <v>1.02</v>
      </c>
      <c r="I576">
        <f t="shared" si="66"/>
        <v>2132</v>
      </c>
      <c r="J576" t="str">
        <f t="shared" si="67"/>
        <v>Normal</v>
      </c>
      <c r="K576">
        <f t="shared" si="68"/>
        <v>2132</v>
      </c>
      <c r="L576">
        <f t="shared" si="69"/>
        <v>0</v>
      </c>
      <c r="M576" s="2">
        <f t="shared" si="70"/>
        <v>0</v>
      </c>
      <c r="N576">
        <f t="shared" si="71"/>
        <v>0</v>
      </c>
    </row>
    <row r="577" spans="1:14">
      <c r="A577" s="1" cm="1">
        <f t="array" ref="A577">INDEX(tblWeeks[Week_Start],INT((ROW()-2)/20)+1)</f>
        <v>46223</v>
      </c>
      <c r="B577" t="str" cm="1">
        <f t="array" ref="B577">INDEX(tblDemandAssumptions[Customer_ID],MOD(ROW()-2,20)+1)</f>
        <v>C004</v>
      </c>
      <c r="C577" t="str" cm="1">
        <f t="array" ref="C577">INDEX(tblDemandAssumptions[Product_ID],MOD(ROW()-2,20)+1)</f>
        <v>P001</v>
      </c>
      <c r="D577" cm="1">
        <f t="array" ref="D577">INDEX(tblDemandAssumptions[Baseline_Weekly_Qty],MOD(ROW()-2,20)+1)</f>
        <v>2700</v>
      </c>
      <c r="E577">
        <f t="shared" si="64"/>
        <v>1.1000000000000001</v>
      </c>
      <c r="F577">
        <v>1.04</v>
      </c>
      <c r="G577">
        <f t="shared" si="65"/>
        <v>3089</v>
      </c>
      <c r="H577">
        <v>0.98</v>
      </c>
      <c r="I577">
        <f t="shared" si="66"/>
        <v>2911</v>
      </c>
      <c r="J577" t="str">
        <f t="shared" si="67"/>
        <v>Normal</v>
      </c>
      <c r="K577">
        <f t="shared" si="68"/>
        <v>3089</v>
      </c>
      <c r="L577">
        <f t="shared" si="69"/>
        <v>178</v>
      </c>
      <c r="M577" s="2">
        <f t="shared" si="70"/>
        <v>6.1147372037100654E-2</v>
      </c>
      <c r="N577">
        <f t="shared" si="71"/>
        <v>178</v>
      </c>
    </row>
    <row r="578" spans="1:14">
      <c r="A578" s="1" cm="1">
        <f t="array" ref="A578">INDEX(tblWeeks[Week_Start],INT((ROW()-2)/20)+1)</f>
        <v>46223</v>
      </c>
      <c r="B578" t="str" cm="1">
        <f t="array" ref="B578">INDEX(tblDemandAssumptions[Customer_ID],MOD(ROW()-2,20)+1)</f>
        <v>C004</v>
      </c>
      <c r="C578" t="str" cm="1">
        <f t="array" ref="C578">INDEX(tblDemandAssumptions[Product_ID],MOD(ROW()-2,20)+1)</f>
        <v>P002</v>
      </c>
      <c r="D578" cm="1">
        <f t="array" ref="D578">INDEX(tblDemandAssumptions[Baseline_Weekly_Qty],MOD(ROW()-2,20)+1)</f>
        <v>2400</v>
      </c>
      <c r="E578">
        <f t="shared" ref="E578:E641" si="72">IF(MONTH(A578)&lt;=2,0.95,IF(MONTH(A578)&lt;=4,1,IF(MONTH(A578)&lt;=6,1.05,IF(MONTH(A578)&lt;=8,1.1,IF(MONTH(A578)&lt;=10,1,IF(MONTH(A578)=11,1.05,1.2))))))</f>
        <v>1.1000000000000001</v>
      </c>
      <c r="F578">
        <v>0.99</v>
      </c>
      <c r="G578">
        <f t="shared" ref="G578:G641" si="73">ROUND(D578*E578*F578,0)</f>
        <v>2614</v>
      </c>
      <c r="H578">
        <v>0.98</v>
      </c>
      <c r="I578">
        <f t="shared" ref="I578:I641" si="74">ROUND(D578*E578*H578,0)</f>
        <v>2587</v>
      </c>
      <c r="J578" t="str">
        <f t="shared" ref="J578:J641" si="75">IF(AND(A578=DATE(2026,3,16),B578="C001",C578="P001"),"Promotion_Demand_Spike",IF(AND(A578=DATE(2026,6,8),B578="C002",C578="P004"),"Under_Forecast",IF(AND(A578=DATE(2026,7,20),B578="C003",C578="P003"),"Over_Forecast","Normal")))</f>
        <v>Normal</v>
      </c>
      <c r="K578">
        <f t="shared" ref="K578:K641" si="76">IF(J578="Promotion_Demand_Spike",ROUND(G578*1.35,0),IF(J578="Under_Forecast",ROUND(I578*1.25,0),IF(J578="Over_Forecast",ROUND(I578*0.72,0),G578)))</f>
        <v>2614</v>
      </c>
      <c r="L578">
        <f t="shared" ref="L578:L641" si="77">K578-I578</f>
        <v>27</v>
      </c>
      <c r="M578" s="2">
        <f t="shared" ref="M578:M641" si="78">IF(I578=0,0,L578/I578)</f>
        <v>1.0436799381522999E-2</v>
      </c>
      <c r="N578">
        <f t="shared" ref="N578:N641" si="79">ABS(L578)</f>
        <v>27</v>
      </c>
    </row>
    <row r="579" spans="1:14">
      <c r="A579" s="1" cm="1">
        <f t="array" ref="A579">INDEX(tblWeeks[Week_Start],INT((ROW()-2)/20)+1)</f>
        <v>46223</v>
      </c>
      <c r="B579" t="str" cm="1">
        <f t="array" ref="B579">INDEX(tblDemandAssumptions[Customer_ID],MOD(ROW()-2,20)+1)</f>
        <v>C004</v>
      </c>
      <c r="C579" t="str" cm="1">
        <f t="array" ref="C579">INDEX(tblDemandAssumptions[Product_ID],MOD(ROW()-2,20)+1)</f>
        <v>P003</v>
      </c>
      <c r="D579" cm="1">
        <f t="array" ref="D579">INDEX(tblDemandAssumptions[Baseline_Weekly_Qty],MOD(ROW()-2,20)+1)</f>
        <v>2100</v>
      </c>
      <c r="E579">
        <f t="shared" si="72"/>
        <v>1.1000000000000001</v>
      </c>
      <c r="F579">
        <v>1.04</v>
      </c>
      <c r="G579">
        <f t="shared" si="73"/>
        <v>2402</v>
      </c>
      <c r="H579">
        <v>1.04</v>
      </c>
      <c r="I579">
        <f t="shared" si="74"/>
        <v>2402</v>
      </c>
      <c r="J579" t="str">
        <f t="shared" si="75"/>
        <v>Normal</v>
      </c>
      <c r="K579">
        <f t="shared" si="76"/>
        <v>2402</v>
      </c>
      <c r="L579">
        <f t="shared" si="77"/>
        <v>0</v>
      </c>
      <c r="M579" s="2">
        <f t="shared" si="78"/>
        <v>0</v>
      </c>
      <c r="N579">
        <f t="shared" si="79"/>
        <v>0</v>
      </c>
    </row>
    <row r="580" spans="1:14">
      <c r="A580" s="1" cm="1">
        <f t="array" ref="A580">INDEX(tblWeeks[Week_Start],INT((ROW()-2)/20)+1)</f>
        <v>46223</v>
      </c>
      <c r="B580" t="str" cm="1">
        <f t="array" ref="B580">INDEX(tblDemandAssumptions[Customer_ID],MOD(ROW()-2,20)+1)</f>
        <v>C004</v>
      </c>
      <c r="C580" t="str" cm="1">
        <f t="array" ref="C580">INDEX(tblDemandAssumptions[Product_ID],MOD(ROW()-2,20)+1)</f>
        <v>P004</v>
      </c>
      <c r="D580" cm="1">
        <f t="array" ref="D580">INDEX(tblDemandAssumptions[Baseline_Weekly_Qty],MOD(ROW()-2,20)+1)</f>
        <v>2600</v>
      </c>
      <c r="E580">
        <f t="shared" si="72"/>
        <v>1.1000000000000001</v>
      </c>
      <c r="F580">
        <v>1.05</v>
      </c>
      <c r="G580">
        <f t="shared" si="73"/>
        <v>3003</v>
      </c>
      <c r="H580">
        <v>0.97</v>
      </c>
      <c r="I580">
        <f t="shared" si="74"/>
        <v>2774</v>
      </c>
      <c r="J580" t="str">
        <f t="shared" si="75"/>
        <v>Normal</v>
      </c>
      <c r="K580">
        <f t="shared" si="76"/>
        <v>3003</v>
      </c>
      <c r="L580">
        <f t="shared" si="77"/>
        <v>229</v>
      </c>
      <c r="M580" s="2">
        <f t="shared" si="78"/>
        <v>8.2552271088680601E-2</v>
      </c>
      <c r="N580">
        <f t="shared" si="79"/>
        <v>229</v>
      </c>
    </row>
    <row r="581" spans="1:14">
      <c r="A581" s="1" cm="1">
        <f t="array" ref="A581">INDEX(tblWeeks[Week_Start],INT((ROW()-2)/20)+1)</f>
        <v>46223</v>
      </c>
      <c r="B581" t="str" cm="1">
        <f t="array" ref="B581">INDEX(tblDemandAssumptions[Customer_ID],MOD(ROW()-2,20)+1)</f>
        <v>C004</v>
      </c>
      <c r="C581" t="str" cm="1">
        <f t="array" ref="C581">INDEX(tblDemandAssumptions[Product_ID],MOD(ROW()-2,20)+1)</f>
        <v>P005</v>
      </c>
      <c r="D581" cm="1">
        <f t="array" ref="D581">INDEX(tblDemandAssumptions[Baseline_Weekly_Qty],MOD(ROW()-2,20)+1)</f>
        <v>1800</v>
      </c>
      <c r="E581">
        <f t="shared" si="72"/>
        <v>1.1000000000000001</v>
      </c>
      <c r="F581">
        <v>1.02</v>
      </c>
      <c r="G581">
        <f t="shared" si="73"/>
        <v>2020</v>
      </c>
      <c r="H581">
        <v>1.02</v>
      </c>
      <c r="I581">
        <f t="shared" si="74"/>
        <v>2020</v>
      </c>
      <c r="J581" t="str">
        <f t="shared" si="75"/>
        <v>Normal</v>
      </c>
      <c r="K581">
        <f t="shared" si="76"/>
        <v>2020</v>
      </c>
      <c r="L581">
        <f t="shared" si="77"/>
        <v>0</v>
      </c>
      <c r="M581" s="2">
        <f t="shared" si="78"/>
        <v>0</v>
      </c>
      <c r="N581">
        <f t="shared" si="79"/>
        <v>0</v>
      </c>
    </row>
    <row r="582" spans="1:14">
      <c r="A582" s="1" cm="1">
        <f t="array" ref="A582">INDEX(tblWeeks[Week_Start],INT((ROW()-2)/20)+1)</f>
        <v>46230</v>
      </c>
      <c r="B582" t="str" cm="1">
        <f t="array" ref="B582">INDEX(tblDemandAssumptions[Customer_ID],MOD(ROW()-2,20)+1)</f>
        <v>C001</v>
      </c>
      <c r="C582" t="str" cm="1">
        <f t="array" ref="C582">INDEX(tblDemandAssumptions[Product_ID],MOD(ROW()-2,20)+1)</f>
        <v>P001</v>
      </c>
      <c r="D582" cm="1">
        <f t="array" ref="D582">INDEX(tblDemandAssumptions[Baseline_Weekly_Qty],MOD(ROW()-2,20)+1)</f>
        <v>5200</v>
      </c>
      <c r="E582">
        <f t="shared" si="72"/>
        <v>1.1000000000000001</v>
      </c>
      <c r="F582">
        <v>0.99</v>
      </c>
      <c r="G582">
        <f t="shared" si="73"/>
        <v>5663</v>
      </c>
      <c r="H582">
        <v>1</v>
      </c>
      <c r="I582">
        <f t="shared" si="74"/>
        <v>5720</v>
      </c>
      <c r="J582" t="str">
        <f t="shared" si="75"/>
        <v>Normal</v>
      </c>
      <c r="K582">
        <f t="shared" si="76"/>
        <v>5663</v>
      </c>
      <c r="L582">
        <f t="shared" si="77"/>
        <v>-57</v>
      </c>
      <c r="M582" s="2">
        <f t="shared" si="78"/>
        <v>-9.9650349650349645E-3</v>
      </c>
      <c r="N582">
        <f t="shared" si="79"/>
        <v>57</v>
      </c>
    </row>
    <row r="583" spans="1:14">
      <c r="A583" s="1" cm="1">
        <f t="array" ref="A583">INDEX(tblWeeks[Week_Start],INT((ROW()-2)/20)+1)</f>
        <v>46230</v>
      </c>
      <c r="B583" t="str" cm="1">
        <f t="array" ref="B583">INDEX(tblDemandAssumptions[Customer_ID],MOD(ROW()-2,20)+1)</f>
        <v>C001</v>
      </c>
      <c r="C583" t="str" cm="1">
        <f t="array" ref="C583">INDEX(tblDemandAssumptions[Product_ID],MOD(ROW()-2,20)+1)</f>
        <v>P002</v>
      </c>
      <c r="D583" cm="1">
        <f t="array" ref="D583">INDEX(tblDemandAssumptions[Baseline_Weekly_Qty],MOD(ROW()-2,20)+1)</f>
        <v>4100</v>
      </c>
      <c r="E583">
        <f t="shared" si="72"/>
        <v>1.1000000000000001</v>
      </c>
      <c r="F583">
        <v>1.04</v>
      </c>
      <c r="G583">
        <f t="shared" si="73"/>
        <v>4690</v>
      </c>
      <c r="H583">
        <v>1.02</v>
      </c>
      <c r="I583">
        <f t="shared" si="74"/>
        <v>4600</v>
      </c>
      <c r="J583" t="str">
        <f t="shared" si="75"/>
        <v>Normal</v>
      </c>
      <c r="K583">
        <f t="shared" si="76"/>
        <v>4690</v>
      </c>
      <c r="L583">
        <f t="shared" si="77"/>
        <v>90</v>
      </c>
      <c r="M583" s="2">
        <f t="shared" si="78"/>
        <v>1.9565217391304349E-2</v>
      </c>
      <c r="N583">
        <f t="shared" si="79"/>
        <v>90</v>
      </c>
    </row>
    <row r="584" spans="1:14">
      <c r="A584" s="1" cm="1">
        <f t="array" ref="A584">INDEX(tblWeeks[Week_Start],INT((ROW()-2)/20)+1)</f>
        <v>46230</v>
      </c>
      <c r="B584" t="str" cm="1">
        <f t="array" ref="B584">INDEX(tblDemandAssumptions[Customer_ID],MOD(ROW()-2,20)+1)</f>
        <v>C001</v>
      </c>
      <c r="C584" t="str" cm="1">
        <f t="array" ref="C584">INDEX(tblDemandAssumptions[Product_ID],MOD(ROW()-2,20)+1)</f>
        <v>P003</v>
      </c>
      <c r="D584" cm="1">
        <f t="array" ref="D584">INDEX(tblDemandAssumptions[Baseline_Weekly_Qty],MOD(ROW()-2,20)+1)</f>
        <v>3300</v>
      </c>
      <c r="E584">
        <f t="shared" si="72"/>
        <v>1.1000000000000001</v>
      </c>
      <c r="F584">
        <v>1</v>
      </c>
      <c r="G584">
        <f t="shared" si="73"/>
        <v>3630</v>
      </c>
      <c r="H584">
        <v>1.04</v>
      </c>
      <c r="I584">
        <f t="shared" si="74"/>
        <v>3775</v>
      </c>
      <c r="J584" t="str">
        <f t="shared" si="75"/>
        <v>Normal</v>
      </c>
      <c r="K584">
        <f t="shared" si="76"/>
        <v>3630</v>
      </c>
      <c r="L584">
        <f t="shared" si="77"/>
        <v>-145</v>
      </c>
      <c r="M584" s="2">
        <f t="shared" si="78"/>
        <v>-3.8410596026490065E-2</v>
      </c>
      <c r="N584">
        <f t="shared" si="79"/>
        <v>145</v>
      </c>
    </row>
    <row r="585" spans="1:14">
      <c r="A585" s="1" cm="1">
        <f t="array" ref="A585">INDEX(tblWeeks[Week_Start],INT((ROW()-2)/20)+1)</f>
        <v>46230</v>
      </c>
      <c r="B585" t="str" cm="1">
        <f t="array" ref="B585">INDEX(tblDemandAssumptions[Customer_ID],MOD(ROW()-2,20)+1)</f>
        <v>C001</v>
      </c>
      <c r="C585" t="str" cm="1">
        <f t="array" ref="C585">INDEX(tblDemandAssumptions[Product_ID],MOD(ROW()-2,20)+1)</f>
        <v>P004</v>
      </c>
      <c r="D585" cm="1">
        <f t="array" ref="D585">INDEX(tblDemandAssumptions[Baseline_Weekly_Qty],MOD(ROW()-2,20)+1)</f>
        <v>3600</v>
      </c>
      <c r="E585">
        <f t="shared" si="72"/>
        <v>1.1000000000000001</v>
      </c>
      <c r="F585">
        <v>0.95</v>
      </c>
      <c r="G585">
        <f t="shared" si="73"/>
        <v>3762</v>
      </c>
      <c r="H585">
        <v>1.01</v>
      </c>
      <c r="I585">
        <f t="shared" si="74"/>
        <v>4000</v>
      </c>
      <c r="J585" t="str">
        <f t="shared" si="75"/>
        <v>Normal</v>
      </c>
      <c r="K585">
        <f t="shared" si="76"/>
        <v>3762</v>
      </c>
      <c r="L585">
        <f t="shared" si="77"/>
        <v>-238</v>
      </c>
      <c r="M585" s="2">
        <f t="shared" si="78"/>
        <v>-5.9499999999999997E-2</v>
      </c>
      <c r="N585">
        <f t="shared" si="79"/>
        <v>238</v>
      </c>
    </row>
    <row r="586" spans="1:14">
      <c r="A586" s="1" cm="1">
        <f t="array" ref="A586">INDEX(tblWeeks[Week_Start],INT((ROW()-2)/20)+1)</f>
        <v>46230</v>
      </c>
      <c r="B586" t="str" cm="1">
        <f t="array" ref="B586">INDEX(tblDemandAssumptions[Customer_ID],MOD(ROW()-2,20)+1)</f>
        <v>C001</v>
      </c>
      <c r="C586" t="str" cm="1">
        <f t="array" ref="C586">INDEX(tblDemandAssumptions[Product_ID],MOD(ROW()-2,20)+1)</f>
        <v>P005</v>
      </c>
      <c r="D586" cm="1">
        <f t="array" ref="D586">INDEX(tblDemandAssumptions[Baseline_Weekly_Qty],MOD(ROW()-2,20)+1)</f>
        <v>2800</v>
      </c>
      <c r="E586">
        <f t="shared" si="72"/>
        <v>1.1000000000000001</v>
      </c>
      <c r="F586">
        <v>1.05</v>
      </c>
      <c r="G586">
        <f t="shared" si="73"/>
        <v>3234</v>
      </c>
      <c r="H586">
        <v>1.04</v>
      </c>
      <c r="I586">
        <f t="shared" si="74"/>
        <v>3203</v>
      </c>
      <c r="J586" t="str">
        <f t="shared" si="75"/>
        <v>Normal</v>
      </c>
      <c r="K586">
        <f t="shared" si="76"/>
        <v>3234</v>
      </c>
      <c r="L586">
        <f t="shared" si="77"/>
        <v>31</v>
      </c>
      <c r="M586" s="2">
        <f t="shared" si="78"/>
        <v>9.6784264751795194E-3</v>
      </c>
      <c r="N586">
        <f t="shared" si="79"/>
        <v>31</v>
      </c>
    </row>
    <row r="587" spans="1:14">
      <c r="A587" s="1" cm="1">
        <f t="array" ref="A587">INDEX(tblWeeks[Week_Start],INT((ROW()-2)/20)+1)</f>
        <v>46230</v>
      </c>
      <c r="B587" t="str" cm="1">
        <f t="array" ref="B587">INDEX(tblDemandAssumptions[Customer_ID],MOD(ROW()-2,20)+1)</f>
        <v>C002</v>
      </c>
      <c r="C587" t="str" cm="1">
        <f t="array" ref="C587">INDEX(tblDemandAssumptions[Product_ID],MOD(ROW()-2,20)+1)</f>
        <v>P001</v>
      </c>
      <c r="D587" cm="1">
        <f t="array" ref="D587">INDEX(tblDemandAssumptions[Baseline_Weekly_Qty],MOD(ROW()-2,20)+1)</f>
        <v>3400</v>
      </c>
      <c r="E587">
        <f t="shared" si="72"/>
        <v>1.1000000000000001</v>
      </c>
      <c r="F587">
        <v>1.04</v>
      </c>
      <c r="G587">
        <f t="shared" si="73"/>
        <v>3890</v>
      </c>
      <c r="H587">
        <v>1.03</v>
      </c>
      <c r="I587">
        <f t="shared" si="74"/>
        <v>3852</v>
      </c>
      <c r="J587" t="str">
        <f t="shared" si="75"/>
        <v>Normal</v>
      </c>
      <c r="K587">
        <f t="shared" si="76"/>
        <v>3890</v>
      </c>
      <c r="L587">
        <f t="shared" si="77"/>
        <v>38</v>
      </c>
      <c r="M587" s="2">
        <f t="shared" si="78"/>
        <v>9.8650051921079958E-3</v>
      </c>
      <c r="N587">
        <f t="shared" si="79"/>
        <v>38</v>
      </c>
    </row>
    <row r="588" spans="1:14">
      <c r="A588" s="1" cm="1">
        <f t="array" ref="A588">INDEX(tblWeeks[Week_Start],INT((ROW()-2)/20)+1)</f>
        <v>46230</v>
      </c>
      <c r="B588" t="str" cm="1">
        <f t="array" ref="B588">INDEX(tblDemandAssumptions[Customer_ID],MOD(ROW()-2,20)+1)</f>
        <v>C002</v>
      </c>
      <c r="C588" t="str" cm="1">
        <f t="array" ref="C588">INDEX(tblDemandAssumptions[Product_ID],MOD(ROW()-2,20)+1)</f>
        <v>P002</v>
      </c>
      <c r="D588" cm="1">
        <f t="array" ref="D588">INDEX(tblDemandAssumptions[Baseline_Weekly_Qty],MOD(ROW()-2,20)+1)</f>
        <v>3200</v>
      </c>
      <c r="E588">
        <f t="shared" si="72"/>
        <v>1.1000000000000001</v>
      </c>
      <c r="F588">
        <v>1.01</v>
      </c>
      <c r="G588">
        <f t="shared" si="73"/>
        <v>3555</v>
      </c>
      <c r="H588">
        <v>0.98</v>
      </c>
      <c r="I588">
        <f t="shared" si="74"/>
        <v>3450</v>
      </c>
      <c r="J588" t="str">
        <f t="shared" si="75"/>
        <v>Normal</v>
      </c>
      <c r="K588">
        <f t="shared" si="76"/>
        <v>3555</v>
      </c>
      <c r="L588">
        <f t="shared" si="77"/>
        <v>105</v>
      </c>
      <c r="M588" s="2">
        <f t="shared" si="78"/>
        <v>3.0434782608695653E-2</v>
      </c>
      <c r="N588">
        <f t="shared" si="79"/>
        <v>105</v>
      </c>
    </row>
    <row r="589" spans="1:14">
      <c r="A589" s="1" cm="1">
        <f t="array" ref="A589">INDEX(tblWeeks[Week_Start],INT((ROW()-2)/20)+1)</f>
        <v>46230</v>
      </c>
      <c r="B589" t="str" cm="1">
        <f t="array" ref="B589">INDEX(tblDemandAssumptions[Customer_ID],MOD(ROW()-2,20)+1)</f>
        <v>C002</v>
      </c>
      <c r="C589" t="str" cm="1">
        <f t="array" ref="C589">INDEX(tblDemandAssumptions[Product_ID],MOD(ROW()-2,20)+1)</f>
        <v>P003</v>
      </c>
      <c r="D589" cm="1">
        <f t="array" ref="D589">INDEX(tblDemandAssumptions[Baseline_Weekly_Qty],MOD(ROW()-2,20)+1)</f>
        <v>2600</v>
      </c>
      <c r="E589">
        <f t="shared" si="72"/>
        <v>1.1000000000000001</v>
      </c>
      <c r="F589">
        <v>0.98</v>
      </c>
      <c r="G589">
        <f t="shared" si="73"/>
        <v>2803</v>
      </c>
      <c r="H589">
        <v>1.02</v>
      </c>
      <c r="I589">
        <f t="shared" si="74"/>
        <v>2917</v>
      </c>
      <c r="J589" t="str">
        <f t="shared" si="75"/>
        <v>Normal</v>
      </c>
      <c r="K589">
        <f t="shared" si="76"/>
        <v>2803</v>
      </c>
      <c r="L589">
        <f t="shared" si="77"/>
        <v>-114</v>
      </c>
      <c r="M589" s="2">
        <f t="shared" si="78"/>
        <v>-3.908124785738773E-2</v>
      </c>
      <c r="N589">
        <f t="shared" si="79"/>
        <v>114</v>
      </c>
    </row>
    <row r="590" spans="1:14">
      <c r="A590" s="1" cm="1">
        <f t="array" ref="A590">INDEX(tblWeeks[Week_Start],INT((ROW()-2)/20)+1)</f>
        <v>46230</v>
      </c>
      <c r="B590" t="str" cm="1">
        <f t="array" ref="B590">INDEX(tblDemandAssumptions[Customer_ID],MOD(ROW()-2,20)+1)</f>
        <v>C002</v>
      </c>
      <c r="C590" t="str" cm="1">
        <f t="array" ref="C590">INDEX(tblDemandAssumptions[Product_ID],MOD(ROW()-2,20)+1)</f>
        <v>P004</v>
      </c>
      <c r="D590" cm="1">
        <f t="array" ref="D590">INDEX(tblDemandAssumptions[Baseline_Weekly_Qty],MOD(ROW()-2,20)+1)</f>
        <v>2900</v>
      </c>
      <c r="E590">
        <f t="shared" si="72"/>
        <v>1.1000000000000001</v>
      </c>
      <c r="F590">
        <v>0.95</v>
      </c>
      <c r="G590">
        <f t="shared" si="73"/>
        <v>3031</v>
      </c>
      <c r="H590">
        <v>0.97</v>
      </c>
      <c r="I590">
        <f t="shared" si="74"/>
        <v>3094</v>
      </c>
      <c r="J590" t="str">
        <f t="shared" si="75"/>
        <v>Normal</v>
      </c>
      <c r="K590">
        <f t="shared" si="76"/>
        <v>3031</v>
      </c>
      <c r="L590">
        <f t="shared" si="77"/>
        <v>-63</v>
      </c>
      <c r="M590" s="2">
        <f t="shared" si="78"/>
        <v>-2.0361990950226245E-2</v>
      </c>
      <c r="N590">
        <f t="shared" si="79"/>
        <v>63</v>
      </c>
    </row>
    <row r="591" spans="1:14">
      <c r="A591" s="1" cm="1">
        <f t="array" ref="A591">INDEX(tblWeeks[Week_Start],INT((ROW()-2)/20)+1)</f>
        <v>46230</v>
      </c>
      <c r="B591" t="str" cm="1">
        <f t="array" ref="B591">INDEX(tblDemandAssumptions[Customer_ID],MOD(ROW()-2,20)+1)</f>
        <v>C002</v>
      </c>
      <c r="C591" t="str" cm="1">
        <f t="array" ref="C591">INDEX(tblDemandAssumptions[Product_ID],MOD(ROW()-2,20)+1)</f>
        <v>P005</v>
      </c>
      <c r="D591" cm="1">
        <f t="array" ref="D591">INDEX(tblDemandAssumptions[Baseline_Weekly_Qty],MOD(ROW()-2,20)+1)</f>
        <v>2200</v>
      </c>
      <c r="E591">
        <f t="shared" si="72"/>
        <v>1.1000000000000001</v>
      </c>
      <c r="F591">
        <v>0.96</v>
      </c>
      <c r="G591">
        <f t="shared" si="73"/>
        <v>2323</v>
      </c>
      <c r="H591">
        <v>1.02</v>
      </c>
      <c r="I591">
        <f t="shared" si="74"/>
        <v>2468</v>
      </c>
      <c r="J591" t="str">
        <f t="shared" si="75"/>
        <v>Normal</v>
      </c>
      <c r="K591">
        <f t="shared" si="76"/>
        <v>2323</v>
      </c>
      <c r="L591">
        <f t="shared" si="77"/>
        <v>-145</v>
      </c>
      <c r="M591" s="2">
        <f t="shared" si="78"/>
        <v>-5.8752025931928686E-2</v>
      </c>
      <c r="N591">
        <f t="shared" si="79"/>
        <v>145</v>
      </c>
    </row>
    <row r="592" spans="1:14">
      <c r="A592" s="1" cm="1">
        <f t="array" ref="A592">INDEX(tblWeeks[Week_Start],INT((ROW()-2)/20)+1)</f>
        <v>46230</v>
      </c>
      <c r="B592" t="str" cm="1">
        <f t="array" ref="B592">INDEX(tblDemandAssumptions[Customer_ID],MOD(ROW()-2,20)+1)</f>
        <v>C003</v>
      </c>
      <c r="C592" t="str" cm="1">
        <f t="array" ref="C592">INDEX(tblDemandAssumptions[Product_ID],MOD(ROW()-2,20)+1)</f>
        <v>P001</v>
      </c>
      <c r="D592" cm="1">
        <f t="array" ref="D592">INDEX(tblDemandAssumptions[Baseline_Weekly_Qty],MOD(ROW()-2,20)+1)</f>
        <v>3000</v>
      </c>
      <c r="E592">
        <f t="shared" si="72"/>
        <v>1.1000000000000001</v>
      </c>
      <c r="F592">
        <v>1.01</v>
      </c>
      <c r="G592">
        <f t="shared" si="73"/>
        <v>3333</v>
      </c>
      <c r="H592">
        <v>0.99</v>
      </c>
      <c r="I592">
        <f t="shared" si="74"/>
        <v>3267</v>
      </c>
      <c r="J592" t="str">
        <f t="shared" si="75"/>
        <v>Normal</v>
      </c>
      <c r="K592">
        <f t="shared" si="76"/>
        <v>3333</v>
      </c>
      <c r="L592">
        <f t="shared" si="77"/>
        <v>66</v>
      </c>
      <c r="M592" s="2">
        <f t="shared" si="78"/>
        <v>2.0202020202020204E-2</v>
      </c>
      <c r="N592">
        <f t="shared" si="79"/>
        <v>66</v>
      </c>
    </row>
    <row r="593" spans="1:14">
      <c r="A593" s="1" cm="1">
        <f t="array" ref="A593">INDEX(tblWeeks[Week_Start],INT((ROW()-2)/20)+1)</f>
        <v>46230</v>
      </c>
      <c r="B593" t="str" cm="1">
        <f t="array" ref="B593">INDEX(tblDemandAssumptions[Customer_ID],MOD(ROW()-2,20)+1)</f>
        <v>C003</v>
      </c>
      <c r="C593" t="str" cm="1">
        <f t="array" ref="C593">INDEX(tblDemandAssumptions[Product_ID],MOD(ROW()-2,20)+1)</f>
        <v>P002</v>
      </c>
      <c r="D593" cm="1">
        <f t="array" ref="D593">INDEX(tblDemandAssumptions[Baseline_Weekly_Qty],MOD(ROW()-2,20)+1)</f>
        <v>2700</v>
      </c>
      <c r="E593">
        <f t="shared" si="72"/>
        <v>1.1000000000000001</v>
      </c>
      <c r="F593">
        <v>1.05</v>
      </c>
      <c r="G593">
        <f t="shared" si="73"/>
        <v>3119</v>
      </c>
      <c r="H593">
        <v>0.97</v>
      </c>
      <c r="I593">
        <f t="shared" si="74"/>
        <v>2881</v>
      </c>
      <c r="J593" t="str">
        <f t="shared" si="75"/>
        <v>Normal</v>
      </c>
      <c r="K593">
        <f t="shared" si="76"/>
        <v>3119</v>
      </c>
      <c r="L593">
        <f t="shared" si="77"/>
        <v>238</v>
      </c>
      <c r="M593" s="2">
        <f t="shared" si="78"/>
        <v>8.2610204790003472E-2</v>
      </c>
      <c r="N593">
        <f t="shared" si="79"/>
        <v>238</v>
      </c>
    </row>
    <row r="594" spans="1:14">
      <c r="A594" s="1" cm="1">
        <f t="array" ref="A594">INDEX(tblWeeks[Week_Start],INT((ROW()-2)/20)+1)</f>
        <v>46230</v>
      </c>
      <c r="B594" t="str" cm="1">
        <f t="array" ref="B594">INDEX(tblDemandAssumptions[Customer_ID],MOD(ROW()-2,20)+1)</f>
        <v>C003</v>
      </c>
      <c r="C594" t="str" cm="1">
        <f t="array" ref="C594">INDEX(tblDemandAssumptions[Product_ID],MOD(ROW()-2,20)+1)</f>
        <v>P003</v>
      </c>
      <c r="D594" cm="1">
        <f t="array" ref="D594">INDEX(tblDemandAssumptions[Baseline_Weekly_Qty],MOD(ROW()-2,20)+1)</f>
        <v>2800</v>
      </c>
      <c r="E594">
        <f t="shared" si="72"/>
        <v>1.1000000000000001</v>
      </c>
      <c r="F594">
        <v>1.02</v>
      </c>
      <c r="G594">
        <f t="shared" si="73"/>
        <v>3142</v>
      </c>
      <c r="H594">
        <v>1.04</v>
      </c>
      <c r="I594">
        <f t="shared" si="74"/>
        <v>3203</v>
      </c>
      <c r="J594" t="str">
        <f t="shared" si="75"/>
        <v>Normal</v>
      </c>
      <c r="K594">
        <f t="shared" si="76"/>
        <v>3142</v>
      </c>
      <c r="L594">
        <f t="shared" si="77"/>
        <v>-61</v>
      </c>
      <c r="M594" s="2">
        <f t="shared" si="78"/>
        <v>-1.9044645644708084E-2</v>
      </c>
      <c r="N594">
        <f t="shared" si="79"/>
        <v>61</v>
      </c>
    </row>
    <row r="595" spans="1:14">
      <c r="A595" s="1" cm="1">
        <f t="array" ref="A595">INDEX(tblWeeks[Week_Start],INT((ROW()-2)/20)+1)</f>
        <v>46230</v>
      </c>
      <c r="B595" t="str" cm="1">
        <f t="array" ref="B595">INDEX(tblDemandAssumptions[Customer_ID],MOD(ROW()-2,20)+1)</f>
        <v>C003</v>
      </c>
      <c r="C595" t="str" cm="1">
        <f t="array" ref="C595">INDEX(tblDemandAssumptions[Product_ID],MOD(ROW()-2,20)+1)</f>
        <v>P004</v>
      </c>
      <c r="D595" cm="1">
        <f t="array" ref="D595">INDEX(tblDemandAssumptions[Baseline_Weekly_Qty],MOD(ROW()-2,20)+1)</f>
        <v>2400</v>
      </c>
      <c r="E595">
        <f t="shared" si="72"/>
        <v>1.1000000000000001</v>
      </c>
      <c r="F595">
        <v>1.01</v>
      </c>
      <c r="G595">
        <f t="shared" si="73"/>
        <v>2666</v>
      </c>
      <c r="H595">
        <v>1.01</v>
      </c>
      <c r="I595">
        <f t="shared" si="74"/>
        <v>2666</v>
      </c>
      <c r="J595" t="str">
        <f t="shared" si="75"/>
        <v>Normal</v>
      </c>
      <c r="K595">
        <f t="shared" si="76"/>
        <v>2666</v>
      </c>
      <c r="L595">
        <f t="shared" si="77"/>
        <v>0</v>
      </c>
      <c r="M595" s="2">
        <f t="shared" si="78"/>
        <v>0</v>
      </c>
      <c r="N595">
        <f t="shared" si="79"/>
        <v>0</v>
      </c>
    </row>
    <row r="596" spans="1:14">
      <c r="A596" s="1" cm="1">
        <f t="array" ref="A596">INDEX(tblWeeks[Week_Start],INT((ROW()-2)/20)+1)</f>
        <v>46230</v>
      </c>
      <c r="B596" t="str" cm="1">
        <f t="array" ref="B596">INDEX(tblDemandAssumptions[Customer_ID],MOD(ROW()-2,20)+1)</f>
        <v>C003</v>
      </c>
      <c r="C596" t="str" cm="1">
        <f t="array" ref="C596">INDEX(tblDemandAssumptions[Product_ID],MOD(ROW()-2,20)+1)</f>
        <v>P005</v>
      </c>
      <c r="D596" cm="1">
        <f t="array" ref="D596">INDEX(tblDemandAssumptions[Baseline_Weekly_Qty],MOD(ROW()-2,20)+1)</f>
        <v>1900</v>
      </c>
      <c r="E596">
        <f t="shared" si="72"/>
        <v>1.1000000000000001</v>
      </c>
      <c r="F596">
        <v>0.95</v>
      </c>
      <c r="G596">
        <f t="shared" si="73"/>
        <v>1986</v>
      </c>
      <c r="H596">
        <v>0.96</v>
      </c>
      <c r="I596">
        <f t="shared" si="74"/>
        <v>2006</v>
      </c>
      <c r="J596" t="str">
        <f t="shared" si="75"/>
        <v>Normal</v>
      </c>
      <c r="K596">
        <f t="shared" si="76"/>
        <v>1986</v>
      </c>
      <c r="L596">
        <f t="shared" si="77"/>
        <v>-20</v>
      </c>
      <c r="M596" s="2">
        <f t="shared" si="78"/>
        <v>-9.9700897308075773E-3</v>
      </c>
      <c r="N596">
        <f t="shared" si="79"/>
        <v>20</v>
      </c>
    </row>
    <row r="597" spans="1:14">
      <c r="A597" s="1" cm="1">
        <f t="array" ref="A597">INDEX(tblWeeks[Week_Start],INT((ROW()-2)/20)+1)</f>
        <v>46230</v>
      </c>
      <c r="B597" t="str" cm="1">
        <f t="array" ref="B597">INDEX(tblDemandAssumptions[Customer_ID],MOD(ROW()-2,20)+1)</f>
        <v>C004</v>
      </c>
      <c r="C597" t="str" cm="1">
        <f t="array" ref="C597">INDEX(tblDemandAssumptions[Product_ID],MOD(ROW()-2,20)+1)</f>
        <v>P001</v>
      </c>
      <c r="D597" cm="1">
        <f t="array" ref="D597">INDEX(tblDemandAssumptions[Baseline_Weekly_Qty],MOD(ROW()-2,20)+1)</f>
        <v>2700</v>
      </c>
      <c r="E597">
        <f t="shared" si="72"/>
        <v>1.1000000000000001</v>
      </c>
      <c r="F597">
        <v>1</v>
      </c>
      <c r="G597">
        <f t="shared" si="73"/>
        <v>2970</v>
      </c>
      <c r="H597">
        <v>1.03</v>
      </c>
      <c r="I597">
        <f t="shared" si="74"/>
        <v>3059</v>
      </c>
      <c r="J597" t="str">
        <f t="shared" si="75"/>
        <v>Normal</v>
      </c>
      <c r="K597">
        <f t="shared" si="76"/>
        <v>2970</v>
      </c>
      <c r="L597">
        <f t="shared" si="77"/>
        <v>-89</v>
      </c>
      <c r="M597" s="2">
        <f t="shared" si="78"/>
        <v>-2.9094475318731612E-2</v>
      </c>
      <c r="N597">
        <f t="shared" si="79"/>
        <v>89</v>
      </c>
    </row>
    <row r="598" spans="1:14">
      <c r="A598" s="1" cm="1">
        <f t="array" ref="A598">INDEX(tblWeeks[Week_Start],INT((ROW()-2)/20)+1)</f>
        <v>46230</v>
      </c>
      <c r="B598" t="str" cm="1">
        <f t="array" ref="B598">INDEX(tblDemandAssumptions[Customer_ID],MOD(ROW()-2,20)+1)</f>
        <v>C004</v>
      </c>
      <c r="C598" t="str" cm="1">
        <f t="array" ref="C598">INDEX(tblDemandAssumptions[Product_ID],MOD(ROW()-2,20)+1)</f>
        <v>P002</v>
      </c>
      <c r="D598" cm="1">
        <f t="array" ref="D598">INDEX(tblDemandAssumptions[Baseline_Weekly_Qty],MOD(ROW()-2,20)+1)</f>
        <v>2400</v>
      </c>
      <c r="E598">
        <f t="shared" si="72"/>
        <v>1.1000000000000001</v>
      </c>
      <c r="F598">
        <v>0.95</v>
      </c>
      <c r="G598">
        <f t="shared" si="73"/>
        <v>2508</v>
      </c>
      <c r="H598">
        <v>1</v>
      </c>
      <c r="I598">
        <f t="shared" si="74"/>
        <v>2640</v>
      </c>
      <c r="J598" t="str">
        <f t="shared" si="75"/>
        <v>Normal</v>
      </c>
      <c r="K598">
        <f t="shared" si="76"/>
        <v>2508</v>
      </c>
      <c r="L598">
        <f t="shared" si="77"/>
        <v>-132</v>
      </c>
      <c r="M598" s="2">
        <f t="shared" si="78"/>
        <v>-0.05</v>
      </c>
      <c r="N598">
        <f t="shared" si="79"/>
        <v>132</v>
      </c>
    </row>
    <row r="599" spans="1:14">
      <c r="A599" s="1" cm="1">
        <f t="array" ref="A599">INDEX(tblWeeks[Week_Start],INT((ROW()-2)/20)+1)</f>
        <v>46230</v>
      </c>
      <c r="B599" t="str" cm="1">
        <f t="array" ref="B599">INDEX(tblDemandAssumptions[Customer_ID],MOD(ROW()-2,20)+1)</f>
        <v>C004</v>
      </c>
      <c r="C599" t="str" cm="1">
        <f t="array" ref="C599">INDEX(tblDemandAssumptions[Product_ID],MOD(ROW()-2,20)+1)</f>
        <v>P003</v>
      </c>
      <c r="D599" cm="1">
        <f t="array" ref="D599">INDEX(tblDemandAssumptions[Baseline_Weekly_Qty],MOD(ROW()-2,20)+1)</f>
        <v>2100</v>
      </c>
      <c r="E599">
        <f t="shared" si="72"/>
        <v>1.1000000000000001</v>
      </c>
      <c r="F599">
        <v>1.04</v>
      </c>
      <c r="G599">
        <f t="shared" si="73"/>
        <v>2402</v>
      </c>
      <c r="H599">
        <v>0.97</v>
      </c>
      <c r="I599">
        <f t="shared" si="74"/>
        <v>2241</v>
      </c>
      <c r="J599" t="str">
        <f t="shared" si="75"/>
        <v>Normal</v>
      </c>
      <c r="K599">
        <f t="shared" si="76"/>
        <v>2402</v>
      </c>
      <c r="L599">
        <f t="shared" si="77"/>
        <v>161</v>
      </c>
      <c r="M599" s="2">
        <f t="shared" si="78"/>
        <v>7.1842927264614012E-2</v>
      </c>
      <c r="N599">
        <f t="shared" si="79"/>
        <v>161</v>
      </c>
    </row>
    <row r="600" spans="1:14">
      <c r="A600" s="1" cm="1">
        <f t="array" ref="A600">INDEX(tblWeeks[Week_Start],INT((ROW()-2)/20)+1)</f>
        <v>46230</v>
      </c>
      <c r="B600" t="str" cm="1">
        <f t="array" ref="B600">INDEX(tblDemandAssumptions[Customer_ID],MOD(ROW()-2,20)+1)</f>
        <v>C004</v>
      </c>
      <c r="C600" t="str" cm="1">
        <f t="array" ref="C600">INDEX(tblDemandAssumptions[Product_ID],MOD(ROW()-2,20)+1)</f>
        <v>P004</v>
      </c>
      <c r="D600" cm="1">
        <f t="array" ref="D600">INDEX(tblDemandAssumptions[Baseline_Weekly_Qty],MOD(ROW()-2,20)+1)</f>
        <v>2600</v>
      </c>
      <c r="E600">
        <f t="shared" si="72"/>
        <v>1.1000000000000001</v>
      </c>
      <c r="F600">
        <v>0.98</v>
      </c>
      <c r="G600">
        <f t="shared" si="73"/>
        <v>2803</v>
      </c>
      <c r="H600">
        <v>1.04</v>
      </c>
      <c r="I600">
        <f t="shared" si="74"/>
        <v>2974</v>
      </c>
      <c r="J600" t="str">
        <f t="shared" si="75"/>
        <v>Normal</v>
      </c>
      <c r="K600">
        <f t="shared" si="76"/>
        <v>2803</v>
      </c>
      <c r="L600">
        <f t="shared" si="77"/>
        <v>-171</v>
      </c>
      <c r="M600" s="2">
        <f t="shared" si="78"/>
        <v>-5.7498318762609281E-2</v>
      </c>
      <c r="N600">
        <f t="shared" si="79"/>
        <v>171</v>
      </c>
    </row>
    <row r="601" spans="1:14">
      <c r="A601" s="1" cm="1">
        <f t="array" ref="A601">INDEX(tblWeeks[Week_Start],INT((ROW()-2)/20)+1)</f>
        <v>46230</v>
      </c>
      <c r="B601" t="str" cm="1">
        <f t="array" ref="B601">INDEX(tblDemandAssumptions[Customer_ID],MOD(ROW()-2,20)+1)</f>
        <v>C004</v>
      </c>
      <c r="C601" t="str" cm="1">
        <f t="array" ref="C601">INDEX(tblDemandAssumptions[Product_ID],MOD(ROW()-2,20)+1)</f>
        <v>P005</v>
      </c>
      <c r="D601" cm="1">
        <f t="array" ref="D601">INDEX(tblDemandAssumptions[Baseline_Weekly_Qty],MOD(ROW()-2,20)+1)</f>
        <v>1800</v>
      </c>
      <c r="E601">
        <f t="shared" si="72"/>
        <v>1.1000000000000001</v>
      </c>
      <c r="F601">
        <v>1</v>
      </c>
      <c r="G601">
        <f t="shared" si="73"/>
        <v>1980</v>
      </c>
      <c r="H601">
        <v>1.03</v>
      </c>
      <c r="I601">
        <f t="shared" si="74"/>
        <v>2039</v>
      </c>
      <c r="J601" t="str">
        <f t="shared" si="75"/>
        <v>Normal</v>
      </c>
      <c r="K601">
        <f t="shared" si="76"/>
        <v>1980</v>
      </c>
      <c r="L601">
        <f t="shared" si="77"/>
        <v>-59</v>
      </c>
      <c r="M601" s="2">
        <f t="shared" si="78"/>
        <v>-2.8935752820009809E-2</v>
      </c>
      <c r="N601">
        <f t="shared" si="79"/>
        <v>59</v>
      </c>
    </row>
    <row r="602" spans="1:14">
      <c r="A602" s="1" cm="1">
        <f t="array" ref="A602">INDEX(tblWeeks[Week_Start],INT((ROW()-2)/20)+1)</f>
        <v>46237</v>
      </c>
      <c r="B602" t="str" cm="1">
        <f t="array" ref="B602">INDEX(tblDemandAssumptions[Customer_ID],MOD(ROW()-2,20)+1)</f>
        <v>C001</v>
      </c>
      <c r="C602" t="str" cm="1">
        <f t="array" ref="C602">INDEX(tblDemandAssumptions[Product_ID],MOD(ROW()-2,20)+1)</f>
        <v>P001</v>
      </c>
      <c r="D602" cm="1">
        <f t="array" ref="D602">INDEX(tblDemandAssumptions[Baseline_Weekly_Qty],MOD(ROW()-2,20)+1)</f>
        <v>5200</v>
      </c>
      <c r="E602">
        <f t="shared" si="72"/>
        <v>1.1000000000000001</v>
      </c>
      <c r="F602">
        <v>0.98</v>
      </c>
      <c r="G602">
        <f t="shared" si="73"/>
        <v>5606</v>
      </c>
      <c r="H602">
        <v>1.02</v>
      </c>
      <c r="I602">
        <f t="shared" si="74"/>
        <v>5834</v>
      </c>
      <c r="J602" t="str">
        <f t="shared" si="75"/>
        <v>Normal</v>
      </c>
      <c r="K602">
        <f t="shared" si="76"/>
        <v>5606</v>
      </c>
      <c r="L602">
        <f t="shared" si="77"/>
        <v>-228</v>
      </c>
      <c r="M602" s="2">
        <f t="shared" si="78"/>
        <v>-3.908124785738773E-2</v>
      </c>
      <c r="N602">
        <f t="shared" si="79"/>
        <v>228</v>
      </c>
    </row>
    <row r="603" spans="1:14">
      <c r="A603" s="1" cm="1">
        <f t="array" ref="A603">INDEX(tblWeeks[Week_Start],INT((ROW()-2)/20)+1)</f>
        <v>46237</v>
      </c>
      <c r="B603" t="str" cm="1">
        <f t="array" ref="B603">INDEX(tblDemandAssumptions[Customer_ID],MOD(ROW()-2,20)+1)</f>
        <v>C001</v>
      </c>
      <c r="C603" t="str" cm="1">
        <f t="array" ref="C603">INDEX(tblDemandAssumptions[Product_ID],MOD(ROW()-2,20)+1)</f>
        <v>P002</v>
      </c>
      <c r="D603" cm="1">
        <f t="array" ref="D603">INDEX(tblDemandAssumptions[Baseline_Weekly_Qty],MOD(ROW()-2,20)+1)</f>
        <v>4100</v>
      </c>
      <c r="E603">
        <f t="shared" si="72"/>
        <v>1.1000000000000001</v>
      </c>
      <c r="F603">
        <v>0.98</v>
      </c>
      <c r="G603">
        <f t="shared" si="73"/>
        <v>4420</v>
      </c>
      <c r="H603">
        <v>1.03</v>
      </c>
      <c r="I603">
        <f t="shared" si="74"/>
        <v>4645</v>
      </c>
      <c r="J603" t="str">
        <f t="shared" si="75"/>
        <v>Normal</v>
      </c>
      <c r="K603">
        <f t="shared" si="76"/>
        <v>4420</v>
      </c>
      <c r="L603">
        <f t="shared" si="77"/>
        <v>-225</v>
      </c>
      <c r="M603" s="2">
        <f t="shared" si="78"/>
        <v>-4.843918191603875E-2</v>
      </c>
      <c r="N603">
        <f t="shared" si="79"/>
        <v>225</v>
      </c>
    </row>
    <row r="604" spans="1:14">
      <c r="A604" s="1" cm="1">
        <f t="array" ref="A604">INDEX(tblWeeks[Week_Start],INT((ROW()-2)/20)+1)</f>
        <v>46237</v>
      </c>
      <c r="B604" t="str" cm="1">
        <f t="array" ref="B604">INDEX(tblDemandAssumptions[Customer_ID],MOD(ROW()-2,20)+1)</f>
        <v>C001</v>
      </c>
      <c r="C604" t="str" cm="1">
        <f t="array" ref="C604">INDEX(tblDemandAssumptions[Product_ID],MOD(ROW()-2,20)+1)</f>
        <v>P003</v>
      </c>
      <c r="D604" cm="1">
        <f t="array" ref="D604">INDEX(tblDemandAssumptions[Baseline_Weekly_Qty],MOD(ROW()-2,20)+1)</f>
        <v>3300</v>
      </c>
      <c r="E604">
        <f t="shared" si="72"/>
        <v>1.1000000000000001</v>
      </c>
      <c r="F604">
        <v>0.98</v>
      </c>
      <c r="G604">
        <f t="shared" si="73"/>
        <v>3557</v>
      </c>
      <c r="H604">
        <v>0.99</v>
      </c>
      <c r="I604">
        <f t="shared" si="74"/>
        <v>3594</v>
      </c>
      <c r="J604" t="str">
        <f t="shared" si="75"/>
        <v>Normal</v>
      </c>
      <c r="K604">
        <f t="shared" si="76"/>
        <v>3557</v>
      </c>
      <c r="L604">
        <f t="shared" si="77"/>
        <v>-37</v>
      </c>
      <c r="M604" s="2">
        <f t="shared" si="78"/>
        <v>-1.0294936004451864E-2</v>
      </c>
      <c r="N604">
        <f t="shared" si="79"/>
        <v>37</v>
      </c>
    </row>
    <row r="605" spans="1:14">
      <c r="A605" s="1" cm="1">
        <f t="array" ref="A605">INDEX(tblWeeks[Week_Start],INT((ROW()-2)/20)+1)</f>
        <v>46237</v>
      </c>
      <c r="B605" t="str" cm="1">
        <f t="array" ref="B605">INDEX(tblDemandAssumptions[Customer_ID],MOD(ROW()-2,20)+1)</f>
        <v>C001</v>
      </c>
      <c r="C605" t="str" cm="1">
        <f t="array" ref="C605">INDEX(tblDemandAssumptions[Product_ID],MOD(ROW()-2,20)+1)</f>
        <v>P004</v>
      </c>
      <c r="D605" cm="1">
        <f t="array" ref="D605">INDEX(tblDemandAssumptions[Baseline_Weekly_Qty],MOD(ROW()-2,20)+1)</f>
        <v>3600</v>
      </c>
      <c r="E605">
        <f t="shared" si="72"/>
        <v>1.1000000000000001</v>
      </c>
      <c r="F605">
        <v>1</v>
      </c>
      <c r="G605">
        <f t="shared" si="73"/>
        <v>3960</v>
      </c>
      <c r="H605">
        <v>1.02</v>
      </c>
      <c r="I605">
        <f t="shared" si="74"/>
        <v>4039</v>
      </c>
      <c r="J605" t="str">
        <f t="shared" si="75"/>
        <v>Normal</v>
      </c>
      <c r="K605">
        <f t="shared" si="76"/>
        <v>3960</v>
      </c>
      <c r="L605">
        <f t="shared" si="77"/>
        <v>-79</v>
      </c>
      <c r="M605" s="2">
        <f t="shared" si="78"/>
        <v>-1.955929685565734E-2</v>
      </c>
      <c r="N605">
        <f t="shared" si="79"/>
        <v>79</v>
      </c>
    </row>
    <row r="606" spans="1:14">
      <c r="A606" s="1" cm="1">
        <f t="array" ref="A606">INDEX(tblWeeks[Week_Start],INT((ROW()-2)/20)+1)</f>
        <v>46237</v>
      </c>
      <c r="B606" t="str" cm="1">
        <f t="array" ref="B606">INDEX(tblDemandAssumptions[Customer_ID],MOD(ROW()-2,20)+1)</f>
        <v>C001</v>
      </c>
      <c r="C606" t="str" cm="1">
        <f t="array" ref="C606">INDEX(tblDemandAssumptions[Product_ID],MOD(ROW()-2,20)+1)</f>
        <v>P005</v>
      </c>
      <c r="D606" cm="1">
        <f t="array" ref="D606">INDEX(tblDemandAssumptions[Baseline_Weekly_Qty],MOD(ROW()-2,20)+1)</f>
        <v>2800</v>
      </c>
      <c r="E606">
        <f t="shared" si="72"/>
        <v>1.1000000000000001</v>
      </c>
      <c r="F606">
        <v>0.97</v>
      </c>
      <c r="G606">
        <f t="shared" si="73"/>
        <v>2988</v>
      </c>
      <c r="H606">
        <v>1.01</v>
      </c>
      <c r="I606">
        <f t="shared" si="74"/>
        <v>3111</v>
      </c>
      <c r="J606" t="str">
        <f t="shared" si="75"/>
        <v>Normal</v>
      </c>
      <c r="K606">
        <f t="shared" si="76"/>
        <v>2988</v>
      </c>
      <c r="L606">
        <f t="shared" si="77"/>
        <v>-123</v>
      </c>
      <c r="M606" s="2">
        <f t="shared" si="78"/>
        <v>-3.9537126325940211E-2</v>
      </c>
      <c r="N606">
        <f t="shared" si="79"/>
        <v>123</v>
      </c>
    </row>
    <row r="607" spans="1:14">
      <c r="A607" s="1" cm="1">
        <f t="array" ref="A607">INDEX(tblWeeks[Week_Start],INT((ROW()-2)/20)+1)</f>
        <v>46237</v>
      </c>
      <c r="B607" t="str" cm="1">
        <f t="array" ref="B607">INDEX(tblDemandAssumptions[Customer_ID],MOD(ROW()-2,20)+1)</f>
        <v>C002</v>
      </c>
      <c r="C607" t="str" cm="1">
        <f t="array" ref="C607">INDEX(tblDemandAssumptions[Product_ID],MOD(ROW()-2,20)+1)</f>
        <v>P001</v>
      </c>
      <c r="D607" cm="1">
        <f t="array" ref="D607">INDEX(tblDemandAssumptions[Baseline_Weekly_Qty],MOD(ROW()-2,20)+1)</f>
        <v>3400</v>
      </c>
      <c r="E607">
        <f t="shared" si="72"/>
        <v>1.1000000000000001</v>
      </c>
      <c r="F607">
        <v>0.99</v>
      </c>
      <c r="G607">
        <f t="shared" si="73"/>
        <v>3703</v>
      </c>
      <c r="H607">
        <v>0.96</v>
      </c>
      <c r="I607">
        <f t="shared" si="74"/>
        <v>3590</v>
      </c>
      <c r="J607" t="str">
        <f t="shared" si="75"/>
        <v>Normal</v>
      </c>
      <c r="K607">
        <f t="shared" si="76"/>
        <v>3703</v>
      </c>
      <c r="L607">
        <f t="shared" si="77"/>
        <v>113</v>
      </c>
      <c r="M607" s="2">
        <f t="shared" si="78"/>
        <v>3.1476323119777161E-2</v>
      </c>
      <c r="N607">
        <f t="shared" si="79"/>
        <v>113</v>
      </c>
    </row>
    <row r="608" spans="1:14">
      <c r="A608" s="1" cm="1">
        <f t="array" ref="A608">INDEX(tblWeeks[Week_Start],INT((ROW()-2)/20)+1)</f>
        <v>46237</v>
      </c>
      <c r="B608" t="str" cm="1">
        <f t="array" ref="B608">INDEX(tblDemandAssumptions[Customer_ID],MOD(ROW()-2,20)+1)</f>
        <v>C002</v>
      </c>
      <c r="C608" t="str" cm="1">
        <f t="array" ref="C608">INDEX(tblDemandAssumptions[Product_ID],MOD(ROW()-2,20)+1)</f>
        <v>P002</v>
      </c>
      <c r="D608" cm="1">
        <f t="array" ref="D608">INDEX(tblDemandAssumptions[Baseline_Weekly_Qty],MOD(ROW()-2,20)+1)</f>
        <v>3200</v>
      </c>
      <c r="E608">
        <f t="shared" si="72"/>
        <v>1.1000000000000001</v>
      </c>
      <c r="F608">
        <v>1</v>
      </c>
      <c r="G608">
        <f t="shared" si="73"/>
        <v>3520</v>
      </c>
      <c r="H608">
        <v>0.97</v>
      </c>
      <c r="I608">
        <f t="shared" si="74"/>
        <v>3414</v>
      </c>
      <c r="J608" t="str">
        <f t="shared" si="75"/>
        <v>Normal</v>
      </c>
      <c r="K608">
        <f t="shared" si="76"/>
        <v>3520</v>
      </c>
      <c r="L608">
        <f t="shared" si="77"/>
        <v>106</v>
      </c>
      <c r="M608" s="2">
        <f t="shared" si="78"/>
        <v>3.1048623315758642E-2</v>
      </c>
      <c r="N608">
        <f t="shared" si="79"/>
        <v>106</v>
      </c>
    </row>
    <row r="609" spans="1:14">
      <c r="A609" s="1" cm="1">
        <f t="array" ref="A609">INDEX(tblWeeks[Week_Start],INT((ROW()-2)/20)+1)</f>
        <v>46237</v>
      </c>
      <c r="B609" t="str" cm="1">
        <f t="array" ref="B609">INDEX(tblDemandAssumptions[Customer_ID],MOD(ROW()-2,20)+1)</f>
        <v>C002</v>
      </c>
      <c r="C609" t="str" cm="1">
        <f t="array" ref="C609">INDEX(tblDemandAssumptions[Product_ID],MOD(ROW()-2,20)+1)</f>
        <v>P003</v>
      </c>
      <c r="D609" cm="1">
        <f t="array" ref="D609">INDEX(tblDemandAssumptions[Baseline_Weekly_Qty],MOD(ROW()-2,20)+1)</f>
        <v>2600</v>
      </c>
      <c r="E609">
        <f t="shared" si="72"/>
        <v>1.1000000000000001</v>
      </c>
      <c r="F609">
        <v>0.99</v>
      </c>
      <c r="G609">
        <f t="shared" si="73"/>
        <v>2831</v>
      </c>
      <c r="H609">
        <v>1.03</v>
      </c>
      <c r="I609">
        <f t="shared" si="74"/>
        <v>2946</v>
      </c>
      <c r="J609" t="str">
        <f t="shared" si="75"/>
        <v>Normal</v>
      </c>
      <c r="K609">
        <f t="shared" si="76"/>
        <v>2831</v>
      </c>
      <c r="L609">
        <f t="shared" si="77"/>
        <v>-115</v>
      </c>
      <c r="M609" s="2">
        <f t="shared" si="78"/>
        <v>-3.9035980991174474E-2</v>
      </c>
      <c r="N609">
        <f t="shared" si="79"/>
        <v>115</v>
      </c>
    </row>
    <row r="610" spans="1:14">
      <c r="A610" s="1" cm="1">
        <f t="array" ref="A610">INDEX(tblWeeks[Week_Start],INT((ROW()-2)/20)+1)</f>
        <v>46237</v>
      </c>
      <c r="B610" t="str" cm="1">
        <f t="array" ref="B610">INDEX(tblDemandAssumptions[Customer_ID],MOD(ROW()-2,20)+1)</f>
        <v>C002</v>
      </c>
      <c r="C610" t="str" cm="1">
        <f t="array" ref="C610">INDEX(tblDemandAssumptions[Product_ID],MOD(ROW()-2,20)+1)</f>
        <v>P004</v>
      </c>
      <c r="D610" cm="1">
        <f t="array" ref="D610">INDEX(tblDemandAssumptions[Baseline_Weekly_Qty],MOD(ROW()-2,20)+1)</f>
        <v>2900</v>
      </c>
      <c r="E610">
        <f t="shared" si="72"/>
        <v>1.1000000000000001</v>
      </c>
      <c r="F610">
        <v>1.03</v>
      </c>
      <c r="G610">
        <f t="shared" si="73"/>
        <v>3286</v>
      </c>
      <c r="H610">
        <v>1.03</v>
      </c>
      <c r="I610">
        <f t="shared" si="74"/>
        <v>3286</v>
      </c>
      <c r="J610" t="str">
        <f t="shared" si="75"/>
        <v>Normal</v>
      </c>
      <c r="K610">
        <f t="shared" si="76"/>
        <v>3286</v>
      </c>
      <c r="L610">
        <f t="shared" si="77"/>
        <v>0</v>
      </c>
      <c r="M610" s="2">
        <f t="shared" si="78"/>
        <v>0</v>
      </c>
      <c r="N610">
        <f t="shared" si="79"/>
        <v>0</v>
      </c>
    </row>
    <row r="611" spans="1:14">
      <c r="A611" s="1" cm="1">
        <f t="array" ref="A611">INDEX(tblWeeks[Week_Start],INT((ROW()-2)/20)+1)</f>
        <v>46237</v>
      </c>
      <c r="B611" t="str" cm="1">
        <f t="array" ref="B611">INDEX(tblDemandAssumptions[Customer_ID],MOD(ROW()-2,20)+1)</f>
        <v>C002</v>
      </c>
      <c r="C611" t="str" cm="1">
        <f t="array" ref="C611">INDEX(tblDemandAssumptions[Product_ID],MOD(ROW()-2,20)+1)</f>
        <v>P005</v>
      </c>
      <c r="D611" cm="1">
        <f t="array" ref="D611">INDEX(tblDemandAssumptions[Baseline_Weekly_Qty],MOD(ROW()-2,20)+1)</f>
        <v>2200</v>
      </c>
      <c r="E611">
        <f t="shared" si="72"/>
        <v>1.1000000000000001</v>
      </c>
      <c r="F611">
        <v>1</v>
      </c>
      <c r="G611">
        <f t="shared" si="73"/>
        <v>2420</v>
      </c>
      <c r="H611">
        <v>1</v>
      </c>
      <c r="I611">
        <f t="shared" si="74"/>
        <v>2420</v>
      </c>
      <c r="J611" t="str">
        <f t="shared" si="75"/>
        <v>Normal</v>
      </c>
      <c r="K611">
        <f t="shared" si="76"/>
        <v>2420</v>
      </c>
      <c r="L611">
        <f t="shared" si="77"/>
        <v>0</v>
      </c>
      <c r="M611" s="2">
        <f t="shared" si="78"/>
        <v>0</v>
      </c>
      <c r="N611">
        <f t="shared" si="79"/>
        <v>0</v>
      </c>
    </row>
    <row r="612" spans="1:14">
      <c r="A612" s="1" cm="1">
        <f t="array" ref="A612">INDEX(tblWeeks[Week_Start],INT((ROW()-2)/20)+1)</f>
        <v>46237</v>
      </c>
      <c r="B612" t="str" cm="1">
        <f t="array" ref="B612">INDEX(tblDemandAssumptions[Customer_ID],MOD(ROW()-2,20)+1)</f>
        <v>C003</v>
      </c>
      <c r="C612" t="str" cm="1">
        <f t="array" ref="C612">INDEX(tblDemandAssumptions[Product_ID],MOD(ROW()-2,20)+1)</f>
        <v>P001</v>
      </c>
      <c r="D612" cm="1">
        <f t="array" ref="D612">INDEX(tblDemandAssumptions[Baseline_Weekly_Qty],MOD(ROW()-2,20)+1)</f>
        <v>3000</v>
      </c>
      <c r="E612">
        <f t="shared" si="72"/>
        <v>1.1000000000000001</v>
      </c>
      <c r="F612">
        <v>1.05</v>
      </c>
      <c r="G612">
        <f t="shared" si="73"/>
        <v>3465</v>
      </c>
      <c r="H612">
        <v>1</v>
      </c>
      <c r="I612">
        <f t="shared" si="74"/>
        <v>3300</v>
      </c>
      <c r="J612" t="str">
        <f t="shared" si="75"/>
        <v>Normal</v>
      </c>
      <c r="K612">
        <f t="shared" si="76"/>
        <v>3465</v>
      </c>
      <c r="L612">
        <f t="shared" si="77"/>
        <v>165</v>
      </c>
      <c r="M612" s="2">
        <f t="shared" si="78"/>
        <v>0.05</v>
      </c>
      <c r="N612">
        <f t="shared" si="79"/>
        <v>165</v>
      </c>
    </row>
    <row r="613" spans="1:14">
      <c r="A613" s="1" cm="1">
        <f t="array" ref="A613">INDEX(tblWeeks[Week_Start],INT((ROW()-2)/20)+1)</f>
        <v>46237</v>
      </c>
      <c r="B613" t="str" cm="1">
        <f t="array" ref="B613">INDEX(tblDemandAssumptions[Customer_ID],MOD(ROW()-2,20)+1)</f>
        <v>C003</v>
      </c>
      <c r="C613" t="str" cm="1">
        <f t="array" ref="C613">INDEX(tblDemandAssumptions[Product_ID],MOD(ROW()-2,20)+1)</f>
        <v>P002</v>
      </c>
      <c r="D613" cm="1">
        <f t="array" ref="D613">INDEX(tblDemandAssumptions[Baseline_Weekly_Qty],MOD(ROW()-2,20)+1)</f>
        <v>2700</v>
      </c>
      <c r="E613">
        <f t="shared" si="72"/>
        <v>1.1000000000000001</v>
      </c>
      <c r="F613">
        <v>1.01</v>
      </c>
      <c r="G613">
        <f t="shared" si="73"/>
        <v>3000</v>
      </c>
      <c r="H613">
        <v>1.01</v>
      </c>
      <c r="I613">
        <f t="shared" si="74"/>
        <v>3000</v>
      </c>
      <c r="J613" t="str">
        <f t="shared" si="75"/>
        <v>Normal</v>
      </c>
      <c r="K613">
        <f t="shared" si="76"/>
        <v>3000</v>
      </c>
      <c r="L613">
        <f t="shared" si="77"/>
        <v>0</v>
      </c>
      <c r="M613" s="2">
        <f t="shared" si="78"/>
        <v>0</v>
      </c>
      <c r="N613">
        <f t="shared" si="79"/>
        <v>0</v>
      </c>
    </row>
    <row r="614" spans="1:14">
      <c r="A614" s="1" cm="1">
        <f t="array" ref="A614">INDEX(tblWeeks[Week_Start],INT((ROW()-2)/20)+1)</f>
        <v>46237</v>
      </c>
      <c r="B614" t="str" cm="1">
        <f t="array" ref="B614">INDEX(tblDemandAssumptions[Customer_ID],MOD(ROW()-2,20)+1)</f>
        <v>C003</v>
      </c>
      <c r="C614" t="str" cm="1">
        <f t="array" ref="C614">INDEX(tblDemandAssumptions[Product_ID],MOD(ROW()-2,20)+1)</f>
        <v>P003</v>
      </c>
      <c r="D614" cm="1">
        <f t="array" ref="D614">INDEX(tblDemandAssumptions[Baseline_Weekly_Qty],MOD(ROW()-2,20)+1)</f>
        <v>2800</v>
      </c>
      <c r="E614">
        <f t="shared" si="72"/>
        <v>1.1000000000000001</v>
      </c>
      <c r="F614">
        <v>1.04</v>
      </c>
      <c r="G614">
        <f t="shared" si="73"/>
        <v>3203</v>
      </c>
      <c r="H614">
        <v>0.97</v>
      </c>
      <c r="I614">
        <f t="shared" si="74"/>
        <v>2988</v>
      </c>
      <c r="J614" t="str">
        <f t="shared" si="75"/>
        <v>Normal</v>
      </c>
      <c r="K614">
        <f t="shared" si="76"/>
        <v>3203</v>
      </c>
      <c r="L614">
        <f t="shared" si="77"/>
        <v>215</v>
      </c>
      <c r="M614" s="2">
        <f t="shared" si="78"/>
        <v>7.1954484605087021E-2</v>
      </c>
      <c r="N614">
        <f t="shared" si="79"/>
        <v>215</v>
      </c>
    </row>
    <row r="615" spans="1:14">
      <c r="A615" s="1" cm="1">
        <f t="array" ref="A615">INDEX(tblWeeks[Week_Start],INT((ROW()-2)/20)+1)</f>
        <v>46237</v>
      </c>
      <c r="B615" t="str" cm="1">
        <f t="array" ref="B615">INDEX(tblDemandAssumptions[Customer_ID],MOD(ROW()-2,20)+1)</f>
        <v>C003</v>
      </c>
      <c r="C615" t="str" cm="1">
        <f t="array" ref="C615">INDEX(tblDemandAssumptions[Product_ID],MOD(ROW()-2,20)+1)</f>
        <v>P004</v>
      </c>
      <c r="D615" cm="1">
        <f t="array" ref="D615">INDEX(tblDemandAssumptions[Baseline_Weekly_Qty],MOD(ROW()-2,20)+1)</f>
        <v>2400</v>
      </c>
      <c r="E615">
        <f t="shared" si="72"/>
        <v>1.1000000000000001</v>
      </c>
      <c r="F615">
        <v>1.02</v>
      </c>
      <c r="G615">
        <f t="shared" si="73"/>
        <v>2693</v>
      </c>
      <c r="H615">
        <v>1.01</v>
      </c>
      <c r="I615">
        <f t="shared" si="74"/>
        <v>2666</v>
      </c>
      <c r="J615" t="str">
        <f t="shared" si="75"/>
        <v>Normal</v>
      </c>
      <c r="K615">
        <f t="shared" si="76"/>
        <v>2693</v>
      </c>
      <c r="L615">
        <f t="shared" si="77"/>
        <v>27</v>
      </c>
      <c r="M615" s="2">
        <f t="shared" si="78"/>
        <v>1.0127531882970742E-2</v>
      </c>
      <c r="N615">
        <f t="shared" si="79"/>
        <v>27</v>
      </c>
    </row>
    <row r="616" spans="1:14">
      <c r="A616" s="1" cm="1">
        <f t="array" ref="A616">INDEX(tblWeeks[Week_Start],INT((ROW()-2)/20)+1)</f>
        <v>46237</v>
      </c>
      <c r="B616" t="str" cm="1">
        <f t="array" ref="B616">INDEX(tblDemandAssumptions[Customer_ID],MOD(ROW()-2,20)+1)</f>
        <v>C003</v>
      </c>
      <c r="C616" t="str" cm="1">
        <f t="array" ref="C616">INDEX(tblDemandAssumptions[Product_ID],MOD(ROW()-2,20)+1)</f>
        <v>P005</v>
      </c>
      <c r="D616" cm="1">
        <f t="array" ref="D616">INDEX(tblDemandAssumptions[Baseline_Weekly_Qty],MOD(ROW()-2,20)+1)</f>
        <v>1900</v>
      </c>
      <c r="E616">
        <f t="shared" si="72"/>
        <v>1.1000000000000001</v>
      </c>
      <c r="F616">
        <v>1</v>
      </c>
      <c r="G616">
        <f t="shared" si="73"/>
        <v>2090</v>
      </c>
      <c r="H616">
        <v>1.01</v>
      </c>
      <c r="I616">
        <f t="shared" si="74"/>
        <v>2111</v>
      </c>
      <c r="J616" t="str">
        <f t="shared" si="75"/>
        <v>Normal</v>
      </c>
      <c r="K616">
        <f t="shared" si="76"/>
        <v>2090</v>
      </c>
      <c r="L616">
        <f t="shared" si="77"/>
        <v>-21</v>
      </c>
      <c r="M616" s="2">
        <f t="shared" si="78"/>
        <v>-9.9478919943154897E-3</v>
      </c>
      <c r="N616">
        <f t="shared" si="79"/>
        <v>21</v>
      </c>
    </row>
    <row r="617" spans="1:14">
      <c r="A617" s="1" cm="1">
        <f t="array" ref="A617">INDEX(tblWeeks[Week_Start],INT((ROW()-2)/20)+1)</f>
        <v>46237</v>
      </c>
      <c r="B617" t="str" cm="1">
        <f t="array" ref="B617">INDEX(tblDemandAssumptions[Customer_ID],MOD(ROW()-2,20)+1)</f>
        <v>C004</v>
      </c>
      <c r="C617" t="str" cm="1">
        <f t="array" ref="C617">INDEX(tblDemandAssumptions[Product_ID],MOD(ROW()-2,20)+1)</f>
        <v>P001</v>
      </c>
      <c r="D617" cm="1">
        <f t="array" ref="D617">INDEX(tblDemandAssumptions[Baseline_Weekly_Qty],MOD(ROW()-2,20)+1)</f>
        <v>2700</v>
      </c>
      <c r="E617">
        <f t="shared" si="72"/>
        <v>1.1000000000000001</v>
      </c>
      <c r="F617">
        <v>0.98</v>
      </c>
      <c r="G617">
        <f t="shared" si="73"/>
        <v>2911</v>
      </c>
      <c r="H617">
        <v>0.97</v>
      </c>
      <c r="I617">
        <f t="shared" si="74"/>
        <v>2881</v>
      </c>
      <c r="J617" t="str">
        <f t="shared" si="75"/>
        <v>Normal</v>
      </c>
      <c r="K617">
        <f t="shared" si="76"/>
        <v>2911</v>
      </c>
      <c r="L617">
        <f t="shared" si="77"/>
        <v>30</v>
      </c>
      <c r="M617" s="2">
        <f t="shared" si="78"/>
        <v>1.0413051023950017E-2</v>
      </c>
      <c r="N617">
        <f t="shared" si="79"/>
        <v>30</v>
      </c>
    </row>
    <row r="618" spans="1:14">
      <c r="A618" s="1" cm="1">
        <f t="array" ref="A618">INDEX(tblWeeks[Week_Start],INT((ROW()-2)/20)+1)</f>
        <v>46237</v>
      </c>
      <c r="B618" t="str" cm="1">
        <f t="array" ref="B618">INDEX(tblDemandAssumptions[Customer_ID],MOD(ROW()-2,20)+1)</f>
        <v>C004</v>
      </c>
      <c r="C618" t="str" cm="1">
        <f t="array" ref="C618">INDEX(tblDemandAssumptions[Product_ID],MOD(ROW()-2,20)+1)</f>
        <v>P002</v>
      </c>
      <c r="D618" cm="1">
        <f t="array" ref="D618">INDEX(tblDemandAssumptions[Baseline_Weekly_Qty],MOD(ROW()-2,20)+1)</f>
        <v>2400</v>
      </c>
      <c r="E618">
        <f t="shared" si="72"/>
        <v>1.1000000000000001</v>
      </c>
      <c r="F618">
        <v>1.01</v>
      </c>
      <c r="G618">
        <f t="shared" si="73"/>
        <v>2666</v>
      </c>
      <c r="H618">
        <v>1.04</v>
      </c>
      <c r="I618">
        <f t="shared" si="74"/>
        <v>2746</v>
      </c>
      <c r="J618" t="str">
        <f t="shared" si="75"/>
        <v>Normal</v>
      </c>
      <c r="K618">
        <f t="shared" si="76"/>
        <v>2666</v>
      </c>
      <c r="L618">
        <f t="shared" si="77"/>
        <v>-80</v>
      </c>
      <c r="M618" s="2">
        <f t="shared" si="78"/>
        <v>-2.9133284777858703E-2</v>
      </c>
      <c r="N618">
        <f t="shared" si="79"/>
        <v>80</v>
      </c>
    </row>
    <row r="619" spans="1:14">
      <c r="A619" s="1" cm="1">
        <f t="array" ref="A619">INDEX(tblWeeks[Week_Start],INT((ROW()-2)/20)+1)</f>
        <v>46237</v>
      </c>
      <c r="B619" t="str" cm="1">
        <f t="array" ref="B619">INDEX(tblDemandAssumptions[Customer_ID],MOD(ROW()-2,20)+1)</f>
        <v>C004</v>
      </c>
      <c r="C619" t="str" cm="1">
        <f t="array" ref="C619">INDEX(tblDemandAssumptions[Product_ID],MOD(ROW()-2,20)+1)</f>
        <v>P003</v>
      </c>
      <c r="D619" cm="1">
        <f t="array" ref="D619">INDEX(tblDemandAssumptions[Baseline_Weekly_Qty],MOD(ROW()-2,20)+1)</f>
        <v>2100</v>
      </c>
      <c r="E619">
        <f t="shared" si="72"/>
        <v>1.1000000000000001</v>
      </c>
      <c r="F619">
        <v>1.04</v>
      </c>
      <c r="G619">
        <f t="shared" si="73"/>
        <v>2402</v>
      </c>
      <c r="H619">
        <v>1.02</v>
      </c>
      <c r="I619">
        <f t="shared" si="74"/>
        <v>2356</v>
      </c>
      <c r="J619" t="str">
        <f t="shared" si="75"/>
        <v>Normal</v>
      </c>
      <c r="K619">
        <f t="shared" si="76"/>
        <v>2402</v>
      </c>
      <c r="L619">
        <f t="shared" si="77"/>
        <v>46</v>
      </c>
      <c r="M619" s="2">
        <f t="shared" si="78"/>
        <v>1.9524617996604415E-2</v>
      </c>
      <c r="N619">
        <f t="shared" si="79"/>
        <v>46</v>
      </c>
    </row>
    <row r="620" spans="1:14">
      <c r="A620" s="1" cm="1">
        <f t="array" ref="A620">INDEX(tblWeeks[Week_Start],INT((ROW()-2)/20)+1)</f>
        <v>46237</v>
      </c>
      <c r="B620" t="str" cm="1">
        <f t="array" ref="B620">INDEX(tblDemandAssumptions[Customer_ID],MOD(ROW()-2,20)+1)</f>
        <v>C004</v>
      </c>
      <c r="C620" t="str" cm="1">
        <f t="array" ref="C620">INDEX(tblDemandAssumptions[Product_ID],MOD(ROW()-2,20)+1)</f>
        <v>P004</v>
      </c>
      <c r="D620" cm="1">
        <f t="array" ref="D620">INDEX(tblDemandAssumptions[Baseline_Weekly_Qty],MOD(ROW()-2,20)+1)</f>
        <v>2600</v>
      </c>
      <c r="E620">
        <f t="shared" si="72"/>
        <v>1.1000000000000001</v>
      </c>
      <c r="F620">
        <v>0.95</v>
      </c>
      <c r="G620">
        <f t="shared" si="73"/>
        <v>2717</v>
      </c>
      <c r="H620">
        <v>1.04</v>
      </c>
      <c r="I620">
        <f t="shared" si="74"/>
        <v>2974</v>
      </c>
      <c r="J620" t="str">
        <f t="shared" si="75"/>
        <v>Normal</v>
      </c>
      <c r="K620">
        <f t="shared" si="76"/>
        <v>2717</v>
      </c>
      <c r="L620">
        <f t="shared" si="77"/>
        <v>-257</v>
      </c>
      <c r="M620" s="2">
        <f t="shared" si="78"/>
        <v>-8.6415601882985874E-2</v>
      </c>
      <c r="N620">
        <f t="shared" si="79"/>
        <v>257</v>
      </c>
    </row>
    <row r="621" spans="1:14">
      <c r="A621" s="1" cm="1">
        <f t="array" ref="A621">INDEX(tblWeeks[Week_Start],INT((ROW()-2)/20)+1)</f>
        <v>46237</v>
      </c>
      <c r="B621" t="str" cm="1">
        <f t="array" ref="B621">INDEX(tblDemandAssumptions[Customer_ID],MOD(ROW()-2,20)+1)</f>
        <v>C004</v>
      </c>
      <c r="C621" t="str" cm="1">
        <f t="array" ref="C621">INDEX(tblDemandAssumptions[Product_ID],MOD(ROW()-2,20)+1)</f>
        <v>P005</v>
      </c>
      <c r="D621" cm="1">
        <f t="array" ref="D621">INDEX(tblDemandAssumptions[Baseline_Weekly_Qty],MOD(ROW()-2,20)+1)</f>
        <v>1800</v>
      </c>
      <c r="E621">
        <f t="shared" si="72"/>
        <v>1.1000000000000001</v>
      </c>
      <c r="F621">
        <v>1.03</v>
      </c>
      <c r="G621">
        <f t="shared" si="73"/>
        <v>2039</v>
      </c>
      <c r="H621">
        <v>1.04</v>
      </c>
      <c r="I621">
        <f t="shared" si="74"/>
        <v>2059</v>
      </c>
      <c r="J621" t="str">
        <f t="shared" si="75"/>
        <v>Normal</v>
      </c>
      <c r="K621">
        <f t="shared" si="76"/>
        <v>2039</v>
      </c>
      <c r="L621">
        <f t="shared" si="77"/>
        <v>-20</v>
      </c>
      <c r="M621" s="2">
        <f t="shared" si="78"/>
        <v>-9.7134531325886349E-3</v>
      </c>
      <c r="N621">
        <f t="shared" si="79"/>
        <v>20</v>
      </c>
    </row>
    <row r="622" spans="1:14">
      <c r="A622" s="1" cm="1">
        <f t="array" ref="A622">INDEX(tblWeeks[Week_Start],INT((ROW()-2)/20)+1)</f>
        <v>46244</v>
      </c>
      <c r="B622" t="str" cm="1">
        <f t="array" ref="B622">INDEX(tblDemandAssumptions[Customer_ID],MOD(ROW()-2,20)+1)</f>
        <v>C001</v>
      </c>
      <c r="C622" t="str" cm="1">
        <f t="array" ref="C622">INDEX(tblDemandAssumptions[Product_ID],MOD(ROW()-2,20)+1)</f>
        <v>P001</v>
      </c>
      <c r="D622" cm="1">
        <f t="array" ref="D622">INDEX(tblDemandAssumptions[Baseline_Weekly_Qty],MOD(ROW()-2,20)+1)</f>
        <v>5200</v>
      </c>
      <c r="E622">
        <f t="shared" si="72"/>
        <v>1.1000000000000001</v>
      </c>
      <c r="F622">
        <v>1.02</v>
      </c>
      <c r="G622">
        <f t="shared" si="73"/>
        <v>5834</v>
      </c>
      <c r="H622">
        <v>0.97</v>
      </c>
      <c r="I622">
        <f t="shared" si="74"/>
        <v>5548</v>
      </c>
      <c r="J622" t="str">
        <f t="shared" si="75"/>
        <v>Normal</v>
      </c>
      <c r="K622">
        <f t="shared" si="76"/>
        <v>5834</v>
      </c>
      <c r="L622">
        <f t="shared" si="77"/>
        <v>286</v>
      </c>
      <c r="M622" s="2">
        <f t="shared" si="78"/>
        <v>5.1550108147080026E-2</v>
      </c>
      <c r="N622">
        <f t="shared" si="79"/>
        <v>286</v>
      </c>
    </row>
    <row r="623" spans="1:14">
      <c r="A623" s="1" cm="1">
        <f t="array" ref="A623">INDEX(tblWeeks[Week_Start],INT((ROW()-2)/20)+1)</f>
        <v>46244</v>
      </c>
      <c r="B623" t="str" cm="1">
        <f t="array" ref="B623">INDEX(tblDemandAssumptions[Customer_ID],MOD(ROW()-2,20)+1)</f>
        <v>C001</v>
      </c>
      <c r="C623" t="str" cm="1">
        <f t="array" ref="C623">INDEX(tblDemandAssumptions[Product_ID],MOD(ROW()-2,20)+1)</f>
        <v>P002</v>
      </c>
      <c r="D623" cm="1">
        <f t="array" ref="D623">INDEX(tblDemandAssumptions[Baseline_Weekly_Qty],MOD(ROW()-2,20)+1)</f>
        <v>4100</v>
      </c>
      <c r="E623">
        <f t="shared" si="72"/>
        <v>1.1000000000000001</v>
      </c>
      <c r="F623">
        <v>1.02</v>
      </c>
      <c r="G623">
        <f t="shared" si="73"/>
        <v>4600</v>
      </c>
      <c r="H623">
        <v>1.01</v>
      </c>
      <c r="I623">
        <f t="shared" si="74"/>
        <v>4555</v>
      </c>
      <c r="J623" t="str">
        <f t="shared" si="75"/>
        <v>Normal</v>
      </c>
      <c r="K623">
        <f t="shared" si="76"/>
        <v>4600</v>
      </c>
      <c r="L623">
        <f t="shared" si="77"/>
        <v>45</v>
      </c>
      <c r="M623" s="2">
        <f t="shared" si="78"/>
        <v>9.8792535675082324E-3</v>
      </c>
      <c r="N623">
        <f t="shared" si="79"/>
        <v>45</v>
      </c>
    </row>
    <row r="624" spans="1:14">
      <c r="A624" s="1" cm="1">
        <f t="array" ref="A624">INDEX(tblWeeks[Week_Start],INT((ROW()-2)/20)+1)</f>
        <v>46244</v>
      </c>
      <c r="B624" t="str" cm="1">
        <f t="array" ref="B624">INDEX(tblDemandAssumptions[Customer_ID],MOD(ROW()-2,20)+1)</f>
        <v>C001</v>
      </c>
      <c r="C624" t="str" cm="1">
        <f t="array" ref="C624">INDEX(tblDemandAssumptions[Product_ID],MOD(ROW()-2,20)+1)</f>
        <v>P003</v>
      </c>
      <c r="D624" cm="1">
        <f t="array" ref="D624">INDEX(tblDemandAssumptions[Baseline_Weekly_Qty],MOD(ROW()-2,20)+1)</f>
        <v>3300</v>
      </c>
      <c r="E624">
        <f t="shared" si="72"/>
        <v>1.1000000000000001</v>
      </c>
      <c r="F624">
        <v>0.95</v>
      </c>
      <c r="G624">
        <f t="shared" si="73"/>
        <v>3449</v>
      </c>
      <c r="H624">
        <v>1.01</v>
      </c>
      <c r="I624">
        <f t="shared" si="74"/>
        <v>3666</v>
      </c>
      <c r="J624" t="str">
        <f t="shared" si="75"/>
        <v>Normal</v>
      </c>
      <c r="K624">
        <f t="shared" si="76"/>
        <v>3449</v>
      </c>
      <c r="L624">
        <f t="shared" si="77"/>
        <v>-217</v>
      </c>
      <c r="M624" s="2">
        <f t="shared" si="78"/>
        <v>-5.9192580469176213E-2</v>
      </c>
      <c r="N624">
        <f t="shared" si="79"/>
        <v>217</v>
      </c>
    </row>
    <row r="625" spans="1:14">
      <c r="A625" s="1" cm="1">
        <f t="array" ref="A625">INDEX(tblWeeks[Week_Start],INT((ROW()-2)/20)+1)</f>
        <v>46244</v>
      </c>
      <c r="B625" t="str" cm="1">
        <f t="array" ref="B625">INDEX(tblDemandAssumptions[Customer_ID],MOD(ROW()-2,20)+1)</f>
        <v>C001</v>
      </c>
      <c r="C625" t="str" cm="1">
        <f t="array" ref="C625">INDEX(tblDemandAssumptions[Product_ID],MOD(ROW()-2,20)+1)</f>
        <v>P004</v>
      </c>
      <c r="D625" cm="1">
        <f t="array" ref="D625">INDEX(tblDemandAssumptions[Baseline_Weekly_Qty],MOD(ROW()-2,20)+1)</f>
        <v>3600</v>
      </c>
      <c r="E625">
        <f t="shared" si="72"/>
        <v>1.1000000000000001</v>
      </c>
      <c r="F625">
        <v>1.03</v>
      </c>
      <c r="G625">
        <f t="shared" si="73"/>
        <v>4079</v>
      </c>
      <c r="H625">
        <v>1.03</v>
      </c>
      <c r="I625">
        <f t="shared" si="74"/>
        <v>4079</v>
      </c>
      <c r="J625" t="str">
        <f t="shared" si="75"/>
        <v>Normal</v>
      </c>
      <c r="K625">
        <f t="shared" si="76"/>
        <v>4079</v>
      </c>
      <c r="L625">
        <f t="shared" si="77"/>
        <v>0</v>
      </c>
      <c r="M625" s="2">
        <f t="shared" si="78"/>
        <v>0</v>
      </c>
      <c r="N625">
        <f t="shared" si="79"/>
        <v>0</v>
      </c>
    </row>
    <row r="626" spans="1:14">
      <c r="A626" s="1" cm="1">
        <f t="array" ref="A626">INDEX(tblWeeks[Week_Start],INT((ROW()-2)/20)+1)</f>
        <v>46244</v>
      </c>
      <c r="B626" t="str" cm="1">
        <f t="array" ref="B626">INDEX(tblDemandAssumptions[Customer_ID],MOD(ROW()-2,20)+1)</f>
        <v>C001</v>
      </c>
      <c r="C626" t="str" cm="1">
        <f t="array" ref="C626">INDEX(tblDemandAssumptions[Product_ID],MOD(ROW()-2,20)+1)</f>
        <v>P005</v>
      </c>
      <c r="D626" cm="1">
        <f t="array" ref="D626">INDEX(tblDemandAssumptions[Baseline_Weekly_Qty],MOD(ROW()-2,20)+1)</f>
        <v>2800</v>
      </c>
      <c r="E626">
        <f t="shared" si="72"/>
        <v>1.1000000000000001</v>
      </c>
      <c r="F626">
        <v>0.99</v>
      </c>
      <c r="G626">
        <f t="shared" si="73"/>
        <v>3049</v>
      </c>
      <c r="H626">
        <v>0.98</v>
      </c>
      <c r="I626">
        <f t="shared" si="74"/>
        <v>3018</v>
      </c>
      <c r="J626" t="str">
        <f t="shared" si="75"/>
        <v>Normal</v>
      </c>
      <c r="K626">
        <f t="shared" si="76"/>
        <v>3049</v>
      </c>
      <c r="L626">
        <f t="shared" si="77"/>
        <v>31</v>
      </c>
      <c r="M626" s="2">
        <f t="shared" si="78"/>
        <v>1.027170311464546E-2</v>
      </c>
      <c r="N626">
        <f t="shared" si="79"/>
        <v>31</v>
      </c>
    </row>
    <row r="627" spans="1:14">
      <c r="A627" s="1" cm="1">
        <f t="array" ref="A627">INDEX(tblWeeks[Week_Start],INT((ROW()-2)/20)+1)</f>
        <v>46244</v>
      </c>
      <c r="B627" t="str" cm="1">
        <f t="array" ref="B627">INDEX(tblDemandAssumptions[Customer_ID],MOD(ROW()-2,20)+1)</f>
        <v>C002</v>
      </c>
      <c r="C627" t="str" cm="1">
        <f t="array" ref="C627">INDEX(tblDemandAssumptions[Product_ID],MOD(ROW()-2,20)+1)</f>
        <v>P001</v>
      </c>
      <c r="D627" cm="1">
        <f t="array" ref="D627">INDEX(tblDemandAssumptions[Baseline_Weekly_Qty],MOD(ROW()-2,20)+1)</f>
        <v>3400</v>
      </c>
      <c r="E627">
        <f t="shared" si="72"/>
        <v>1.1000000000000001</v>
      </c>
      <c r="F627">
        <v>1</v>
      </c>
      <c r="G627">
        <f t="shared" si="73"/>
        <v>3740</v>
      </c>
      <c r="H627">
        <v>1.01</v>
      </c>
      <c r="I627">
        <f t="shared" si="74"/>
        <v>3777</v>
      </c>
      <c r="J627" t="str">
        <f t="shared" si="75"/>
        <v>Normal</v>
      </c>
      <c r="K627">
        <f t="shared" si="76"/>
        <v>3740</v>
      </c>
      <c r="L627">
        <f t="shared" si="77"/>
        <v>-37</v>
      </c>
      <c r="M627" s="2">
        <f t="shared" si="78"/>
        <v>-9.7961344982790566E-3</v>
      </c>
      <c r="N627">
        <f t="shared" si="79"/>
        <v>37</v>
      </c>
    </row>
    <row r="628" spans="1:14">
      <c r="A628" s="1" cm="1">
        <f t="array" ref="A628">INDEX(tblWeeks[Week_Start],INT((ROW()-2)/20)+1)</f>
        <v>46244</v>
      </c>
      <c r="B628" t="str" cm="1">
        <f t="array" ref="B628">INDEX(tblDemandAssumptions[Customer_ID],MOD(ROW()-2,20)+1)</f>
        <v>C002</v>
      </c>
      <c r="C628" t="str" cm="1">
        <f t="array" ref="C628">INDEX(tblDemandAssumptions[Product_ID],MOD(ROW()-2,20)+1)</f>
        <v>P002</v>
      </c>
      <c r="D628" cm="1">
        <f t="array" ref="D628">INDEX(tblDemandAssumptions[Baseline_Weekly_Qty],MOD(ROW()-2,20)+1)</f>
        <v>3200</v>
      </c>
      <c r="E628">
        <f t="shared" si="72"/>
        <v>1.1000000000000001</v>
      </c>
      <c r="F628">
        <v>0.96</v>
      </c>
      <c r="G628">
        <f t="shared" si="73"/>
        <v>3379</v>
      </c>
      <c r="H628">
        <v>1.03</v>
      </c>
      <c r="I628">
        <f t="shared" si="74"/>
        <v>3626</v>
      </c>
      <c r="J628" t="str">
        <f t="shared" si="75"/>
        <v>Normal</v>
      </c>
      <c r="K628">
        <f t="shared" si="76"/>
        <v>3379</v>
      </c>
      <c r="L628">
        <f t="shared" si="77"/>
        <v>-247</v>
      </c>
      <c r="M628" s="2">
        <f t="shared" si="78"/>
        <v>-6.8119139547710983E-2</v>
      </c>
      <c r="N628">
        <f t="shared" si="79"/>
        <v>247</v>
      </c>
    </row>
    <row r="629" spans="1:14">
      <c r="A629" s="1" cm="1">
        <f t="array" ref="A629">INDEX(tblWeeks[Week_Start],INT((ROW()-2)/20)+1)</f>
        <v>46244</v>
      </c>
      <c r="B629" t="str" cm="1">
        <f t="array" ref="B629">INDEX(tblDemandAssumptions[Customer_ID],MOD(ROW()-2,20)+1)</f>
        <v>C002</v>
      </c>
      <c r="C629" t="str" cm="1">
        <f t="array" ref="C629">INDEX(tblDemandAssumptions[Product_ID],MOD(ROW()-2,20)+1)</f>
        <v>P003</v>
      </c>
      <c r="D629" cm="1">
        <f t="array" ref="D629">INDEX(tblDemandAssumptions[Baseline_Weekly_Qty],MOD(ROW()-2,20)+1)</f>
        <v>2600</v>
      </c>
      <c r="E629">
        <f t="shared" si="72"/>
        <v>1.1000000000000001</v>
      </c>
      <c r="F629">
        <v>1</v>
      </c>
      <c r="G629">
        <f t="shared" si="73"/>
        <v>2860</v>
      </c>
      <c r="H629">
        <v>1.03</v>
      </c>
      <c r="I629">
        <f t="shared" si="74"/>
        <v>2946</v>
      </c>
      <c r="J629" t="str">
        <f t="shared" si="75"/>
        <v>Normal</v>
      </c>
      <c r="K629">
        <f t="shared" si="76"/>
        <v>2860</v>
      </c>
      <c r="L629">
        <f t="shared" si="77"/>
        <v>-86</v>
      </c>
      <c r="M629" s="2">
        <f t="shared" si="78"/>
        <v>-2.9192124915139173E-2</v>
      </c>
      <c r="N629">
        <f t="shared" si="79"/>
        <v>86</v>
      </c>
    </row>
    <row r="630" spans="1:14">
      <c r="A630" s="1" cm="1">
        <f t="array" ref="A630">INDEX(tblWeeks[Week_Start],INT((ROW()-2)/20)+1)</f>
        <v>46244</v>
      </c>
      <c r="B630" t="str" cm="1">
        <f t="array" ref="B630">INDEX(tblDemandAssumptions[Customer_ID],MOD(ROW()-2,20)+1)</f>
        <v>C002</v>
      </c>
      <c r="C630" t="str" cm="1">
        <f t="array" ref="C630">INDEX(tblDemandAssumptions[Product_ID],MOD(ROW()-2,20)+1)</f>
        <v>P004</v>
      </c>
      <c r="D630" cm="1">
        <f t="array" ref="D630">INDEX(tblDemandAssumptions[Baseline_Weekly_Qty],MOD(ROW()-2,20)+1)</f>
        <v>2900</v>
      </c>
      <c r="E630">
        <f t="shared" si="72"/>
        <v>1.1000000000000001</v>
      </c>
      <c r="F630">
        <v>0.98</v>
      </c>
      <c r="G630">
        <f t="shared" si="73"/>
        <v>3126</v>
      </c>
      <c r="H630">
        <v>1</v>
      </c>
      <c r="I630">
        <f t="shared" si="74"/>
        <v>3190</v>
      </c>
      <c r="J630" t="str">
        <f t="shared" si="75"/>
        <v>Normal</v>
      </c>
      <c r="K630">
        <f t="shared" si="76"/>
        <v>3126</v>
      </c>
      <c r="L630">
        <f t="shared" si="77"/>
        <v>-64</v>
      </c>
      <c r="M630" s="2">
        <f t="shared" si="78"/>
        <v>-2.0062695924764892E-2</v>
      </c>
      <c r="N630">
        <f t="shared" si="79"/>
        <v>64</v>
      </c>
    </row>
    <row r="631" spans="1:14">
      <c r="A631" s="1" cm="1">
        <f t="array" ref="A631">INDEX(tblWeeks[Week_Start],INT((ROW()-2)/20)+1)</f>
        <v>46244</v>
      </c>
      <c r="B631" t="str" cm="1">
        <f t="array" ref="B631">INDEX(tblDemandAssumptions[Customer_ID],MOD(ROW()-2,20)+1)</f>
        <v>C002</v>
      </c>
      <c r="C631" t="str" cm="1">
        <f t="array" ref="C631">INDEX(tblDemandAssumptions[Product_ID],MOD(ROW()-2,20)+1)</f>
        <v>P005</v>
      </c>
      <c r="D631" cm="1">
        <f t="array" ref="D631">INDEX(tblDemandAssumptions[Baseline_Weekly_Qty],MOD(ROW()-2,20)+1)</f>
        <v>2200</v>
      </c>
      <c r="E631">
        <f t="shared" si="72"/>
        <v>1.1000000000000001</v>
      </c>
      <c r="F631">
        <v>1.04</v>
      </c>
      <c r="G631">
        <f t="shared" si="73"/>
        <v>2517</v>
      </c>
      <c r="H631">
        <v>1</v>
      </c>
      <c r="I631">
        <f t="shared" si="74"/>
        <v>2420</v>
      </c>
      <c r="J631" t="str">
        <f t="shared" si="75"/>
        <v>Normal</v>
      </c>
      <c r="K631">
        <f t="shared" si="76"/>
        <v>2517</v>
      </c>
      <c r="L631">
        <f t="shared" si="77"/>
        <v>97</v>
      </c>
      <c r="M631" s="2">
        <f t="shared" si="78"/>
        <v>4.0082644628099171E-2</v>
      </c>
      <c r="N631">
        <f t="shared" si="79"/>
        <v>97</v>
      </c>
    </row>
    <row r="632" spans="1:14">
      <c r="A632" s="1" cm="1">
        <f t="array" ref="A632">INDEX(tblWeeks[Week_Start],INT((ROW()-2)/20)+1)</f>
        <v>46244</v>
      </c>
      <c r="B632" t="str" cm="1">
        <f t="array" ref="B632">INDEX(tblDemandAssumptions[Customer_ID],MOD(ROW()-2,20)+1)</f>
        <v>C003</v>
      </c>
      <c r="C632" t="str" cm="1">
        <f t="array" ref="C632">INDEX(tblDemandAssumptions[Product_ID],MOD(ROW()-2,20)+1)</f>
        <v>P001</v>
      </c>
      <c r="D632" cm="1">
        <f t="array" ref="D632">INDEX(tblDemandAssumptions[Baseline_Weekly_Qty],MOD(ROW()-2,20)+1)</f>
        <v>3000</v>
      </c>
      <c r="E632">
        <f t="shared" si="72"/>
        <v>1.1000000000000001</v>
      </c>
      <c r="F632">
        <v>0.97</v>
      </c>
      <c r="G632">
        <f t="shared" si="73"/>
        <v>3201</v>
      </c>
      <c r="H632">
        <v>1.02</v>
      </c>
      <c r="I632">
        <f t="shared" si="74"/>
        <v>3366</v>
      </c>
      <c r="J632" t="str">
        <f t="shared" si="75"/>
        <v>Normal</v>
      </c>
      <c r="K632">
        <f t="shared" si="76"/>
        <v>3201</v>
      </c>
      <c r="L632">
        <f t="shared" si="77"/>
        <v>-165</v>
      </c>
      <c r="M632" s="2">
        <f t="shared" si="78"/>
        <v>-4.9019607843137254E-2</v>
      </c>
      <c r="N632">
        <f t="shared" si="79"/>
        <v>165</v>
      </c>
    </row>
    <row r="633" spans="1:14">
      <c r="A633" s="1" cm="1">
        <f t="array" ref="A633">INDEX(tblWeeks[Week_Start],INT((ROW()-2)/20)+1)</f>
        <v>46244</v>
      </c>
      <c r="B633" t="str" cm="1">
        <f t="array" ref="B633">INDEX(tblDemandAssumptions[Customer_ID],MOD(ROW()-2,20)+1)</f>
        <v>C003</v>
      </c>
      <c r="C633" t="str" cm="1">
        <f t="array" ref="C633">INDEX(tblDemandAssumptions[Product_ID],MOD(ROW()-2,20)+1)</f>
        <v>P002</v>
      </c>
      <c r="D633" cm="1">
        <f t="array" ref="D633">INDEX(tblDemandAssumptions[Baseline_Weekly_Qty],MOD(ROW()-2,20)+1)</f>
        <v>2700</v>
      </c>
      <c r="E633">
        <f t="shared" si="72"/>
        <v>1.1000000000000001</v>
      </c>
      <c r="F633">
        <v>1</v>
      </c>
      <c r="G633">
        <f t="shared" si="73"/>
        <v>2970</v>
      </c>
      <c r="H633">
        <v>0.96</v>
      </c>
      <c r="I633">
        <f t="shared" si="74"/>
        <v>2851</v>
      </c>
      <c r="J633" t="str">
        <f t="shared" si="75"/>
        <v>Normal</v>
      </c>
      <c r="K633">
        <f t="shared" si="76"/>
        <v>2970</v>
      </c>
      <c r="L633">
        <f t="shared" si="77"/>
        <v>119</v>
      </c>
      <c r="M633" s="2">
        <f t="shared" si="78"/>
        <v>4.1739740441950196E-2</v>
      </c>
      <c r="N633">
        <f t="shared" si="79"/>
        <v>119</v>
      </c>
    </row>
    <row r="634" spans="1:14">
      <c r="A634" s="1" cm="1">
        <f t="array" ref="A634">INDEX(tblWeeks[Week_Start],INT((ROW()-2)/20)+1)</f>
        <v>46244</v>
      </c>
      <c r="B634" t="str" cm="1">
        <f t="array" ref="B634">INDEX(tblDemandAssumptions[Customer_ID],MOD(ROW()-2,20)+1)</f>
        <v>C003</v>
      </c>
      <c r="C634" t="str" cm="1">
        <f t="array" ref="C634">INDEX(tblDemandAssumptions[Product_ID],MOD(ROW()-2,20)+1)</f>
        <v>P003</v>
      </c>
      <c r="D634" cm="1">
        <f t="array" ref="D634">INDEX(tblDemandAssumptions[Baseline_Weekly_Qty],MOD(ROW()-2,20)+1)</f>
        <v>2800</v>
      </c>
      <c r="E634">
        <f t="shared" si="72"/>
        <v>1.1000000000000001</v>
      </c>
      <c r="F634">
        <v>0.97</v>
      </c>
      <c r="G634">
        <f t="shared" si="73"/>
        <v>2988</v>
      </c>
      <c r="H634">
        <v>1.03</v>
      </c>
      <c r="I634">
        <f t="shared" si="74"/>
        <v>3172</v>
      </c>
      <c r="J634" t="str">
        <f t="shared" si="75"/>
        <v>Normal</v>
      </c>
      <c r="K634">
        <f t="shared" si="76"/>
        <v>2988</v>
      </c>
      <c r="L634">
        <f t="shared" si="77"/>
        <v>-184</v>
      </c>
      <c r="M634" s="2">
        <f t="shared" si="78"/>
        <v>-5.8007566204287514E-2</v>
      </c>
      <c r="N634">
        <f t="shared" si="79"/>
        <v>184</v>
      </c>
    </row>
    <row r="635" spans="1:14">
      <c r="A635" s="1" cm="1">
        <f t="array" ref="A635">INDEX(tblWeeks[Week_Start],INT((ROW()-2)/20)+1)</f>
        <v>46244</v>
      </c>
      <c r="B635" t="str" cm="1">
        <f t="array" ref="B635">INDEX(tblDemandAssumptions[Customer_ID],MOD(ROW()-2,20)+1)</f>
        <v>C003</v>
      </c>
      <c r="C635" t="str" cm="1">
        <f t="array" ref="C635">INDEX(tblDemandAssumptions[Product_ID],MOD(ROW()-2,20)+1)</f>
        <v>P004</v>
      </c>
      <c r="D635" cm="1">
        <f t="array" ref="D635">INDEX(tblDemandAssumptions[Baseline_Weekly_Qty],MOD(ROW()-2,20)+1)</f>
        <v>2400</v>
      </c>
      <c r="E635">
        <f t="shared" si="72"/>
        <v>1.1000000000000001</v>
      </c>
      <c r="F635">
        <v>1.04</v>
      </c>
      <c r="G635">
        <f t="shared" si="73"/>
        <v>2746</v>
      </c>
      <c r="H635">
        <v>1.03</v>
      </c>
      <c r="I635">
        <f t="shared" si="74"/>
        <v>2719</v>
      </c>
      <c r="J635" t="str">
        <f t="shared" si="75"/>
        <v>Normal</v>
      </c>
      <c r="K635">
        <f t="shared" si="76"/>
        <v>2746</v>
      </c>
      <c r="L635">
        <f t="shared" si="77"/>
        <v>27</v>
      </c>
      <c r="M635" s="2">
        <f t="shared" si="78"/>
        <v>9.9301213681500557E-3</v>
      </c>
      <c r="N635">
        <f t="shared" si="79"/>
        <v>27</v>
      </c>
    </row>
    <row r="636" spans="1:14">
      <c r="A636" s="1" cm="1">
        <f t="array" ref="A636">INDEX(tblWeeks[Week_Start],INT((ROW()-2)/20)+1)</f>
        <v>46244</v>
      </c>
      <c r="B636" t="str" cm="1">
        <f t="array" ref="B636">INDEX(tblDemandAssumptions[Customer_ID],MOD(ROW()-2,20)+1)</f>
        <v>C003</v>
      </c>
      <c r="C636" t="str" cm="1">
        <f t="array" ref="C636">INDEX(tblDemandAssumptions[Product_ID],MOD(ROW()-2,20)+1)</f>
        <v>P005</v>
      </c>
      <c r="D636" cm="1">
        <f t="array" ref="D636">INDEX(tblDemandAssumptions[Baseline_Weekly_Qty],MOD(ROW()-2,20)+1)</f>
        <v>1900</v>
      </c>
      <c r="E636">
        <f t="shared" si="72"/>
        <v>1.1000000000000001</v>
      </c>
      <c r="F636">
        <v>1.04</v>
      </c>
      <c r="G636">
        <f t="shared" si="73"/>
        <v>2174</v>
      </c>
      <c r="H636">
        <v>1</v>
      </c>
      <c r="I636">
        <f t="shared" si="74"/>
        <v>2090</v>
      </c>
      <c r="J636" t="str">
        <f t="shared" si="75"/>
        <v>Normal</v>
      </c>
      <c r="K636">
        <f t="shared" si="76"/>
        <v>2174</v>
      </c>
      <c r="L636">
        <f t="shared" si="77"/>
        <v>84</v>
      </c>
      <c r="M636" s="2">
        <f t="shared" si="78"/>
        <v>4.0191387559808611E-2</v>
      </c>
      <c r="N636">
        <f t="shared" si="79"/>
        <v>84</v>
      </c>
    </row>
    <row r="637" spans="1:14">
      <c r="A637" s="1" cm="1">
        <f t="array" ref="A637">INDEX(tblWeeks[Week_Start],INT((ROW()-2)/20)+1)</f>
        <v>46244</v>
      </c>
      <c r="B637" t="str" cm="1">
        <f t="array" ref="B637">INDEX(tblDemandAssumptions[Customer_ID],MOD(ROW()-2,20)+1)</f>
        <v>C004</v>
      </c>
      <c r="C637" t="str" cm="1">
        <f t="array" ref="C637">INDEX(tblDemandAssumptions[Product_ID],MOD(ROW()-2,20)+1)</f>
        <v>P001</v>
      </c>
      <c r="D637" cm="1">
        <f t="array" ref="D637">INDEX(tblDemandAssumptions[Baseline_Weekly_Qty],MOD(ROW()-2,20)+1)</f>
        <v>2700</v>
      </c>
      <c r="E637">
        <f t="shared" si="72"/>
        <v>1.1000000000000001</v>
      </c>
      <c r="F637">
        <v>1</v>
      </c>
      <c r="G637">
        <f t="shared" si="73"/>
        <v>2970</v>
      </c>
      <c r="H637">
        <v>1.04</v>
      </c>
      <c r="I637">
        <f t="shared" si="74"/>
        <v>3089</v>
      </c>
      <c r="J637" t="str">
        <f t="shared" si="75"/>
        <v>Normal</v>
      </c>
      <c r="K637">
        <f t="shared" si="76"/>
        <v>2970</v>
      </c>
      <c r="L637">
        <f t="shared" si="77"/>
        <v>-119</v>
      </c>
      <c r="M637" s="2">
        <f t="shared" si="78"/>
        <v>-3.8523794108125606E-2</v>
      </c>
      <c r="N637">
        <f t="shared" si="79"/>
        <v>119</v>
      </c>
    </row>
    <row r="638" spans="1:14">
      <c r="A638" s="1" cm="1">
        <f t="array" ref="A638">INDEX(tblWeeks[Week_Start],INT((ROW()-2)/20)+1)</f>
        <v>46244</v>
      </c>
      <c r="B638" t="str" cm="1">
        <f t="array" ref="B638">INDEX(tblDemandAssumptions[Customer_ID],MOD(ROW()-2,20)+1)</f>
        <v>C004</v>
      </c>
      <c r="C638" t="str" cm="1">
        <f t="array" ref="C638">INDEX(tblDemandAssumptions[Product_ID],MOD(ROW()-2,20)+1)</f>
        <v>P002</v>
      </c>
      <c r="D638" cm="1">
        <f t="array" ref="D638">INDEX(tblDemandAssumptions[Baseline_Weekly_Qty],MOD(ROW()-2,20)+1)</f>
        <v>2400</v>
      </c>
      <c r="E638">
        <f t="shared" si="72"/>
        <v>1.1000000000000001</v>
      </c>
      <c r="F638">
        <v>1.02</v>
      </c>
      <c r="G638">
        <f t="shared" si="73"/>
        <v>2693</v>
      </c>
      <c r="H638">
        <v>1</v>
      </c>
      <c r="I638">
        <f t="shared" si="74"/>
        <v>2640</v>
      </c>
      <c r="J638" t="str">
        <f t="shared" si="75"/>
        <v>Normal</v>
      </c>
      <c r="K638">
        <f t="shared" si="76"/>
        <v>2693</v>
      </c>
      <c r="L638">
        <f t="shared" si="77"/>
        <v>53</v>
      </c>
      <c r="M638" s="2">
        <f t="shared" si="78"/>
        <v>2.0075757575757577E-2</v>
      </c>
      <c r="N638">
        <f t="shared" si="79"/>
        <v>53</v>
      </c>
    </row>
    <row r="639" spans="1:14">
      <c r="A639" s="1" cm="1">
        <f t="array" ref="A639">INDEX(tblWeeks[Week_Start],INT((ROW()-2)/20)+1)</f>
        <v>46244</v>
      </c>
      <c r="B639" t="str" cm="1">
        <f t="array" ref="B639">INDEX(tblDemandAssumptions[Customer_ID],MOD(ROW()-2,20)+1)</f>
        <v>C004</v>
      </c>
      <c r="C639" t="str" cm="1">
        <f t="array" ref="C639">INDEX(tblDemandAssumptions[Product_ID],MOD(ROW()-2,20)+1)</f>
        <v>P003</v>
      </c>
      <c r="D639" cm="1">
        <f t="array" ref="D639">INDEX(tblDemandAssumptions[Baseline_Weekly_Qty],MOD(ROW()-2,20)+1)</f>
        <v>2100</v>
      </c>
      <c r="E639">
        <f t="shared" si="72"/>
        <v>1.1000000000000001</v>
      </c>
      <c r="F639">
        <v>0.96</v>
      </c>
      <c r="G639">
        <f t="shared" si="73"/>
        <v>2218</v>
      </c>
      <c r="H639">
        <v>0.99</v>
      </c>
      <c r="I639">
        <f t="shared" si="74"/>
        <v>2287</v>
      </c>
      <c r="J639" t="str">
        <f t="shared" si="75"/>
        <v>Normal</v>
      </c>
      <c r="K639">
        <f t="shared" si="76"/>
        <v>2218</v>
      </c>
      <c r="L639">
        <f t="shared" si="77"/>
        <v>-69</v>
      </c>
      <c r="M639" s="2">
        <f t="shared" si="78"/>
        <v>-3.0170529077393964E-2</v>
      </c>
      <c r="N639">
        <f t="shared" si="79"/>
        <v>69</v>
      </c>
    </row>
    <row r="640" spans="1:14">
      <c r="A640" s="1" cm="1">
        <f t="array" ref="A640">INDEX(tblWeeks[Week_Start],INT((ROW()-2)/20)+1)</f>
        <v>46244</v>
      </c>
      <c r="B640" t="str" cm="1">
        <f t="array" ref="B640">INDEX(tblDemandAssumptions[Customer_ID],MOD(ROW()-2,20)+1)</f>
        <v>C004</v>
      </c>
      <c r="C640" t="str" cm="1">
        <f t="array" ref="C640">INDEX(tblDemandAssumptions[Product_ID],MOD(ROW()-2,20)+1)</f>
        <v>P004</v>
      </c>
      <c r="D640" cm="1">
        <f t="array" ref="D640">INDEX(tblDemandAssumptions[Baseline_Weekly_Qty],MOD(ROW()-2,20)+1)</f>
        <v>2600</v>
      </c>
      <c r="E640">
        <f t="shared" si="72"/>
        <v>1.1000000000000001</v>
      </c>
      <c r="F640">
        <v>1.01</v>
      </c>
      <c r="G640">
        <f t="shared" si="73"/>
        <v>2889</v>
      </c>
      <c r="H640">
        <v>1.01</v>
      </c>
      <c r="I640">
        <f t="shared" si="74"/>
        <v>2889</v>
      </c>
      <c r="J640" t="str">
        <f t="shared" si="75"/>
        <v>Normal</v>
      </c>
      <c r="K640">
        <f t="shared" si="76"/>
        <v>2889</v>
      </c>
      <c r="L640">
        <f t="shared" si="77"/>
        <v>0</v>
      </c>
      <c r="M640" s="2">
        <f t="shared" si="78"/>
        <v>0</v>
      </c>
      <c r="N640">
        <f t="shared" si="79"/>
        <v>0</v>
      </c>
    </row>
    <row r="641" spans="1:14">
      <c r="A641" s="1" cm="1">
        <f t="array" ref="A641">INDEX(tblWeeks[Week_Start],INT((ROW()-2)/20)+1)</f>
        <v>46244</v>
      </c>
      <c r="B641" t="str" cm="1">
        <f t="array" ref="B641">INDEX(tblDemandAssumptions[Customer_ID],MOD(ROW()-2,20)+1)</f>
        <v>C004</v>
      </c>
      <c r="C641" t="str" cm="1">
        <f t="array" ref="C641">INDEX(tblDemandAssumptions[Product_ID],MOD(ROW()-2,20)+1)</f>
        <v>P005</v>
      </c>
      <c r="D641" cm="1">
        <f t="array" ref="D641">INDEX(tblDemandAssumptions[Baseline_Weekly_Qty],MOD(ROW()-2,20)+1)</f>
        <v>1800</v>
      </c>
      <c r="E641">
        <f t="shared" si="72"/>
        <v>1.1000000000000001</v>
      </c>
      <c r="F641">
        <v>1.03</v>
      </c>
      <c r="G641">
        <f t="shared" si="73"/>
        <v>2039</v>
      </c>
      <c r="H641">
        <v>0.97</v>
      </c>
      <c r="I641">
        <f t="shared" si="74"/>
        <v>1921</v>
      </c>
      <c r="J641" t="str">
        <f t="shared" si="75"/>
        <v>Normal</v>
      </c>
      <c r="K641">
        <f t="shared" si="76"/>
        <v>2039</v>
      </c>
      <c r="L641">
        <f t="shared" si="77"/>
        <v>118</v>
      </c>
      <c r="M641" s="2">
        <f t="shared" si="78"/>
        <v>6.1426340447683497E-2</v>
      </c>
      <c r="N641">
        <f t="shared" si="79"/>
        <v>118</v>
      </c>
    </row>
    <row r="642" spans="1:14">
      <c r="A642" s="1" cm="1">
        <f t="array" ref="A642">INDEX(tblWeeks[Week_Start],INT((ROW()-2)/20)+1)</f>
        <v>46251</v>
      </c>
      <c r="B642" t="str" cm="1">
        <f t="array" ref="B642">INDEX(tblDemandAssumptions[Customer_ID],MOD(ROW()-2,20)+1)</f>
        <v>C001</v>
      </c>
      <c r="C642" t="str" cm="1">
        <f t="array" ref="C642">INDEX(tblDemandAssumptions[Product_ID],MOD(ROW()-2,20)+1)</f>
        <v>P001</v>
      </c>
      <c r="D642" cm="1">
        <f t="array" ref="D642">INDEX(tblDemandAssumptions[Baseline_Weekly_Qty],MOD(ROW()-2,20)+1)</f>
        <v>5200</v>
      </c>
      <c r="E642">
        <f t="shared" ref="E642:E705" si="80">IF(MONTH(A642)&lt;=2,0.95,IF(MONTH(A642)&lt;=4,1,IF(MONTH(A642)&lt;=6,1.05,IF(MONTH(A642)&lt;=8,1.1,IF(MONTH(A642)&lt;=10,1,IF(MONTH(A642)=11,1.05,1.2))))))</f>
        <v>1.1000000000000001</v>
      </c>
      <c r="F642">
        <v>1</v>
      </c>
      <c r="G642">
        <f t="shared" ref="G642:G705" si="81">ROUND(D642*E642*F642,0)</f>
        <v>5720</v>
      </c>
      <c r="H642">
        <v>0.96</v>
      </c>
      <c r="I642">
        <f t="shared" ref="I642:I705" si="82">ROUND(D642*E642*H642,0)</f>
        <v>5491</v>
      </c>
      <c r="J642" t="str">
        <f t="shared" ref="J642:J705" si="83">IF(AND(A642=DATE(2026,3,16),B642="C001",C642="P001"),"Promotion_Demand_Spike",IF(AND(A642=DATE(2026,6,8),B642="C002",C642="P004"),"Under_Forecast",IF(AND(A642=DATE(2026,7,20),B642="C003",C642="P003"),"Over_Forecast","Normal")))</f>
        <v>Normal</v>
      </c>
      <c r="K642">
        <f t="shared" ref="K642:K705" si="84">IF(J642="Promotion_Demand_Spike",ROUND(G642*1.35,0),IF(J642="Under_Forecast",ROUND(I642*1.25,0),IF(J642="Over_Forecast",ROUND(I642*0.72,0),G642)))</f>
        <v>5720</v>
      </c>
      <c r="L642">
        <f t="shared" ref="L642:L705" si="85">K642-I642</f>
        <v>229</v>
      </c>
      <c r="M642" s="2">
        <f t="shared" ref="M642:M705" si="86">IF(I642=0,0,L642/I642)</f>
        <v>4.1704607539610271E-2</v>
      </c>
      <c r="N642">
        <f t="shared" ref="N642:N705" si="87">ABS(L642)</f>
        <v>229</v>
      </c>
    </row>
    <row r="643" spans="1:14">
      <c r="A643" s="1" cm="1">
        <f t="array" ref="A643">INDEX(tblWeeks[Week_Start],INT((ROW()-2)/20)+1)</f>
        <v>46251</v>
      </c>
      <c r="B643" t="str" cm="1">
        <f t="array" ref="B643">INDEX(tblDemandAssumptions[Customer_ID],MOD(ROW()-2,20)+1)</f>
        <v>C001</v>
      </c>
      <c r="C643" t="str" cm="1">
        <f t="array" ref="C643">INDEX(tblDemandAssumptions[Product_ID],MOD(ROW()-2,20)+1)</f>
        <v>P002</v>
      </c>
      <c r="D643" cm="1">
        <f t="array" ref="D643">INDEX(tblDemandAssumptions[Baseline_Weekly_Qty],MOD(ROW()-2,20)+1)</f>
        <v>4100</v>
      </c>
      <c r="E643">
        <f t="shared" si="80"/>
        <v>1.1000000000000001</v>
      </c>
      <c r="F643">
        <v>1</v>
      </c>
      <c r="G643">
        <f t="shared" si="81"/>
        <v>4510</v>
      </c>
      <c r="H643">
        <v>0.98</v>
      </c>
      <c r="I643">
        <f t="shared" si="82"/>
        <v>4420</v>
      </c>
      <c r="J643" t="str">
        <f t="shared" si="83"/>
        <v>Normal</v>
      </c>
      <c r="K643">
        <f t="shared" si="84"/>
        <v>4510</v>
      </c>
      <c r="L643">
        <f t="shared" si="85"/>
        <v>90</v>
      </c>
      <c r="M643" s="2">
        <f t="shared" si="86"/>
        <v>2.0361990950226245E-2</v>
      </c>
      <c r="N643">
        <f t="shared" si="87"/>
        <v>90</v>
      </c>
    </row>
    <row r="644" spans="1:14">
      <c r="A644" s="1" cm="1">
        <f t="array" ref="A644">INDEX(tblWeeks[Week_Start],INT((ROW()-2)/20)+1)</f>
        <v>46251</v>
      </c>
      <c r="B644" t="str" cm="1">
        <f t="array" ref="B644">INDEX(tblDemandAssumptions[Customer_ID],MOD(ROW()-2,20)+1)</f>
        <v>C001</v>
      </c>
      <c r="C644" t="str" cm="1">
        <f t="array" ref="C644">INDEX(tblDemandAssumptions[Product_ID],MOD(ROW()-2,20)+1)</f>
        <v>P003</v>
      </c>
      <c r="D644" cm="1">
        <f t="array" ref="D644">INDEX(tblDemandAssumptions[Baseline_Weekly_Qty],MOD(ROW()-2,20)+1)</f>
        <v>3300</v>
      </c>
      <c r="E644">
        <f t="shared" si="80"/>
        <v>1.1000000000000001</v>
      </c>
      <c r="F644">
        <v>0.95</v>
      </c>
      <c r="G644">
        <f t="shared" si="81"/>
        <v>3449</v>
      </c>
      <c r="H644">
        <v>1.04</v>
      </c>
      <c r="I644">
        <f t="shared" si="82"/>
        <v>3775</v>
      </c>
      <c r="J644" t="str">
        <f t="shared" si="83"/>
        <v>Normal</v>
      </c>
      <c r="K644">
        <f t="shared" si="84"/>
        <v>3449</v>
      </c>
      <c r="L644">
        <f t="shared" si="85"/>
        <v>-326</v>
      </c>
      <c r="M644" s="2">
        <f t="shared" si="86"/>
        <v>-8.635761589403973E-2</v>
      </c>
      <c r="N644">
        <f t="shared" si="87"/>
        <v>326</v>
      </c>
    </row>
    <row r="645" spans="1:14">
      <c r="A645" s="1" cm="1">
        <f t="array" ref="A645">INDEX(tblWeeks[Week_Start],INT((ROW()-2)/20)+1)</f>
        <v>46251</v>
      </c>
      <c r="B645" t="str" cm="1">
        <f t="array" ref="B645">INDEX(tblDemandAssumptions[Customer_ID],MOD(ROW()-2,20)+1)</f>
        <v>C001</v>
      </c>
      <c r="C645" t="str" cm="1">
        <f t="array" ref="C645">INDEX(tblDemandAssumptions[Product_ID],MOD(ROW()-2,20)+1)</f>
        <v>P004</v>
      </c>
      <c r="D645" cm="1">
        <f t="array" ref="D645">INDEX(tblDemandAssumptions[Baseline_Weekly_Qty],MOD(ROW()-2,20)+1)</f>
        <v>3600</v>
      </c>
      <c r="E645">
        <f t="shared" si="80"/>
        <v>1.1000000000000001</v>
      </c>
      <c r="F645">
        <v>1</v>
      </c>
      <c r="G645">
        <f t="shared" si="81"/>
        <v>3960</v>
      </c>
      <c r="H645">
        <v>1.01</v>
      </c>
      <c r="I645">
        <f t="shared" si="82"/>
        <v>4000</v>
      </c>
      <c r="J645" t="str">
        <f t="shared" si="83"/>
        <v>Normal</v>
      </c>
      <c r="K645">
        <f t="shared" si="84"/>
        <v>3960</v>
      </c>
      <c r="L645">
        <f t="shared" si="85"/>
        <v>-40</v>
      </c>
      <c r="M645" s="2">
        <f t="shared" si="86"/>
        <v>-0.01</v>
      </c>
      <c r="N645">
        <f t="shared" si="87"/>
        <v>40</v>
      </c>
    </row>
    <row r="646" spans="1:14">
      <c r="A646" s="1" cm="1">
        <f t="array" ref="A646">INDEX(tblWeeks[Week_Start],INT((ROW()-2)/20)+1)</f>
        <v>46251</v>
      </c>
      <c r="B646" t="str" cm="1">
        <f t="array" ref="B646">INDEX(tblDemandAssumptions[Customer_ID],MOD(ROW()-2,20)+1)</f>
        <v>C001</v>
      </c>
      <c r="C646" t="str" cm="1">
        <f t="array" ref="C646">INDEX(tblDemandAssumptions[Product_ID],MOD(ROW()-2,20)+1)</f>
        <v>P005</v>
      </c>
      <c r="D646" cm="1">
        <f t="array" ref="D646">INDEX(tblDemandAssumptions[Baseline_Weekly_Qty],MOD(ROW()-2,20)+1)</f>
        <v>2800</v>
      </c>
      <c r="E646">
        <f t="shared" si="80"/>
        <v>1.1000000000000001</v>
      </c>
      <c r="F646">
        <v>0.95</v>
      </c>
      <c r="G646">
        <f t="shared" si="81"/>
        <v>2926</v>
      </c>
      <c r="H646">
        <v>0.97</v>
      </c>
      <c r="I646">
        <f t="shared" si="82"/>
        <v>2988</v>
      </c>
      <c r="J646" t="str">
        <f t="shared" si="83"/>
        <v>Normal</v>
      </c>
      <c r="K646">
        <f t="shared" si="84"/>
        <v>2926</v>
      </c>
      <c r="L646">
        <f t="shared" si="85"/>
        <v>-62</v>
      </c>
      <c r="M646" s="2">
        <f t="shared" si="86"/>
        <v>-2.0749665327978582E-2</v>
      </c>
      <c r="N646">
        <f t="shared" si="87"/>
        <v>62</v>
      </c>
    </row>
    <row r="647" spans="1:14">
      <c r="A647" s="1" cm="1">
        <f t="array" ref="A647">INDEX(tblWeeks[Week_Start],INT((ROW()-2)/20)+1)</f>
        <v>46251</v>
      </c>
      <c r="B647" t="str" cm="1">
        <f t="array" ref="B647">INDEX(tblDemandAssumptions[Customer_ID],MOD(ROW()-2,20)+1)</f>
        <v>C002</v>
      </c>
      <c r="C647" t="str" cm="1">
        <f t="array" ref="C647">INDEX(tblDemandAssumptions[Product_ID],MOD(ROW()-2,20)+1)</f>
        <v>P001</v>
      </c>
      <c r="D647" cm="1">
        <f t="array" ref="D647">INDEX(tblDemandAssumptions[Baseline_Weekly_Qty],MOD(ROW()-2,20)+1)</f>
        <v>3400</v>
      </c>
      <c r="E647">
        <f t="shared" si="80"/>
        <v>1.1000000000000001</v>
      </c>
      <c r="F647">
        <v>1.04</v>
      </c>
      <c r="G647">
        <f t="shared" si="81"/>
        <v>3890</v>
      </c>
      <c r="H647">
        <v>1.01</v>
      </c>
      <c r="I647">
        <f t="shared" si="82"/>
        <v>3777</v>
      </c>
      <c r="J647" t="str">
        <f t="shared" si="83"/>
        <v>Normal</v>
      </c>
      <c r="K647">
        <f t="shared" si="84"/>
        <v>3890</v>
      </c>
      <c r="L647">
        <f t="shared" si="85"/>
        <v>113</v>
      </c>
      <c r="M647" s="2">
        <f t="shared" si="86"/>
        <v>2.9917924278527932E-2</v>
      </c>
      <c r="N647">
        <f t="shared" si="87"/>
        <v>113</v>
      </c>
    </row>
    <row r="648" spans="1:14">
      <c r="A648" s="1" cm="1">
        <f t="array" ref="A648">INDEX(tblWeeks[Week_Start],INT((ROW()-2)/20)+1)</f>
        <v>46251</v>
      </c>
      <c r="B648" t="str" cm="1">
        <f t="array" ref="B648">INDEX(tblDemandAssumptions[Customer_ID],MOD(ROW()-2,20)+1)</f>
        <v>C002</v>
      </c>
      <c r="C648" t="str" cm="1">
        <f t="array" ref="C648">INDEX(tblDemandAssumptions[Product_ID],MOD(ROW()-2,20)+1)</f>
        <v>P002</v>
      </c>
      <c r="D648" cm="1">
        <f t="array" ref="D648">INDEX(tblDemandAssumptions[Baseline_Weekly_Qty],MOD(ROW()-2,20)+1)</f>
        <v>3200</v>
      </c>
      <c r="E648">
        <f t="shared" si="80"/>
        <v>1.1000000000000001</v>
      </c>
      <c r="F648">
        <v>1</v>
      </c>
      <c r="G648">
        <f t="shared" si="81"/>
        <v>3520</v>
      </c>
      <c r="H648">
        <v>1.02</v>
      </c>
      <c r="I648">
        <f t="shared" si="82"/>
        <v>3590</v>
      </c>
      <c r="J648" t="str">
        <f t="shared" si="83"/>
        <v>Normal</v>
      </c>
      <c r="K648">
        <f t="shared" si="84"/>
        <v>3520</v>
      </c>
      <c r="L648">
        <f t="shared" si="85"/>
        <v>-70</v>
      </c>
      <c r="M648" s="2">
        <f t="shared" si="86"/>
        <v>-1.9498607242339833E-2</v>
      </c>
      <c r="N648">
        <f t="shared" si="87"/>
        <v>70</v>
      </c>
    </row>
    <row r="649" spans="1:14">
      <c r="A649" s="1" cm="1">
        <f t="array" ref="A649">INDEX(tblWeeks[Week_Start],INT((ROW()-2)/20)+1)</f>
        <v>46251</v>
      </c>
      <c r="B649" t="str" cm="1">
        <f t="array" ref="B649">INDEX(tblDemandAssumptions[Customer_ID],MOD(ROW()-2,20)+1)</f>
        <v>C002</v>
      </c>
      <c r="C649" t="str" cm="1">
        <f t="array" ref="C649">INDEX(tblDemandAssumptions[Product_ID],MOD(ROW()-2,20)+1)</f>
        <v>P003</v>
      </c>
      <c r="D649" cm="1">
        <f t="array" ref="D649">INDEX(tblDemandAssumptions[Baseline_Weekly_Qty],MOD(ROW()-2,20)+1)</f>
        <v>2600</v>
      </c>
      <c r="E649">
        <f t="shared" si="80"/>
        <v>1.1000000000000001</v>
      </c>
      <c r="F649">
        <v>1.01</v>
      </c>
      <c r="G649">
        <f t="shared" si="81"/>
        <v>2889</v>
      </c>
      <c r="H649">
        <v>1.02</v>
      </c>
      <c r="I649">
        <f t="shared" si="82"/>
        <v>2917</v>
      </c>
      <c r="J649" t="str">
        <f t="shared" si="83"/>
        <v>Normal</v>
      </c>
      <c r="K649">
        <f t="shared" si="84"/>
        <v>2889</v>
      </c>
      <c r="L649">
        <f t="shared" si="85"/>
        <v>-28</v>
      </c>
      <c r="M649" s="2">
        <f t="shared" si="86"/>
        <v>-9.598902982516283E-3</v>
      </c>
      <c r="N649">
        <f t="shared" si="87"/>
        <v>28</v>
      </c>
    </row>
    <row r="650" spans="1:14">
      <c r="A650" s="1" cm="1">
        <f t="array" ref="A650">INDEX(tblWeeks[Week_Start],INT((ROW()-2)/20)+1)</f>
        <v>46251</v>
      </c>
      <c r="B650" t="str" cm="1">
        <f t="array" ref="B650">INDEX(tblDemandAssumptions[Customer_ID],MOD(ROW()-2,20)+1)</f>
        <v>C002</v>
      </c>
      <c r="C650" t="str" cm="1">
        <f t="array" ref="C650">INDEX(tblDemandAssumptions[Product_ID],MOD(ROW()-2,20)+1)</f>
        <v>P004</v>
      </c>
      <c r="D650" cm="1">
        <f t="array" ref="D650">INDEX(tblDemandAssumptions[Baseline_Weekly_Qty],MOD(ROW()-2,20)+1)</f>
        <v>2900</v>
      </c>
      <c r="E650">
        <f t="shared" si="80"/>
        <v>1.1000000000000001</v>
      </c>
      <c r="F650">
        <v>0.98</v>
      </c>
      <c r="G650">
        <f t="shared" si="81"/>
        <v>3126</v>
      </c>
      <c r="H650">
        <v>0.96</v>
      </c>
      <c r="I650">
        <f t="shared" si="82"/>
        <v>3062</v>
      </c>
      <c r="J650" t="str">
        <f t="shared" si="83"/>
        <v>Normal</v>
      </c>
      <c r="K650">
        <f t="shared" si="84"/>
        <v>3126</v>
      </c>
      <c r="L650">
        <f t="shared" si="85"/>
        <v>64</v>
      </c>
      <c r="M650" s="2">
        <f t="shared" si="86"/>
        <v>2.0901371652514697E-2</v>
      </c>
      <c r="N650">
        <f t="shared" si="87"/>
        <v>64</v>
      </c>
    </row>
    <row r="651" spans="1:14">
      <c r="A651" s="1" cm="1">
        <f t="array" ref="A651">INDEX(tblWeeks[Week_Start],INT((ROW()-2)/20)+1)</f>
        <v>46251</v>
      </c>
      <c r="B651" t="str" cm="1">
        <f t="array" ref="B651">INDEX(tblDemandAssumptions[Customer_ID],MOD(ROW()-2,20)+1)</f>
        <v>C002</v>
      </c>
      <c r="C651" t="str" cm="1">
        <f t="array" ref="C651">INDEX(tblDemandAssumptions[Product_ID],MOD(ROW()-2,20)+1)</f>
        <v>P005</v>
      </c>
      <c r="D651" cm="1">
        <f t="array" ref="D651">INDEX(tblDemandAssumptions[Baseline_Weekly_Qty],MOD(ROW()-2,20)+1)</f>
        <v>2200</v>
      </c>
      <c r="E651">
        <f t="shared" si="80"/>
        <v>1.1000000000000001</v>
      </c>
      <c r="F651">
        <v>1</v>
      </c>
      <c r="G651">
        <f t="shared" si="81"/>
        <v>2420</v>
      </c>
      <c r="H651">
        <v>0.96</v>
      </c>
      <c r="I651">
        <f t="shared" si="82"/>
        <v>2323</v>
      </c>
      <c r="J651" t="str">
        <f t="shared" si="83"/>
        <v>Normal</v>
      </c>
      <c r="K651">
        <f t="shared" si="84"/>
        <v>2420</v>
      </c>
      <c r="L651">
        <f t="shared" si="85"/>
        <v>97</v>
      </c>
      <c r="M651" s="2">
        <f t="shared" si="86"/>
        <v>4.1756349547998277E-2</v>
      </c>
      <c r="N651">
        <f t="shared" si="87"/>
        <v>97</v>
      </c>
    </row>
    <row r="652" spans="1:14">
      <c r="A652" s="1" cm="1">
        <f t="array" ref="A652">INDEX(tblWeeks[Week_Start],INT((ROW()-2)/20)+1)</f>
        <v>46251</v>
      </c>
      <c r="B652" t="str" cm="1">
        <f t="array" ref="B652">INDEX(tblDemandAssumptions[Customer_ID],MOD(ROW()-2,20)+1)</f>
        <v>C003</v>
      </c>
      <c r="C652" t="str" cm="1">
        <f t="array" ref="C652">INDEX(tblDemandAssumptions[Product_ID],MOD(ROW()-2,20)+1)</f>
        <v>P001</v>
      </c>
      <c r="D652" cm="1">
        <f t="array" ref="D652">INDEX(tblDemandAssumptions[Baseline_Weekly_Qty],MOD(ROW()-2,20)+1)</f>
        <v>3000</v>
      </c>
      <c r="E652">
        <f t="shared" si="80"/>
        <v>1.1000000000000001</v>
      </c>
      <c r="F652">
        <v>1.02</v>
      </c>
      <c r="G652">
        <f t="shared" si="81"/>
        <v>3366</v>
      </c>
      <c r="H652">
        <v>0.99</v>
      </c>
      <c r="I652">
        <f t="shared" si="82"/>
        <v>3267</v>
      </c>
      <c r="J652" t="str">
        <f t="shared" si="83"/>
        <v>Normal</v>
      </c>
      <c r="K652">
        <f t="shared" si="84"/>
        <v>3366</v>
      </c>
      <c r="L652">
        <f t="shared" si="85"/>
        <v>99</v>
      </c>
      <c r="M652" s="2">
        <f t="shared" si="86"/>
        <v>3.0303030303030304E-2</v>
      </c>
      <c r="N652">
        <f t="shared" si="87"/>
        <v>99</v>
      </c>
    </row>
    <row r="653" spans="1:14">
      <c r="A653" s="1" cm="1">
        <f t="array" ref="A653">INDEX(tblWeeks[Week_Start],INT((ROW()-2)/20)+1)</f>
        <v>46251</v>
      </c>
      <c r="B653" t="str" cm="1">
        <f t="array" ref="B653">INDEX(tblDemandAssumptions[Customer_ID],MOD(ROW()-2,20)+1)</f>
        <v>C003</v>
      </c>
      <c r="C653" t="str" cm="1">
        <f t="array" ref="C653">INDEX(tblDemandAssumptions[Product_ID],MOD(ROW()-2,20)+1)</f>
        <v>P002</v>
      </c>
      <c r="D653" cm="1">
        <f t="array" ref="D653">INDEX(tblDemandAssumptions[Baseline_Weekly_Qty],MOD(ROW()-2,20)+1)</f>
        <v>2700</v>
      </c>
      <c r="E653">
        <f t="shared" si="80"/>
        <v>1.1000000000000001</v>
      </c>
      <c r="F653">
        <v>0.97</v>
      </c>
      <c r="G653">
        <f t="shared" si="81"/>
        <v>2881</v>
      </c>
      <c r="H653">
        <v>1.03</v>
      </c>
      <c r="I653">
        <f t="shared" si="82"/>
        <v>3059</v>
      </c>
      <c r="J653" t="str">
        <f t="shared" si="83"/>
        <v>Normal</v>
      </c>
      <c r="K653">
        <f t="shared" si="84"/>
        <v>2881</v>
      </c>
      <c r="L653">
        <f t="shared" si="85"/>
        <v>-178</v>
      </c>
      <c r="M653" s="2">
        <f t="shared" si="86"/>
        <v>-5.8188950637463224E-2</v>
      </c>
      <c r="N653">
        <f t="shared" si="87"/>
        <v>178</v>
      </c>
    </row>
    <row r="654" spans="1:14">
      <c r="A654" s="1" cm="1">
        <f t="array" ref="A654">INDEX(tblWeeks[Week_Start],INT((ROW()-2)/20)+1)</f>
        <v>46251</v>
      </c>
      <c r="B654" t="str" cm="1">
        <f t="array" ref="B654">INDEX(tblDemandAssumptions[Customer_ID],MOD(ROW()-2,20)+1)</f>
        <v>C003</v>
      </c>
      <c r="C654" t="str" cm="1">
        <f t="array" ref="C654">INDEX(tblDemandAssumptions[Product_ID],MOD(ROW()-2,20)+1)</f>
        <v>P003</v>
      </c>
      <c r="D654" cm="1">
        <f t="array" ref="D654">INDEX(tblDemandAssumptions[Baseline_Weekly_Qty],MOD(ROW()-2,20)+1)</f>
        <v>2800</v>
      </c>
      <c r="E654">
        <f t="shared" si="80"/>
        <v>1.1000000000000001</v>
      </c>
      <c r="F654">
        <v>0.98</v>
      </c>
      <c r="G654">
        <f t="shared" si="81"/>
        <v>3018</v>
      </c>
      <c r="H654">
        <v>0.98</v>
      </c>
      <c r="I654">
        <f t="shared" si="82"/>
        <v>3018</v>
      </c>
      <c r="J654" t="str">
        <f t="shared" si="83"/>
        <v>Normal</v>
      </c>
      <c r="K654">
        <f t="shared" si="84"/>
        <v>3018</v>
      </c>
      <c r="L654">
        <f t="shared" si="85"/>
        <v>0</v>
      </c>
      <c r="M654" s="2">
        <f t="shared" si="86"/>
        <v>0</v>
      </c>
      <c r="N654">
        <f t="shared" si="87"/>
        <v>0</v>
      </c>
    </row>
    <row r="655" spans="1:14">
      <c r="A655" s="1" cm="1">
        <f t="array" ref="A655">INDEX(tblWeeks[Week_Start],INT((ROW()-2)/20)+1)</f>
        <v>46251</v>
      </c>
      <c r="B655" t="str" cm="1">
        <f t="array" ref="B655">INDEX(tblDemandAssumptions[Customer_ID],MOD(ROW()-2,20)+1)</f>
        <v>C003</v>
      </c>
      <c r="C655" t="str" cm="1">
        <f t="array" ref="C655">INDEX(tblDemandAssumptions[Product_ID],MOD(ROW()-2,20)+1)</f>
        <v>P004</v>
      </c>
      <c r="D655" cm="1">
        <f t="array" ref="D655">INDEX(tblDemandAssumptions[Baseline_Weekly_Qty],MOD(ROW()-2,20)+1)</f>
        <v>2400</v>
      </c>
      <c r="E655">
        <f t="shared" si="80"/>
        <v>1.1000000000000001</v>
      </c>
      <c r="F655">
        <v>0.98</v>
      </c>
      <c r="G655">
        <f t="shared" si="81"/>
        <v>2587</v>
      </c>
      <c r="H655">
        <v>0.97</v>
      </c>
      <c r="I655">
        <f t="shared" si="82"/>
        <v>2561</v>
      </c>
      <c r="J655" t="str">
        <f t="shared" si="83"/>
        <v>Normal</v>
      </c>
      <c r="K655">
        <f t="shared" si="84"/>
        <v>2587</v>
      </c>
      <c r="L655">
        <f t="shared" si="85"/>
        <v>26</v>
      </c>
      <c r="M655" s="2">
        <f t="shared" si="86"/>
        <v>1.015228426395939E-2</v>
      </c>
      <c r="N655">
        <f t="shared" si="87"/>
        <v>26</v>
      </c>
    </row>
    <row r="656" spans="1:14">
      <c r="A656" s="1" cm="1">
        <f t="array" ref="A656">INDEX(tblWeeks[Week_Start],INT((ROW()-2)/20)+1)</f>
        <v>46251</v>
      </c>
      <c r="B656" t="str" cm="1">
        <f t="array" ref="B656">INDEX(tblDemandAssumptions[Customer_ID],MOD(ROW()-2,20)+1)</f>
        <v>C003</v>
      </c>
      <c r="C656" t="str" cm="1">
        <f t="array" ref="C656">INDEX(tblDemandAssumptions[Product_ID],MOD(ROW()-2,20)+1)</f>
        <v>P005</v>
      </c>
      <c r="D656" cm="1">
        <f t="array" ref="D656">INDEX(tblDemandAssumptions[Baseline_Weekly_Qty],MOD(ROW()-2,20)+1)</f>
        <v>1900</v>
      </c>
      <c r="E656">
        <f t="shared" si="80"/>
        <v>1.1000000000000001</v>
      </c>
      <c r="F656">
        <v>1.05</v>
      </c>
      <c r="G656">
        <f t="shared" si="81"/>
        <v>2195</v>
      </c>
      <c r="H656">
        <v>1.03</v>
      </c>
      <c r="I656">
        <f t="shared" si="82"/>
        <v>2153</v>
      </c>
      <c r="J656" t="str">
        <f t="shared" si="83"/>
        <v>Normal</v>
      </c>
      <c r="K656">
        <f t="shared" si="84"/>
        <v>2195</v>
      </c>
      <c r="L656">
        <f t="shared" si="85"/>
        <v>42</v>
      </c>
      <c r="M656" s="2">
        <f t="shared" si="86"/>
        <v>1.9507663725034836E-2</v>
      </c>
      <c r="N656">
        <f t="shared" si="87"/>
        <v>42</v>
      </c>
    </row>
    <row r="657" spans="1:14">
      <c r="A657" s="1" cm="1">
        <f t="array" ref="A657">INDEX(tblWeeks[Week_Start],INT((ROW()-2)/20)+1)</f>
        <v>46251</v>
      </c>
      <c r="B657" t="str" cm="1">
        <f t="array" ref="B657">INDEX(tblDemandAssumptions[Customer_ID],MOD(ROW()-2,20)+1)</f>
        <v>C004</v>
      </c>
      <c r="C657" t="str" cm="1">
        <f t="array" ref="C657">INDEX(tblDemandAssumptions[Product_ID],MOD(ROW()-2,20)+1)</f>
        <v>P001</v>
      </c>
      <c r="D657" cm="1">
        <f t="array" ref="D657">INDEX(tblDemandAssumptions[Baseline_Weekly_Qty],MOD(ROW()-2,20)+1)</f>
        <v>2700</v>
      </c>
      <c r="E657">
        <f t="shared" si="80"/>
        <v>1.1000000000000001</v>
      </c>
      <c r="F657">
        <v>1.02</v>
      </c>
      <c r="G657">
        <f t="shared" si="81"/>
        <v>3029</v>
      </c>
      <c r="H657">
        <v>1.01</v>
      </c>
      <c r="I657">
        <f t="shared" si="82"/>
        <v>3000</v>
      </c>
      <c r="J657" t="str">
        <f t="shared" si="83"/>
        <v>Normal</v>
      </c>
      <c r="K657">
        <f t="shared" si="84"/>
        <v>3029</v>
      </c>
      <c r="L657">
        <f t="shared" si="85"/>
        <v>29</v>
      </c>
      <c r="M657" s="2">
        <f t="shared" si="86"/>
        <v>9.6666666666666672E-3</v>
      </c>
      <c r="N657">
        <f t="shared" si="87"/>
        <v>29</v>
      </c>
    </row>
    <row r="658" spans="1:14">
      <c r="A658" s="1" cm="1">
        <f t="array" ref="A658">INDEX(tblWeeks[Week_Start],INT((ROW()-2)/20)+1)</f>
        <v>46251</v>
      </c>
      <c r="B658" t="str" cm="1">
        <f t="array" ref="B658">INDEX(tblDemandAssumptions[Customer_ID],MOD(ROW()-2,20)+1)</f>
        <v>C004</v>
      </c>
      <c r="C658" t="str" cm="1">
        <f t="array" ref="C658">INDEX(tblDemandAssumptions[Product_ID],MOD(ROW()-2,20)+1)</f>
        <v>P002</v>
      </c>
      <c r="D658" cm="1">
        <f t="array" ref="D658">INDEX(tblDemandAssumptions[Baseline_Weekly_Qty],MOD(ROW()-2,20)+1)</f>
        <v>2400</v>
      </c>
      <c r="E658">
        <f t="shared" si="80"/>
        <v>1.1000000000000001</v>
      </c>
      <c r="F658">
        <v>0.95</v>
      </c>
      <c r="G658">
        <f t="shared" si="81"/>
        <v>2508</v>
      </c>
      <c r="H658">
        <v>0.98</v>
      </c>
      <c r="I658">
        <f t="shared" si="82"/>
        <v>2587</v>
      </c>
      <c r="J658" t="str">
        <f t="shared" si="83"/>
        <v>Normal</v>
      </c>
      <c r="K658">
        <f t="shared" si="84"/>
        <v>2508</v>
      </c>
      <c r="L658">
        <f t="shared" si="85"/>
        <v>-79</v>
      </c>
      <c r="M658" s="2">
        <f t="shared" si="86"/>
        <v>-3.0537301894085815E-2</v>
      </c>
      <c r="N658">
        <f t="shared" si="87"/>
        <v>79</v>
      </c>
    </row>
    <row r="659" spans="1:14">
      <c r="A659" s="1" cm="1">
        <f t="array" ref="A659">INDEX(tblWeeks[Week_Start],INT((ROW()-2)/20)+1)</f>
        <v>46251</v>
      </c>
      <c r="B659" t="str" cm="1">
        <f t="array" ref="B659">INDEX(tblDemandAssumptions[Customer_ID],MOD(ROW()-2,20)+1)</f>
        <v>C004</v>
      </c>
      <c r="C659" t="str" cm="1">
        <f t="array" ref="C659">INDEX(tblDemandAssumptions[Product_ID],MOD(ROW()-2,20)+1)</f>
        <v>P003</v>
      </c>
      <c r="D659" cm="1">
        <f t="array" ref="D659">INDEX(tblDemandAssumptions[Baseline_Weekly_Qty],MOD(ROW()-2,20)+1)</f>
        <v>2100</v>
      </c>
      <c r="E659">
        <f t="shared" si="80"/>
        <v>1.1000000000000001</v>
      </c>
      <c r="F659">
        <v>1.01</v>
      </c>
      <c r="G659">
        <f t="shared" si="81"/>
        <v>2333</v>
      </c>
      <c r="H659">
        <v>0.98</v>
      </c>
      <c r="I659">
        <f t="shared" si="82"/>
        <v>2264</v>
      </c>
      <c r="J659" t="str">
        <f t="shared" si="83"/>
        <v>Normal</v>
      </c>
      <c r="K659">
        <f t="shared" si="84"/>
        <v>2333</v>
      </c>
      <c r="L659">
        <f t="shared" si="85"/>
        <v>69</v>
      </c>
      <c r="M659" s="2">
        <f t="shared" si="86"/>
        <v>3.0477031802120143E-2</v>
      </c>
      <c r="N659">
        <f t="shared" si="87"/>
        <v>69</v>
      </c>
    </row>
    <row r="660" spans="1:14">
      <c r="A660" s="1" cm="1">
        <f t="array" ref="A660">INDEX(tblWeeks[Week_Start],INT((ROW()-2)/20)+1)</f>
        <v>46251</v>
      </c>
      <c r="B660" t="str" cm="1">
        <f t="array" ref="B660">INDEX(tblDemandAssumptions[Customer_ID],MOD(ROW()-2,20)+1)</f>
        <v>C004</v>
      </c>
      <c r="C660" t="str" cm="1">
        <f t="array" ref="C660">INDEX(tblDemandAssumptions[Product_ID],MOD(ROW()-2,20)+1)</f>
        <v>P004</v>
      </c>
      <c r="D660" cm="1">
        <f t="array" ref="D660">INDEX(tblDemandAssumptions[Baseline_Weekly_Qty],MOD(ROW()-2,20)+1)</f>
        <v>2600</v>
      </c>
      <c r="E660">
        <f t="shared" si="80"/>
        <v>1.1000000000000001</v>
      </c>
      <c r="F660">
        <v>1.04</v>
      </c>
      <c r="G660">
        <f t="shared" si="81"/>
        <v>2974</v>
      </c>
      <c r="H660">
        <v>0.96</v>
      </c>
      <c r="I660">
        <f t="shared" si="82"/>
        <v>2746</v>
      </c>
      <c r="J660" t="str">
        <f t="shared" si="83"/>
        <v>Normal</v>
      </c>
      <c r="K660">
        <f t="shared" si="84"/>
        <v>2974</v>
      </c>
      <c r="L660">
        <f t="shared" si="85"/>
        <v>228</v>
      </c>
      <c r="M660" s="2">
        <f t="shared" si="86"/>
        <v>8.3029861616897307E-2</v>
      </c>
      <c r="N660">
        <f t="shared" si="87"/>
        <v>228</v>
      </c>
    </row>
    <row r="661" spans="1:14">
      <c r="A661" s="1" cm="1">
        <f t="array" ref="A661">INDEX(tblWeeks[Week_Start],INT((ROW()-2)/20)+1)</f>
        <v>46251</v>
      </c>
      <c r="B661" t="str" cm="1">
        <f t="array" ref="B661">INDEX(tblDemandAssumptions[Customer_ID],MOD(ROW()-2,20)+1)</f>
        <v>C004</v>
      </c>
      <c r="C661" t="str" cm="1">
        <f t="array" ref="C661">INDEX(tblDemandAssumptions[Product_ID],MOD(ROW()-2,20)+1)</f>
        <v>P005</v>
      </c>
      <c r="D661" cm="1">
        <f t="array" ref="D661">INDEX(tblDemandAssumptions[Baseline_Weekly_Qty],MOD(ROW()-2,20)+1)</f>
        <v>1800</v>
      </c>
      <c r="E661">
        <f t="shared" si="80"/>
        <v>1.1000000000000001</v>
      </c>
      <c r="F661">
        <v>1.05</v>
      </c>
      <c r="G661">
        <f t="shared" si="81"/>
        <v>2079</v>
      </c>
      <c r="H661">
        <v>1</v>
      </c>
      <c r="I661">
        <f t="shared" si="82"/>
        <v>1980</v>
      </c>
      <c r="J661" t="str">
        <f t="shared" si="83"/>
        <v>Normal</v>
      </c>
      <c r="K661">
        <f t="shared" si="84"/>
        <v>2079</v>
      </c>
      <c r="L661">
        <f t="shared" si="85"/>
        <v>99</v>
      </c>
      <c r="M661" s="2">
        <f t="shared" si="86"/>
        <v>0.05</v>
      </c>
      <c r="N661">
        <f t="shared" si="87"/>
        <v>99</v>
      </c>
    </row>
    <row r="662" spans="1:14">
      <c r="A662" s="1" cm="1">
        <f t="array" ref="A662">INDEX(tblWeeks[Week_Start],INT((ROW()-2)/20)+1)</f>
        <v>46258</v>
      </c>
      <c r="B662" t="str" cm="1">
        <f t="array" ref="B662">INDEX(tblDemandAssumptions[Customer_ID],MOD(ROW()-2,20)+1)</f>
        <v>C001</v>
      </c>
      <c r="C662" t="str" cm="1">
        <f t="array" ref="C662">INDEX(tblDemandAssumptions[Product_ID],MOD(ROW()-2,20)+1)</f>
        <v>P001</v>
      </c>
      <c r="D662" cm="1">
        <f t="array" ref="D662">INDEX(tblDemandAssumptions[Baseline_Weekly_Qty],MOD(ROW()-2,20)+1)</f>
        <v>5200</v>
      </c>
      <c r="E662">
        <f t="shared" si="80"/>
        <v>1.1000000000000001</v>
      </c>
      <c r="F662">
        <v>1</v>
      </c>
      <c r="G662">
        <f t="shared" si="81"/>
        <v>5720</v>
      </c>
      <c r="H662">
        <v>1.03</v>
      </c>
      <c r="I662">
        <f t="shared" si="82"/>
        <v>5892</v>
      </c>
      <c r="J662" t="str">
        <f t="shared" si="83"/>
        <v>Normal</v>
      </c>
      <c r="K662">
        <f t="shared" si="84"/>
        <v>5720</v>
      </c>
      <c r="L662">
        <f t="shared" si="85"/>
        <v>-172</v>
      </c>
      <c r="M662" s="2">
        <f t="shared" si="86"/>
        <v>-2.9192124915139173E-2</v>
      </c>
      <c r="N662">
        <f t="shared" si="87"/>
        <v>172</v>
      </c>
    </row>
    <row r="663" spans="1:14">
      <c r="A663" s="1" cm="1">
        <f t="array" ref="A663">INDEX(tblWeeks[Week_Start],INT((ROW()-2)/20)+1)</f>
        <v>46258</v>
      </c>
      <c r="B663" t="str" cm="1">
        <f t="array" ref="B663">INDEX(tblDemandAssumptions[Customer_ID],MOD(ROW()-2,20)+1)</f>
        <v>C001</v>
      </c>
      <c r="C663" t="str" cm="1">
        <f t="array" ref="C663">INDEX(tblDemandAssumptions[Product_ID],MOD(ROW()-2,20)+1)</f>
        <v>P002</v>
      </c>
      <c r="D663" cm="1">
        <f t="array" ref="D663">INDEX(tblDemandAssumptions[Baseline_Weekly_Qty],MOD(ROW()-2,20)+1)</f>
        <v>4100</v>
      </c>
      <c r="E663">
        <f t="shared" si="80"/>
        <v>1.1000000000000001</v>
      </c>
      <c r="F663">
        <v>0.97</v>
      </c>
      <c r="G663">
        <f t="shared" si="81"/>
        <v>4375</v>
      </c>
      <c r="H663">
        <v>1.01</v>
      </c>
      <c r="I663">
        <f t="shared" si="82"/>
        <v>4555</v>
      </c>
      <c r="J663" t="str">
        <f t="shared" si="83"/>
        <v>Normal</v>
      </c>
      <c r="K663">
        <f t="shared" si="84"/>
        <v>4375</v>
      </c>
      <c r="L663">
        <f t="shared" si="85"/>
        <v>-180</v>
      </c>
      <c r="M663" s="2">
        <f t="shared" si="86"/>
        <v>-3.951701427003293E-2</v>
      </c>
      <c r="N663">
        <f t="shared" si="87"/>
        <v>180</v>
      </c>
    </row>
    <row r="664" spans="1:14">
      <c r="A664" s="1" cm="1">
        <f t="array" ref="A664">INDEX(tblWeeks[Week_Start],INT((ROW()-2)/20)+1)</f>
        <v>46258</v>
      </c>
      <c r="B664" t="str" cm="1">
        <f t="array" ref="B664">INDEX(tblDemandAssumptions[Customer_ID],MOD(ROW()-2,20)+1)</f>
        <v>C001</v>
      </c>
      <c r="C664" t="str" cm="1">
        <f t="array" ref="C664">INDEX(tblDemandAssumptions[Product_ID],MOD(ROW()-2,20)+1)</f>
        <v>P003</v>
      </c>
      <c r="D664" cm="1">
        <f t="array" ref="D664">INDEX(tblDemandAssumptions[Baseline_Weekly_Qty],MOD(ROW()-2,20)+1)</f>
        <v>3300</v>
      </c>
      <c r="E664">
        <f t="shared" si="80"/>
        <v>1.1000000000000001</v>
      </c>
      <c r="F664">
        <v>0.96</v>
      </c>
      <c r="G664">
        <f t="shared" si="81"/>
        <v>3485</v>
      </c>
      <c r="H664">
        <v>0.99</v>
      </c>
      <c r="I664">
        <f t="shared" si="82"/>
        <v>3594</v>
      </c>
      <c r="J664" t="str">
        <f t="shared" si="83"/>
        <v>Normal</v>
      </c>
      <c r="K664">
        <f t="shared" si="84"/>
        <v>3485</v>
      </c>
      <c r="L664">
        <f t="shared" si="85"/>
        <v>-109</v>
      </c>
      <c r="M664" s="2">
        <f t="shared" si="86"/>
        <v>-3.0328324986087923E-2</v>
      </c>
      <c r="N664">
        <f t="shared" si="87"/>
        <v>109</v>
      </c>
    </row>
    <row r="665" spans="1:14">
      <c r="A665" s="1" cm="1">
        <f t="array" ref="A665">INDEX(tblWeeks[Week_Start],INT((ROW()-2)/20)+1)</f>
        <v>46258</v>
      </c>
      <c r="B665" t="str" cm="1">
        <f t="array" ref="B665">INDEX(tblDemandAssumptions[Customer_ID],MOD(ROW()-2,20)+1)</f>
        <v>C001</v>
      </c>
      <c r="C665" t="str" cm="1">
        <f t="array" ref="C665">INDEX(tblDemandAssumptions[Product_ID],MOD(ROW()-2,20)+1)</f>
        <v>P004</v>
      </c>
      <c r="D665" cm="1">
        <f t="array" ref="D665">INDEX(tblDemandAssumptions[Baseline_Weekly_Qty],MOD(ROW()-2,20)+1)</f>
        <v>3600</v>
      </c>
      <c r="E665">
        <f t="shared" si="80"/>
        <v>1.1000000000000001</v>
      </c>
      <c r="F665">
        <v>0.99</v>
      </c>
      <c r="G665">
        <f t="shared" si="81"/>
        <v>3920</v>
      </c>
      <c r="H665">
        <v>0.96</v>
      </c>
      <c r="I665">
        <f t="shared" si="82"/>
        <v>3802</v>
      </c>
      <c r="J665" t="str">
        <f t="shared" si="83"/>
        <v>Normal</v>
      </c>
      <c r="K665">
        <f t="shared" si="84"/>
        <v>3920</v>
      </c>
      <c r="L665">
        <f t="shared" si="85"/>
        <v>118</v>
      </c>
      <c r="M665" s="2">
        <f t="shared" si="86"/>
        <v>3.103629668595476E-2</v>
      </c>
      <c r="N665">
        <f t="shared" si="87"/>
        <v>118</v>
      </c>
    </row>
    <row r="666" spans="1:14">
      <c r="A666" s="1" cm="1">
        <f t="array" ref="A666">INDEX(tblWeeks[Week_Start],INT((ROW()-2)/20)+1)</f>
        <v>46258</v>
      </c>
      <c r="B666" t="str" cm="1">
        <f t="array" ref="B666">INDEX(tblDemandAssumptions[Customer_ID],MOD(ROW()-2,20)+1)</f>
        <v>C001</v>
      </c>
      <c r="C666" t="str" cm="1">
        <f t="array" ref="C666">INDEX(tblDemandAssumptions[Product_ID],MOD(ROW()-2,20)+1)</f>
        <v>P005</v>
      </c>
      <c r="D666" cm="1">
        <f t="array" ref="D666">INDEX(tblDemandAssumptions[Baseline_Weekly_Qty],MOD(ROW()-2,20)+1)</f>
        <v>2800</v>
      </c>
      <c r="E666">
        <f t="shared" si="80"/>
        <v>1.1000000000000001</v>
      </c>
      <c r="F666">
        <v>1.05</v>
      </c>
      <c r="G666">
        <f t="shared" si="81"/>
        <v>3234</v>
      </c>
      <c r="H666">
        <v>0.98</v>
      </c>
      <c r="I666">
        <f t="shared" si="82"/>
        <v>3018</v>
      </c>
      <c r="J666" t="str">
        <f t="shared" si="83"/>
        <v>Normal</v>
      </c>
      <c r="K666">
        <f t="shared" si="84"/>
        <v>3234</v>
      </c>
      <c r="L666">
        <f t="shared" si="85"/>
        <v>216</v>
      </c>
      <c r="M666" s="2">
        <f t="shared" si="86"/>
        <v>7.1570576540755465E-2</v>
      </c>
      <c r="N666">
        <f t="shared" si="87"/>
        <v>216</v>
      </c>
    </row>
    <row r="667" spans="1:14">
      <c r="A667" s="1" cm="1">
        <f t="array" ref="A667">INDEX(tblWeeks[Week_Start],INT((ROW()-2)/20)+1)</f>
        <v>46258</v>
      </c>
      <c r="B667" t="str" cm="1">
        <f t="array" ref="B667">INDEX(tblDemandAssumptions[Customer_ID],MOD(ROW()-2,20)+1)</f>
        <v>C002</v>
      </c>
      <c r="C667" t="str" cm="1">
        <f t="array" ref="C667">INDEX(tblDemandAssumptions[Product_ID],MOD(ROW()-2,20)+1)</f>
        <v>P001</v>
      </c>
      <c r="D667" cm="1">
        <f t="array" ref="D667">INDEX(tblDemandAssumptions[Baseline_Weekly_Qty],MOD(ROW()-2,20)+1)</f>
        <v>3400</v>
      </c>
      <c r="E667">
        <f t="shared" si="80"/>
        <v>1.1000000000000001</v>
      </c>
      <c r="F667">
        <v>1.03</v>
      </c>
      <c r="G667">
        <f t="shared" si="81"/>
        <v>3852</v>
      </c>
      <c r="H667">
        <v>1.02</v>
      </c>
      <c r="I667">
        <f t="shared" si="82"/>
        <v>3815</v>
      </c>
      <c r="J667" t="str">
        <f t="shared" si="83"/>
        <v>Normal</v>
      </c>
      <c r="K667">
        <f t="shared" si="84"/>
        <v>3852</v>
      </c>
      <c r="L667">
        <f t="shared" si="85"/>
        <v>37</v>
      </c>
      <c r="M667" s="2">
        <f t="shared" si="86"/>
        <v>9.6985583224115327E-3</v>
      </c>
      <c r="N667">
        <f t="shared" si="87"/>
        <v>37</v>
      </c>
    </row>
    <row r="668" spans="1:14">
      <c r="A668" s="1" cm="1">
        <f t="array" ref="A668">INDEX(tblWeeks[Week_Start],INT((ROW()-2)/20)+1)</f>
        <v>46258</v>
      </c>
      <c r="B668" t="str" cm="1">
        <f t="array" ref="B668">INDEX(tblDemandAssumptions[Customer_ID],MOD(ROW()-2,20)+1)</f>
        <v>C002</v>
      </c>
      <c r="C668" t="str" cm="1">
        <f t="array" ref="C668">INDEX(tblDemandAssumptions[Product_ID],MOD(ROW()-2,20)+1)</f>
        <v>P002</v>
      </c>
      <c r="D668" cm="1">
        <f t="array" ref="D668">INDEX(tblDemandAssumptions[Baseline_Weekly_Qty],MOD(ROW()-2,20)+1)</f>
        <v>3200</v>
      </c>
      <c r="E668">
        <f t="shared" si="80"/>
        <v>1.1000000000000001</v>
      </c>
      <c r="F668">
        <v>0.96</v>
      </c>
      <c r="G668">
        <f t="shared" si="81"/>
        <v>3379</v>
      </c>
      <c r="H668">
        <v>0.98</v>
      </c>
      <c r="I668">
        <f t="shared" si="82"/>
        <v>3450</v>
      </c>
      <c r="J668" t="str">
        <f t="shared" si="83"/>
        <v>Normal</v>
      </c>
      <c r="K668">
        <f t="shared" si="84"/>
        <v>3379</v>
      </c>
      <c r="L668">
        <f t="shared" si="85"/>
        <v>-71</v>
      </c>
      <c r="M668" s="2">
        <f t="shared" si="86"/>
        <v>-2.0579710144927536E-2</v>
      </c>
      <c r="N668">
        <f t="shared" si="87"/>
        <v>71</v>
      </c>
    </row>
    <row r="669" spans="1:14">
      <c r="A669" s="1" cm="1">
        <f t="array" ref="A669">INDEX(tblWeeks[Week_Start],INT((ROW()-2)/20)+1)</f>
        <v>46258</v>
      </c>
      <c r="B669" t="str" cm="1">
        <f t="array" ref="B669">INDEX(tblDemandAssumptions[Customer_ID],MOD(ROW()-2,20)+1)</f>
        <v>C002</v>
      </c>
      <c r="C669" t="str" cm="1">
        <f t="array" ref="C669">INDEX(tblDemandAssumptions[Product_ID],MOD(ROW()-2,20)+1)</f>
        <v>P003</v>
      </c>
      <c r="D669" cm="1">
        <f t="array" ref="D669">INDEX(tblDemandAssumptions[Baseline_Weekly_Qty],MOD(ROW()-2,20)+1)</f>
        <v>2600</v>
      </c>
      <c r="E669">
        <f t="shared" si="80"/>
        <v>1.1000000000000001</v>
      </c>
      <c r="F669">
        <v>0.95</v>
      </c>
      <c r="G669">
        <f t="shared" si="81"/>
        <v>2717</v>
      </c>
      <c r="H669">
        <v>0.96</v>
      </c>
      <c r="I669">
        <f t="shared" si="82"/>
        <v>2746</v>
      </c>
      <c r="J669" t="str">
        <f t="shared" si="83"/>
        <v>Normal</v>
      </c>
      <c r="K669">
        <f t="shared" si="84"/>
        <v>2717</v>
      </c>
      <c r="L669">
        <f t="shared" si="85"/>
        <v>-29</v>
      </c>
      <c r="M669" s="2">
        <f t="shared" si="86"/>
        <v>-1.056081573197378E-2</v>
      </c>
      <c r="N669">
        <f t="shared" si="87"/>
        <v>29</v>
      </c>
    </row>
    <row r="670" spans="1:14">
      <c r="A670" s="1" cm="1">
        <f t="array" ref="A670">INDEX(tblWeeks[Week_Start],INT((ROW()-2)/20)+1)</f>
        <v>46258</v>
      </c>
      <c r="B670" t="str" cm="1">
        <f t="array" ref="B670">INDEX(tblDemandAssumptions[Customer_ID],MOD(ROW()-2,20)+1)</f>
        <v>C002</v>
      </c>
      <c r="C670" t="str" cm="1">
        <f t="array" ref="C670">INDEX(tblDemandAssumptions[Product_ID],MOD(ROW()-2,20)+1)</f>
        <v>P004</v>
      </c>
      <c r="D670" cm="1">
        <f t="array" ref="D670">INDEX(tblDemandAssumptions[Baseline_Weekly_Qty],MOD(ROW()-2,20)+1)</f>
        <v>2900</v>
      </c>
      <c r="E670">
        <f t="shared" si="80"/>
        <v>1.1000000000000001</v>
      </c>
      <c r="F670">
        <v>1.01</v>
      </c>
      <c r="G670">
        <f t="shared" si="81"/>
        <v>3222</v>
      </c>
      <c r="H670">
        <v>0.97</v>
      </c>
      <c r="I670">
        <f t="shared" si="82"/>
        <v>3094</v>
      </c>
      <c r="J670" t="str">
        <f t="shared" si="83"/>
        <v>Normal</v>
      </c>
      <c r="K670">
        <f t="shared" si="84"/>
        <v>3222</v>
      </c>
      <c r="L670">
        <f t="shared" si="85"/>
        <v>128</v>
      </c>
      <c r="M670" s="2">
        <f t="shared" si="86"/>
        <v>4.1370394311570781E-2</v>
      </c>
      <c r="N670">
        <f t="shared" si="87"/>
        <v>128</v>
      </c>
    </row>
    <row r="671" spans="1:14">
      <c r="A671" s="1" cm="1">
        <f t="array" ref="A671">INDEX(tblWeeks[Week_Start],INT((ROW()-2)/20)+1)</f>
        <v>46258</v>
      </c>
      <c r="B671" t="str" cm="1">
        <f t="array" ref="B671">INDEX(tblDemandAssumptions[Customer_ID],MOD(ROW()-2,20)+1)</f>
        <v>C002</v>
      </c>
      <c r="C671" t="str" cm="1">
        <f t="array" ref="C671">INDEX(tblDemandAssumptions[Product_ID],MOD(ROW()-2,20)+1)</f>
        <v>P005</v>
      </c>
      <c r="D671" cm="1">
        <f t="array" ref="D671">INDEX(tblDemandAssumptions[Baseline_Weekly_Qty],MOD(ROW()-2,20)+1)</f>
        <v>2200</v>
      </c>
      <c r="E671">
        <f t="shared" si="80"/>
        <v>1.1000000000000001</v>
      </c>
      <c r="F671">
        <v>0.99</v>
      </c>
      <c r="G671">
        <f t="shared" si="81"/>
        <v>2396</v>
      </c>
      <c r="H671">
        <v>0.99</v>
      </c>
      <c r="I671">
        <f t="shared" si="82"/>
        <v>2396</v>
      </c>
      <c r="J671" t="str">
        <f t="shared" si="83"/>
        <v>Normal</v>
      </c>
      <c r="K671">
        <f t="shared" si="84"/>
        <v>2396</v>
      </c>
      <c r="L671">
        <f t="shared" si="85"/>
        <v>0</v>
      </c>
      <c r="M671" s="2">
        <f t="shared" si="86"/>
        <v>0</v>
      </c>
      <c r="N671">
        <f t="shared" si="87"/>
        <v>0</v>
      </c>
    </row>
    <row r="672" spans="1:14">
      <c r="A672" s="1" cm="1">
        <f t="array" ref="A672">INDEX(tblWeeks[Week_Start],INT((ROW()-2)/20)+1)</f>
        <v>46258</v>
      </c>
      <c r="B672" t="str" cm="1">
        <f t="array" ref="B672">INDEX(tblDemandAssumptions[Customer_ID],MOD(ROW()-2,20)+1)</f>
        <v>C003</v>
      </c>
      <c r="C672" t="str" cm="1">
        <f t="array" ref="C672">INDEX(tblDemandAssumptions[Product_ID],MOD(ROW()-2,20)+1)</f>
        <v>P001</v>
      </c>
      <c r="D672" cm="1">
        <f t="array" ref="D672">INDEX(tblDemandAssumptions[Baseline_Weekly_Qty],MOD(ROW()-2,20)+1)</f>
        <v>3000</v>
      </c>
      <c r="E672">
        <f t="shared" si="80"/>
        <v>1.1000000000000001</v>
      </c>
      <c r="F672">
        <v>1</v>
      </c>
      <c r="G672">
        <f t="shared" si="81"/>
        <v>3300</v>
      </c>
      <c r="H672">
        <v>0.99</v>
      </c>
      <c r="I672">
        <f t="shared" si="82"/>
        <v>3267</v>
      </c>
      <c r="J672" t="str">
        <f t="shared" si="83"/>
        <v>Normal</v>
      </c>
      <c r="K672">
        <f t="shared" si="84"/>
        <v>3300</v>
      </c>
      <c r="L672">
        <f t="shared" si="85"/>
        <v>33</v>
      </c>
      <c r="M672" s="2">
        <f t="shared" si="86"/>
        <v>1.0101010101010102E-2</v>
      </c>
      <c r="N672">
        <f t="shared" si="87"/>
        <v>33</v>
      </c>
    </row>
    <row r="673" spans="1:14">
      <c r="A673" s="1" cm="1">
        <f t="array" ref="A673">INDEX(tblWeeks[Week_Start],INT((ROW()-2)/20)+1)</f>
        <v>46258</v>
      </c>
      <c r="B673" t="str" cm="1">
        <f t="array" ref="B673">INDEX(tblDemandAssumptions[Customer_ID],MOD(ROW()-2,20)+1)</f>
        <v>C003</v>
      </c>
      <c r="C673" t="str" cm="1">
        <f t="array" ref="C673">INDEX(tblDemandAssumptions[Product_ID],MOD(ROW()-2,20)+1)</f>
        <v>P002</v>
      </c>
      <c r="D673" cm="1">
        <f t="array" ref="D673">INDEX(tblDemandAssumptions[Baseline_Weekly_Qty],MOD(ROW()-2,20)+1)</f>
        <v>2700</v>
      </c>
      <c r="E673">
        <f t="shared" si="80"/>
        <v>1.1000000000000001</v>
      </c>
      <c r="F673">
        <v>0.98</v>
      </c>
      <c r="G673">
        <f t="shared" si="81"/>
        <v>2911</v>
      </c>
      <c r="H673">
        <v>1.01</v>
      </c>
      <c r="I673">
        <f t="shared" si="82"/>
        <v>3000</v>
      </c>
      <c r="J673" t="str">
        <f t="shared" si="83"/>
        <v>Normal</v>
      </c>
      <c r="K673">
        <f t="shared" si="84"/>
        <v>2911</v>
      </c>
      <c r="L673">
        <f t="shared" si="85"/>
        <v>-89</v>
      </c>
      <c r="M673" s="2">
        <f t="shared" si="86"/>
        <v>-2.9666666666666668E-2</v>
      </c>
      <c r="N673">
        <f t="shared" si="87"/>
        <v>89</v>
      </c>
    </row>
    <row r="674" spans="1:14">
      <c r="A674" s="1" cm="1">
        <f t="array" ref="A674">INDEX(tblWeeks[Week_Start],INT((ROW()-2)/20)+1)</f>
        <v>46258</v>
      </c>
      <c r="B674" t="str" cm="1">
        <f t="array" ref="B674">INDEX(tblDemandAssumptions[Customer_ID],MOD(ROW()-2,20)+1)</f>
        <v>C003</v>
      </c>
      <c r="C674" t="str" cm="1">
        <f t="array" ref="C674">INDEX(tblDemandAssumptions[Product_ID],MOD(ROW()-2,20)+1)</f>
        <v>P003</v>
      </c>
      <c r="D674" cm="1">
        <f t="array" ref="D674">INDEX(tblDemandAssumptions[Baseline_Weekly_Qty],MOD(ROW()-2,20)+1)</f>
        <v>2800</v>
      </c>
      <c r="E674">
        <f t="shared" si="80"/>
        <v>1.1000000000000001</v>
      </c>
      <c r="F674">
        <v>1.01</v>
      </c>
      <c r="G674">
        <f t="shared" si="81"/>
        <v>3111</v>
      </c>
      <c r="H674">
        <v>0.97</v>
      </c>
      <c r="I674">
        <f t="shared" si="82"/>
        <v>2988</v>
      </c>
      <c r="J674" t="str">
        <f t="shared" si="83"/>
        <v>Normal</v>
      </c>
      <c r="K674">
        <f t="shared" si="84"/>
        <v>3111</v>
      </c>
      <c r="L674">
        <f t="shared" si="85"/>
        <v>123</v>
      </c>
      <c r="M674" s="2">
        <f t="shared" si="86"/>
        <v>4.1164658634538151E-2</v>
      </c>
      <c r="N674">
        <f t="shared" si="87"/>
        <v>123</v>
      </c>
    </row>
    <row r="675" spans="1:14">
      <c r="A675" s="1" cm="1">
        <f t="array" ref="A675">INDEX(tblWeeks[Week_Start],INT((ROW()-2)/20)+1)</f>
        <v>46258</v>
      </c>
      <c r="B675" t="str" cm="1">
        <f t="array" ref="B675">INDEX(tblDemandAssumptions[Customer_ID],MOD(ROW()-2,20)+1)</f>
        <v>C003</v>
      </c>
      <c r="C675" t="str" cm="1">
        <f t="array" ref="C675">INDEX(tblDemandAssumptions[Product_ID],MOD(ROW()-2,20)+1)</f>
        <v>P004</v>
      </c>
      <c r="D675" cm="1">
        <f t="array" ref="D675">INDEX(tblDemandAssumptions[Baseline_Weekly_Qty],MOD(ROW()-2,20)+1)</f>
        <v>2400</v>
      </c>
      <c r="E675">
        <f t="shared" si="80"/>
        <v>1.1000000000000001</v>
      </c>
      <c r="F675">
        <v>0.99</v>
      </c>
      <c r="G675">
        <f t="shared" si="81"/>
        <v>2614</v>
      </c>
      <c r="H675">
        <v>0.97</v>
      </c>
      <c r="I675">
        <f t="shared" si="82"/>
        <v>2561</v>
      </c>
      <c r="J675" t="str">
        <f t="shared" si="83"/>
        <v>Normal</v>
      </c>
      <c r="K675">
        <f t="shared" si="84"/>
        <v>2614</v>
      </c>
      <c r="L675">
        <f t="shared" si="85"/>
        <v>53</v>
      </c>
      <c r="M675" s="2">
        <f t="shared" si="86"/>
        <v>2.0695040999609528E-2</v>
      </c>
      <c r="N675">
        <f t="shared" si="87"/>
        <v>53</v>
      </c>
    </row>
    <row r="676" spans="1:14">
      <c r="A676" s="1" cm="1">
        <f t="array" ref="A676">INDEX(tblWeeks[Week_Start],INT((ROW()-2)/20)+1)</f>
        <v>46258</v>
      </c>
      <c r="B676" t="str" cm="1">
        <f t="array" ref="B676">INDEX(tblDemandAssumptions[Customer_ID],MOD(ROW()-2,20)+1)</f>
        <v>C003</v>
      </c>
      <c r="C676" t="str" cm="1">
        <f t="array" ref="C676">INDEX(tblDemandAssumptions[Product_ID],MOD(ROW()-2,20)+1)</f>
        <v>P005</v>
      </c>
      <c r="D676" cm="1">
        <f t="array" ref="D676">INDEX(tblDemandAssumptions[Baseline_Weekly_Qty],MOD(ROW()-2,20)+1)</f>
        <v>1900</v>
      </c>
      <c r="E676">
        <f t="shared" si="80"/>
        <v>1.1000000000000001</v>
      </c>
      <c r="F676">
        <v>1.03</v>
      </c>
      <c r="G676">
        <f t="shared" si="81"/>
        <v>2153</v>
      </c>
      <c r="H676">
        <v>0.97</v>
      </c>
      <c r="I676">
        <f t="shared" si="82"/>
        <v>2027</v>
      </c>
      <c r="J676" t="str">
        <f t="shared" si="83"/>
        <v>Normal</v>
      </c>
      <c r="K676">
        <f t="shared" si="84"/>
        <v>2153</v>
      </c>
      <c r="L676">
        <f t="shared" si="85"/>
        <v>126</v>
      </c>
      <c r="M676" s="2">
        <f t="shared" si="86"/>
        <v>6.2160828811050811E-2</v>
      </c>
      <c r="N676">
        <f t="shared" si="87"/>
        <v>126</v>
      </c>
    </row>
    <row r="677" spans="1:14">
      <c r="A677" s="1" cm="1">
        <f t="array" ref="A677">INDEX(tblWeeks[Week_Start],INT((ROW()-2)/20)+1)</f>
        <v>46258</v>
      </c>
      <c r="B677" t="str" cm="1">
        <f t="array" ref="B677">INDEX(tblDemandAssumptions[Customer_ID],MOD(ROW()-2,20)+1)</f>
        <v>C004</v>
      </c>
      <c r="C677" t="str" cm="1">
        <f t="array" ref="C677">INDEX(tblDemandAssumptions[Product_ID],MOD(ROW()-2,20)+1)</f>
        <v>P001</v>
      </c>
      <c r="D677" cm="1">
        <f t="array" ref="D677">INDEX(tblDemandAssumptions[Baseline_Weekly_Qty],MOD(ROW()-2,20)+1)</f>
        <v>2700</v>
      </c>
      <c r="E677">
        <f t="shared" si="80"/>
        <v>1.1000000000000001</v>
      </c>
      <c r="F677">
        <v>0.98</v>
      </c>
      <c r="G677">
        <f t="shared" si="81"/>
        <v>2911</v>
      </c>
      <c r="H677">
        <v>1.02</v>
      </c>
      <c r="I677">
        <f t="shared" si="82"/>
        <v>3029</v>
      </c>
      <c r="J677" t="str">
        <f t="shared" si="83"/>
        <v>Normal</v>
      </c>
      <c r="K677">
        <f t="shared" si="84"/>
        <v>2911</v>
      </c>
      <c r="L677">
        <f t="shared" si="85"/>
        <v>-118</v>
      </c>
      <c r="M677" s="2">
        <f t="shared" si="86"/>
        <v>-3.8956751403103333E-2</v>
      </c>
      <c r="N677">
        <f t="shared" si="87"/>
        <v>118</v>
      </c>
    </row>
    <row r="678" spans="1:14">
      <c r="A678" s="1" cm="1">
        <f t="array" ref="A678">INDEX(tblWeeks[Week_Start],INT((ROW()-2)/20)+1)</f>
        <v>46258</v>
      </c>
      <c r="B678" t="str" cm="1">
        <f t="array" ref="B678">INDEX(tblDemandAssumptions[Customer_ID],MOD(ROW()-2,20)+1)</f>
        <v>C004</v>
      </c>
      <c r="C678" t="str" cm="1">
        <f t="array" ref="C678">INDEX(tblDemandAssumptions[Product_ID],MOD(ROW()-2,20)+1)</f>
        <v>P002</v>
      </c>
      <c r="D678" cm="1">
        <f t="array" ref="D678">INDEX(tblDemandAssumptions[Baseline_Weekly_Qty],MOD(ROW()-2,20)+1)</f>
        <v>2400</v>
      </c>
      <c r="E678">
        <f t="shared" si="80"/>
        <v>1.1000000000000001</v>
      </c>
      <c r="F678">
        <v>0.95</v>
      </c>
      <c r="G678">
        <f t="shared" si="81"/>
        <v>2508</v>
      </c>
      <c r="H678">
        <v>0.96</v>
      </c>
      <c r="I678">
        <f t="shared" si="82"/>
        <v>2534</v>
      </c>
      <c r="J678" t="str">
        <f t="shared" si="83"/>
        <v>Normal</v>
      </c>
      <c r="K678">
        <f t="shared" si="84"/>
        <v>2508</v>
      </c>
      <c r="L678">
        <f t="shared" si="85"/>
        <v>-26</v>
      </c>
      <c r="M678" s="2">
        <f t="shared" si="86"/>
        <v>-1.0260457774269928E-2</v>
      </c>
      <c r="N678">
        <f t="shared" si="87"/>
        <v>26</v>
      </c>
    </row>
    <row r="679" spans="1:14">
      <c r="A679" s="1" cm="1">
        <f t="array" ref="A679">INDEX(tblWeeks[Week_Start],INT((ROW()-2)/20)+1)</f>
        <v>46258</v>
      </c>
      <c r="B679" t="str" cm="1">
        <f t="array" ref="B679">INDEX(tblDemandAssumptions[Customer_ID],MOD(ROW()-2,20)+1)</f>
        <v>C004</v>
      </c>
      <c r="C679" t="str" cm="1">
        <f t="array" ref="C679">INDEX(tblDemandAssumptions[Product_ID],MOD(ROW()-2,20)+1)</f>
        <v>P003</v>
      </c>
      <c r="D679" cm="1">
        <f t="array" ref="D679">INDEX(tblDemandAssumptions[Baseline_Weekly_Qty],MOD(ROW()-2,20)+1)</f>
        <v>2100</v>
      </c>
      <c r="E679">
        <f t="shared" si="80"/>
        <v>1.1000000000000001</v>
      </c>
      <c r="F679">
        <v>1.04</v>
      </c>
      <c r="G679">
        <f t="shared" si="81"/>
        <v>2402</v>
      </c>
      <c r="H679">
        <v>0.96</v>
      </c>
      <c r="I679">
        <f t="shared" si="82"/>
        <v>2218</v>
      </c>
      <c r="J679" t="str">
        <f t="shared" si="83"/>
        <v>Normal</v>
      </c>
      <c r="K679">
        <f t="shared" si="84"/>
        <v>2402</v>
      </c>
      <c r="L679">
        <f t="shared" si="85"/>
        <v>184</v>
      </c>
      <c r="M679" s="2">
        <f t="shared" si="86"/>
        <v>8.2957619477006306E-2</v>
      </c>
      <c r="N679">
        <f t="shared" si="87"/>
        <v>184</v>
      </c>
    </row>
    <row r="680" spans="1:14">
      <c r="A680" s="1" cm="1">
        <f t="array" ref="A680">INDEX(tblWeeks[Week_Start],INT((ROW()-2)/20)+1)</f>
        <v>46258</v>
      </c>
      <c r="B680" t="str" cm="1">
        <f t="array" ref="B680">INDEX(tblDemandAssumptions[Customer_ID],MOD(ROW()-2,20)+1)</f>
        <v>C004</v>
      </c>
      <c r="C680" t="str" cm="1">
        <f t="array" ref="C680">INDEX(tblDemandAssumptions[Product_ID],MOD(ROW()-2,20)+1)</f>
        <v>P004</v>
      </c>
      <c r="D680" cm="1">
        <f t="array" ref="D680">INDEX(tblDemandAssumptions[Baseline_Weekly_Qty],MOD(ROW()-2,20)+1)</f>
        <v>2600</v>
      </c>
      <c r="E680">
        <f t="shared" si="80"/>
        <v>1.1000000000000001</v>
      </c>
      <c r="F680">
        <v>0.97</v>
      </c>
      <c r="G680">
        <f t="shared" si="81"/>
        <v>2774</v>
      </c>
      <c r="H680">
        <v>0.99</v>
      </c>
      <c r="I680">
        <f t="shared" si="82"/>
        <v>2831</v>
      </c>
      <c r="J680" t="str">
        <f t="shared" si="83"/>
        <v>Normal</v>
      </c>
      <c r="K680">
        <f t="shared" si="84"/>
        <v>2774</v>
      </c>
      <c r="L680">
        <f t="shared" si="85"/>
        <v>-57</v>
      </c>
      <c r="M680" s="2">
        <f t="shared" si="86"/>
        <v>-2.0134228187919462E-2</v>
      </c>
      <c r="N680">
        <f t="shared" si="87"/>
        <v>57</v>
      </c>
    </row>
    <row r="681" spans="1:14">
      <c r="A681" s="1" cm="1">
        <f t="array" ref="A681">INDEX(tblWeeks[Week_Start],INT((ROW()-2)/20)+1)</f>
        <v>46258</v>
      </c>
      <c r="B681" t="str" cm="1">
        <f t="array" ref="B681">INDEX(tblDemandAssumptions[Customer_ID],MOD(ROW()-2,20)+1)</f>
        <v>C004</v>
      </c>
      <c r="C681" t="str" cm="1">
        <f t="array" ref="C681">INDEX(tblDemandAssumptions[Product_ID],MOD(ROW()-2,20)+1)</f>
        <v>P005</v>
      </c>
      <c r="D681" cm="1">
        <f t="array" ref="D681">INDEX(tblDemandAssumptions[Baseline_Weekly_Qty],MOD(ROW()-2,20)+1)</f>
        <v>1800</v>
      </c>
      <c r="E681">
        <f t="shared" si="80"/>
        <v>1.1000000000000001</v>
      </c>
      <c r="F681">
        <v>1</v>
      </c>
      <c r="G681">
        <f t="shared" si="81"/>
        <v>1980</v>
      </c>
      <c r="H681">
        <v>1.01</v>
      </c>
      <c r="I681">
        <f t="shared" si="82"/>
        <v>2000</v>
      </c>
      <c r="J681" t="str">
        <f t="shared" si="83"/>
        <v>Normal</v>
      </c>
      <c r="K681">
        <f t="shared" si="84"/>
        <v>1980</v>
      </c>
      <c r="L681">
        <f t="shared" si="85"/>
        <v>-20</v>
      </c>
      <c r="M681" s="2">
        <f t="shared" si="86"/>
        <v>-0.01</v>
      </c>
      <c r="N681">
        <f t="shared" si="87"/>
        <v>20</v>
      </c>
    </row>
    <row r="682" spans="1:14">
      <c r="A682" s="1" cm="1">
        <f t="array" ref="A682">INDEX(tblWeeks[Week_Start],INT((ROW()-2)/20)+1)</f>
        <v>46265</v>
      </c>
      <c r="B682" t="str" cm="1">
        <f t="array" ref="B682">INDEX(tblDemandAssumptions[Customer_ID],MOD(ROW()-2,20)+1)</f>
        <v>C001</v>
      </c>
      <c r="C682" t="str" cm="1">
        <f t="array" ref="C682">INDEX(tblDemandAssumptions[Product_ID],MOD(ROW()-2,20)+1)</f>
        <v>P001</v>
      </c>
      <c r="D682" cm="1">
        <f t="array" ref="D682">INDEX(tblDemandAssumptions[Baseline_Weekly_Qty],MOD(ROW()-2,20)+1)</f>
        <v>5200</v>
      </c>
      <c r="E682">
        <f t="shared" si="80"/>
        <v>1.1000000000000001</v>
      </c>
      <c r="F682">
        <v>1</v>
      </c>
      <c r="G682">
        <f t="shared" si="81"/>
        <v>5720</v>
      </c>
      <c r="H682">
        <v>0.96</v>
      </c>
      <c r="I682">
        <f t="shared" si="82"/>
        <v>5491</v>
      </c>
      <c r="J682" t="str">
        <f t="shared" si="83"/>
        <v>Normal</v>
      </c>
      <c r="K682">
        <f t="shared" si="84"/>
        <v>5720</v>
      </c>
      <c r="L682">
        <f t="shared" si="85"/>
        <v>229</v>
      </c>
      <c r="M682" s="2">
        <f t="shared" si="86"/>
        <v>4.1704607539610271E-2</v>
      </c>
      <c r="N682">
        <f t="shared" si="87"/>
        <v>229</v>
      </c>
    </row>
    <row r="683" spans="1:14">
      <c r="A683" s="1" cm="1">
        <f t="array" ref="A683">INDEX(tblWeeks[Week_Start],INT((ROW()-2)/20)+1)</f>
        <v>46265</v>
      </c>
      <c r="B683" t="str" cm="1">
        <f t="array" ref="B683">INDEX(tblDemandAssumptions[Customer_ID],MOD(ROW()-2,20)+1)</f>
        <v>C001</v>
      </c>
      <c r="C683" t="str" cm="1">
        <f t="array" ref="C683">INDEX(tblDemandAssumptions[Product_ID],MOD(ROW()-2,20)+1)</f>
        <v>P002</v>
      </c>
      <c r="D683" cm="1">
        <f t="array" ref="D683">INDEX(tblDemandAssumptions[Baseline_Weekly_Qty],MOD(ROW()-2,20)+1)</f>
        <v>4100</v>
      </c>
      <c r="E683">
        <f t="shared" si="80"/>
        <v>1.1000000000000001</v>
      </c>
      <c r="F683">
        <v>0.95</v>
      </c>
      <c r="G683">
        <f t="shared" si="81"/>
        <v>4285</v>
      </c>
      <c r="H683">
        <v>0.99</v>
      </c>
      <c r="I683">
        <f t="shared" si="82"/>
        <v>4465</v>
      </c>
      <c r="J683" t="str">
        <f t="shared" si="83"/>
        <v>Normal</v>
      </c>
      <c r="K683">
        <f t="shared" si="84"/>
        <v>4285</v>
      </c>
      <c r="L683">
        <f t="shared" si="85"/>
        <v>-180</v>
      </c>
      <c r="M683" s="2">
        <f t="shared" si="86"/>
        <v>-4.0313549832026875E-2</v>
      </c>
      <c r="N683">
        <f t="shared" si="87"/>
        <v>180</v>
      </c>
    </row>
    <row r="684" spans="1:14">
      <c r="A684" s="1" cm="1">
        <f t="array" ref="A684">INDEX(tblWeeks[Week_Start],INT((ROW()-2)/20)+1)</f>
        <v>46265</v>
      </c>
      <c r="B684" t="str" cm="1">
        <f t="array" ref="B684">INDEX(tblDemandAssumptions[Customer_ID],MOD(ROW()-2,20)+1)</f>
        <v>C001</v>
      </c>
      <c r="C684" t="str" cm="1">
        <f t="array" ref="C684">INDEX(tblDemandAssumptions[Product_ID],MOD(ROW()-2,20)+1)</f>
        <v>P003</v>
      </c>
      <c r="D684" cm="1">
        <f t="array" ref="D684">INDEX(tblDemandAssumptions[Baseline_Weekly_Qty],MOD(ROW()-2,20)+1)</f>
        <v>3300</v>
      </c>
      <c r="E684">
        <f t="shared" si="80"/>
        <v>1.1000000000000001</v>
      </c>
      <c r="F684">
        <v>0.95</v>
      </c>
      <c r="G684">
        <f t="shared" si="81"/>
        <v>3449</v>
      </c>
      <c r="H684">
        <v>1.03</v>
      </c>
      <c r="I684">
        <f t="shared" si="82"/>
        <v>3739</v>
      </c>
      <c r="J684" t="str">
        <f t="shared" si="83"/>
        <v>Normal</v>
      </c>
      <c r="K684">
        <f t="shared" si="84"/>
        <v>3449</v>
      </c>
      <c r="L684">
        <f t="shared" si="85"/>
        <v>-290</v>
      </c>
      <c r="M684" s="2">
        <f t="shared" si="86"/>
        <v>-7.7560845145760893E-2</v>
      </c>
      <c r="N684">
        <f t="shared" si="87"/>
        <v>290</v>
      </c>
    </row>
    <row r="685" spans="1:14">
      <c r="A685" s="1" cm="1">
        <f t="array" ref="A685">INDEX(tblWeeks[Week_Start],INT((ROW()-2)/20)+1)</f>
        <v>46265</v>
      </c>
      <c r="B685" t="str" cm="1">
        <f t="array" ref="B685">INDEX(tblDemandAssumptions[Customer_ID],MOD(ROW()-2,20)+1)</f>
        <v>C001</v>
      </c>
      <c r="C685" t="str" cm="1">
        <f t="array" ref="C685">INDEX(tblDemandAssumptions[Product_ID],MOD(ROW()-2,20)+1)</f>
        <v>P004</v>
      </c>
      <c r="D685" cm="1">
        <f t="array" ref="D685">INDEX(tblDemandAssumptions[Baseline_Weekly_Qty],MOD(ROW()-2,20)+1)</f>
        <v>3600</v>
      </c>
      <c r="E685">
        <f t="shared" si="80"/>
        <v>1.1000000000000001</v>
      </c>
      <c r="F685">
        <v>1</v>
      </c>
      <c r="G685">
        <f t="shared" si="81"/>
        <v>3960</v>
      </c>
      <c r="H685">
        <v>0.97</v>
      </c>
      <c r="I685">
        <f t="shared" si="82"/>
        <v>3841</v>
      </c>
      <c r="J685" t="str">
        <f t="shared" si="83"/>
        <v>Normal</v>
      </c>
      <c r="K685">
        <f t="shared" si="84"/>
        <v>3960</v>
      </c>
      <c r="L685">
        <f t="shared" si="85"/>
        <v>119</v>
      </c>
      <c r="M685" s="2">
        <f t="shared" si="86"/>
        <v>3.0981515230408749E-2</v>
      </c>
      <c r="N685">
        <f t="shared" si="87"/>
        <v>119</v>
      </c>
    </row>
    <row r="686" spans="1:14">
      <c r="A686" s="1" cm="1">
        <f t="array" ref="A686">INDEX(tblWeeks[Week_Start],INT((ROW()-2)/20)+1)</f>
        <v>46265</v>
      </c>
      <c r="B686" t="str" cm="1">
        <f t="array" ref="B686">INDEX(tblDemandAssumptions[Customer_ID],MOD(ROW()-2,20)+1)</f>
        <v>C001</v>
      </c>
      <c r="C686" t="str" cm="1">
        <f t="array" ref="C686">INDEX(tblDemandAssumptions[Product_ID],MOD(ROW()-2,20)+1)</f>
        <v>P005</v>
      </c>
      <c r="D686" cm="1">
        <f t="array" ref="D686">INDEX(tblDemandAssumptions[Baseline_Weekly_Qty],MOD(ROW()-2,20)+1)</f>
        <v>2800</v>
      </c>
      <c r="E686">
        <f t="shared" si="80"/>
        <v>1.1000000000000001</v>
      </c>
      <c r="F686">
        <v>1</v>
      </c>
      <c r="G686">
        <f t="shared" si="81"/>
        <v>3080</v>
      </c>
      <c r="H686">
        <v>1</v>
      </c>
      <c r="I686">
        <f t="shared" si="82"/>
        <v>3080</v>
      </c>
      <c r="J686" t="str">
        <f t="shared" si="83"/>
        <v>Normal</v>
      </c>
      <c r="K686">
        <f t="shared" si="84"/>
        <v>3080</v>
      </c>
      <c r="L686">
        <f t="shared" si="85"/>
        <v>0</v>
      </c>
      <c r="M686" s="2">
        <f t="shared" si="86"/>
        <v>0</v>
      </c>
      <c r="N686">
        <f t="shared" si="87"/>
        <v>0</v>
      </c>
    </row>
    <row r="687" spans="1:14">
      <c r="A687" s="1" cm="1">
        <f t="array" ref="A687">INDEX(tblWeeks[Week_Start],INT((ROW()-2)/20)+1)</f>
        <v>46265</v>
      </c>
      <c r="B687" t="str" cm="1">
        <f t="array" ref="B687">INDEX(tblDemandAssumptions[Customer_ID],MOD(ROW()-2,20)+1)</f>
        <v>C002</v>
      </c>
      <c r="C687" t="str" cm="1">
        <f t="array" ref="C687">INDEX(tblDemandAssumptions[Product_ID],MOD(ROW()-2,20)+1)</f>
        <v>P001</v>
      </c>
      <c r="D687" cm="1">
        <f t="array" ref="D687">INDEX(tblDemandAssumptions[Baseline_Weekly_Qty],MOD(ROW()-2,20)+1)</f>
        <v>3400</v>
      </c>
      <c r="E687">
        <f t="shared" si="80"/>
        <v>1.1000000000000001</v>
      </c>
      <c r="F687">
        <v>0.97</v>
      </c>
      <c r="G687">
        <f t="shared" si="81"/>
        <v>3628</v>
      </c>
      <c r="H687">
        <v>0.98</v>
      </c>
      <c r="I687">
        <f t="shared" si="82"/>
        <v>3665</v>
      </c>
      <c r="J687" t="str">
        <f t="shared" si="83"/>
        <v>Normal</v>
      </c>
      <c r="K687">
        <f t="shared" si="84"/>
        <v>3628</v>
      </c>
      <c r="L687">
        <f t="shared" si="85"/>
        <v>-37</v>
      </c>
      <c r="M687" s="2">
        <f t="shared" si="86"/>
        <v>-1.0095497953615279E-2</v>
      </c>
      <c r="N687">
        <f t="shared" si="87"/>
        <v>37</v>
      </c>
    </row>
    <row r="688" spans="1:14">
      <c r="A688" s="1" cm="1">
        <f t="array" ref="A688">INDEX(tblWeeks[Week_Start],INT((ROW()-2)/20)+1)</f>
        <v>46265</v>
      </c>
      <c r="B688" t="str" cm="1">
        <f t="array" ref="B688">INDEX(tblDemandAssumptions[Customer_ID],MOD(ROW()-2,20)+1)</f>
        <v>C002</v>
      </c>
      <c r="C688" t="str" cm="1">
        <f t="array" ref="C688">INDEX(tblDemandAssumptions[Product_ID],MOD(ROW()-2,20)+1)</f>
        <v>P002</v>
      </c>
      <c r="D688" cm="1">
        <f t="array" ref="D688">INDEX(tblDemandAssumptions[Baseline_Weekly_Qty],MOD(ROW()-2,20)+1)</f>
        <v>3200</v>
      </c>
      <c r="E688">
        <f t="shared" si="80"/>
        <v>1.1000000000000001</v>
      </c>
      <c r="F688">
        <v>1.01</v>
      </c>
      <c r="G688">
        <f t="shared" si="81"/>
        <v>3555</v>
      </c>
      <c r="H688">
        <v>0.99</v>
      </c>
      <c r="I688">
        <f t="shared" si="82"/>
        <v>3485</v>
      </c>
      <c r="J688" t="str">
        <f t="shared" si="83"/>
        <v>Normal</v>
      </c>
      <c r="K688">
        <f t="shared" si="84"/>
        <v>3555</v>
      </c>
      <c r="L688">
        <f t="shared" si="85"/>
        <v>70</v>
      </c>
      <c r="M688" s="2">
        <f t="shared" si="86"/>
        <v>2.0086083213773313E-2</v>
      </c>
      <c r="N688">
        <f t="shared" si="87"/>
        <v>70</v>
      </c>
    </row>
    <row r="689" spans="1:14">
      <c r="A689" s="1" cm="1">
        <f t="array" ref="A689">INDEX(tblWeeks[Week_Start],INT((ROW()-2)/20)+1)</f>
        <v>46265</v>
      </c>
      <c r="B689" t="str" cm="1">
        <f t="array" ref="B689">INDEX(tblDemandAssumptions[Customer_ID],MOD(ROW()-2,20)+1)</f>
        <v>C002</v>
      </c>
      <c r="C689" t="str" cm="1">
        <f t="array" ref="C689">INDEX(tblDemandAssumptions[Product_ID],MOD(ROW()-2,20)+1)</f>
        <v>P003</v>
      </c>
      <c r="D689" cm="1">
        <f t="array" ref="D689">INDEX(tblDemandAssumptions[Baseline_Weekly_Qty],MOD(ROW()-2,20)+1)</f>
        <v>2600</v>
      </c>
      <c r="E689">
        <f t="shared" si="80"/>
        <v>1.1000000000000001</v>
      </c>
      <c r="F689">
        <v>1</v>
      </c>
      <c r="G689">
        <f t="shared" si="81"/>
        <v>2860</v>
      </c>
      <c r="H689">
        <v>0.96</v>
      </c>
      <c r="I689">
        <f t="shared" si="82"/>
        <v>2746</v>
      </c>
      <c r="J689" t="str">
        <f t="shared" si="83"/>
        <v>Normal</v>
      </c>
      <c r="K689">
        <f t="shared" si="84"/>
        <v>2860</v>
      </c>
      <c r="L689">
        <f t="shared" si="85"/>
        <v>114</v>
      </c>
      <c r="M689" s="2">
        <f t="shared" si="86"/>
        <v>4.1514930808448654E-2</v>
      </c>
      <c r="N689">
        <f t="shared" si="87"/>
        <v>114</v>
      </c>
    </row>
    <row r="690" spans="1:14">
      <c r="A690" s="1" cm="1">
        <f t="array" ref="A690">INDEX(tblWeeks[Week_Start],INT((ROW()-2)/20)+1)</f>
        <v>46265</v>
      </c>
      <c r="B690" t="str" cm="1">
        <f t="array" ref="B690">INDEX(tblDemandAssumptions[Customer_ID],MOD(ROW()-2,20)+1)</f>
        <v>C002</v>
      </c>
      <c r="C690" t="str" cm="1">
        <f t="array" ref="C690">INDEX(tblDemandAssumptions[Product_ID],MOD(ROW()-2,20)+1)</f>
        <v>P004</v>
      </c>
      <c r="D690" cm="1">
        <f t="array" ref="D690">INDEX(tblDemandAssumptions[Baseline_Weekly_Qty],MOD(ROW()-2,20)+1)</f>
        <v>2900</v>
      </c>
      <c r="E690">
        <f t="shared" si="80"/>
        <v>1.1000000000000001</v>
      </c>
      <c r="F690">
        <v>1.02</v>
      </c>
      <c r="G690">
        <f t="shared" si="81"/>
        <v>3254</v>
      </c>
      <c r="H690">
        <v>0.97</v>
      </c>
      <c r="I690">
        <f t="shared" si="82"/>
        <v>3094</v>
      </c>
      <c r="J690" t="str">
        <f t="shared" si="83"/>
        <v>Normal</v>
      </c>
      <c r="K690">
        <f t="shared" si="84"/>
        <v>3254</v>
      </c>
      <c r="L690">
        <f t="shared" si="85"/>
        <v>160</v>
      </c>
      <c r="M690" s="2">
        <f t="shared" si="86"/>
        <v>5.1712992889463474E-2</v>
      </c>
      <c r="N690">
        <f t="shared" si="87"/>
        <v>160</v>
      </c>
    </row>
    <row r="691" spans="1:14">
      <c r="A691" s="1" cm="1">
        <f t="array" ref="A691">INDEX(tblWeeks[Week_Start],INT((ROW()-2)/20)+1)</f>
        <v>46265</v>
      </c>
      <c r="B691" t="str" cm="1">
        <f t="array" ref="B691">INDEX(tblDemandAssumptions[Customer_ID],MOD(ROW()-2,20)+1)</f>
        <v>C002</v>
      </c>
      <c r="C691" t="str" cm="1">
        <f t="array" ref="C691">INDEX(tblDemandAssumptions[Product_ID],MOD(ROW()-2,20)+1)</f>
        <v>P005</v>
      </c>
      <c r="D691" cm="1">
        <f t="array" ref="D691">INDEX(tblDemandAssumptions[Baseline_Weekly_Qty],MOD(ROW()-2,20)+1)</f>
        <v>2200</v>
      </c>
      <c r="E691">
        <f t="shared" si="80"/>
        <v>1.1000000000000001</v>
      </c>
      <c r="F691">
        <v>1.02</v>
      </c>
      <c r="G691">
        <f t="shared" si="81"/>
        <v>2468</v>
      </c>
      <c r="H691">
        <v>1</v>
      </c>
      <c r="I691">
        <f t="shared" si="82"/>
        <v>2420</v>
      </c>
      <c r="J691" t="str">
        <f t="shared" si="83"/>
        <v>Normal</v>
      </c>
      <c r="K691">
        <f t="shared" si="84"/>
        <v>2468</v>
      </c>
      <c r="L691">
        <f t="shared" si="85"/>
        <v>48</v>
      </c>
      <c r="M691" s="2">
        <f t="shared" si="86"/>
        <v>1.9834710743801654E-2</v>
      </c>
      <c r="N691">
        <f t="shared" si="87"/>
        <v>48</v>
      </c>
    </row>
    <row r="692" spans="1:14">
      <c r="A692" s="1" cm="1">
        <f t="array" ref="A692">INDEX(tblWeeks[Week_Start],INT((ROW()-2)/20)+1)</f>
        <v>46265</v>
      </c>
      <c r="B692" t="str" cm="1">
        <f t="array" ref="B692">INDEX(tblDemandAssumptions[Customer_ID],MOD(ROW()-2,20)+1)</f>
        <v>C003</v>
      </c>
      <c r="C692" t="str" cm="1">
        <f t="array" ref="C692">INDEX(tblDemandAssumptions[Product_ID],MOD(ROW()-2,20)+1)</f>
        <v>P001</v>
      </c>
      <c r="D692" cm="1">
        <f t="array" ref="D692">INDEX(tblDemandAssumptions[Baseline_Weekly_Qty],MOD(ROW()-2,20)+1)</f>
        <v>3000</v>
      </c>
      <c r="E692">
        <f t="shared" si="80"/>
        <v>1.1000000000000001</v>
      </c>
      <c r="F692">
        <v>1</v>
      </c>
      <c r="G692">
        <f t="shared" si="81"/>
        <v>3300</v>
      </c>
      <c r="H692">
        <v>1.01</v>
      </c>
      <c r="I692">
        <f t="shared" si="82"/>
        <v>3333</v>
      </c>
      <c r="J692" t="str">
        <f t="shared" si="83"/>
        <v>Normal</v>
      </c>
      <c r="K692">
        <f t="shared" si="84"/>
        <v>3300</v>
      </c>
      <c r="L692">
        <f t="shared" si="85"/>
        <v>-33</v>
      </c>
      <c r="M692" s="2">
        <f t="shared" si="86"/>
        <v>-9.9009900990099011E-3</v>
      </c>
      <c r="N692">
        <f t="shared" si="87"/>
        <v>33</v>
      </c>
    </row>
    <row r="693" spans="1:14">
      <c r="A693" s="1" cm="1">
        <f t="array" ref="A693">INDEX(tblWeeks[Week_Start],INT((ROW()-2)/20)+1)</f>
        <v>46265</v>
      </c>
      <c r="B693" t="str" cm="1">
        <f t="array" ref="B693">INDEX(tblDemandAssumptions[Customer_ID],MOD(ROW()-2,20)+1)</f>
        <v>C003</v>
      </c>
      <c r="C693" t="str" cm="1">
        <f t="array" ref="C693">INDEX(tblDemandAssumptions[Product_ID],MOD(ROW()-2,20)+1)</f>
        <v>P002</v>
      </c>
      <c r="D693" cm="1">
        <f t="array" ref="D693">INDEX(tblDemandAssumptions[Baseline_Weekly_Qty],MOD(ROW()-2,20)+1)</f>
        <v>2700</v>
      </c>
      <c r="E693">
        <f t="shared" si="80"/>
        <v>1.1000000000000001</v>
      </c>
      <c r="F693">
        <v>0.97</v>
      </c>
      <c r="G693">
        <f t="shared" si="81"/>
        <v>2881</v>
      </c>
      <c r="H693">
        <v>0.99</v>
      </c>
      <c r="I693">
        <f t="shared" si="82"/>
        <v>2940</v>
      </c>
      <c r="J693" t="str">
        <f t="shared" si="83"/>
        <v>Normal</v>
      </c>
      <c r="K693">
        <f t="shared" si="84"/>
        <v>2881</v>
      </c>
      <c r="L693">
        <f t="shared" si="85"/>
        <v>-59</v>
      </c>
      <c r="M693" s="2">
        <f t="shared" si="86"/>
        <v>-2.0068027210884354E-2</v>
      </c>
      <c r="N693">
        <f t="shared" si="87"/>
        <v>59</v>
      </c>
    </row>
    <row r="694" spans="1:14">
      <c r="A694" s="1" cm="1">
        <f t="array" ref="A694">INDEX(tblWeeks[Week_Start],INT((ROW()-2)/20)+1)</f>
        <v>46265</v>
      </c>
      <c r="B694" t="str" cm="1">
        <f t="array" ref="B694">INDEX(tblDemandAssumptions[Customer_ID],MOD(ROW()-2,20)+1)</f>
        <v>C003</v>
      </c>
      <c r="C694" t="str" cm="1">
        <f t="array" ref="C694">INDEX(tblDemandAssumptions[Product_ID],MOD(ROW()-2,20)+1)</f>
        <v>P003</v>
      </c>
      <c r="D694" cm="1">
        <f t="array" ref="D694">INDEX(tblDemandAssumptions[Baseline_Weekly_Qty],MOD(ROW()-2,20)+1)</f>
        <v>2800</v>
      </c>
      <c r="E694">
        <f t="shared" si="80"/>
        <v>1.1000000000000001</v>
      </c>
      <c r="F694">
        <v>1.03</v>
      </c>
      <c r="G694">
        <f t="shared" si="81"/>
        <v>3172</v>
      </c>
      <c r="H694">
        <v>0.98</v>
      </c>
      <c r="I694">
        <f t="shared" si="82"/>
        <v>3018</v>
      </c>
      <c r="J694" t="str">
        <f t="shared" si="83"/>
        <v>Normal</v>
      </c>
      <c r="K694">
        <f t="shared" si="84"/>
        <v>3172</v>
      </c>
      <c r="L694">
        <f t="shared" si="85"/>
        <v>154</v>
      </c>
      <c r="M694" s="2">
        <f t="shared" si="86"/>
        <v>5.1027170311464545E-2</v>
      </c>
      <c r="N694">
        <f t="shared" si="87"/>
        <v>154</v>
      </c>
    </row>
    <row r="695" spans="1:14">
      <c r="A695" s="1" cm="1">
        <f t="array" ref="A695">INDEX(tblWeeks[Week_Start],INT((ROW()-2)/20)+1)</f>
        <v>46265</v>
      </c>
      <c r="B695" t="str" cm="1">
        <f t="array" ref="B695">INDEX(tblDemandAssumptions[Customer_ID],MOD(ROW()-2,20)+1)</f>
        <v>C003</v>
      </c>
      <c r="C695" t="str" cm="1">
        <f t="array" ref="C695">INDEX(tblDemandAssumptions[Product_ID],MOD(ROW()-2,20)+1)</f>
        <v>P004</v>
      </c>
      <c r="D695" cm="1">
        <f t="array" ref="D695">INDEX(tblDemandAssumptions[Baseline_Weekly_Qty],MOD(ROW()-2,20)+1)</f>
        <v>2400</v>
      </c>
      <c r="E695">
        <f t="shared" si="80"/>
        <v>1.1000000000000001</v>
      </c>
      <c r="F695">
        <v>1.05</v>
      </c>
      <c r="G695">
        <f t="shared" si="81"/>
        <v>2772</v>
      </c>
      <c r="H695">
        <v>0.99</v>
      </c>
      <c r="I695">
        <f t="shared" si="82"/>
        <v>2614</v>
      </c>
      <c r="J695" t="str">
        <f t="shared" si="83"/>
        <v>Normal</v>
      </c>
      <c r="K695">
        <f t="shared" si="84"/>
        <v>2772</v>
      </c>
      <c r="L695">
        <f t="shared" si="85"/>
        <v>158</v>
      </c>
      <c r="M695" s="2">
        <f t="shared" si="86"/>
        <v>6.0443764345830146E-2</v>
      </c>
      <c r="N695">
        <f t="shared" si="87"/>
        <v>158</v>
      </c>
    </row>
    <row r="696" spans="1:14">
      <c r="A696" s="1" cm="1">
        <f t="array" ref="A696">INDEX(tblWeeks[Week_Start],INT((ROW()-2)/20)+1)</f>
        <v>46265</v>
      </c>
      <c r="B696" t="str" cm="1">
        <f t="array" ref="B696">INDEX(tblDemandAssumptions[Customer_ID],MOD(ROW()-2,20)+1)</f>
        <v>C003</v>
      </c>
      <c r="C696" t="str" cm="1">
        <f t="array" ref="C696">INDEX(tblDemandAssumptions[Product_ID],MOD(ROW()-2,20)+1)</f>
        <v>P005</v>
      </c>
      <c r="D696" cm="1">
        <f t="array" ref="D696">INDEX(tblDemandAssumptions[Baseline_Weekly_Qty],MOD(ROW()-2,20)+1)</f>
        <v>1900</v>
      </c>
      <c r="E696">
        <f t="shared" si="80"/>
        <v>1.1000000000000001</v>
      </c>
      <c r="F696">
        <v>0.98</v>
      </c>
      <c r="G696">
        <f t="shared" si="81"/>
        <v>2048</v>
      </c>
      <c r="H696">
        <v>1</v>
      </c>
      <c r="I696">
        <f t="shared" si="82"/>
        <v>2090</v>
      </c>
      <c r="J696" t="str">
        <f t="shared" si="83"/>
        <v>Normal</v>
      </c>
      <c r="K696">
        <f t="shared" si="84"/>
        <v>2048</v>
      </c>
      <c r="L696">
        <f t="shared" si="85"/>
        <v>-42</v>
      </c>
      <c r="M696" s="2">
        <f t="shared" si="86"/>
        <v>-2.0095693779904306E-2</v>
      </c>
      <c r="N696">
        <f t="shared" si="87"/>
        <v>42</v>
      </c>
    </row>
    <row r="697" spans="1:14">
      <c r="A697" s="1" cm="1">
        <f t="array" ref="A697">INDEX(tblWeeks[Week_Start],INT((ROW()-2)/20)+1)</f>
        <v>46265</v>
      </c>
      <c r="B697" t="str" cm="1">
        <f t="array" ref="B697">INDEX(tblDemandAssumptions[Customer_ID],MOD(ROW()-2,20)+1)</f>
        <v>C004</v>
      </c>
      <c r="C697" t="str" cm="1">
        <f t="array" ref="C697">INDEX(tblDemandAssumptions[Product_ID],MOD(ROW()-2,20)+1)</f>
        <v>P001</v>
      </c>
      <c r="D697" cm="1">
        <f t="array" ref="D697">INDEX(tblDemandAssumptions[Baseline_Weekly_Qty],MOD(ROW()-2,20)+1)</f>
        <v>2700</v>
      </c>
      <c r="E697">
        <f t="shared" si="80"/>
        <v>1.1000000000000001</v>
      </c>
      <c r="F697">
        <v>0.96</v>
      </c>
      <c r="G697">
        <f t="shared" si="81"/>
        <v>2851</v>
      </c>
      <c r="H697">
        <v>0.99</v>
      </c>
      <c r="I697">
        <f t="shared" si="82"/>
        <v>2940</v>
      </c>
      <c r="J697" t="str">
        <f t="shared" si="83"/>
        <v>Normal</v>
      </c>
      <c r="K697">
        <f t="shared" si="84"/>
        <v>2851</v>
      </c>
      <c r="L697">
        <f t="shared" si="85"/>
        <v>-89</v>
      </c>
      <c r="M697" s="2">
        <f t="shared" si="86"/>
        <v>-3.0272108843537416E-2</v>
      </c>
      <c r="N697">
        <f t="shared" si="87"/>
        <v>89</v>
      </c>
    </row>
    <row r="698" spans="1:14">
      <c r="A698" s="1" cm="1">
        <f t="array" ref="A698">INDEX(tblWeeks[Week_Start],INT((ROW()-2)/20)+1)</f>
        <v>46265</v>
      </c>
      <c r="B698" t="str" cm="1">
        <f t="array" ref="B698">INDEX(tblDemandAssumptions[Customer_ID],MOD(ROW()-2,20)+1)</f>
        <v>C004</v>
      </c>
      <c r="C698" t="str" cm="1">
        <f t="array" ref="C698">INDEX(tblDemandAssumptions[Product_ID],MOD(ROW()-2,20)+1)</f>
        <v>P002</v>
      </c>
      <c r="D698" cm="1">
        <f t="array" ref="D698">INDEX(tblDemandAssumptions[Baseline_Weekly_Qty],MOD(ROW()-2,20)+1)</f>
        <v>2400</v>
      </c>
      <c r="E698">
        <f t="shared" si="80"/>
        <v>1.1000000000000001</v>
      </c>
      <c r="F698">
        <v>0.99</v>
      </c>
      <c r="G698">
        <f t="shared" si="81"/>
        <v>2614</v>
      </c>
      <c r="H698">
        <v>1</v>
      </c>
      <c r="I698">
        <f t="shared" si="82"/>
        <v>2640</v>
      </c>
      <c r="J698" t="str">
        <f t="shared" si="83"/>
        <v>Normal</v>
      </c>
      <c r="K698">
        <f t="shared" si="84"/>
        <v>2614</v>
      </c>
      <c r="L698">
        <f t="shared" si="85"/>
        <v>-26</v>
      </c>
      <c r="M698" s="2">
        <f t="shared" si="86"/>
        <v>-9.8484848484848477E-3</v>
      </c>
      <c r="N698">
        <f t="shared" si="87"/>
        <v>26</v>
      </c>
    </row>
    <row r="699" spans="1:14">
      <c r="A699" s="1" cm="1">
        <f t="array" ref="A699">INDEX(tblWeeks[Week_Start],INT((ROW()-2)/20)+1)</f>
        <v>46265</v>
      </c>
      <c r="B699" t="str" cm="1">
        <f t="array" ref="B699">INDEX(tblDemandAssumptions[Customer_ID],MOD(ROW()-2,20)+1)</f>
        <v>C004</v>
      </c>
      <c r="C699" t="str" cm="1">
        <f t="array" ref="C699">INDEX(tblDemandAssumptions[Product_ID],MOD(ROW()-2,20)+1)</f>
        <v>P003</v>
      </c>
      <c r="D699" cm="1">
        <f t="array" ref="D699">INDEX(tblDemandAssumptions[Baseline_Weekly_Qty],MOD(ROW()-2,20)+1)</f>
        <v>2100</v>
      </c>
      <c r="E699">
        <f t="shared" si="80"/>
        <v>1.1000000000000001</v>
      </c>
      <c r="F699">
        <v>0.95</v>
      </c>
      <c r="G699">
        <f t="shared" si="81"/>
        <v>2195</v>
      </c>
      <c r="H699">
        <v>0.99</v>
      </c>
      <c r="I699">
        <f t="shared" si="82"/>
        <v>2287</v>
      </c>
      <c r="J699" t="str">
        <f t="shared" si="83"/>
        <v>Normal</v>
      </c>
      <c r="K699">
        <f t="shared" si="84"/>
        <v>2195</v>
      </c>
      <c r="L699">
        <f t="shared" si="85"/>
        <v>-92</v>
      </c>
      <c r="M699" s="2">
        <f t="shared" si="86"/>
        <v>-4.0227372103191952E-2</v>
      </c>
      <c r="N699">
        <f t="shared" si="87"/>
        <v>92</v>
      </c>
    </row>
    <row r="700" spans="1:14">
      <c r="A700" s="1" cm="1">
        <f t="array" ref="A700">INDEX(tblWeeks[Week_Start],INT((ROW()-2)/20)+1)</f>
        <v>46265</v>
      </c>
      <c r="B700" t="str" cm="1">
        <f t="array" ref="B700">INDEX(tblDemandAssumptions[Customer_ID],MOD(ROW()-2,20)+1)</f>
        <v>C004</v>
      </c>
      <c r="C700" t="str" cm="1">
        <f t="array" ref="C700">INDEX(tblDemandAssumptions[Product_ID],MOD(ROW()-2,20)+1)</f>
        <v>P004</v>
      </c>
      <c r="D700" cm="1">
        <f t="array" ref="D700">INDEX(tblDemandAssumptions[Baseline_Weekly_Qty],MOD(ROW()-2,20)+1)</f>
        <v>2600</v>
      </c>
      <c r="E700">
        <f t="shared" si="80"/>
        <v>1.1000000000000001</v>
      </c>
      <c r="F700">
        <v>0.96</v>
      </c>
      <c r="G700">
        <f t="shared" si="81"/>
        <v>2746</v>
      </c>
      <c r="H700">
        <v>1.02</v>
      </c>
      <c r="I700">
        <f t="shared" si="82"/>
        <v>2917</v>
      </c>
      <c r="J700" t="str">
        <f t="shared" si="83"/>
        <v>Normal</v>
      </c>
      <c r="K700">
        <f t="shared" si="84"/>
        <v>2746</v>
      </c>
      <c r="L700">
        <f t="shared" si="85"/>
        <v>-171</v>
      </c>
      <c r="M700" s="2">
        <f t="shared" si="86"/>
        <v>-5.8621871786081588E-2</v>
      </c>
      <c r="N700">
        <f t="shared" si="87"/>
        <v>171</v>
      </c>
    </row>
    <row r="701" spans="1:14">
      <c r="A701" s="1" cm="1">
        <f t="array" ref="A701">INDEX(tblWeeks[Week_Start],INT((ROW()-2)/20)+1)</f>
        <v>46265</v>
      </c>
      <c r="B701" t="str" cm="1">
        <f t="array" ref="B701">INDEX(tblDemandAssumptions[Customer_ID],MOD(ROW()-2,20)+1)</f>
        <v>C004</v>
      </c>
      <c r="C701" t="str" cm="1">
        <f t="array" ref="C701">INDEX(tblDemandAssumptions[Product_ID],MOD(ROW()-2,20)+1)</f>
        <v>P005</v>
      </c>
      <c r="D701" cm="1">
        <f t="array" ref="D701">INDEX(tblDemandAssumptions[Baseline_Weekly_Qty],MOD(ROW()-2,20)+1)</f>
        <v>1800</v>
      </c>
      <c r="E701">
        <f t="shared" si="80"/>
        <v>1.1000000000000001</v>
      </c>
      <c r="F701">
        <v>1.04</v>
      </c>
      <c r="G701">
        <f t="shared" si="81"/>
        <v>2059</v>
      </c>
      <c r="H701">
        <v>1.04</v>
      </c>
      <c r="I701">
        <f t="shared" si="82"/>
        <v>2059</v>
      </c>
      <c r="J701" t="str">
        <f t="shared" si="83"/>
        <v>Normal</v>
      </c>
      <c r="K701">
        <f t="shared" si="84"/>
        <v>2059</v>
      </c>
      <c r="L701">
        <f t="shared" si="85"/>
        <v>0</v>
      </c>
      <c r="M701" s="2">
        <f t="shared" si="86"/>
        <v>0</v>
      </c>
      <c r="N701">
        <f t="shared" si="87"/>
        <v>0</v>
      </c>
    </row>
    <row r="702" spans="1:14">
      <c r="A702" s="1" cm="1">
        <f t="array" ref="A702">INDEX(tblWeeks[Week_Start],INT((ROW()-2)/20)+1)</f>
        <v>46272</v>
      </c>
      <c r="B702" t="str" cm="1">
        <f t="array" ref="B702">INDEX(tblDemandAssumptions[Customer_ID],MOD(ROW()-2,20)+1)</f>
        <v>C001</v>
      </c>
      <c r="C702" t="str" cm="1">
        <f t="array" ref="C702">INDEX(tblDemandAssumptions[Product_ID],MOD(ROW()-2,20)+1)</f>
        <v>P001</v>
      </c>
      <c r="D702" cm="1">
        <f t="array" ref="D702">INDEX(tblDemandAssumptions[Baseline_Weekly_Qty],MOD(ROW()-2,20)+1)</f>
        <v>5200</v>
      </c>
      <c r="E702">
        <f t="shared" si="80"/>
        <v>1</v>
      </c>
      <c r="F702">
        <v>1.03</v>
      </c>
      <c r="G702">
        <f t="shared" si="81"/>
        <v>5356</v>
      </c>
      <c r="H702">
        <v>0.97</v>
      </c>
      <c r="I702">
        <f t="shared" si="82"/>
        <v>5044</v>
      </c>
      <c r="J702" t="str">
        <f t="shared" si="83"/>
        <v>Normal</v>
      </c>
      <c r="K702">
        <f t="shared" si="84"/>
        <v>5356</v>
      </c>
      <c r="L702">
        <f t="shared" si="85"/>
        <v>312</v>
      </c>
      <c r="M702" s="2">
        <f t="shared" si="86"/>
        <v>6.1855670103092786E-2</v>
      </c>
      <c r="N702">
        <f t="shared" si="87"/>
        <v>312</v>
      </c>
    </row>
    <row r="703" spans="1:14">
      <c r="A703" s="1" cm="1">
        <f t="array" ref="A703">INDEX(tblWeeks[Week_Start],INT((ROW()-2)/20)+1)</f>
        <v>46272</v>
      </c>
      <c r="B703" t="str" cm="1">
        <f t="array" ref="B703">INDEX(tblDemandAssumptions[Customer_ID],MOD(ROW()-2,20)+1)</f>
        <v>C001</v>
      </c>
      <c r="C703" t="str" cm="1">
        <f t="array" ref="C703">INDEX(tblDemandAssumptions[Product_ID],MOD(ROW()-2,20)+1)</f>
        <v>P002</v>
      </c>
      <c r="D703" cm="1">
        <f t="array" ref="D703">INDEX(tblDemandAssumptions[Baseline_Weekly_Qty],MOD(ROW()-2,20)+1)</f>
        <v>4100</v>
      </c>
      <c r="E703">
        <f t="shared" si="80"/>
        <v>1</v>
      </c>
      <c r="F703">
        <v>1.03</v>
      </c>
      <c r="G703">
        <f t="shared" si="81"/>
        <v>4223</v>
      </c>
      <c r="H703">
        <v>1.02</v>
      </c>
      <c r="I703">
        <f t="shared" si="82"/>
        <v>4182</v>
      </c>
      <c r="J703" t="str">
        <f t="shared" si="83"/>
        <v>Normal</v>
      </c>
      <c r="K703">
        <f t="shared" si="84"/>
        <v>4223</v>
      </c>
      <c r="L703">
        <f t="shared" si="85"/>
        <v>41</v>
      </c>
      <c r="M703" s="2">
        <f t="shared" si="86"/>
        <v>9.8039215686274508E-3</v>
      </c>
      <c r="N703">
        <f t="shared" si="87"/>
        <v>41</v>
      </c>
    </row>
    <row r="704" spans="1:14">
      <c r="A704" s="1" cm="1">
        <f t="array" ref="A704">INDEX(tblWeeks[Week_Start],INT((ROW()-2)/20)+1)</f>
        <v>46272</v>
      </c>
      <c r="B704" t="str" cm="1">
        <f t="array" ref="B704">INDEX(tblDemandAssumptions[Customer_ID],MOD(ROW()-2,20)+1)</f>
        <v>C001</v>
      </c>
      <c r="C704" t="str" cm="1">
        <f t="array" ref="C704">INDEX(tblDemandAssumptions[Product_ID],MOD(ROW()-2,20)+1)</f>
        <v>P003</v>
      </c>
      <c r="D704" cm="1">
        <f t="array" ref="D704">INDEX(tblDemandAssumptions[Baseline_Weekly_Qty],MOD(ROW()-2,20)+1)</f>
        <v>3300</v>
      </c>
      <c r="E704">
        <f t="shared" si="80"/>
        <v>1</v>
      </c>
      <c r="F704">
        <v>0.96</v>
      </c>
      <c r="G704">
        <f t="shared" si="81"/>
        <v>3168</v>
      </c>
      <c r="H704">
        <v>1.04</v>
      </c>
      <c r="I704">
        <f t="shared" si="82"/>
        <v>3432</v>
      </c>
      <c r="J704" t="str">
        <f t="shared" si="83"/>
        <v>Normal</v>
      </c>
      <c r="K704">
        <f t="shared" si="84"/>
        <v>3168</v>
      </c>
      <c r="L704">
        <f t="shared" si="85"/>
        <v>-264</v>
      </c>
      <c r="M704" s="2">
        <f t="shared" si="86"/>
        <v>-7.6923076923076927E-2</v>
      </c>
      <c r="N704">
        <f t="shared" si="87"/>
        <v>264</v>
      </c>
    </row>
    <row r="705" spans="1:14">
      <c r="A705" s="1" cm="1">
        <f t="array" ref="A705">INDEX(tblWeeks[Week_Start],INT((ROW()-2)/20)+1)</f>
        <v>46272</v>
      </c>
      <c r="B705" t="str" cm="1">
        <f t="array" ref="B705">INDEX(tblDemandAssumptions[Customer_ID],MOD(ROW()-2,20)+1)</f>
        <v>C001</v>
      </c>
      <c r="C705" t="str" cm="1">
        <f t="array" ref="C705">INDEX(tblDemandAssumptions[Product_ID],MOD(ROW()-2,20)+1)</f>
        <v>P004</v>
      </c>
      <c r="D705" cm="1">
        <f t="array" ref="D705">INDEX(tblDemandAssumptions[Baseline_Weekly_Qty],MOD(ROW()-2,20)+1)</f>
        <v>3600</v>
      </c>
      <c r="E705">
        <f t="shared" si="80"/>
        <v>1</v>
      </c>
      <c r="F705">
        <v>0.99</v>
      </c>
      <c r="G705">
        <f t="shared" si="81"/>
        <v>3564</v>
      </c>
      <c r="H705">
        <v>0.96</v>
      </c>
      <c r="I705">
        <f t="shared" si="82"/>
        <v>3456</v>
      </c>
      <c r="J705" t="str">
        <f t="shared" si="83"/>
        <v>Normal</v>
      </c>
      <c r="K705">
        <f t="shared" si="84"/>
        <v>3564</v>
      </c>
      <c r="L705">
        <f t="shared" si="85"/>
        <v>108</v>
      </c>
      <c r="M705" s="2">
        <f t="shared" si="86"/>
        <v>3.125E-2</v>
      </c>
      <c r="N705">
        <f t="shared" si="87"/>
        <v>108</v>
      </c>
    </row>
    <row r="706" spans="1:14">
      <c r="A706" s="1" cm="1">
        <f t="array" ref="A706">INDEX(tblWeeks[Week_Start],INT((ROW()-2)/20)+1)</f>
        <v>46272</v>
      </c>
      <c r="B706" t="str" cm="1">
        <f t="array" ref="B706">INDEX(tblDemandAssumptions[Customer_ID],MOD(ROW()-2,20)+1)</f>
        <v>C001</v>
      </c>
      <c r="C706" t="str" cm="1">
        <f t="array" ref="C706">INDEX(tblDemandAssumptions[Product_ID],MOD(ROW()-2,20)+1)</f>
        <v>P005</v>
      </c>
      <c r="D706" cm="1">
        <f t="array" ref="D706">INDEX(tblDemandAssumptions[Baseline_Weekly_Qty],MOD(ROW()-2,20)+1)</f>
        <v>2800</v>
      </c>
      <c r="E706">
        <f t="shared" ref="E706:E769" si="88">IF(MONTH(A706)&lt;=2,0.95,IF(MONTH(A706)&lt;=4,1,IF(MONTH(A706)&lt;=6,1.05,IF(MONTH(A706)&lt;=8,1.1,IF(MONTH(A706)&lt;=10,1,IF(MONTH(A706)=11,1.05,1.2))))))</f>
        <v>1</v>
      </c>
      <c r="F706">
        <v>1.02</v>
      </c>
      <c r="G706">
        <f t="shared" ref="G706:G769" si="89">ROUND(D706*E706*F706,0)</f>
        <v>2856</v>
      </c>
      <c r="H706">
        <v>1</v>
      </c>
      <c r="I706">
        <f t="shared" ref="I706:I769" si="90">ROUND(D706*E706*H706,0)</f>
        <v>2800</v>
      </c>
      <c r="J706" t="str">
        <f t="shared" ref="J706:J769" si="91">IF(AND(A706=DATE(2026,3,16),B706="C001",C706="P001"),"Promotion_Demand_Spike",IF(AND(A706=DATE(2026,6,8),B706="C002",C706="P004"),"Under_Forecast",IF(AND(A706=DATE(2026,7,20),B706="C003",C706="P003"),"Over_Forecast","Normal")))</f>
        <v>Normal</v>
      </c>
      <c r="K706">
        <f t="shared" ref="K706:K769" si="92">IF(J706="Promotion_Demand_Spike",ROUND(G706*1.35,0),IF(J706="Under_Forecast",ROUND(I706*1.25,0),IF(J706="Over_Forecast",ROUND(I706*0.72,0),G706)))</f>
        <v>2856</v>
      </c>
      <c r="L706">
        <f t="shared" ref="L706:L769" si="93">K706-I706</f>
        <v>56</v>
      </c>
      <c r="M706" s="2">
        <f t="shared" ref="M706:M769" si="94">IF(I706=0,0,L706/I706)</f>
        <v>0.02</v>
      </c>
      <c r="N706">
        <f t="shared" ref="N706:N769" si="95">ABS(L706)</f>
        <v>56</v>
      </c>
    </row>
    <row r="707" spans="1:14">
      <c r="A707" s="1" cm="1">
        <f t="array" ref="A707">INDEX(tblWeeks[Week_Start],INT((ROW()-2)/20)+1)</f>
        <v>46272</v>
      </c>
      <c r="B707" t="str" cm="1">
        <f t="array" ref="B707">INDEX(tblDemandAssumptions[Customer_ID],MOD(ROW()-2,20)+1)</f>
        <v>C002</v>
      </c>
      <c r="C707" t="str" cm="1">
        <f t="array" ref="C707">INDEX(tblDemandAssumptions[Product_ID],MOD(ROW()-2,20)+1)</f>
        <v>P001</v>
      </c>
      <c r="D707" cm="1">
        <f t="array" ref="D707">INDEX(tblDemandAssumptions[Baseline_Weekly_Qty],MOD(ROW()-2,20)+1)</f>
        <v>3400</v>
      </c>
      <c r="E707">
        <f t="shared" si="88"/>
        <v>1</v>
      </c>
      <c r="F707">
        <v>1</v>
      </c>
      <c r="G707">
        <f t="shared" si="89"/>
        <v>3400</v>
      </c>
      <c r="H707">
        <v>0.99</v>
      </c>
      <c r="I707">
        <f t="shared" si="90"/>
        <v>3366</v>
      </c>
      <c r="J707" t="str">
        <f t="shared" si="91"/>
        <v>Normal</v>
      </c>
      <c r="K707">
        <f t="shared" si="92"/>
        <v>3400</v>
      </c>
      <c r="L707">
        <f t="shared" si="93"/>
        <v>34</v>
      </c>
      <c r="M707" s="2">
        <f t="shared" si="94"/>
        <v>1.0101010101010102E-2</v>
      </c>
      <c r="N707">
        <f t="shared" si="95"/>
        <v>34</v>
      </c>
    </row>
    <row r="708" spans="1:14">
      <c r="A708" s="1" cm="1">
        <f t="array" ref="A708">INDEX(tblWeeks[Week_Start],INT((ROW()-2)/20)+1)</f>
        <v>46272</v>
      </c>
      <c r="B708" t="str" cm="1">
        <f t="array" ref="B708">INDEX(tblDemandAssumptions[Customer_ID],MOD(ROW()-2,20)+1)</f>
        <v>C002</v>
      </c>
      <c r="C708" t="str" cm="1">
        <f t="array" ref="C708">INDEX(tblDemandAssumptions[Product_ID],MOD(ROW()-2,20)+1)</f>
        <v>P002</v>
      </c>
      <c r="D708" cm="1">
        <f t="array" ref="D708">INDEX(tblDemandAssumptions[Baseline_Weekly_Qty],MOD(ROW()-2,20)+1)</f>
        <v>3200</v>
      </c>
      <c r="E708">
        <f t="shared" si="88"/>
        <v>1</v>
      </c>
      <c r="F708">
        <v>0.99</v>
      </c>
      <c r="G708">
        <f t="shared" si="89"/>
        <v>3168</v>
      </c>
      <c r="H708">
        <v>1.01</v>
      </c>
      <c r="I708">
        <f t="shared" si="90"/>
        <v>3232</v>
      </c>
      <c r="J708" t="str">
        <f t="shared" si="91"/>
        <v>Normal</v>
      </c>
      <c r="K708">
        <f t="shared" si="92"/>
        <v>3168</v>
      </c>
      <c r="L708">
        <f t="shared" si="93"/>
        <v>-64</v>
      </c>
      <c r="M708" s="2">
        <f t="shared" si="94"/>
        <v>-1.9801980198019802E-2</v>
      </c>
      <c r="N708">
        <f t="shared" si="95"/>
        <v>64</v>
      </c>
    </row>
    <row r="709" spans="1:14">
      <c r="A709" s="1" cm="1">
        <f t="array" ref="A709">INDEX(tblWeeks[Week_Start],INT((ROW()-2)/20)+1)</f>
        <v>46272</v>
      </c>
      <c r="B709" t="str" cm="1">
        <f t="array" ref="B709">INDEX(tblDemandAssumptions[Customer_ID],MOD(ROW()-2,20)+1)</f>
        <v>C002</v>
      </c>
      <c r="C709" t="str" cm="1">
        <f t="array" ref="C709">INDEX(tblDemandAssumptions[Product_ID],MOD(ROW()-2,20)+1)</f>
        <v>P003</v>
      </c>
      <c r="D709" cm="1">
        <f t="array" ref="D709">INDEX(tblDemandAssumptions[Baseline_Weekly_Qty],MOD(ROW()-2,20)+1)</f>
        <v>2600</v>
      </c>
      <c r="E709">
        <f t="shared" si="88"/>
        <v>1</v>
      </c>
      <c r="F709">
        <v>1.01</v>
      </c>
      <c r="G709">
        <f t="shared" si="89"/>
        <v>2626</v>
      </c>
      <c r="H709">
        <v>0.97</v>
      </c>
      <c r="I709">
        <f t="shared" si="90"/>
        <v>2522</v>
      </c>
      <c r="J709" t="str">
        <f t="shared" si="91"/>
        <v>Normal</v>
      </c>
      <c r="K709">
        <f t="shared" si="92"/>
        <v>2626</v>
      </c>
      <c r="L709">
        <f t="shared" si="93"/>
        <v>104</v>
      </c>
      <c r="M709" s="2">
        <f t="shared" si="94"/>
        <v>4.1237113402061855E-2</v>
      </c>
      <c r="N709">
        <f t="shared" si="95"/>
        <v>104</v>
      </c>
    </row>
    <row r="710" spans="1:14">
      <c r="A710" s="1" cm="1">
        <f t="array" ref="A710">INDEX(tblWeeks[Week_Start],INT((ROW()-2)/20)+1)</f>
        <v>46272</v>
      </c>
      <c r="B710" t="str" cm="1">
        <f t="array" ref="B710">INDEX(tblDemandAssumptions[Customer_ID],MOD(ROW()-2,20)+1)</f>
        <v>C002</v>
      </c>
      <c r="C710" t="str" cm="1">
        <f t="array" ref="C710">INDEX(tblDemandAssumptions[Product_ID],MOD(ROW()-2,20)+1)</f>
        <v>P004</v>
      </c>
      <c r="D710" cm="1">
        <f t="array" ref="D710">INDEX(tblDemandAssumptions[Baseline_Weekly_Qty],MOD(ROW()-2,20)+1)</f>
        <v>2900</v>
      </c>
      <c r="E710">
        <f t="shared" si="88"/>
        <v>1</v>
      </c>
      <c r="F710">
        <v>0.99</v>
      </c>
      <c r="G710">
        <f t="shared" si="89"/>
        <v>2871</v>
      </c>
      <c r="H710">
        <v>0.97</v>
      </c>
      <c r="I710">
        <f t="shared" si="90"/>
        <v>2813</v>
      </c>
      <c r="J710" t="str">
        <f t="shared" si="91"/>
        <v>Normal</v>
      </c>
      <c r="K710">
        <f t="shared" si="92"/>
        <v>2871</v>
      </c>
      <c r="L710">
        <f t="shared" si="93"/>
        <v>58</v>
      </c>
      <c r="M710" s="2">
        <f t="shared" si="94"/>
        <v>2.0618556701030927E-2</v>
      </c>
      <c r="N710">
        <f t="shared" si="95"/>
        <v>58</v>
      </c>
    </row>
    <row r="711" spans="1:14">
      <c r="A711" s="1" cm="1">
        <f t="array" ref="A711">INDEX(tblWeeks[Week_Start],INT((ROW()-2)/20)+1)</f>
        <v>46272</v>
      </c>
      <c r="B711" t="str" cm="1">
        <f t="array" ref="B711">INDEX(tblDemandAssumptions[Customer_ID],MOD(ROW()-2,20)+1)</f>
        <v>C002</v>
      </c>
      <c r="C711" t="str" cm="1">
        <f t="array" ref="C711">INDEX(tblDemandAssumptions[Product_ID],MOD(ROW()-2,20)+1)</f>
        <v>P005</v>
      </c>
      <c r="D711" cm="1">
        <f t="array" ref="D711">INDEX(tblDemandAssumptions[Baseline_Weekly_Qty],MOD(ROW()-2,20)+1)</f>
        <v>2200</v>
      </c>
      <c r="E711">
        <f t="shared" si="88"/>
        <v>1</v>
      </c>
      <c r="F711">
        <v>0.97</v>
      </c>
      <c r="G711">
        <f t="shared" si="89"/>
        <v>2134</v>
      </c>
      <c r="H711">
        <v>0.97</v>
      </c>
      <c r="I711">
        <f t="shared" si="90"/>
        <v>2134</v>
      </c>
      <c r="J711" t="str">
        <f t="shared" si="91"/>
        <v>Normal</v>
      </c>
      <c r="K711">
        <f t="shared" si="92"/>
        <v>2134</v>
      </c>
      <c r="L711">
        <f t="shared" si="93"/>
        <v>0</v>
      </c>
      <c r="M711" s="2">
        <f t="shared" si="94"/>
        <v>0</v>
      </c>
      <c r="N711">
        <f t="shared" si="95"/>
        <v>0</v>
      </c>
    </row>
    <row r="712" spans="1:14">
      <c r="A712" s="1" cm="1">
        <f t="array" ref="A712">INDEX(tblWeeks[Week_Start],INT((ROW()-2)/20)+1)</f>
        <v>46272</v>
      </c>
      <c r="B712" t="str" cm="1">
        <f t="array" ref="B712">INDEX(tblDemandAssumptions[Customer_ID],MOD(ROW()-2,20)+1)</f>
        <v>C003</v>
      </c>
      <c r="C712" t="str" cm="1">
        <f t="array" ref="C712">INDEX(tblDemandAssumptions[Product_ID],MOD(ROW()-2,20)+1)</f>
        <v>P001</v>
      </c>
      <c r="D712" cm="1">
        <f t="array" ref="D712">INDEX(tblDemandAssumptions[Baseline_Weekly_Qty],MOD(ROW()-2,20)+1)</f>
        <v>3000</v>
      </c>
      <c r="E712">
        <f t="shared" si="88"/>
        <v>1</v>
      </c>
      <c r="F712">
        <v>1.05</v>
      </c>
      <c r="G712">
        <f t="shared" si="89"/>
        <v>3150</v>
      </c>
      <c r="H712">
        <v>0.98</v>
      </c>
      <c r="I712">
        <f t="shared" si="90"/>
        <v>2940</v>
      </c>
      <c r="J712" t="str">
        <f t="shared" si="91"/>
        <v>Normal</v>
      </c>
      <c r="K712">
        <f t="shared" si="92"/>
        <v>3150</v>
      </c>
      <c r="L712">
        <f t="shared" si="93"/>
        <v>210</v>
      </c>
      <c r="M712" s="2">
        <f t="shared" si="94"/>
        <v>7.1428571428571425E-2</v>
      </c>
      <c r="N712">
        <f t="shared" si="95"/>
        <v>210</v>
      </c>
    </row>
    <row r="713" spans="1:14">
      <c r="A713" s="1" cm="1">
        <f t="array" ref="A713">INDEX(tblWeeks[Week_Start],INT((ROW()-2)/20)+1)</f>
        <v>46272</v>
      </c>
      <c r="B713" t="str" cm="1">
        <f t="array" ref="B713">INDEX(tblDemandAssumptions[Customer_ID],MOD(ROW()-2,20)+1)</f>
        <v>C003</v>
      </c>
      <c r="C713" t="str" cm="1">
        <f t="array" ref="C713">INDEX(tblDemandAssumptions[Product_ID],MOD(ROW()-2,20)+1)</f>
        <v>P002</v>
      </c>
      <c r="D713" cm="1">
        <f t="array" ref="D713">INDEX(tblDemandAssumptions[Baseline_Weekly_Qty],MOD(ROW()-2,20)+1)</f>
        <v>2700</v>
      </c>
      <c r="E713">
        <f t="shared" si="88"/>
        <v>1</v>
      </c>
      <c r="F713">
        <v>0.97</v>
      </c>
      <c r="G713">
        <f t="shared" si="89"/>
        <v>2619</v>
      </c>
      <c r="H713">
        <v>1.02</v>
      </c>
      <c r="I713">
        <f t="shared" si="90"/>
        <v>2754</v>
      </c>
      <c r="J713" t="str">
        <f t="shared" si="91"/>
        <v>Normal</v>
      </c>
      <c r="K713">
        <f t="shared" si="92"/>
        <v>2619</v>
      </c>
      <c r="L713">
        <f t="shared" si="93"/>
        <v>-135</v>
      </c>
      <c r="M713" s="2">
        <f t="shared" si="94"/>
        <v>-4.9019607843137254E-2</v>
      </c>
      <c r="N713">
        <f t="shared" si="95"/>
        <v>135</v>
      </c>
    </row>
    <row r="714" spans="1:14">
      <c r="A714" s="1" cm="1">
        <f t="array" ref="A714">INDEX(tblWeeks[Week_Start],INT((ROW()-2)/20)+1)</f>
        <v>46272</v>
      </c>
      <c r="B714" t="str" cm="1">
        <f t="array" ref="B714">INDEX(tblDemandAssumptions[Customer_ID],MOD(ROW()-2,20)+1)</f>
        <v>C003</v>
      </c>
      <c r="C714" t="str" cm="1">
        <f t="array" ref="C714">INDEX(tblDemandAssumptions[Product_ID],MOD(ROW()-2,20)+1)</f>
        <v>P003</v>
      </c>
      <c r="D714" cm="1">
        <f t="array" ref="D714">INDEX(tblDemandAssumptions[Baseline_Weekly_Qty],MOD(ROW()-2,20)+1)</f>
        <v>2800</v>
      </c>
      <c r="E714">
        <f t="shared" si="88"/>
        <v>1</v>
      </c>
      <c r="F714">
        <v>1.04</v>
      </c>
      <c r="G714">
        <f t="shared" si="89"/>
        <v>2912</v>
      </c>
      <c r="H714">
        <v>0.98</v>
      </c>
      <c r="I714">
        <f t="shared" si="90"/>
        <v>2744</v>
      </c>
      <c r="J714" t="str">
        <f t="shared" si="91"/>
        <v>Normal</v>
      </c>
      <c r="K714">
        <f t="shared" si="92"/>
        <v>2912</v>
      </c>
      <c r="L714">
        <f t="shared" si="93"/>
        <v>168</v>
      </c>
      <c r="M714" s="2">
        <f t="shared" si="94"/>
        <v>6.1224489795918366E-2</v>
      </c>
      <c r="N714">
        <f t="shared" si="95"/>
        <v>168</v>
      </c>
    </row>
    <row r="715" spans="1:14">
      <c r="A715" s="1" cm="1">
        <f t="array" ref="A715">INDEX(tblWeeks[Week_Start],INT((ROW()-2)/20)+1)</f>
        <v>46272</v>
      </c>
      <c r="B715" t="str" cm="1">
        <f t="array" ref="B715">INDEX(tblDemandAssumptions[Customer_ID],MOD(ROW()-2,20)+1)</f>
        <v>C003</v>
      </c>
      <c r="C715" t="str" cm="1">
        <f t="array" ref="C715">INDEX(tblDemandAssumptions[Product_ID],MOD(ROW()-2,20)+1)</f>
        <v>P004</v>
      </c>
      <c r="D715" cm="1">
        <f t="array" ref="D715">INDEX(tblDemandAssumptions[Baseline_Weekly_Qty],MOD(ROW()-2,20)+1)</f>
        <v>2400</v>
      </c>
      <c r="E715">
        <f t="shared" si="88"/>
        <v>1</v>
      </c>
      <c r="F715">
        <v>1.02</v>
      </c>
      <c r="G715">
        <f t="shared" si="89"/>
        <v>2448</v>
      </c>
      <c r="H715">
        <v>1.03</v>
      </c>
      <c r="I715">
        <f t="shared" si="90"/>
        <v>2472</v>
      </c>
      <c r="J715" t="str">
        <f t="shared" si="91"/>
        <v>Normal</v>
      </c>
      <c r="K715">
        <f t="shared" si="92"/>
        <v>2448</v>
      </c>
      <c r="L715">
        <f t="shared" si="93"/>
        <v>-24</v>
      </c>
      <c r="M715" s="2">
        <f t="shared" si="94"/>
        <v>-9.7087378640776691E-3</v>
      </c>
      <c r="N715">
        <f t="shared" si="95"/>
        <v>24</v>
      </c>
    </row>
    <row r="716" spans="1:14">
      <c r="A716" s="1" cm="1">
        <f t="array" ref="A716">INDEX(tblWeeks[Week_Start],INT((ROW()-2)/20)+1)</f>
        <v>46272</v>
      </c>
      <c r="B716" t="str" cm="1">
        <f t="array" ref="B716">INDEX(tblDemandAssumptions[Customer_ID],MOD(ROW()-2,20)+1)</f>
        <v>C003</v>
      </c>
      <c r="C716" t="str" cm="1">
        <f t="array" ref="C716">INDEX(tblDemandAssumptions[Product_ID],MOD(ROW()-2,20)+1)</f>
        <v>P005</v>
      </c>
      <c r="D716" cm="1">
        <f t="array" ref="D716">INDEX(tblDemandAssumptions[Baseline_Weekly_Qty],MOD(ROW()-2,20)+1)</f>
        <v>1900</v>
      </c>
      <c r="E716">
        <f t="shared" si="88"/>
        <v>1</v>
      </c>
      <c r="F716">
        <v>0.99</v>
      </c>
      <c r="G716">
        <f t="shared" si="89"/>
        <v>1881</v>
      </c>
      <c r="H716">
        <v>0.98</v>
      </c>
      <c r="I716">
        <f t="shared" si="90"/>
        <v>1862</v>
      </c>
      <c r="J716" t="str">
        <f t="shared" si="91"/>
        <v>Normal</v>
      </c>
      <c r="K716">
        <f t="shared" si="92"/>
        <v>1881</v>
      </c>
      <c r="L716">
        <f t="shared" si="93"/>
        <v>19</v>
      </c>
      <c r="M716" s="2">
        <f t="shared" si="94"/>
        <v>1.020408163265306E-2</v>
      </c>
      <c r="N716">
        <f t="shared" si="95"/>
        <v>19</v>
      </c>
    </row>
    <row r="717" spans="1:14">
      <c r="A717" s="1" cm="1">
        <f t="array" ref="A717">INDEX(tblWeeks[Week_Start],INT((ROW()-2)/20)+1)</f>
        <v>46272</v>
      </c>
      <c r="B717" t="str" cm="1">
        <f t="array" ref="B717">INDEX(tblDemandAssumptions[Customer_ID],MOD(ROW()-2,20)+1)</f>
        <v>C004</v>
      </c>
      <c r="C717" t="str" cm="1">
        <f t="array" ref="C717">INDEX(tblDemandAssumptions[Product_ID],MOD(ROW()-2,20)+1)</f>
        <v>P001</v>
      </c>
      <c r="D717" cm="1">
        <f t="array" ref="D717">INDEX(tblDemandAssumptions[Baseline_Weekly_Qty],MOD(ROW()-2,20)+1)</f>
        <v>2700</v>
      </c>
      <c r="E717">
        <f t="shared" si="88"/>
        <v>1</v>
      </c>
      <c r="F717">
        <v>0.99</v>
      </c>
      <c r="G717">
        <f t="shared" si="89"/>
        <v>2673</v>
      </c>
      <c r="H717">
        <v>1.02</v>
      </c>
      <c r="I717">
        <f t="shared" si="90"/>
        <v>2754</v>
      </c>
      <c r="J717" t="str">
        <f t="shared" si="91"/>
        <v>Normal</v>
      </c>
      <c r="K717">
        <f t="shared" si="92"/>
        <v>2673</v>
      </c>
      <c r="L717">
        <f t="shared" si="93"/>
        <v>-81</v>
      </c>
      <c r="M717" s="2">
        <f t="shared" si="94"/>
        <v>-2.9411764705882353E-2</v>
      </c>
      <c r="N717">
        <f t="shared" si="95"/>
        <v>81</v>
      </c>
    </row>
    <row r="718" spans="1:14">
      <c r="A718" s="1" cm="1">
        <f t="array" ref="A718">INDEX(tblWeeks[Week_Start],INT((ROW()-2)/20)+1)</f>
        <v>46272</v>
      </c>
      <c r="B718" t="str" cm="1">
        <f t="array" ref="B718">INDEX(tblDemandAssumptions[Customer_ID],MOD(ROW()-2,20)+1)</f>
        <v>C004</v>
      </c>
      <c r="C718" t="str" cm="1">
        <f t="array" ref="C718">INDEX(tblDemandAssumptions[Product_ID],MOD(ROW()-2,20)+1)</f>
        <v>P002</v>
      </c>
      <c r="D718" cm="1">
        <f t="array" ref="D718">INDEX(tblDemandAssumptions[Baseline_Weekly_Qty],MOD(ROW()-2,20)+1)</f>
        <v>2400</v>
      </c>
      <c r="E718">
        <f t="shared" si="88"/>
        <v>1</v>
      </c>
      <c r="F718">
        <v>0.97</v>
      </c>
      <c r="G718">
        <f t="shared" si="89"/>
        <v>2328</v>
      </c>
      <c r="H718">
        <v>0.96</v>
      </c>
      <c r="I718">
        <f t="shared" si="90"/>
        <v>2304</v>
      </c>
      <c r="J718" t="str">
        <f t="shared" si="91"/>
        <v>Normal</v>
      </c>
      <c r="K718">
        <f t="shared" si="92"/>
        <v>2328</v>
      </c>
      <c r="L718">
        <f t="shared" si="93"/>
        <v>24</v>
      </c>
      <c r="M718" s="2">
        <f t="shared" si="94"/>
        <v>1.0416666666666666E-2</v>
      </c>
      <c r="N718">
        <f t="shared" si="95"/>
        <v>24</v>
      </c>
    </row>
    <row r="719" spans="1:14">
      <c r="A719" s="1" cm="1">
        <f t="array" ref="A719">INDEX(tblWeeks[Week_Start],INT((ROW()-2)/20)+1)</f>
        <v>46272</v>
      </c>
      <c r="B719" t="str" cm="1">
        <f t="array" ref="B719">INDEX(tblDemandAssumptions[Customer_ID],MOD(ROW()-2,20)+1)</f>
        <v>C004</v>
      </c>
      <c r="C719" t="str" cm="1">
        <f t="array" ref="C719">INDEX(tblDemandAssumptions[Product_ID],MOD(ROW()-2,20)+1)</f>
        <v>P003</v>
      </c>
      <c r="D719" cm="1">
        <f t="array" ref="D719">INDEX(tblDemandAssumptions[Baseline_Weekly_Qty],MOD(ROW()-2,20)+1)</f>
        <v>2100</v>
      </c>
      <c r="E719">
        <f t="shared" si="88"/>
        <v>1</v>
      </c>
      <c r="F719">
        <v>1.04</v>
      </c>
      <c r="G719">
        <f t="shared" si="89"/>
        <v>2184</v>
      </c>
      <c r="H719">
        <v>1.03</v>
      </c>
      <c r="I719">
        <f t="shared" si="90"/>
        <v>2163</v>
      </c>
      <c r="J719" t="str">
        <f t="shared" si="91"/>
        <v>Normal</v>
      </c>
      <c r="K719">
        <f t="shared" si="92"/>
        <v>2184</v>
      </c>
      <c r="L719">
        <f t="shared" si="93"/>
        <v>21</v>
      </c>
      <c r="M719" s="2">
        <f t="shared" si="94"/>
        <v>9.7087378640776691E-3</v>
      </c>
      <c r="N719">
        <f t="shared" si="95"/>
        <v>21</v>
      </c>
    </row>
    <row r="720" spans="1:14">
      <c r="A720" s="1" cm="1">
        <f t="array" ref="A720">INDEX(tblWeeks[Week_Start],INT((ROW()-2)/20)+1)</f>
        <v>46272</v>
      </c>
      <c r="B720" t="str" cm="1">
        <f t="array" ref="B720">INDEX(tblDemandAssumptions[Customer_ID],MOD(ROW()-2,20)+1)</f>
        <v>C004</v>
      </c>
      <c r="C720" t="str" cm="1">
        <f t="array" ref="C720">INDEX(tblDemandAssumptions[Product_ID],MOD(ROW()-2,20)+1)</f>
        <v>P004</v>
      </c>
      <c r="D720" cm="1">
        <f t="array" ref="D720">INDEX(tblDemandAssumptions[Baseline_Weekly_Qty],MOD(ROW()-2,20)+1)</f>
        <v>2600</v>
      </c>
      <c r="E720">
        <f t="shared" si="88"/>
        <v>1</v>
      </c>
      <c r="F720">
        <v>1.03</v>
      </c>
      <c r="G720">
        <f t="shared" si="89"/>
        <v>2678</v>
      </c>
      <c r="H720">
        <v>1.04</v>
      </c>
      <c r="I720">
        <f t="shared" si="90"/>
        <v>2704</v>
      </c>
      <c r="J720" t="str">
        <f t="shared" si="91"/>
        <v>Normal</v>
      </c>
      <c r="K720">
        <f t="shared" si="92"/>
        <v>2678</v>
      </c>
      <c r="L720">
        <f t="shared" si="93"/>
        <v>-26</v>
      </c>
      <c r="M720" s="2">
        <f t="shared" si="94"/>
        <v>-9.6153846153846159E-3</v>
      </c>
      <c r="N720">
        <f t="shared" si="95"/>
        <v>26</v>
      </c>
    </row>
    <row r="721" spans="1:14">
      <c r="A721" s="1" cm="1">
        <f t="array" ref="A721">INDEX(tblWeeks[Week_Start],INT((ROW()-2)/20)+1)</f>
        <v>46272</v>
      </c>
      <c r="B721" t="str" cm="1">
        <f t="array" ref="B721">INDEX(tblDemandAssumptions[Customer_ID],MOD(ROW()-2,20)+1)</f>
        <v>C004</v>
      </c>
      <c r="C721" t="str" cm="1">
        <f t="array" ref="C721">INDEX(tblDemandAssumptions[Product_ID],MOD(ROW()-2,20)+1)</f>
        <v>P005</v>
      </c>
      <c r="D721" cm="1">
        <f t="array" ref="D721">INDEX(tblDemandAssumptions[Baseline_Weekly_Qty],MOD(ROW()-2,20)+1)</f>
        <v>1800</v>
      </c>
      <c r="E721">
        <f t="shared" si="88"/>
        <v>1</v>
      </c>
      <c r="F721">
        <v>1.04</v>
      </c>
      <c r="G721">
        <f t="shared" si="89"/>
        <v>1872</v>
      </c>
      <c r="H721">
        <v>1.01</v>
      </c>
      <c r="I721">
        <f t="shared" si="90"/>
        <v>1818</v>
      </c>
      <c r="J721" t="str">
        <f t="shared" si="91"/>
        <v>Normal</v>
      </c>
      <c r="K721">
        <f t="shared" si="92"/>
        <v>1872</v>
      </c>
      <c r="L721">
        <f t="shared" si="93"/>
        <v>54</v>
      </c>
      <c r="M721" s="2">
        <f t="shared" si="94"/>
        <v>2.9702970297029702E-2</v>
      </c>
      <c r="N721">
        <f t="shared" si="95"/>
        <v>54</v>
      </c>
    </row>
    <row r="722" spans="1:14">
      <c r="A722" s="1" cm="1">
        <f t="array" ref="A722">INDEX(tblWeeks[Week_Start],INT((ROW()-2)/20)+1)</f>
        <v>46279</v>
      </c>
      <c r="B722" t="str" cm="1">
        <f t="array" ref="B722">INDEX(tblDemandAssumptions[Customer_ID],MOD(ROW()-2,20)+1)</f>
        <v>C001</v>
      </c>
      <c r="C722" t="str" cm="1">
        <f t="array" ref="C722">INDEX(tblDemandAssumptions[Product_ID],MOD(ROW()-2,20)+1)</f>
        <v>P001</v>
      </c>
      <c r="D722" cm="1">
        <f t="array" ref="D722">INDEX(tblDemandAssumptions[Baseline_Weekly_Qty],MOD(ROW()-2,20)+1)</f>
        <v>5200</v>
      </c>
      <c r="E722">
        <f t="shared" si="88"/>
        <v>1</v>
      </c>
      <c r="F722">
        <v>0.97</v>
      </c>
      <c r="G722">
        <f t="shared" si="89"/>
        <v>5044</v>
      </c>
      <c r="H722">
        <v>0.96</v>
      </c>
      <c r="I722">
        <f t="shared" si="90"/>
        <v>4992</v>
      </c>
      <c r="J722" t="str">
        <f t="shared" si="91"/>
        <v>Normal</v>
      </c>
      <c r="K722">
        <f t="shared" si="92"/>
        <v>5044</v>
      </c>
      <c r="L722">
        <f t="shared" si="93"/>
        <v>52</v>
      </c>
      <c r="M722" s="2">
        <f t="shared" si="94"/>
        <v>1.0416666666666666E-2</v>
      </c>
      <c r="N722">
        <f t="shared" si="95"/>
        <v>52</v>
      </c>
    </row>
    <row r="723" spans="1:14">
      <c r="A723" s="1" cm="1">
        <f t="array" ref="A723">INDEX(tblWeeks[Week_Start],INT((ROW()-2)/20)+1)</f>
        <v>46279</v>
      </c>
      <c r="B723" t="str" cm="1">
        <f t="array" ref="B723">INDEX(tblDemandAssumptions[Customer_ID],MOD(ROW()-2,20)+1)</f>
        <v>C001</v>
      </c>
      <c r="C723" t="str" cm="1">
        <f t="array" ref="C723">INDEX(tblDemandAssumptions[Product_ID],MOD(ROW()-2,20)+1)</f>
        <v>P002</v>
      </c>
      <c r="D723" cm="1">
        <f t="array" ref="D723">INDEX(tblDemandAssumptions[Baseline_Weekly_Qty],MOD(ROW()-2,20)+1)</f>
        <v>4100</v>
      </c>
      <c r="E723">
        <f t="shared" si="88"/>
        <v>1</v>
      </c>
      <c r="F723">
        <v>1.01</v>
      </c>
      <c r="G723">
        <f t="shared" si="89"/>
        <v>4141</v>
      </c>
      <c r="H723">
        <v>0.96</v>
      </c>
      <c r="I723">
        <f t="shared" si="90"/>
        <v>3936</v>
      </c>
      <c r="J723" t="str">
        <f t="shared" si="91"/>
        <v>Normal</v>
      </c>
      <c r="K723">
        <f t="shared" si="92"/>
        <v>4141</v>
      </c>
      <c r="L723">
        <f t="shared" si="93"/>
        <v>205</v>
      </c>
      <c r="M723" s="2">
        <f t="shared" si="94"/>
        <v>5.2083333333333336E-2</v>
      </c>
      <c r="N723">
        <f t="shared" si="95"/>
        <v>205</v>
      </c>
    </row>
    <row r="724" spans="1:14">
      <c r="A724" s="1" cm="1">
        <f t="array" ref="A724">INDEX(tblWeeks[Week_Start],INT((ROW()-2)/20)+1)</f>
        <v>46279</v>
      </c>
      <c r="B724" t="str" cm="1">
        <f t="array" ref="B724">INDEX(tblDemandAssumptions[Customer_ID],MOD(ROW()-2,20)+1)</f>
        <v>C001</v>
      </c>
      <c r="C724" t="str" cm="1">
        <f t="array" ref="C724">INDEX(tblDemandAssumptions[Product_ID],MOD(ROW()-2,20)+1)</f>
        <v>P003</v>
      </c>
      <c r="D724" cm="1">
        <f t="array" ref="D724">INDEX(tblDemandAssumptions[Baseline_Weekly_Qty],MOD(ROW()-2,20)+1)</f>
        <v>3300</v>
      </c>
      <c r="E724">
        <f t="shared" si="88"/>
        <v>1</v>
      </c>
      <c r="F724">
        <v>0.97</v>
      </c>
      <c r="G724">
        <f t="shared" si="89"/>
        <v>3201</v>
      </c>
      <c r="H724">
        <v>0.97</v>
      </c>
      <c r="I724">
        <f t="shared" si="90"/>
        <v>3201</v>
      </c>
      <c r="J724" t="str">
        <f t="shared" si="91"/>
        <v>Normal</v>
      </c>
      <c r="K724">
        <f t="shared" si="92"/>
        <v>3201</v>
      </c>
      <c r="L724">
        <f t="shared" si="93"/>
        <v>0</v>
      </c>
      <c r="M724" s="2">
        <f t="shared" si="94"/>
        <v>0</v>
      </c>
      <c r="N724">
        <f t="shared" si="95"/>
        <v>0</v>
      </c>
    </row>
    <row r="725" spans="1:14">
      <c r="A725" s="1" cm="1">
        <f t="array" ref="A725">INDEX(tblWeeks[Week_Start],INT((ROW()-2)/20)+1)</f>
        <v>46279</v>
      </c>
      <c r="B725" t="str" cm="1">
        <f t="array" ref="B725">INDEX(tblDemandAssumptions[Customer_ID],MOD(ROW()-2,20)+1)</f>
        <v>C001</v>
      </c>
      <c r="C725" t="str" cm="1">
        <f t="array" ref="C725">INDEX(tblDemandAssumptions[Product_ID],MOD(ROW()-2,20)+1)</f>
        <v>P004</v>
      </c>
      <c r="D725" cm="1">
        <f t="array" ref="D725">INDEX(tblDemandAssumptions[Baseline_Weekly_Qty],MOD(ROW()-2,20)+1)</f>
        <v>3600</v>
      </c>
      <c r="E725">
        <f t="shared" si="88"/>
        <v>1</v>
      </c>
      <c r="F725">
        <v>0.96</v>
      </c>
      <c r="G725">
        <f t="shared" si="89"/>
        <v>3456</v>
      </c>
      <c r="H725">
        <v>0.99</v>
      </c>
      <c r="I725">
        <f t="shared" si="90"/>
        <v>3564</v>
      </c>
      <c r="J725" t="str">
        <f t="shared" si="91"/>
        <v>Normal</v>
      </c>
      <c r="K725">
        <f t="shared" si="92"/>
        <v>3456</v>
      </c>
      <c r="L725">
        <f t="shared" si="93"/>
        <v>-108</v>
      </c>
      <c r="M725" s="2">
        <f t="shared" si="94"/>
        <v>-3.0303030303030304E-2</v>
      </c>
      <c r="N725">
        <f t="shared" si="95"/>
        <v>108</v>
      </c>
    </row>
    <row r="726" spans="1:14">
      <c r="A726" s="1" cm="1">
        <f t="array" ref="A726">INDEX(tblWeeks[Week_Start],INT((ROW()-2)/20)+1)</f>
        <v>46279</v>
      </c>
      <c r="B726" t="str" cm="1">
        <f t="array" ref="B726">INDEX(tblDemandAssumptions[Customer_ID],MOD(ROW()-2,20)+1)</f>
        <v>C001</v>
      </c>
      <c r="C726" t="str" cm="1">
        <f t="array" ref="C726">INDEX(tblDemandAssumptions[Product_ID],MOD(ROW()-2,20)+1)</f>
        <v>P005</v>
      </c>
      <c r="D726" cm="1">
        <f t="array" ref="D726">INDEX(tblDemandAssumptions[Baseline_Weekly_Qty],MOD(ROW()-2,20)+1)</f>
        <v>2800</v>
      </c>
      <c r="E726">
        <f t="shared" si="88"/>
        <v>1</v>
      </c>
      <c r="F726">
        <v>1.01</v>
      </c>
      <c r="G726">
        <f t="shared" si="89"/>
        <v>2828</v>
      </c>
      <c r="H726">
        <v>1.03</v>
      </c>
      <c r="I726">
        <f t="shared" si="90"/>
        <v>2884</v>
      </c>
      <c r="J726" t="str">
        <f t="shared" si="91"/>
        <v>Normal</v>
      </c>
      <c r="K726">
        <f t="shared" si="92"/>
        <v>2828</v>
      </c>
      <c r="L726">
        <f t="shared" si="93"/>
        <v>-56</v>
      </c>
      <c r="M726" s="2">
        <f t="shared" si="94"/>
        <v>-1.9417475728155338E-2</v>
      </c>
      <c r="N726">
        <f t="shared" si="95"/>
        <v>56</v>
      </c>
    </row>
    <row r="727" spans="1:14">
      <c r="A727" s="1" cm="1">
        <f t="array" ref="A727">INDEX(tblWeeks[Week_Start],INT((ROW()-2)/20)+1)</f>
        <v>46279</v>
      </c>
      <c r="B727" t="str" cm="1">
        <f t="array" ref="B727">INDEX(tblDemandAssumptions[Customer_ID],MOD(ROW()-2,20)+1)</f>
        <v>C002</v>
      </c>
      <c r="C727" t="str" cm="1">
        <f t="array" ref="C727">INDEX(tblDemandAssumptions[Product_ID],MOD(ROW()-2,20)+1)</f>
        <v>P001</v>
      </c>
      <c r="D727" cm="1">
        <f t="array" ref="D727">INDEX(tblDemandAssumptions[Baseline_Weekly_Qty],MOD(ROW()-2,20)+1)</f>
        <v>3400</v>
      </c>
      <c r="E727">
        <f t="shared" si="88"/>
        <v>1</v>
      </c>
      <c r="F727">
        <v>0.95</v>
      </c>
      <c r="G727">
        <f t="shared" si="89"/>
        <v>3230</v>
      </c>
      <c r="H727">
        <v>0.99</v>
      </c>
      <c r="I727">
        <f t="shared" si="90"/>
        <v>3366</v>
      </c>
      <c r="J727" t="str">
        <f t="shared" si="91"/>
        <v>Normal</v>
      </c>
      <c r="K727">
        <f t="shared" si="92"/>
        <v>3230</v>
      </c>
      <c r="L727">
        <f t="shared" si="93"/>
        <v>-136</v>
      </c>
      <c r="M727" s="2">
        <f t="shared" si="94"/>
        <v>-4.0404040404040407E-2</v>
      </c>
      <c r="N727">
        <f t="shared" si="95"/>
        <v>136</v>
      </c>
    </row>
    <row r="728" spans="1:14">
      <c r="A728" s="1" cm="1">
        <f t="array" ref="A728">INDEX(tblWeeks[Week_Start],INT((ROW()-2)/20)+1)</f>
        <v>46279</v>
      </c>
      <c r="B728" t="str" cm="1">
        <f t="array" ref="B728">INDEX(tblDemandAssumptions[Customer_ID],MOD(ROW()-2,20)+1)</f>
        <v>C002</v>
      </c>
      <c r="C728" t="str" cm="1">
        <f t="array" ref="C728">INDEX(tblDemandAssumptions[Product_ID],MOD(ROW()-2,20)+1)</f>
        <v>P002</v>
      </c>
      <c r="D728" cm="1">
        <f t="array" ref="D728">INDEX(tblDemandAssumptions[Baseline_Weekly_Qty],MOD(ROW()-2,20)+1)</f>
        <v>3200</v>
      </c>
      <c r="E728">
        <f t="shared" si="88"/>
        <v>1</v>
      </c>
      <c r="F728">
        <v>1.02</v>
      </c>
      <c r="G728">
        <f t="shared" si="89"/>
        <v>3264</v>
      </c>
      <c r="H728">
        <v>1.01</v>
      </c>
      <c r="I728">
        <f t="shared" si="90"/>
        <v>3232</v>
      </c>
      <c r="J728" t="str">
        <f t="shared" si="91"/>
        <v>Normal</v>
      </c>
      <c r="K728">
        <f t="shared" si="92"/>
        <v>3264</v>
      </c>
      <c r="L728">
        <f t="shared" si="93"/>
        <v>32</v>
      </c>
      <c r="M728" s="2">
        <f t="shared" si="94"/>
        <v>9.9009900990099011E-3</v>
      </c>
      <c r="N728">
        <f t="shared" si="95"/>
        <v>32</v>
      </c>
    </row>
    <row r="729" spans="1:14">
      <c r="A729" s="1" cm="1">
        <f t="array" ref="A729">INDEX(tblWeeks[Week_Start],INT((ROW()-2)/20)+1)</f>
        <v>46279</v>
      </c>
      <c r="B729" t="str" cm="1">
        <f t="array" ref="B729">INDEX(tblDemandAssumptions[Customer_ID],MOD(ROW()-2,20)+1)</f>
        <v>C002</v>
      </c>
      <c r="C729" t="str" cm="1">
        <f t="array" ref="C729">INDEX(tblDemandAssumptions[Product_ID],MOD(ROW()-2,20)+1)</f>
        <v>P003</v>
      </c>
      <c r="D729" cm="1">
        <f t="array" ref="D729">INDEX(tblDemandAssumptions[Baseline_Weekly_Qty],MOD(ROW()-2,20)+1)</f>
        <v>2600</v>
      </c>
      <c r="E729">
        <f t="shared" si="88"/>
        <v>1</v>
      </c>
      <c r="F729">
        <v>1</v>
      </c>
      <c r="G729">
        <f t="shared" si="89"/>
        <v>2600</v>
      </c>
      <c r="H729">
        <v>0.98</v>
      </c>
      <c r="I729">
        <f t="shared" si="90"/>
        <v>2548</v>
      </c>
      <c r="J729" t="str">
        <f t="shared" si="91"/>
        <v>Normal</v>
      </c>
      <c r="K729">
        <f t="shared" si="92"/>
        <v>2600</v>
      </c>
      <c r="L729">
        <f t="shared" si="93"/>
        <v>52</v>
      </c>
      <c r="M729" s="2">
        <f t="shared" si="94"/>
        <v>2.0408163265306121E-2</v>
      </c>
      <c r="N729">
        <f t="shared" si="95"/>
        <v>52</v>
      </c>
    </row>
    <row r="730" spans="1:14">
      <c r="A730" s="1" cm="1">
        <f t="array" ref="A730">INDEX(tblWeeks[Week_Start],INT((ROW()-2)/20)+1)</f>
        <v>46279</v>
      </c>
      <c r="B730" t="str" cm="1">
        <f t="array" ref="B730">INDEX(tblDemandAssumptions[Customer_ID],MOD(ROW()-2,20)+1)</f>
        <v>C002</v>
      </c>
      <c r="C730" t="str" cm="1">
        <f t="array" ref="C730">INDEX(tblDemandAssumptions[Product_ID],MOD(ROW()-2,20)+1)</f>
        <v>P004</v>
      </c>
      <c r="D730" cm="1">
        <f t="array" ref="D730">INDEX(tblDemandAssumptions[Baseline_Weekly_Qty],MOD(ROW()-2,20)+1)</f>
        <v>2900</v>
      </c>
      <c r="E730">
        <f t="shared" si="88"/>
        <v>1</v>
      </c>
      <c r="F730">
        <v>1</v>
      </c>
      <c r="G730">
        <f t="shared" si="89"/>
        <v>2900</v>
      </c>
      <c r="H730">
        <v>1.03</v>
      </c>
      <c r="I730">
        <f t="shared" si="90"/>
        <v>2987</v>
      </c>
      <c r="J730" t="str">
        <f t="shared" si="91"/>
        <v>Normal</v>
      </c>
      <c r="K730">
        <f t="shared" si="92"/>
        <v>2900</v>
      </c>
      <c r="L730">
        <f t="shared" si="93"/>
        <v>-87</v>
      </c>
      <c r="M730" s="2">
        <f t="shared" si="94"/>
        <v>-2.9126213592233011E-2</v>
      </c>
      <c r="N730">
        <f t="shared" si="95"/>
        <v>87</v>
      </c>
    </row>
    <row r="731" spans="1:14">
      <c r="A731" s="1" cm="1">
        <f t="array" ref="A731">INDEX(tblWeeks[Week_Start],INT((ROW()-2)/20)+1)</f>
        <v>46279</v>
      </c>
      <c r="B731" t="str" cm="1">
        <f t="array" ref="B731">INDEX(tblDemandAssumptions[Customer_ID],MOD(ROW()-2,20)+1)</f>
        <v>C002</v>
      </c>
      <c r="C731" t="str" cm="1">
        <f t="array" ref="C731">INDEX(tblDemandAssumptions[Product_ID],MOD(ROW()-2,20)+1)</f>
        <v>P005</v>
      </c>
      <c r="D731" cm="1">
        <f t="array" ref="D731">INDEX(tblDemandAssumptions[Baseline_Weekly_Qty],MOD(ROW()-2,20)+1)</f>
        <v>2200</v>
      </c>
      <c r="E731">
        <f t="shared" si="88"/>
        <v>1</v>
      </c>
      <c r="F731">
        <v>1.04</v>
      </c>
      <c r="G731">
        <f t="shared" si="89"/>
        <v>2288</v>
      </c>
      <c r="H731">
        <v>0.99</v>
      </c>
      <c r="I731">
        <f t="shared" si="90"/>
        <v>2178</v>
      </c>
      <c r="J731" t="str">
        <f t="shared" si="91"/>
        <v>Normal</v>
      </c>
      <c r="K731">
        <f t="shared" si="92"/>
        <v>2288</v>
      </c>
      <c r="L731">
        <f t="shared" si="93"/>
        <v>110</v>
      </c>
      <c r="M731" s="2">
        <f t="shared" si="94"/>
        <v>5.0505050505050504E-2</v>
      </c>
      <c r="N731">
        <f t="shared" si="95"/>
        <v>110</v>
      </c>
    </row>
    <row r="732" spans="1:14">
      <c r="A732" s="1" cm="1">
        <f t="array" ref="A732">INDEX(tblWeeks[Week_Start],INT((ROW()-2)/20)+1)</f>
        <v>46279</v>
      </c>
      <c r="B732" t="str" cm="1">
        <f t="array" ref="B732">INDEX(tblDemandAssumptions[Customer_ID],MOD(ROW()-2,20)+1)</f>
        <v>C003</v>
      </c>
      <c r="C732" t="str" cm="1">
        <f t="array" ref="C732">INDEX(tblDemandAssumptions[Product_ID],MOD(ROW()-2,20)+1)</f>
        <v>P001</v>
      </c>
      <c r="D732" cm="1">
        <f t="array" ref="D732">INDEX(tblDemandAssumptions[Baseline_Weekly_Qty],MOD(ROW()-2,20)+1)</f>
        <v>3000</v>
      </c>
      <c r="E732">
        <f t="shared" si="88"/>
        <v>1</v>
      </c>
      <c r="F732">
        <v>1.04</v>
      </c>
      <c r="G732">
        <f t="shared" si="89"/>
        <v>3120</v>
      </c>
      <c r="H732">
        <v>1.03</v>
      </c>
      <c r="I732">
        <f t="shared" si="90"/>
        <v>3090</v>
      </c>
      <c r="J732" t="str">
        <f t="shared" si="91"/>
        <v>Normal</v>
      </c>
      <c r="K732">
        <f t="shared" si="92"/>
        <v>3120</v>
      </c>
      <c r="L732">
        <f t="shared" si="93"/>
        <v>30</v>
      </c>
      <c r="M732" s="2">
        <f t="shared" si="94"/>
        <v>9.7087378640776691E-3</v>
      </c>
      <c r="N732">
        <f t="shared" si="95"/>
        <v>30</v>
      </c>
    </row>
    <row r="733" spans="1:14">
      <c r="A733" s="1" cm="1">
        <f t="array" ref="A733">INDEX(tblWeeks[Week_Start],INT((ROW()-2)/20)+1)</f>
        <v>46279</v>
      </c>
      <c r="B733" t="str" cm="1">
        <f t="array" ref="B733">INDEX(tblDemandAssumptions[Customer_ID],MOD(ROW()-2,20)+1)</f>
        <v>C003</v>
      </c>
      <c r="C733" t="str" cm="1">
        <f t="array" ref="C733">INDEX(tblDemandAssumptions[Product_ID],MOD(ROW()-2,20)+1)</f>
        <v>P002</v>
      </c>
      <c r="D733" cm="1">
        <f t="array" ref="D733">INDEX(tblDemandAssumptions[Baseline_Weekly_Qty],MOD(ROW()-2,20)+1)</f>
        <v>2700</v>
      </c>
      <c r="E733">
        <f t="shared" si="88"/>
        <v>1</v>
      </c>
      <c r="F733">
        <v>0.97</v>
      </c>
      <c r="G733">
        <f t="shared" si="89"/>
        <v>2619</v>
      </c>
      <c r="H733">
        <v>0.97</v>
      </c>
      <c r="I733">
        <f t="shared" si="90"/>
        <v>2619</v>
      </c>
      <c r="J733" t="str">
        <f t="shared" si="91"/>
        <v>Normal</v>
      </c>
      <c r="K733">
        <f t="shared" si="92"/>
        <v>2619</v>
      </c>
      <c r="L733">
        <f t="shared" si="93"/>
        <v>0</v>
      </c>
      <c r="M733" s="2">
        <f t="shared" si="94"/>
        <v>0</v>
      </c>
      <c r="N733">
        <f t="shared" si="95"/>
        <v>0</v>
      </c>
    </row>
    <row r="734" spans="1:14">
      <c r="A734" s="1" cm="1">
        <f t="array" ref="A734">INDEX(tblWeeks[Week_Start],INT((ROW()-2)/20)+1)</f>
        <v>46279</v>
      </c>
      <c r="B734" t="str" cm="1">
        <f t="array" ref="B734">INDEX(tblDemandAssumptions[Customer_ID],MOD(ROW()-2,20)+1)</f>
        <v>C003</v>
      </c>
      <c r="C734" t="str" cm="1">
        <f t="array" ref="C734">INDEX(tblDemandAssumptions[Product_ID],MOD(ROW()-2,20)+1)</f>
        <v>P003</v>
      </c>
      <c r="D734" cm="1">
        <f t="array" ref="D734">INDEX(tblDemandAssumptions[Baseline_Weekly_Qty],MOD(ROW()-2,20)+1)</f>
        <v>2800</v>
      </c>
      <c r="E734">
        <f t="shared" si="88"/>
        <v>1</v>
      </c>
      <c r="F734">
        <v>1.01</v>
      </c>
      <c r="G734">
        <f t="shared" si="89"/>
        <v>2828</v>
      </c>
      <c r="H734">
        <v>1</v>
      </c>
      <c r="I734">
        <f t="shared" si="90"/>
        <v>2800</v>
      </c>
      <c r="J734" t="str">
        <f t="shared" si="91"/>
        <v>Normal</v>
      </c>
      <c r="K734">
        <f t="shared" si="92"/>
        <v>2828</v>
      </c>
      <c r="L734">
        <f t="shared" si="93"/>
        <v>28</v>
      </c>
      <c r="M734" s="2">
        <f t="shared" si="94"/>
        <v>0.01</v>
      </c>
      <c r="N734">
        <f t="shared" si="95"/>
        <v>28</v>
      </c>
    </row>
    <row r="735" spans="1:14">
      <c r="A735" s="1" cm="1">
        <f t="array" ref="A735">INDEX(tblWeeks[Week_Start],INT((ROW()-2)/20)+1)</f>
        <v>46279</v>
      </c>
      <c r="B735" t="str" cm="1">
        <f t="array" ref="B735">INDEX(tblDemandAssumptions[Customer_ID],MOD(ROW()-2,20)+1)</f>
        <v>C003</v>
      </c>
      <c r="C735" t="str" cm="1">
        <f t="array" ref="C735">INDEX(tblDemandAssumptions[Product_ID],MOD(ROW()-2,20)+1)</f>
        <v>P004</v>
      </c>
      <c r="D735" cm="1">
        <f t="array" ref="D735">INDEX(tblDemandAssumptions[Baseline_Weekly_Qty],MOD(ROW()-2,20)+1)</f>
        <v>2400</v>
      </c>
      <c r="E735">
        <f t="shared" si="88"/>
        <v>1</v>
      </c>
      <c r="F735">
        <v>0.98</v>
      </c>
      <c r="G735">
        <f t="shared" si="89"/>
        <v>2352</v>
      </c>
      <c r="H735">
        <v>1</v>
      </c>
      <c r="I735">
        <f t="shared" si="90"/>
        <v>2400</v>
      </c>
      <c r="J735" t="str">
        <f t="shared" si="91"/>
        <v>Normal</v>
      </c>
      <c r="K735">
        <f t="shared" si="92"/>
        <v>2352</v>
      </c>
      <c r="L735">
        <f t="shared" si="93"/>
        <v>-48</v>
      </c>
      <c r="M735" s="2">
        <f t="shared" si="94"/>
        <v>-0.02</v>
      </c>
      <c r="N735">
        <f t="shared" si="95"/>
        <v>48</v>
      </c>
    </row>
    <row r="736" spans="1:14">
      <c r="A736" s="1" cm="1">
        <f t="array" ref="A736">INDEX(tblWeeks[Week_Start],INT((ROW()-2)/20)+1)</f>
        <v>46279</v>
      </c>
      <c r="B736" t="str" cm="1">
        <f t="array" ref="B736">INDEX(tblDemandAssumptions[Customer_ID],MOD(ROW()-2,20)+1)</f>
        <v>C003</v>
      </c>
      <c r="C736" t="str" cm="1">
        <f t="array" ref="C736">INDEX(tblDemandAssumptions[Product_ID],MOD(ROW()-2,20)+1)</f>
        <v>P005</v>
      </c>
      <c r="D736" cm="1">
        <f t="array" ref="D736">INDEX(tblDemandAssumptions[Baseline_Weekly_Qty],MOD(ROW()-2,20)+1)</f>
        <v>1900</v>
      </c>
      <c r="E736">
        <f t="shared" si="88"/>
        <v>1</v>
      </c>
      <c r="F736">
        <v>0.95</v>
      </c>
      <c r="G736">
        <f t="shared" si="89"/>
        <v>1805</v>
      </c>
      <c r="H736">
        <v>0.97</v>
      </c>
      <c r="I736">
        <f t="shared" si="90"/>
        <v>1843</v>
      </c>
      <c r="J736" t="str">
        <f t="shared" si="91"/>
        <v>Normal</v>
      </c>
      <c r="K736">
        <f t="shared" si="92"/>
        <v>1805</v>
      </c>
      <c r="L736">
        <f t="shared" si="93"/>
        <v>-38</v>
      </c>
      <c r="M736" s="2">
        <f t="shared" si="94"/>
        <v>-2.0618556701030927E-2</v>
      </c>
      <c r="N736">
        <f t="shared" si="95"/>
        <v>38</v>
      </c>
    </row>
    <row r="737" spans="1:14">
      <c r="A737" s="1" cm="1">
        <f t="array" ref="A737">INDEX(tblWeeks[Week_Start],INT((ROW()-2)/20)+1)</f>
        <v>46279</v>
      </c>
      <c r="B737" t="str" cm="1">
        <f t="array" ref="B737">INDEX(tblDemandAssumptions[Customer_ID],MOD(ROW()-2,20)+1)</f>
        <v>C004</v>
      </c>
      <c r="C737" t="str" cm="1">
        <f t="array" ref="C737">INDEX(tblDemandAssumptions[Product_ID],MOD(ROW()-2,20)+1)</f>
        <v>P001</v>
      </c>
      <c r="D737" cm="1">
        <f t="array" ref="D737">INDEX(tblDemandAssumptions[Baseline_Weekly_Qty],MOD(ROW()-2,20)+1)</f>
        <v>2700</v>
      </c>
      <c r="E737">
        <f t="shared" si="88"/>
        <v>1</v>
      </c>
      <c r="F737">
        <v>0.95</v>
      </c>
      <c r="G737">
        <f t="shared" si="89"/>
        <v>2565</v>
      </c>
      <c r="H737">
        <v>1.04</v>
      </c>
      <c r="I737">
        <f t="shared" si="90"/>
        <v>2808</v>
      </c>
      <c r="J737" t="str">
        <f t="shared" si="91"/>
        <v>Normal</v>
      </c>
      <c r="K737">
        <f t="shared" si="92"/>
        <v>2565</v>
      </c>
      <c r="L737">
        <f t="shared" si="93"/>
        <v>-243</v>
      </c>
      <c r="M737" s="2">
        <f t="shared" si="94"/>
        <v>-8.6538461538461536E-2</v>
      </c>
      <c r="N737">
        <f t="shared" si="95"/>
        <v>243</v>
      </c>
    </row>
    <row r="738" spans="1:14">
      <c r="A738" s="1" cm="1">
        <f t="array" ref="A738">INDEX(tblWeeks[Week_Start],INT((ROW()-2)/20)+1)</f>
        <v>46279</v>
      </c>
      <c r="B738" t="str" cm="1">
        <f t="array" ref="B738">INDEX(tblDemandAssumptions[Customer_ID],MOD(ROW()-2,20)+1)</f>
        <v>C004</v>
      </c>
      <c r="C738" t="str" cm="1">
        <f t="array" ref="C738">INDEX(tblDemandAssumptions[Product_ID],MOD(ROW()-2,20)+1)</f>
        <v>P002</v>
      </c>
      <c r="D738" cm="1">
        <f t="array" ref="D738">INDEX(tblDemandAssumptions[Baseline_Weekly_Qty],MOD(ROW()-2,20)+1)</f>
        <v>2400</v>
      </c>
      <c r="E738">
        <f t="shared" si="88"/>
        <v>1</v>
      </c>
      <c r="F738">
        <v>1.05</v>
      </c>
      <c r="G738">
        <f t="shared" si="89"/>
        <v>2520</v>
      </c>
      <c r="H738">
        <v>0.98</v>
      </c>
      <c r="I738">
        <f t="shared" si="90"/>
        <v>2352</v>
      </c>
      <c r="J738" t="str">
        <f t="shared" si="91"/>
        <v>Normal</v>
      </c>
      <c r="K738">
        <f t="shared" si="92"/>
        <v>2520</v>
      </c>
      <c r="L738">
        <f t="shared" si="93"/>
        <v>168</v>
      </c>
      <c r="M738" s="2">
        <f t="shared" si="94"/>
        <v>7.1428571428571425E-2</v>
      </c>
      <c r="N738">
        <f t="shared" si="95"/>
        <v>168</v>
      </c>
    </row>
    <row r="739" spans="1:14">
      <c r="A739" s="1" cm="1">
        <f t="array" ref="A739">INDEX(tblWeeks[Week_Start],INT((ROW()-2)/20)+1)</f>
        <v>46279</v>
      </c>
      <c r="B739" t="str" cm="1">
        <f t="array" ref="B739">INDEX(tblDemandAssumptions[Customer_ID],MOD(ROW()-2,20)+1)</f>
        <v>C004</v>
      </c>
      <c r="C739" t="str" cm="1">
        <f t="array" ref="C739">INDEX(tblDemandAssumptions[Product_ID],MOD(ROW()-2,20)+1)</f>
        <v>P003</v>
      </c>
      <c r="D739" cm="1">
        <f t="array" ref="D739">INDEX(tblDemandAssumptions[Baseline_Weekly_Qty],MOD(ROW()-2,20)+1)</f>
        <v>2100</v>
      </c>
      <c r="E739">
        <f t="shared" si="88"/>
        <v>1</v>
      </c>
      <c r="F739">
        <v>1.03</v>
      </c>
      <c r="G739">
        <f t="shared" si="89"/>
        <v>2163</v>
      </c>
      <c r="H739">
        <v>1</v>
      </c>
      <c r="I739">
        <f t="shared" si="90"/>
        <v>2100</v>
      </c>
      <c r="J739" t="str">
        <f t="shared" si="91"/>
        <v>Normal</v>
      </c>
      <c r="K739">
        <f t="shared" si="92"/>
        <v>2163</v>
      </c>
      <c r="L739">
        <f t="shared" si="93"/>
        <v>63</v>
      </c>
      <c r="M739" s="2">
        <f t="shared" si="94"/>
        <v>0.03</v>
      </c>
      <c r="N739">
        <f t="shared" si="95"/>
        <v>63</v>
      </c>
    </row>
    <row r="740" spans="1:14">
      <c r="A740" s="1" cm="1">
        <f t="array" ref="A740">INDEX(tblWeeks[Week_Start],INT((ROW()-2)/20)+1)</f>
        <v>46279</v>
      </c>
      <c r="B740" t="str" cm="1">
        <f t="array" ref="B740">INDEX(tblDemandAssumptions[Customer_ID],MOD(ROW()-2,20)+1)</f>
        <v>C004</v>
      </c>
      <c r="C740" t="str" cm="1">
        <f t="array" ref="C740">INDEX(tblDemandAssumptions[Product_ID],MOD(ROW()-2,20)+1)</f>
        <v>P004</v>
      </c>
      <c r="D740" cm="1">
        <f t="array" ref="D740">INDEX(tblDemandAssumptions[Baseline_Weekly_Qty],MOD(ROW()-2,20)+1)</f>
        <v>2600</v>
      </c>
      <c r="E740">
        <f t="shared" si="88"/>
        <v>1</v>
      </c>
      <c r="F740">
        <v>0.95</v>
      </c>
      <c r="G740">
        <f t="shared" si="89"/>
        <v>2470</v>
      </c>
      <c r="H740">
        <v>1</v>
      </c>
      <c r="I740">
        <f t="shared" si="90"/>
        <v>2600</v>
      </c>
      <c r="J740" t="str">
        <f t="shared" si="91"/>
        <v>Normal</v>
      </c>
      <c r="K740">
        <f t="shared" si="92"/>
        <v>2470</v>
      </c>
      <c r="L740">
        <f t="shared" si="93"/>
        <v>-130</v>
      </c>
      <c r="M740" s="2">
        <f t="shared" si="94"/>
        <v>-0.05</v>
      </c>
      <c r="N740">
        <f t="shared" si="95"/>
        <v>130</v>
      </c>
    </row>
    <row r="741" spans="1:14">
      <c r="A741" s="1" cm="1">
        <f t="array" ref="A741">INDEX(tblWeeks[Week_Start],INT((ROW()-2)/20)+1)</f>
        <v>46279</v>
      </c>
      <c r="B741" t="str" cm="1">
        <f t="array" ref="B741">INDEX(tblDemandAssumptions[Customer_ID],MOD(ROW()-2,20)+1)</f>
        <v>C004</v>
      </c>
      <c r="C741" t="str" cm="1">
        <f t="array" ref="C741">INDEX(tblDemandAssumptions[Product_ID],MOD(ROW()-2,20)+1)</f>
        <v>P005</v>
      </c>
      <c r="D741" cm="1">
        <f t="array" ref="D741">INDEX(tblDemandAssumptions[Baseline_Weekly_Qty],MOD(ROW()-2,20)+1)</f>
        <v>1800</v>
      </c>
      <c r="E741">
        <f t="shared" si="88"/>
        <v>1</v>
      </c>
      <c r="F741">
        <v>0.95</v>
      </c>
      <c r="G741">
        <f t="shared" si="89"/>
        <v>1710</v>
      </c>
      <c r="H741">
        <v>1.03</v>
      </c>
      <c r="I741">
        <f t="shared" si="90"/>
        <v>1854</v>
      </c>
      <c r="J741" t="str">
        <f t="shared" si="91"/>
        <v>Normal</v>
      </c>
      <c r="K741">
        <f t="shared" si="92"/>
        <v>1710</v>
      </c>
      <c r="L741">
        <f t="shared" si="93"/>
        <v>-144</v>
      </c>
      <c r="M741" s="2">
        <f t="shared" si="94"/>
        <v>-7.7669902912621352E-2</v>
      </c>
      <c r="N741">
        <f t="shared" si="95"/>
        <v>144</v>
      </c>
    </row>
    <row r="742" spans="1:14">
      <c r="A742" s="1" cm="1">
        <f t="array" ref="A742">INDEX(tblWeeks[Week_Start],INT((ROW()-2)/20)+1)</f>
        <v>46286</v>
      </c>
      <c r="B742" t="str" cm="1">
        <f t="array" ref="B742">INDEX(tblDemandAssumptions[Customer_ID],MOD(ROW()-2,20)+1)</f>
        <v>C001</v>
      </c>
      <c r="C742" t="str" cm="1">
        <f t="array" ref="C742">INDEX(tblDemandAssumptions[Product_ID],MOD(ROW()-2,20)+1)</f>
        <v>P001</v>
      </c>
      <c r="D742" cm="1">
        <f t="array" ref="D742">INDEX(tblDemandAssumptions[Baseline_Weekly_Qty],MOD(ROW()-2,20)+1)</f>
        <v>5200</v>
      </c>
      <c r="E742">
        <f t="shared" si="88"/>
        <v>1</v>
      </c>
      <c r="F742">
        <v>0.96</v>
      </c>
      <c r="G742">
        <f t="shared" si="89"/>
        <v>4992</v>
      </c>
      <c r="H742">
        <v>1.03</v>
      </c>
      <c r="I742">
        <f t="shared" si="90"/>
        <v>5356</v>
      </c>
      <c r="J742" t="str">
        <f t="shared" si="91"/>
        <v>Normal</v>
      </c>
      <c r="K742">
        <f t="shared" si="92"/>
        <v>4992</v>
      </c>
      <c r="L742">
        <f t="shared" si="93"/>
        <v>-364</v>
      </c>
      <c r="M742" s="2">
        <f t="shared" si="94"/>
        <v>-6.7961165048543687E-2</v>
      </c>
      <c r="N742">
        <f t="shared" si="95"/>
        <v>364</v>
      </c>
    </row>
    <row r="743" spans="1:14">
      <c r="A743" s="1" cm="1">
        <f t="array" ref="A743">INDEX(tblWeeks[Week_Start],INT((ROW()-2)/20)+1)</f>
        <v>46286</v>
      </c>
      <c r="B743" t="str" cm="1">
        <f t="array" ref="B743">INDEX(tblDemandAssumptions[Customer_ID],MOD(ROW()-2,20)+1)</f>
        <v>C001</v>
      </c>
      <c r="C743" t="str" cm="1">
        <f t="array" ref="C743">INDEX(tblDemandAssumptions[Product_ID],MOD(ROW()-2,20)+1)</f>
        <v>P002</v>
      </c>
      <c r="D743" cm="1">
        <f t="array" ref="D743">INDEX(tblDemandAssumptions[Baseline_Weekly_Qty],MOD(ROW()-2,20)+1)</f>
        <v>4100</v>
      </c>
      <c r="E743">
        <f t="shared" si="88"/>
        <v>1</v>
      </c>
      <c r="F743">
        <v>0.98</v>
      </c>
      <c r="G743">
        <f t="shared" si="89"/>
        <v>4018</v>
      </c>
      <c r="H743">
        <v>0.99</v>
      </c>
      <c r="I743">
        <f t="shared" si="90"/>
        <v>4059</v>
      </c>
      <c r="J743" t="str">
        <f t="shared" si="91"/>
        <v>Normal</v>
      </c>
      <c r="K743">
        <f t="shared" si="92"/>
        <v>4018</v>
      </c>
      <c r="L743">
        <f t="shared" si="93"/>
        <v>-41</v>
      </c>
      <c r="M743" s="2">
        <f t="shared" si="94"/>
        <v>-1.0101010101010102E-2</v>
      </c>
      <c r="N743">
        <f t="shared" si="95"/>
        <v>41</v>
      </c>
    </row>
    <row r="744" spans="1:14">
      <c r="A744" s="1" cm="1">
        <f t="array" ref="A744">INDEX(tblWeeks[Week_Start],INT((ROW()-2)/20)+1)</f>
        <v>46286</v>
      </c>
      <c r="B744" t="str" cm="1">
        <f t="array" ref="B744">INDEX(tblDemandAssumptions[Customer_ID],MOD(ROW()-2,20)+1)</f>
        <v>C001</v>
      </c>
      <c r="C744" t="str" cm="1">
        <f t="array" ref="C744">INDEX(tblDemandAssumptions[Product_ID],MOD(ROW()-2,20)+1)</f>
        <v>P003</v>
      </c>
      <c r="D744" cm="1">
        <f t="array" ref="D744">INDEX(tblDemandAssumptions[Baseline_Weekly_Qty],MOD(ROW()-2,20)+1)</f>
        <v>3300</v>
      </c>
      <c r="E744">
        <f t="shared" si="88"/>
        <v>1</v>
      </c>
      <c r="F744">
        <v>1.05</v>
      </c>
      <c r="G744">
        <f t="shared" si="89"/>
        <v>3465</v>
      </c>
      <c r="H744">
        <v>0.97</v>
      </c>
      <c r="I744">
        <f t="shared" si="90"/>
        <v>3201</v>
      </c>
      <c r="J744" t="str">
        <f t="shared" si="91"/>
        <v>Normal</v>
      </c>
      <c r="K744">
        <f t="shared" si="92"/>
        <v>3465</v>
      </c>
      <c r="L744">
        <f t="shared" si="93"/>
        <v>264</v>
      </c>
      <c r="M744" s="2">
        <f t="shared" si="94"/>
        <v>8.247422680412371E-2</v>
      </c>
      <c r="N744">
        <f t="shared" si="95"/>
        <v>264</v>
      </c>
    </row>
    <row r="745" spans="1:14">
      <c r="A745" s="1" cm="1">
        <f t="array" ref="A745">INDEX(tblWeeks[Week_Start],INT((ROW()-2)/20)+1)</f>
        <v>46286</v>
      </c>
      <c r="B745" t="str" cm="1">
        <f t="array" ref="B745">INDEX(tblDemandAssumptions[Customer_ID],MOD(ROW()-2,20)+1)</f>
        <v>C001</v>
      </c>
      <c r="C745" t="str" cm="1">
        <f t="array" ref="C745">INDEX(tblDemandAssumptions[Product_ID],MOD(ROW()-2,20)+1)</f>
        <v>P004</v>
      </c>
      <c r="D745" cm="1">
        <f t="array" ref="D745">INDEX(tblDemandAssumptions[Baseline_Weekly_Qty],MOD(ROW()-2,20)+1)</f>
        <v>3600</v>
      </c>
      <c r="E745">
        <f t="shared" si="88"/>
        <v>1</v>
      </c>
      <c r="F745">
        <v>1.03</v>
      </c>
      <c r="G745">
        <f t="shared" si="89"/>
        <v>3708</v>
      </c>
      <c r="H745">
        <v>1.03</v>
      </c>
      <c r="I745">
        <f t="shared" si="90"/>
        <v>3708</v>
      </c>
      <c r="J745" t="str">
        <f t="shared" si="91"/>
        <v>Normal</v>
      </c>
      <c r="K745">
        <f t="shared" si="92"/>
        <v>3708</v>
      </c>
      <c r="L745">
        <f t="shared" si="93"/>
        <v>0</v>
      </c>
      <c r="M745" s="2">
        <f t="shared" si="94"/>
        <v>0</v>
      </c>
      <c r="N745">
        <f t="shared" si="95"/>
        <v>0</v>
      </c>
    </row>
    <row r="746" spans="1:14">
      <c r="A746" s="1" cm="1">
        <f t="array" ref="A746">INDEX(tblWeeks[Week_Start],INT((ROW()-2)/20)+1)</f>
        <v>46286</v>
      </c>
      <c r="B746" t="str" cm="1">
        <f t="array" ref="B746">INDEX(tblDemandAssumptions[Customer_ID],MOD(ROW()-2,20)+1)</f>
        <v>C001</v>
      </c>
      <c r="C746" t="str" cm="1">
        <f t="array" ref="C746">INDEX(tblDemandAssumptions[Product_ID],MOD(ROW()-2,20)+1)</f>
        <v>P005</v>
      </c>
      <c r="D746" cm="1">
        <f t="array" ref="D746">INDEX(tblDemandAssumptions[Baseline_Weekly_Qty],MOD(ROW()-2,20)+1)</f>
        <v>2800</v>
      </c>
      <c r="E746">
        <f t="shared" si="88"/>
        <v>1</v>
      </c>
      <c r="F746">
        <v>0.98</v>
      </c>
      <c r="G746">
        <f t="shared" si="89"/>
        <v>2744</v>
      </c>
      <c r="H746">
        <v>0.96</v>
      </c>
      <c r="I746">
        <f t="shared" si="90"/>
        <v>2688</v>
      </c>
      <c r="J746" t="str">
        <f t="shared" si="91"/>
        <v>Normal</v>
      </c>
      <c r="K746">
        <f t="shared" si="92"/>
        <v>2744</v>
      </c>
      <c r="L746">
        <f t="shared" si="93"/>
        <v>56</v>
      </c>
      <c r="M746" s="2">
        <f t="shared" si="94"/>
        <v>2.0833333333333332E-2</v>
      </c>
      <c r="N746">
        <f t="shared" si="95"/>
        <v>56</v>
      </c>
    </row>
    <row r="747" spans="1:14">
      <c r="A747" s="1" cm="1">
        <f t="array" ref="A747">INDEX(tblWeeks[Week_Start],INT((ROW()-2)/20)+1)</f>
        <v>46286</v>
      </c>
      <c r="B747" t="str" cm="1">
        <f t="array" ref="B747">INDEX(tblDemandAssumptions[Customer_ID],MOD(ROW()-2,20)+1)</f>
        <v>C002</v>
      </c>
      <c r="C747" t="str" cm="1">
        <f t="array" ref="C747">INDEX(tblDemandAssumptions[Product_ID],MOD(ROW()-2,20)+1)</f>
        <v>P001</v>
      </c>
      <c r="D747" cm="1">
        <f t="array" ref="D747">INDEX(tblDemandAssumptions[Baseline_Weekly_Qty],MOD(ROW()-2,20)+1)</f>
        <v>3400</v>
      </c>
      <c r="E747">
        <f t="shared" si="88"/>
        <v>1</v>
      </c>
      <c r="F747">
        <v>1.02</v>
      </c>
      <c r="G747">
        <f t="shared" si="89"/>
        <v>3468</v>
      </c>
      <c r="H747">
        <v>0.96</v>
      </c>
      <c r="I747">
        <f t="shared" si="90"/>
        <v>3264</v>
      </c>
      <c r="J747" t="str">
        <f t="shared" si="91"/>
        <v>Normal</v>
      </c>
      <c r="K747">
        <f t="shared" si="92"/>
        <v>3468</v>
      </c>
      <c r="L747">
        <f t="shared" si="93"/>
        <v>204</v>
      </c>
      <c r="M747" s="2">
        <f t="shared" si="94"/>
        <v>6.25E-2</v>
      </c>
      <c r="N747">
        <f t="shared" si="95"/>
        <v>204</v>
      </c>
    </row>
    <row r="748" spans="1:14">
      <c r="A748" s="1" cm="1">
        <f t="array" ref="A748">INDEX(tblWeeks[Week_Start],INT((ROW()-2)/20)+1)</f>
        <v>46286</v>
      </c>
      <c r="B748" t="str" cm="1">
        <f t="array" ref="B748">INDEX(tblDemandAssumptions[Customer_ID],MOD(ROW()-2,20)+1)</f>
        <v>C002</v>
      </c>
      <c r="C748" t="str" cm="1">
        <f t="array" ref="C748">INDEX(tblDemandAssumptions[Product_ID],MOD(ROW()-2,20)+1)</f>
        <v>P002</v>
      </c>
      <c r="D748" cm="1">
        <f t="array" ref="D748">INDEX(tblDemandAssumptions[Baseline_Weekly_Qty],MOD(ROW()-2,20)+1)</f>
        <v>3200</v>
      </c>
      <c r="E748">
        <f t="shared" si="88"/>
        <v>1</v>
      </c>
      <c r="F748">
        <v>1.04</v>
      </c>
      <c r="G748">
        <f t="shared" si="89"/>
        <v>3328</v>
      </c>
      <c r="H748">
        <v>1.04</v>
      </c>
      <c r="I748">
        <f t="shared" si="90"/>
        <v>3328</v>
      </c>
      <c r="J748" t="str">
        <f t="shared" si="91"/>
        <v>Normal</v>
      </c>
      <c r="K748">
        <f t="shared" si="92"/>
        <v>3328</v>
      </c>
      <c r="L748">
        <f t="shared" si="93"/>
        <v>0</v>
      </c>
      <c r="M748" s="2">
        <f t="shared" si="94"/>
        <v>0</v>
      </c>
      <c r="N748">
        <f t="shared" si="95"/>
        <v>0</v>
      </c>
    </row>
    <row r="749" spans="1:14">
      <c r="A749" s="1" cm="1">
        <f t="array" ref="A749">INDEX(tblWeeks[Week_Start],INT((ROW()-2)/20)+1)</f>
        <v>46286</v>
      </c>
      <c r="B749" t="str" cm="1">
        <f t="array" ref="B749">INDEX(tblDemandAssumptions[Customer_ID],MOD(ROW()-2,20)+1)</f>
        <v>C002</v>
      </c>
      <c r="C749" t="str" cm="1">
        <f t="array" ref="C749">INDEX(tblDemandAssumptions[Product_ID],MOD(ROW()-2,20)+1)</f>
        <v>P003</v>
      </c>
      <c r="D749" cm="1">
        <f t="array" ref="D749">INDEX(tblDemandAssumptions[Baseline_Weekly_Qty],MOD(ROW()-2,20)+1)</f>
        <v>2600</v>
      </c>
      <c r="E749">
        <f t="shared" si="88"/>
        <v>1</v>
      </c>
      <c r="F749">
        <v>1.01</v>
      </c>
      <c r="G749">
        <f t="shared" si="89"/>
        <v>2626</v>
      </c>
      <c r="H749">
        <v>1.04</v>
      </c>
      <c r="I749">
        <f t="shared" si="90"/>
        <v>2704</v>
      </c>
      <c r="J749" t="str">
        <f t="shared" si="91"/>
        <v>Normal</v>
      </c>
      <c r="K749">
        <f t="shared" si="92"/>
        <v>2626</v>
      </c>
      <c r="L749">
        <f t="shared" si="93"/>
        <v>-78</v>
      </c>
      <c r="M749" s="2">
        <f t="shared" si="94"/>
        <v>-2.8846153846153848E-2</v>
      </c>
      <c r="N749">
        <f t="shared" si="95"/>
        <v>78</v>
      </c>
    </row>
    <row r="750" spans="1:14">
      <c r="A750" s="1" cm="1">
        <f t="array" ref="A750">INDEX(tblWeeks[Week_Start],INT((ROW()-2)/20)+1)</f>
        <v>46286</v>
      </c>
      <c r="B750" t="str" cm="1">
        <f t="array" ref="B750">INDEX(tblDemandAssumptions[Customer_ID],MOD(ROW()-2,20)+1)</f>
        <v>C002</v>
      </c>
      <c r="C750" t="str" cm="1">
        <f t="array" ref="C750">INDEX(tblDemandAssumptions[Product_ID],MOD(ROW()-2,20)+1)</f>
        <v>P004</v>
      </c>
      <c r="D750" cm="1">
        <f t="array" ref="D750">INDEX(tblDemandAssumptions[Baseline_Weekly_Qty],MOD(ROW()-2,20)+1)</f>
        <v>2900</v>
      </c>
      <c r="E750">
        <f t="shared" si="88"/>
        <v>1</v>
      </c>
      <c r="F750">
        <v>1</v>
      </c>
      <c r="G750">
        <f t="shared" si="89"/>
        <v>2900</v>
      </c>
      <c r="H750">
        <v>1.03</v>
      </c>
      <c r="I750">
        <f t="shared" si="90"/>
        <v>2987</v>
      </c>
      <c r="J750" t="str">
        <f t="shared" si="91"/>
        <v>Normal</v>
      </c>
      <c r="K750">
        <f t="shared" si="92"/>
        <v>2900</v>
      </c>
      <c r="L750">
        <f t="shared" si="93"/>
        <v>-87</v>
      </c>
      <c r="M750" s="2">
        <f t="shared" si="94"/>
        <v>-2.9126213592233011E-2</v>
      </c>
      <c r="N750">
        <f t="shared" si="95"/>
        <v>87</v>
      </c>
    </row>
    <row r="751" spans="1:14">
      <c r="A751" s="1" cm="1">
        <f t="array" ref="A751">INDEX(tblWeeks[Week_Start],INT((ROW()-2)/20)+1)</f>
        <v>46286</v>
      </c>
      <c r="B751" t="str" cm="1">
        <f t="array" ref="B751">INDEX(tblDemandAssumptions[Customer_ID],MOD(ROW()-2,20)+1)</f>
        <v>C002</v>
      </c>
      <c r="C751" t="str" cm="1">
        <f t="array" ref="C751">INDEX(tblDemandAssumptions[Product_ID],MOD(ROW()-2,20)+1)</f>
        <v>P005</v>
      </c>
      <c r="D751" cm="1">
        <f t="array" ref="D751">INDEX(tblDemandAssumptions[Baseline_Weekly_Qty],MOD(ROW()-2,20)+1)</f>
        <v>2200</v>
      </c>
      <c r="E751">
        <f t="shared" si="88"/>
        <v>1</v>
      </c>
      <c r="F751">
        <v>1.04</v>
      </c>
      <c r="G751">
        <f t="shared" si="89"/>
        <v>2288</v>
      </c>
      <c r="H751">
        <v>0.99</v>
      </c>
      <c r="I751">
        <f t="shared" si="90"/>
        <v>2178</v>
      </c>
      <c r="J751" t="str">
        <f t="shared" si="91"/>
        <v>Normal</v>
      </c>
      <c r="K751">
        <f t="shared" si="92"/>
        <v>2288</v>
      </c>
      <c r="L751">
        <f t="shared" si="93"/>
        <v>110</v>
      </c>
      <c r="M751" s="2">
        <f t="shared" si="94"/>
        <v>5.0505050505050504E-2</v>
      </c>
      <c r="N751">
        <f t="shared" si="95"/>
        <v>110</v>
      </c>
    </row>
    <row r="752" spans="1:14">
      <c r="A752" s="1" cm="1">
        <f t="array" ref="A752">INDEX(tblWeeks[Week_Start],INT((ROW()-2)/20)+1)</f>
        <v>46286</v>
      </c>
      <c r="B752" t="str" cm="1">
        <f t="array" ref="B752">INDEX(tblDemandAssumptions[Customer_ID],MOD(ROW()-2,20)+1)</f>
        <v>C003</v>
      </c>
      <c r="C752" t="str" cm="1">
        <f t="array" ref="C752">INDEX(tblDemandAssumptions[Product_ID],MOD(ROW()-2,20)+1)</f>
        <v>P001</v>
      </c>
      <c r="D752" cm="1">
        <f t="array" ref="D752">INDEX(tblDemandAssumptions[Baseline_Weekly_Qty],MOD(ROW()-2,20)+1)</f>
        <v>3000</v>
      </c>
      <c r="E752">
        <f t="shared" si="88"/>
        <v>1</v>
      </c>
      <c r="F752">
        <v>0.99</v>
      </c>
      <c r="G752">
        <f t="shared" si="89"/>
        <v>2970</v>
      </c>
      <c r="H752">
        <v>1.01</v>
      </c>
      <c r="I752">
        <f t="shared" si="90"/>
        <v>3030</v>
      </c>
      <c r="J752" t="str">
        <f t="shared" si="91"/>
        <v>Normal</v>
      </c>
      <c r="K752">
        <f t="shared" si="92"/>
        <v>2970</v>
      </c>
      <c r="L752">
        <f t="shared" si="93"/>
        <v>-60</v>
      </c>
      <c r="M752" s="2">
        <f t="shared" si="94"/>
        <v>-1.9801980198019802E-2</v>
      </c>
      <c r="N752">
        <f t="shared" si="95"/>
        <v>60</v>
      </c>
    </row>
    <row r="753" spans="1:14">
      <c r="A753" s="1" cm="1">
        <f t="array" ref="A753">INDEX(tblWeeks[Week_Start],INT((ROW()-2)/20)+1)</f>
        <v>46286</v>
      </c>
      <c r="B753" t="str" cm="1">
        <f t="array" ref="B753">INDEX(tblDemandAssumptions[Customer_ID],MOD(ROW()-2,20)+1)</f>
        <v>C003</v>
      </c>
      <c r="C753" t="str" cm="1">
        <f t="array" ref="C753">INDEX(tblDemandAssumptions[Product_ID],MOD(ROW()-2,20)+1)</f>
        <v>P002</v>
      </c>
      <c r="D753" cm="1">
        <f t="array" ref="D753">INDEX(tblDemandAssumptions[Baseline_Weekly_Qty],MOD(ROW()-2,20)+1)</f>
        <v>2700</v>
      </c>
      <c r="E753">
        <f t="shared" si="88"/>
        <v>1</v>
      </c>
      <c r="F753">
        <v>1.02</v>
      </c>
      <c r="G753">
        <f t="shared" si="89"/>
        <v>2754</v>
      </c>
      <c r="H753">
        <v>0.98</v>
      </c>
      <c r="I753">
        <f t="shared" si="90"/>
        <v>2646</v>
      </c>
      <c r="J753" t="str">
        <f t="shared" si="91"/>
        <v>Normal</v>
      </c>
      <c r="K753">
        <f t="shared" si="92"/>
        <v>2754</v>
      </c>
      <c r="L753">
        <f t="shared" si="93"/>
        <v>108</v>
      </c>
      <c r="M753" s="2">
        <f t="shared" si="94"/>
        <v>4.0816326530612242E-2</v>
      </c>
      <c r="N753">
        <f t="shared" si="95"/>
        <v>108</v>
      </c>
    </row>
    <row r="754" spans="1:14">
      <c r="A754" s="1" cm="1">
        <f t="array" ref="A754">INDEX(tblWeeks[Week_Start],INT((ROW()-2)/20)+1)</f>
        <v>46286</v>
      </c>
      <c r="B754" t="str" cm="1">
        <f t="array" ref="B754">INDEX(tblDemandAssumptions[Customer_ID],MOD(ROW()-2,20)+1)</f>
        <v>C003</v>
      </c>
      <c r="C754" t="str" cm="1">
        <f t="array" ref="C754">INDEX(tblDemandAssumptions[Product_ID],MOD(ROW()-2,20)+1)</f>
        <v>P003</v>
      </c>
      <c r="D754" cm="1">
        <f t="array" ref="D754">INDEX(tblDemandAssumptions[Baseline_Weekly_Qty],MOD(ROW()-2,20)+1)</f>
        <v>2800</v>
      </c>
      <c r="E754">
        <f t="shared" si="88"/>
        <v>1</v>
      </c>
      <c r="F754">
        <v>1.02</v>
      </c>
      <c r="G754">
        <f t="shared" si="89"/>
        <v>2856</v>
      </c>
      <c r="H754">
        <v>1.03</v>
      </c>
      <c r="I754">
        <f t="shared" si="90"/>
        <v>2884</v>
      </c>
      <c r="J754" t="str">
        <f t="shared" si="91"/>
        <v>Normal</v>
      </c>
      <c r="K754">
        <f t="shared" si="92"/>
        <v>2856</v>
      </c>
      <c r="L754">
        <f t="shared" si="93"/>
        <v>-28</v>
      </c>
      <c r="M754" s="2">
        <f t="shared" si="94"/>
        <v>-9.7087378640776691E-3</v>
      </c>
      <c r="N754">
        <f t="shared" si="95"/>
        <v>28</v>
      </c>
    </row>
    <row r="755" spans="1:14">
      <c r="A755" s="1" cm="1">
        <f t="array" ref="A755">INDEX(tblWeeks[Week_Start],INT((ROW()-2)/20)+1)</f>
        <v>46286</v>
      </c>
      <c r="B755" t="str" cm="1">
        <f t="array" ref="B755">INDEX(tblDemandAssumptions[Customer_ID],MOD(ROW()-2,20)+1)</f>
        <v>C003</v>
      </c>
      <c r="C755" t="str" cm="1">
        <f t="array" ref="C755">INDEX(tblDemandAssumptions[Product_ID],MOD(ROW()-2,20)+1)</f>
        <v>P004</v>
      </c>
      <c r="D755" cm="1">
        <f t="array" ref="D755">INDEX(tblDemandAssumptions[Baseline_Weekly_Qty],MOD(ROW()-2,20)+1)</f>
        <v>2400</v>
      </c>
      <c r="E755">
        <f t="shared" si="88"/>
        <v>1</v>
      </c>
      <c r="F755">
        <v>1.04</v>
      </c>
      <c r="G755">
        <f t="shared" si="89"/>
        <v>2496</v>
      </c>
      <c r="H755">
        <v>1</v>
      </c>
      <c r="I755">
        <f t="shared" si="90"/>
        <v>2400</v>
      </c>
      <c r="J755" t="str">
        <f t="shared" si="91"/>
        <v>Normal</v>
      </c>
      <c r="K755">
        <f t="shared" si="92"/>
        <v>2496</v>
      </c>
      <c r="L755">
        <f t="shared" si="93"/>
        <v>96</v>
      </c>
      <c r="M755" s="2">
        <f t="shared" si="94"/>
        <v>0.04</v>
      </c>
      <c r="N755">
        <f t="shared" si="95"/>
        <v>96</v>
      </c>
    </row>
    <row r="756" spans="1:14">
      <c r="A756" s="1" cm="1">
        <f t="array" ref="A756">INDEX(tblWeeks[Week_Start],INT((ROW()-2)/20)+1)</f>
        <v>46286</v>
      </c>
      <c r="B756" t="str" cm="1">
        <f t="array" ref="B756">INDEX(tblDemandAssumptions[Customer_ID],MOD(ROW()-2,20)+1)</f>
        <v>C003</v>
      </c>
      <c r="C756" t="str" cm="1">
        <f t="array" ref="C756">INDEX(tblDemandAssumptions[Product_ID],MOD(ROW()-2,20)+1)</f>
        <v>P005</v>
      </c>
      <c r="D756" cm="1">
        <f t="array" ref="D756">INDEX(tblDemandAssumptions[Baseline_Weekly_Qty],MOD(ROW()-2,20)+1)</f>
        <v>1900</v>
      </c>
      <c r="E756">
        <f t="shared" si="88"/>
        <v>1</v>
      </c>
      <c r="F756">
        <v>0.97</v>
      </c>
      <c r="G756">
        <f t="shared" si="89"/>
        <v>1843</v>
      </c>
      <c r="H756">
        <v>1</v>
      </c>
      <c r="I756">
        <f t="shared" si="90"/>
        <v>1900</v>
      </c>
      <c r="J756" t="str">
        <f t="shared" si="91"/>
        <v>Normal</v>
      </c>
      <c r="K756">
        <f t="shared" si="92"/>
        <v>1843</v>
      </c>
      <c r="L756">
        <f t="shared" si="93"/>
        <v>-57</v>
      </c>
      <c r="M756" s="2">
        <f t="shared" si="94"/>
        <v>-0.03</v>
      </c>
      <c r="N756">
        <f t="shared" si="95"/>
        <v>57</v>
      </c>
    </row>
    <row r="757" spans="1:14">
      <c r="A757" s="1" cm="1">
        <f t="array" ref="A757">INDEX(tblWeeks[Week_Start],INT((ROW()-2)/20)+1)</f>
        <v>46286</v>
      </c>
      <c r="B757" t="str" cm="1">
        <f t="array" ref="B757">INDEX(tblDemandAssumptions[Customer_ID],MOD(ROW()-2,20)+1)</f>
        <v>C004</v>
      </c>
      <c r="C757" t="str" cm="1">
        <f t="array" ref="C757">INDEX(tblDemandAssumptions[Product_ID],MOD(ROW()-2,20)+1)</f>
        <v>P001</v>
      </c>
      <c r="D757" cm="1">
        <f t="array" ref="D757">INDEX(tblDemandAssumptions[Baseline_Weekly_Qty],MOD(ROW()-2,20)+1)</f>
        <v>2700</v>
      </c>
      <c r="E757">
        <f t="shared" si="88"/>
        <v>1</v>
      </c>
      <c r="F757">
        <v>1.01</v>
      </c>
      <c r="G757">
        <f t="shared" si="89"/>
        <v>2727</v>
      </c>
      <c r="H757">
        <v>1.01</v>
      </c>
      <c r="I757">
        <f t="shared" si="90"/>
        <v>2727</v>
      </c>
      <c r="J757" t="str">
        <f t="shared" si="91"/>
        <v>Normal</v>
      </c>
      <c r="K757">
        <f t="shared" si="92"/>
        <v>2727</v>
      </c>
      <c r="L757">
        <f t="shared" si="93"/>
        <v>0</v>
      </c>
      <c r="M757" s="2">
        <f t="shared" si="94"/>
        <v>0</v>
      </c>
      <c r="N757">
        <f t="shared" si="95"/>
        <v>0</v>
      </c>
    </row>
    <row r="758" spans="1:14">
      <c r="A758" s="1" cm="1">
        <f t="array" ref="A758">INDEX(tblWeeks[Week_Start],INT((ROW()-2)/20)+1)</f>
        <v>46286</v>
      </c>
      <c r="B758" t="str" cm="1">
        <f t="array" ref="B758">INDEX(tblDemandAssumptions[Customer_ID],MOD(ROW()-2,20)+1)</f>
        <v>C004</v>
      </c>
      <c r="C758" t="str" cm="1">
        <f t="array" ref="C758">INDEX(tblDemandAssumptions[Product_ID],MOD(ROW()-2,20)+1)</f>
        <v>P002</v>
      </c>
      <c r="D758" cm="1">
        <f t="array" ref="D758">INDEX(tblDemandAssumptions[Baseline_Weekly_Qty],MOD(ROW()-2,20)+1)</f>
        <v>2400</v>
      </c>
      <c r="E758">
        <f t="shared" si="88"/>
        <v>1</v>
      </c>
      <c r="F758">
        <v>1.05</v>
      </c>
      <c r="G758">
        <f t="shared" si="89"/>
        <v>2520</v>
      </c>
      <c r="H758">
        <v>0.97</v>
      </c>
      <c r="I758">
        <f t="shared" si="90"/>
        <v>2328</v>
      </c>
      <c r="J758" t="str">
        <f t="shared" si="91"/>
        <v>Normal</v>
      </c>
      <c r="K758">
        <f t="shared" si="92"/>
        <v>2520</v>
      </c>
      <c r="L758">
        <f t="shared" si="93"/>
        <v>192</v>
      </c>
      <c r="M758" s="2">
        <f t="shared" si="94"/>
        <v>8.247422680412371E-2</v>
      </c>
      <c r="N758">
        <f t="shared" si="95"/>
        <v>192</v>
      </c>
    </row>
    <row r="759" spans="1:14">
      <c r="A759" s="1" cm="1">
        <f t="array" ref="A759">INDEX(tblWeeks[Week_Start],INT((ROW()-2)/20)+1)</f>
        <v>46286</v>
      </c>
      <c r="B759" t="str" cm="1">
        <f t="array" ref="B759">INDEX(tblDemandAssumptions[Customer_ID],MOD(ROW()-2,20)+1)</f>
        <v>C004</v>
      </c>
      <c r="C759" t="str" cm="1">
        <f t="array" ref="C759">INDEX(tblDemandAssumptions[Product_ID],MOD(ROW()-2,20)+1)</f>
        <v>P003</v>
      </c>
      <c r="D759" cm="1">
        <f t="array" ref="D759">INDEX(tblDemandAssumptions[Baseline_Weekly_Qty],MOD(ROW()-2,20)+1)</f>
        <v>2100</v>
      </c>
      <c r="E759">
        <f t="shared" si="88"/>
        <v>1</v>
      </c>
      <c r="F759">
        <v>1.05</v>
      </c>
      <c r="G759">
        <f t="shared" si="89"/>
        <v>2205</v>
      </c>
      <c r="H759">
        <v>0.96</v>
      </c>
      <c r="I759">
        <f t="shared" si="90"/>
        <v>2016</v>
      </c>
      <c r="J759" t="str">
        <f t="shared" si="91"/>
        <v>Normal</v>
      </c>
      <c r="K759">
        <f t="shared" si="92"/>
        <v>2205</v>
      </c>
      <c r="L759">
        <f t="shared" si="93"/>
        <v>189</v>
      </c>
      <c r="M759" s="2">
        <f t="shared" si="94"/>
        <v>9.375E-2</v>
      </c>
      <c r="N759">
        <f t="shared" si="95"/>
        <v>189</v>
      </c>
    </row>
    <row r="760" spans="1:14">
      <c r="A760" s="1" cm="1">
        <f t="array" ref="A760">INDEX(tblWeeks[Week_Start],INT((ROW()-2)/20)+1)</f>
        <v>46286</v>
      </c>
      <c r="B760" t="str" cm="1">
        <f t="array" ref="B760">INDEX(tblDemandAssumptions[Customer_ID],MOD(ROW()-2,20)+1)</f>
        <v>C004</v>
      </c>
      <c r="C760" t="str" cm="1">
        <f t="array" ref="C760">INDEX(tblDemandAssumptions[Product_ID],MOD(ROW()-2,20)+1)</f>
        <v>P004</v>
      </c>
      <c r="D760" cm="1">
        <f t="array" ref="D760">INDEX(tblDemandAssumptions[Baseline_Weekly_Qty],MOD(ROW()-2,20)+1)</f>
        <v>2600</v>
      </c>
      <c r="E760">
        <f t="shared" si="88"/>
        <v>1</v>
      </c>
      <c r="F760">
        <v>1</v>
      </c>
      <c r="G760">
        <f t="shared" si="89"/>
        <v>2600</v>
      </c>
      <c r="H760">
        <v>1.04</v>
      </c>
      <c r="I760">
        <f t="shared" si="90"/>
        <v>2704</v>
      </c>
      <c r="J760" t="str">
        <f t="shared" si="91"/>
        <v>Normal</v>
      </c>
      <c r="K760">
        <f t="shared" si="92"/>
        <v>2600</v>
      </c>
      <c r="L760">
        <f t="shared" si="93"/>
        <v>-104</v>
      </c>
      <c r="M760" s="2">
        <f t="shared" si="94"/>
        <v>-3.8461538461538464E-2</v>
      </c>
      <c r="N760">
        <f t="shared" si="95"/>
        <v>104</v>
      </c>
    </row>
    <row r="761" spans="1:14">
      <c r="A761" s="1" cm="1">
        <f t="array" ref="A761">INDEX(tblWeeks[Week_Start],INT((ROW()-2)/20)+1)</f>
        <v>46286</v>
      </c>
      <c r="B761" t="str" cm="1">
        <f t="array" ref="B761">INDEX(tblDemandAssumptions[Customer_ID],MOD(ROW()-2,20)+1)</f>
        <v>C004</v>
      </c>
      <c r="C761" t="str" cm="1">
        <f t="array" ref="C761">INDEX(tblDemandAssumptions[Product_ID],MOD(ROW()-2,20)+1)</f>
        <v>P005</v>
      </c>
      <c r="D761" cm="1">
        <f t="array" ref="D761">INDEX(tblDemandAssumptions[Baseline_Weekly_Qty],MOD(ROW()-2,20)+1)</f>
        <v>1800</v>
      </c>
      <c r="E761">
        <f t="shared" si="88"/>
        <v>1</v>
      </c>
      <c r="F761">
        <v>0.98</v>
      </c>
      <c r="G761">
        <f t="shared" si="89"/>
        <v>1764</v>
      </c>
      <c r="H761">
        <v>1.01</v>
      </c>
      <c r="I761">
        <f t="shared" si="90"/>
        <v>1818</v>
      </c>
      <c r="J761" t="str">
        <f t="shared" si="91"/>
        <v>Normal</v>
      </c>
      <c r="K761">
        <f t="shared" si="92"/>
        <v>1764</v>
      </c>
      <c r="L761">
        <f t="shared" si="93"/>
        <v>-54</v>
      </c>
      <c r="M761" s="2">
        <f t="shared" si="94"/>
        <v>-2.9702970297029702E-2</v>
      </c>
      <c r="N761">
        <f t="shared" si="95"/>
        <v>54</v>
      </c>
    </row>
    <row r="762" spans="1:14">
      <c r="A762" s="1" cm="1">
        <f t="array" ref="A762">INDEX(tblWeeks[Week_Start],INT((ROW()-2)/20)+1)</f>
        <v>46293</v>
      </c>
      <c r="B762" t="str" cm="1">
        <f t="array" ref="B762">INDEX(tblDemandAssumptions[Customer_ID],MOD(ROW()-2,20)+1)</f>
        <v>C001</v>
      </c>
      <c r="C762" t="str" cm="1">
        <f t="array" ref="C762">INDEX(tblDemandAssumptions[Product_ID],MOD(ROW()-2,20)+1)</f>
        <v>P001</v>
      </c>
      <c r="D762" cm="1">
        <f t="array" ref="D762">INDEX(tblDemandAssumptions[Baseline_Weekly_Qty],MOD(ROW()-2,20)+1)</f>
        <v>5200</v>
      </c>
      <c r="E762">
        <f t="shared" si="88"/>
        <v>1</v>
      </c>
      <c r="F762">
        <v>1.01</v>
      </c>
      <c r="G762">
        <f t="shared" si="89"/>
        <v>5252</v>
      </c>
      <c r="H762">
        <v>1.04</v>
      </c>
      <c r="I762">
        <f t="shared" si="90"/>
        <v>5408</v>
      </c>
      <c r="J762" t="str">
        <f t="shared" si="91"/>
        <v>Normal</v>
      </c>
      <c r="K762">
        <f t="shared" si="92"/>
        <v>5252</v>
      </c>
      <c r="L762">
        <f t="shared" si="93"/>
        <v>-156</v>
      </c>
      <c r="M762" s="2">
        <f t="shared" si="94"/>
        <v>-2.8846153846153848E-2</v>
      </c>
      <c r="N762">
        <f t="shared" si="95"/>
        <v>156</v>
      </c>
    </row>
    <row r="763" spans="1:14">
      <c r="A763" s="1" cm="1">
        <f t="array" ref="A763">INDEX(tblWeeks[Week_Start],INT((ROW()-2)/20)+1)</f>
        <v>46293</v>
      </c>
      <c r="B763" t="str" cm="1">
        <f t="array" ref="B763">INDEX(tblDemandAssumptions[Customer_ID],MOD(ROW()-2,20)+1)</f>
        <v>C001</v>
      </c>
      <c r="C763" t="str" cm="1">
        <f t="array" ref="C763">INDEX(tblDemandAssumptions[Product_ID],MOD(ROW()-2,20)+1)</f>
        <v>P002</v>
      </c>
      <c r="D763" cm="1">
        <f t="array" ref="D763">INDEX(tblDemandAssumptions[Baseline_Weekly_Qty],MOD(ROW()-2,20)+1)</f>
        <v>4100</v>
      </c>
      <c r="E763">
        <f t="shared" si="88"/>
        <v>1</v>
      </c>
      <c r="F763">
        <v>1.03</v>
      </c>
      <c r="G763">
        <f t="shared" si="89"/>
        <v>4223</v>
      </c>
      <c r="H763">
        <v>0.97</v>
      </c>
      <c r="I763">
        <f t="shared" si="90"/>
        <v>3977</v>
      </c>
      <c r="J763" t="str">
        <f t="shared" si="91"/>
        <v>Normal</v>
      </c>
      <c r="K763">
        <f t="shared" si="92"/>
        <v>4223</v>
      </c>
      <c r="L763">
        <f t="shared" si="93"/>
        <v>246</v>
      </c>
      <c r="M763" s="2">
        <f t="shared" si="94"/>
        <v>6.1855670103092786E-2</v>
      </c>
      <c r="N763">
        <f t="shared" si="95"/>
        <v>246</v>
      </c>
    </row>
    <row r="764" spans="1:14">
      <c r="A764" s="1" cm="1">
        <f t="array" ref="A764">INDEX(tblWeeks[Week_Start],INT((ROW()-2)/20)+1)</f>
        <v>46293</v>
      </c>
      <c r="B764" t="str" cm="1">
        <f t="array" ref="B764">INDEX(tblDemandAssumptions[Customer_ID],MOD(ROW()-2,20)+1)</f>
        <v>C001</v>
      </c>
      <c r="C764" t="str" cm="1">
        <f t="array" ref="C764">INDEX(tblDemandAssumptions[Product_ID],MOD(ROW()-2,20)+1)</f>
        <v>P003</v>
      </c>
      <c r="D764" cm="1">
        <f t="array" ref="D764">INDEX(tblDemandAssumptions[Baseline_Weekly_Qty],MOD(ROW()-2,20)+1)</f>
        <v>3300</v>
      </c>
      <c r="E764">
        <f t="shared" si="88"/>
        <v>1</v>
      </c>
      <c r="F764">
        <v>0.95</v>
      </c>
      <c r="G764">
        <f t="shared" si="89"/>
        <v>3135</v>
      </c>
      <c r="H764">
        <v>0.96</v>
      </c>
      <c r="I764">
        <f t="shared" si="90"/>
        <v>3168</v>
      </c>
      <c r="J764" t="str">
        <f t="shared" si="91"/>
        <v>Normal</v>
      </c>
      <c r="K764">
        <f t="shared" si="92"/>
        <v>3135</v>
      </c>
      <c r="L764">
        <f t="shared" si="93"/>
        <v>-33</v>
      </c>
      <c r="M764" s="2">
        <f t="shared" si="94"/>
        <v>-1.0416666666666666E-2</v>
      </c>
      <c r="N764">
        <f t="shared" si="95"/>
        <v>33</v>
      </c>
    </row>
    <row r="765" spans="1:14">
      <c r="A765" s="1" cm="1">
        <f t="array" ref="A765">INDEX(tblWeeks[Week_Start],INT((ROW()-2)/20)+1)</f>
        <v>46293</v>
      </c>
      <c r="B765" t="str" cm="1">
        <f t="array" ref="B765">INDEX(tblDemandAssumptions[Customer_ID],MOD(ROW()-2,20)+1)</f>
        <v>C001</v>
      </c>
      <c r="C765" t="str" cm="1">
        <f t="array" ref="C765">INDEX(tblDemandAssumptions[Product_ID],MOD(ROW()-2,20)+1)</f>
        <v>P004</v>
      </c>
      <c r="D765" cm="1">
        <f t="array" ref="D765">INDEX(tblDemandAssumptions[Baseline_Weekly_Qty],MOD(ROW()-2,20)+1)</f>
        <v>3600</v>
      </c>
      <c r="E765">
        <f t="shared" si="88"/>
        <v>1</v>
      </c>
      <c r="F765">
        <v>1</v>
      </c>
      <c r="G765">
        <f t="shared" si="89"/>
        <v>3600</v>
      </c>
      <c r="H765">
        <v>1.01</v>
      </c>
      <c r="I765">
        <f t="shared" si="90"/>
        <v>3636</v>
      </c>
      <c r="J765" t="str">
        <f t="shared" si="91"/>
        <v>Normal</v>
      </c>
      <c r="K765">
        <f t="shared" si="92"/>
        <v>3600</v>
      </c>
      <c r="L765">
        <f t="shared" si="93"/>
        <v>-36</v>
      </c>
      <c r="M765" s="2">
        <f t="shared" si="94"/>
        <v>-9.9009900990099011E-3</v>
      </c>
      <c r="N765">
        <f t="shared" si="95"/>
        <v>36</v>
      </c>
    </row>
    <row r="766" spans="1:14">
      <c r="A766" s="1" cm="1">
        <f t="array" ref="A766">INDEX(tblWeeks[Week_Start],INT((ROW()-2)/20)+1)</f>
        <v>46293</v>
      </c>
      <c r="B766" t="str" cm="1">
        <f t="array" ref="B766">INDEX(tblDemandAssumptions[Customer_ID],MOD(ROW()-2,20)+1)</f>
        <v>C001</v>
      </c>
      <c r="C766" t="str" cm="1">
        <f t="array" ref="C766">INDEX(tblDemandAssumptions[Product_ID],MOD(ROW()-2,20)+1)</f>
        <v>P005</v>
      </c>
      <c r="D766" cm="1">
        <f t="array" ref="D766">INDEX(tblDemandAssumptions[Baseline_Weekly_Qty],MOD(ROW()-2,20)+1)</f>
        <v>2800</v>
      </c>
      <c r="E766">
        <f t="shared" si="88"/>
        <v>1</v>
      </c>
      <c r="F766">
        <v>0.96</v>
      </c>
      <c r="G766">
        <f t="shared" si="89"/>
        <v>2688</v>
      </c>
      <c r="H766">
        <v>1.04</v>
      </c>
      <c r="I766">
        <f t="shared" si="90"/>
        <v>2912</v>
      </c>
      <c r="J766" t="str">
        <f t="shared" si="91"/>
        <v>Normal</v>
      </c>
      <c r="K766">
        <f t="shared" si="92"/>
        <v>2688</v>
      </c>
      <c r="L766">
        <f t="shared" si="93"/>
        <v>-224</v>
      </c>
      <c r="M766" s="2">
        <f t="shared" si="94"/>
        <v>-7.6923076923076927E-2</v>
      </c>
      <c r="N766">
        <f t="shared" si="95"/>
        <v>224</v>
      </c>
    </row>
    <row r="767" spans="1:14">
      <c r="A767" s="1" cm="1">
        <f t="array" ref="A767">INDEX(tblWeeks[Week_Start],INT((ROW()-2)/20)+1)</f>
        <v>46293</v>
      </c>
      <c r="B767" t="str" cm="1">
        <f t="array" ref="B767">INDEX(tblDemandAssumptions[Customer_ID],MOD(ROW()-2,20)+1)</f>
        <v>C002</v>
      </c>
      <c r="C767" t="str" cm="1">
        <f t="array" ref="C767">INDEX(tblDemandAssumptions[Product_ID],MOD(ROW()-2,20)+1)</f>
        <v>P001</v>
      </c>
      <c r="D767" cm="1">
        <f t="array" ref="D767">INDEX(tblDemandAssumptions[Baseline_Weekly_Qty],MOD(ROW()-2,20)+1)</f>
        <v>3400</v>
      </c>
      <c r="E767">
        <f t="shared" si="88"/>
        <v>1</v>
      </c>
      <c r="F767">
        <v>1.03</v>
      </c>
      <c r="G767">
        <f t="shared" si="89"/>
        <v>3502</v>
      </c>
      <c r="H767">
        <v>1.04</v>
      </c>
      <c r="I767">
        <f t="shared" si="90"/>
        <v>3536</v>
      </c>
      <c r="J767" t="str">
        <f t="shared" si="91"/>
        <v>Normal</v>
      </c>
      <c r="K767">
        <f t="shared" si="92"/>
        <v>3502</v>
      </c>
      <c r="L767">
        <f t="shared" si="93"/>
        <v>-34</v>
      </c>
      <c r="M767" s="2">
        <f t="shared" si="94"/>
        <v>-9.6153846153846159E-3</v>
      </c>
      <c r="N767">
        <f t="shared" si="95"/>
        <v>34</v>
      </c>
    </row>
    <row r="768" spans="1:14">
      <c r="A768" s="1" cm="1">
        <f t="array" ref="A768">INDEX(tblWeeks[Week_Start],INT((ROW()-2)/20)+1)</f>
        <v>46293</v>
      </c>
      <c r="B768" t="str" cm="1">
        <f t="array" ref="B768">INDEX(tblDemandAssumptions[Customer_ID],MOD(ROW()-2,20)+1)</f>
        <v>C002</v>
      </c>
      <c r="C768" t="str" cm="1">
        <f t="array" ref="C768">INDEX(tblDemandAssumptions[Product_ID],MOD(ROW()-2,20)+1)</f>
        <v>P002</v>
      </c>
      <c r="D768" cm="1">
        <f t="array" ref="D768">INDEX(tblDemandAssumptions[Baseline_Weekly_Qty],MOD(ROW()-2,20)+1)</f>
        <v>3200</v>
      </c>
      <c r="E768">
        <f t="shared" si="88"/>
        <v>1</v>
      </c>
      <c r="F768">
        <v>0.98</v>
      </c>
      <c r="G768">
        <f t="shared" si="89"/>
        <v>3136</v>
      </c>
      <c r="H768">
        <v>1.04</v>
      </c>
      <c r="I768">
        <f t="shared" si="90"/>
        <v>3328</v>
      </c>
      <c r="J768" t="str">
        <f t="shared" si="91"/>
        <v>Normal</v>
      </c>
      <c r="K768">
        <f t="shared" si="92"/>
        <v>3136</v>
      </c>
      <c r="L768">
        <f t="shared" si="93"/>
        <v>-192</v>
      </c>
      <c r="M768" s="2">
        <f t="shared" si="94"/>
        <v>-5.7692307692307696E-2</v>
      </c>
      <c r="N768">
        <f t="shared" si="95"/>
        <v>192</v>
      </c>
    </row>
    <row r="769" spans="1:14">
      <c r="A769" s="1" cm="1">
        <f t="array" ref="A769">INDEX(tblWeeks[Week_Start],INT((ROW()-2)/20)+1)</f>
        <v>46293</v>
      </c>
      <c r="B769" t="str" cm="1">
        <f t="array" ref="B769">INDEX(tblDemandAssumptions[Customer_ID],MOD(ROW()-2,20)+1)</f>
        <v>C002</v>
      </c>
      <c r="C769" t="str" cm="1">
        <f t="array" ref="C769">INDEX(tblDemandAssumptions[Product_ID],MOD(ROW()-2,20)+1)</f>
        <v>P003</v>
      </c>
      <c r="D769" cm="1">
        <f t="array" ref="D769">INDEX(tblDemandAssumptions[Baseline_Weekly_Qty],MOD(ROW()-2,20)+1)</f>
        <v>2600</v>
      </c>
      <c r="E769">
        <f t="shared" si="88"/>
        <v>1</v>
      </c>
      <c r="F769">
        <v>0.99</v>
      </c>
      <c r="G769">
        <f t="shared" si="89"/>
        <v>2574</v>
      </c>
      <c r="H769">
        <v>1.03</v>
      </c>
      <c r="I769">
        <f t="shared" si="90"/>
        <v>2678</v>
      </c>
      <c r="J769" t="str">
        <f t="shared" si="91"/>
        <v>Normal</v>
      </c>
      <c r="K769">
        <f t="shared" si="92"/>
        <v>2574</v>
      </c>
      <c r="L769">
        <f t="shared" si="93"/>
        <v>-104</v>
      </c>
      <c r="M769" s="2">
        <f t="shared" si="94"/>
        <v>-3.8834951456310676E-2</v>
      </c>
      <c r="N769">
        <f t="shared" si="95"/>
        <v>104</v>
      </c>
    </row>
    <row r="770" spans="1:14">
      <c r="A770" s="1" cm="1">
        <f t="array" ref="A770">INDEX(tblWeeks[Week_Start],INT((ROW()-2)/20)+1)</f>
        <v>46293</v>
      </c>
      <c r="B770" t="str" cm="1">
        <f t="array" ref="B770">INDEX(tblDemandAssumptions[Customer_ID],MOD(ROW()-2,20)+1)</f>
        <v>C002</v>
      </c>
      <c r="C770" t="str" cm="1">
        <f t="array" ref="C770">INDEX(tblDemandAssumptions[Product_ID],MOD(ROW()-2,20)+1)</f>
        <v>P004</v>
      </c>
      <c r="D770" cm="1">
        <f t="array" ref="D770">INDEX(tblDemandAssumptions[Baseline_Weekly_Qty],MOD(ROW()-2,20)+1)</f>
        <v>2900</v>
      </c>
      <c r="E770">
        <f t="shared" ref="E770:E833" si="96">IF(MONTH(A770)&lt;=2,0.95,IF(MONTH(A770)&lt;=4,1,IF(MONTH(A770)&lt;=6,1.05,IF(MONTH(A770)&lt;=8,1.1,IF(MONTH(A770)&lt;=10,1,IF(MONTH(A770)=11,1.05,1.2))))))</f>
        <v>1</v>
      </c>
      <c r="F770">
        <v>1.01</v>
      </c>
      <c r="G770">
        <f t="shared" ref="G770:G833" si="97">ROUND(D770*E770*F770,0)</f>
        <v>2929</v>
      </c>
      <c r="H770">
        <v>1</v>
      </c>
      <c r="I770">
        <f t="shared" ref="I770:I833" si="98">ROUND(D770*E770*H770,0)</f>
        <v>2900</v>
      </c>
      <c r="J770" t="str">
        <f t="shared" ref="J770:J833" si="99">IF(AND(A770=DATE(2026,3,16),B770="C001",C770="P001"),"Promotion_Demand_Spike",IF(AND(A770=DATE(2026,6,8),B770="C002",C770="P004"),"Under_Forecast",IF(AND(A770=DATE(2026,7,20),B770="C003",C770="P003"),"Over_Forecast","Normal")))</f>
        <v>Normal</v>
      </c>
      <c r="K770">
        <f t="shared" ref="K770:K833" si="100">IF(J770="Promotion_Demand_Spike",ROUND(G770*1.35,0),IF(J770="Under_Forecast",ROUND(I770*1.25,0),IF(J770="Over_Forecast",ROUND(I770*0.72,0),G770)))</f>
        <v>2929</v>
      </c>
      <c r="L770">
        <f t="shared" ref="L770:L833" si="101">K770-I770</f>
        <v>29</v>
      </c>
      <c r="M770" s="2">
        <f t="shared" ref="M770:M833" si="102">IF(I770=0,0,L770/I770)</f>
        <v>0.01</v>
      </c>
      <c r="N770">
        <f t="shared" ref="N770:N833" si="103">ABS(L770)</f>
        <v>29</v>
      </c>
    </row>
    <row r="771" spans="1:14">
      <c r="A771" s="1" cm="1">
        <f t="array" ref="A771">INDEX(tblWeeks[Week_Start],INT((ROW()-2)/20)+1)</f>
        <v>46293</v>
      </c>
      <c r="B771" t="str" cm="1">
        <f t="array" ref="B771">INDEX(tblDemandAssumptions[Customer_ID],MOD(ROW()-2,20)+1)</f>
        <v>C002</v>
      </c>
      <c r="C771" t="str" cm="1">
        <f t="array" ref="C771">INDEX(tblDemandAssumptions[Product_ID],MOD(ROW()-2,20)+1)</f>
        <v>P005</v>
      </c>
      <c r="D771" cm="1">
        <f t="array" ref="D771">INDEX(tblDemandAssumptions[Baseline_Weekly_Qty],MOD(ROW()-2,20)+1)</f>
        <v>2200</v>
      </c>
      <c r="E771">
        <f t="shared" si="96"/>
        <v>1</v>
      </c>
      <c r="F771">
        <v>1.04</v>
      </c>
      <c r="G771">
        <f t="shared" si="97"/>
        <v>2288</v>
      </c>
      <c r="H771">
        <v>0.97</v>
      </c>
      <c r="I771">
        <f t="shared" si="98"/>
        <v>2134</v>
      </c>
      <c r="J771" t="str">
        <f t="shared" si="99"/>
        <v>Normal</v>
      </c>
      <c r="K771">
        <f t="shared" si="100"/>
        <v>2288</v>
      </c>
      <c r="L771">
        <f t="shared" si="101"/>
        <v>154</v>
      </c>
      <c r="M771" s="2">
        <f t="shared" si="102"/>
        <v>7.2164948453608241E-2</v>
      </c>
      <c r="N771">
        <f t="shared" si="103"/>
        <v>154</v>
      </c>
    </row>
    <row r="772" spans="1:14">
      <c r="A772" s="1" cm="1">
        <f t="array" ref="A772">INDEX(tblWeeks[Week_Start],INT((ROW()-2)/20)+1)</f>
        <v>46293</v>
      </c>
      <c r="B772" t="str" cm="1">
        <f t="array" ref="B772">INDEX(tblDemandAssumptions[Customer_ID],MOD(ROW()-2,20)+1)</f>
        <v>C003</v>
      </c>
      <c r="C772" t="str" cm="1">
        <f t="array" ref="C772">INDEX(tblDemandAssumptions[Product_ID],MOD(ROW()-2,20)+1)</f>
        <v>P001</v>
      </c>
      <c r="D772" cm="1">
        <f t="array" ref="D772">INDEX(tblDemandAssumptions[Baseline_Weekly_Qty],MOD(ROW()-2,20)+1)</f>
        <v>3000</v>
      </c>
      <c r="E772">
        <f t="shared" si="96"/>
        <v>1</v>
      </c>
      <c r="F772">
        <v>1.03</v>
      </c>
      <c r="G772">
        <f t="shared" si="97"/>
        <v>3090</v>
      </c>
      <c r="H772">
        <v>1.03</v>
      </c>
      <c r="I772">
        <f t="shared" si="98"/>
        <v>3090</v>
      </c>
      <c r="J772" t="str">
        <f t="shared" si="99"/>
        <v>Normal</v>
      </c>
      <c r="K772">
        <f t="shared" si="100"/>
        <v>3090</v>
      </c>
      <c r="L772">
        <f t="shared" si="101"/>
        <v>0</v>
      </c>
      <c r="M772" s="2">
        <f t="shared" si="102"/>
        <v>0</v>
      </c>
      <c r="N772">
        <f t="shared" si="103"/>
        <v>0</v>
      </c>
    </row>
    <row r="773" spans="1:14">
      <c r="A773" s="1" cm="1">
        <f t="array" ref="A773">INDEX(tblWeeks[Week_Start],INT((ROW()-2)/20)+1)</f>
        <v>46293</v>
      </c>
      <c r="B773" t="str" cm="1">
        <f t="array" ref="B773">INDEX(tblDemandAssumptions[Customer_ID],MOD(ROW()-2,20)+1)</f>
        <v>C003</v>
      </c>
      <c r="C773" t="str" cm="1">
        <f t="array" ref="C773">INDEX(tblDemandAssumptions[Product_ID],MOD(ROW()-2,20)+1)</f>
        <v>P002</v>
      </c>
      <c r="D773" cm="1">
        <f t="array" ref="D773">INDEX(tblDemandAssumptions[Baseline_Weekly_Qty],MOD(ROW()-2,20)+1)</f>
        <v>2700</v>
      </c>
      <c r="E773">
        <f t="shared" si="96"/>
        <v>1</v>
      </c>
      <c r="F773">
        <v>1.03</v>
      </c>
      <c r="G773">
        <f t="shared" si="97"/>
        <v>2781</v>
      </c>
      <c r="H773">
        <v>1</v>
      </c>
      <c r="I773">
        <f t="shared" si="98"/>
        <v>2700</v>
      </c>
      <c r="J773" t="str">
        <f t="shared" si="99"/>
        <v>Normal</v>
      </c>
      <c r="K773">
        <f t="shared" si="100"/>
        <v>2781</v>
      </c>
      <c r="L773">
        <f t="shared" si="101"/>
        <v>81</v>
      </c>
      <c r="M773" s="2">
        <f t="shared" si="102"/>
        <v>0.03</v>
      </c>
      <c r="N773">
        <f t="shared" si="103"/>
        <v>81</v>
      </c>
    </row>
    <row r="774" spans="1:14">
      <c r="A774" s="1" cm="1">
        <f t="array" ref="A774">INDEX(tblWeeks[Week_Start],INT((ROW()-2)/20)+1)</f>
        <v>46293</v>
      </c>
      <c r="B774" t="str" cm="1">
        <f t="array" ref="B774">INDEX(tblDemandAssumptions[Customer_ID],MOD(ROW()-2,20)+1)</f>
        <v>C003</v>
      </c>
      <c r="C774" t="str" cm="1">
        <f t="array" ref="C774">INDEX(tblDemandAssumptions[Product_ID],MOD(ROW()-2,20)+1)</f>
        <v>P003</v>
      </c>
      <c r="D774" cm="1">
        <f t="array" ref="D774">INDEX(tblDemandAssumptions[Baseline_Weekly_Qty],MOD(ROW()-2,20)+1)</f>
        <v>2800</v>
      </c>
      <c r="E774">
        <f t="shared" si="96"/>
        <v>1</v>
      </c>
      <c r="F774">
        <v>1.05</v>
      </c>
      <c r="G774">
        <f t="shared" si="97"/>
        <v>2940</v>
      </c>
      <c r="H774">
        <v>0.98</v>
      </c>
      <c r="I774">
        <f t="shared" si="98"/>
        <v>2744</v>
      </c>
      <c r="J774" t="str">
        <f t="shared" si="99"/>
        <v>Normal</v>
      </c>
      <c r="K774">
        <f t="shared" si="100"/>
        <v>2940</v>
      </c>
      <c r="L774">
        <f t="shared" si="101"/>
        <v>196</v>
      </c>
      <c r="M774" s="2">
        <f t="shared" si="102"/>
        <v>7.1428571428571425E-2</v>
      </c>
      <c r="N774">
        <f t="shared" si="103"/>
        <v>196</v>
      </c>
    </row>
    <row r="775" spans="1:14">
      <c r="A775" s="1" cm="1">
        <f t="array" ref="A775">INDEX(tblWeeks[Week_Start],INT((ROW()-2)/20)+1)</f>
        <v>46293</v>
      </c>
      <c r="B775" t="str" cm="1">
        <f t="array" ref="B775">INDEX(tblDemandAssumptions[Customer_ID],MOD(ROW()-2,20)+1)</f>
        <v>C003</v>
      </c>
      <c r="C775" t="str" cm="1">
        <f t="array" ref="C775">INDEX(tblDemandAssumptions[Product_ID],MOD(ROW()-2,20)+1)</f>
        <v>P004</v>
      </c>
      <c r="D775" cm="1">
        <f t="array" ref="D775">INDEX(tblDemandAssumptions[Baseline_Weekly_Qty],MOD(ROW()-2,20)+1)</f>
        <v>2400</v>
      </c>
      <c r="E775">
        <f t="shared" si="96"/>
        <v>1</v>
      </c>
      <c r="F775">
        <v>0.96</v>
      </c>
      <c r="G775">
        <f t="shared" si="97"/>
        <v>2304</v>
      </c>
      <c r="H775">
        <v>0.99</v>
      </c>
      <c r="I775">
        <f t="shared" si="98"/>
        <v>2376</v>
      </c>
      <c r="J775" t="str">
        <f t="shared" si="99"/>
        <v>Normal</v>
      </c>
      <c r="K775">
        <f t="shared" si="100"/>
        <v>2304</v>
      </c>
      <c r="L775">
        <f t="shared" si="101"/>
        <v>-72</v>
      </c>
      <c r="M775" s="2">
        <f t="shared" si="102"/>
        <v>-3.0303030303030304E-2</v>
      </c>
      <c r="N775">
        <f t="shared" si="103"/>
        <v>72</v>
      </c>
    </row>
    <row r="776" spans="1:14">
      <c r="A776" s="1" cm="1">
        <f t="array" ref="A776">INDEX(tblWeeks[Week_Start],INT((ROW()-2)/20)+1)</f>
        <v>46293</v>
      </c>
      <c r="B776" t="str" cm="1">
        <f t="array" ref="B776">INDEX(tblDemandAssumptions[Customer_ID],MOD(ROW()-2,20)+1)</f>
        <v>C003</v>
      </c>
      <c r="C776" t="str" cm="1">
        <f t="array" ref="C776">INDEX(tblDemandAssumptions[Product_ID],MOD(ROW()-2,20)+1)</f>
        <v>P005</v>
      </c>
      <c r="D776" cm="1">
        <f t="array" ref="D776">INDEX(tblDemandAssumptions[Baseline_Weekly_Qty],MOD(ROW()-2,20)+1)</f>
        <v>1900</v>
      </c>
      <c r="E776">
        <f t="shared" si="96"/>
        <v>1</v>
      </c>
      <c r="F776">
        <v>0.99</v>
      </c>
      <c r="G776">
        <f t="shared" si="97"/>
        <v>1881</v>
      </c>
      <c r="H776">
        <v>1.04</v>
      </c>
      <c r="I776">
        <f t="shared" si="98"/>
        <v>1976</v>
      </c>
      <c r="J776" t="str">
        <f t="shared" si="99"/>
        <v>Normal</v>
      </c>
      <c r="K776">
        <f t="shared" si="100"/>
        <v>1881</v>
      </c>
      <c r="L776">
        <f t="shared" si="101"/>
        <v>-95</v>
      </c>
      <c r="M776" s="2">
        <f t="shared" si="102"/>
        <v>-4.807692307692308E-2</v>
      </c>
      <c r="N776">
        <f t="shared" si="103"/>
        <v>95</v>
      </c>
    </row>
    <row r="777" spans="1:14">
      <c r="A777" s="1" cm="1">
        <f t="array" ref="A777">INDEX(tblWeeks[Week_Start],INT((ROW()-2)/20)+1)</f>
        <v>46293</v>
      </c>
      <c r="B777" t="str" cm="1">
        <f t="array" ref="B777">INDEX(tblDemandAssumptions[Customer_ID],MOD(ROW()-2,20)+1)</f>
        <v>C004</v>
      </c>
      <c r="C777" t="str" cm="1">
        <f t="array" ref="C777">INDEX(tblDemandAssumptions[Product_ID],MOD(ROW()-2,20)+1)</f>
        <v>P001</v>
      </c>
      <c r="D777" cm="1">
        <f t="array" ref="D777">INDEX(tblDemandAssumptions[Baseline_Weekly_Qty],MOD(ROW()-2,20)+1)</f>
        <v>2700</v>
      </c>
      <c r="E777">
        <f t="shared" si="96"/>
        <v>1</v>
      </c>
      <c r="F777">
        <v>0.95</v>
      </c>
      <c r="G777">
        <f t="shared" si="97"/>
        <v>2565</v>
      </c>
      <c r="H777">
        <v>0.96</v>
      </c>
      <c r="I777">
        <f t="shared" si="98"/>
        <v>2592</v>
      </c>
      <c r="J777" t="str">
        <f t="shared" si="99"/>
        <v>Normal</v>
      </c>
      <c r="K777">
        <f t="shared" si="100"/>
        <v>2565</v>
      </c>
      <c r="L777">
        <f t="shared" si="101"/>
        <v>-27</v>
      </c>
      <c r="M777" s="2">
        <f t="shared" si="102"/>
        <v>-1.0416666666666666E-2</v>
      </c>
      <c r="N777">
        <f t="shared" si="103"/>
        <v>27</v>
      </c>
    </row>
    <row r="778" spans="1:14">
      <c r="A778" s="1" cm="1">
        <f t="array" ref="A778">INDEX(tblWeeks[Week_Start],INT((ROW()-2)/20)+1)</f>
        <v>46293</v>
      </c>
      <c r="B778" t="str" cm="1">
        <f t="array" ref="B778">INDEX(tblDemandAssumptions[Customer_ID],MOD(ROW()-2,20)+1)</f>
        <v>C004</v>
      </c>
      <c r="C778" t="str" cm="1">
        <f t="array" ref="C778">INDEX(tblDemandAssumptions[Product_ID],MOD(ROW()-2,20)+1)</f>
        <v>P002</v>
      </c>
      <c r="D778" cm="1">
        <f t="array" ref="D778">INDEX(tblDemandAssumptions[Baseline_Weekly_Qty],MOD(ROW()-2,20)+1)</f>
        <v>2400</v>
      </c>
      <c r="E778">
        <f t="shared" si="96"/>
        <v>1</v>
      </c>
      <c r="F778">
        <v>1.03</v>
      </c>
      <c r="G778">
        <f t="shared" si="97"/>
        <v>2472</v>
      </c>
      <c r="H778">
        <v>1.03</v>
      </c>
      <c r="I778">
        <f t="shared" si="98"/>
        <v>2472</v>
      </c>
      <c r="J778" t="str">
        <f t="shared" si="99"/>
        <v>Normal</v>
      </c>
      <c r="K778">
        <f t="shared" si="100"/>
        <v>2472</v>
      </c>
      <c r="L778">
        <f t="shared" si="101"/>
        <v>0</v>
      </c>
      <c r="M778" s="2">
        <f t="shared" si="102"/>
        <v>0</v>
      </c>
      <c r="N778">
        <f t="shared" si="103"/>
        <v>0</v>
      </c>
    </row>
    <row r="779" spans="1:14">
      <c r="A779" s="1" cm="1">
        <f t="array" ref="A779">INDEX(tblWeeks[Week_Start],INT((ROW()-2)/20)+1)</f>
        <v>46293</v>
      </c>
      <c r="B779" t="str" cm="1">
        <f t="array" ref="B779">INDEX(tblDemandAssumptions[Customer_ID],MOD(ROW()-2,20)+1)</f>
        <v>C004</v>
      </c>
      <c r="C779" t="str" cm="1">
        <f t="array" ref="C779">INDEX(tblDemandAssumptions[Product_ID],MOD(ROW()-2,20)+1)</f>
        <v>P003</v>
      </c>
      <c r="D779" cm="1">
        <f t="array" ref="D779">INDEX(tblDemandAssumptions[Baseline_Weekly_Qty],MOD(ROW()-2,20)+1)</f>
        <v>2100</v>
      </c>
      <c r="E779">
        <f t="shared" si="96"/>
        <v>1</v>
      </c>
      <c r="F779">
        <v>0.99</v>
      </c>
      <c r="G779">
        <f t="shared" si="97"/>
        <v>2079</v>
      </c>
      <c r="H779">
        <v>1.04</v>
      </c>
      <c r="I779">
        <f t="shared" si="98"/>
        <v>2184</v>
      </c>
      <c r="J779" t="str">
        <f t="shared" si="99"/>
        <v>Normal</v>
      </c>
      <c r="K779">
        <f t="shared" si="100"/>
        <v>2079</v>
      </c>
      <c r="L779">
        <f t="shared" si="101"/>
        <v>-105</v>
      </c>
      <c r="M779" s="2">
        <f t="shared" si="102"/>
        <v>-4.807692307692308E-2</v>
      </c>
      <c r="N779">
        <f t="shared" si="103"/>
        <v>105</v>
      </c>
    </row>
    <row r="780" spans="1:14">
      <c r="A780" s="1" cm="1">
        <f t="array" ref="A780">INDEX(tblWeeks[Week_Start],INT((ROW()-2)/20)+1)</f>
        <v>46293</v>
      </c>
      <c r="B780" t="str" cm="1">
        <f t="array" ref="B780">INDEX(tblDemandAssumptions[Customer_ID],MOD(ROW()-2,20)+1)</f>
        <v>C004</v>
      </c>
      <c r="C780" t="str" cm="1">
        <f t="array" ref="C780">INDEX(tblDemandAssumptions[Product_ID],MOD(ROW()-2,20)+1)</f>
        <v>P004</v>
      </c>
      <c r="D780" cm="1">
        <f t="array" ref="D780">INDEX(tblDemandAssumptions[Baseline_Weekly_Qty],MOD(ROW()-2,20)+1)</f>
        <v>2600</v>
      </c>
      <c r="E780">
        <f t="shared" si="96"/>
        <v>1</v>
      </c>
      <c r="F780">
        <v>1</v>
      </c>
      <c r="G780">
        <f t="shared" si="97"/>
        <v>2600</v>
      </c>
      <c r="H780">
        <v>0.98</v>
      </c>
      <c r="I780">
        <f t="shared" si="98"/>
        <v>2548</v>
      </c>
      <c r="J780" t="str">
        <f t="shared" si="99"/>
        <v>Normal</v>
      </c>
      <c r="K780">
        <f t="shared" si="100"/>
        <v>2600</v>
      </c>
      <c r="L780">
        <f t="shared" si="101"/>
        <v>52</v>
      </c>
      <c r="M780" s="2">
        <f t="shared" si="102"/>
        <v>2.0408163265306121E-2</v>
      </c>
      <c r="N780">
        <f t="shared" si="103"/>
        <v>52</v>
      </c>
    </row>
    <row r="781" spans="1:14">
      <c r="A781" s="1" cm="1">
        <f t="array" ref="A781">INDEX(tblWeeks[Week_Start],INT((ROW()-2)/20)+1)</f>
        <v>46293</v>
      </c>
      <c r="B781" t="str" cm="1">
        <f t="array" ref="B781">INDEX(tblDemandAssumptions[Customer_ID],MOD(ROW()-2,20)+1)</f>
        <v>C004</v>
      </c>
      <c r="C781" t="str" cm="1">
        <f t="array" ref="C781">INDEX(tblDemandAssumptions[Product_ID],MOD(ROW()-2,20)+1)</f>
        <v>P005</v>
      </c>
      <c r="D781" cm="1">
        <f t="array" ref="D781">INDEX(tblDemandAssumptions[Baseline_Weekly_Qty],MOD(ROW()-2,20)+1)</f>
        <v>1800</v>
      </c>
      <c r="E781">
        <f t="shared" si="96"/>
        <v>1</v>
      </c>
      <c r="F781">
        <v>1.02</v>
      </c>
      <c r="G781">
        <f t="shared" si="97"/>
        <v>1836</v>
      </c>
      <c r="H781">
        <v>0.97</v>
      </c>
      <c r="I781">
        <f t="shared" si="98"/>
        <v>1746</v>
      </c>
      <c r="J781" t="str">
        <f t="shared" si="99"/>
        <v>Normal</v>
      </c>
      <c r="K781">
        <f t="shared" si="100"/>
        <v>1836</v>
      </c>
      <c r="L781">
        <f t="shared" si="101"/>
        <v>90</v>
      </c>
      <c r="M781" s="2">
        <f t="shared" si="102"/>
        <v>5.1546391752577317E-2</v>
      </c>
      <c r="N781">
        <f t="shared" si="103"/>
        <v>90</v>
      </c>
    </row>
    <row r="782" spans="1:14">
      <c r="A782" s="1" cm="1">
        <f t="array" ref="A782">INDEX(tblWeeks[Week_Start],INT((ROW()-2)/20)+1)</f>
        <v>46300</v>
      </c>
      <c r="B782" t="str" cm="1">
        <f t="array" ref="B782">INDEX(tblDemandAssumptions[Customer_ID],MOD(ROW()-2,20)+1)</f>
        <v>C001</v>
      </c>
      <c r="C782" t="str" cm="1">
        <f t="array" ref="C782">INDEX(tblDemandAssumptions[Product_ID],MOD(ROW()-2,20)+1)</f>
        <v>P001</v>
      </c>
      <c r="D782" cm="1">
        <f t="array" ref="D782">INDEX(tblDemandAssumptions[Baseline_Weekly_Qty],MOD(ROW()-2,20)+1)</f>
        <v>5200</v>
      </c>
      <c r="E782">
        <f t="shared" si="96"/>
        <v>1</v>
      </c>
      <c r="F782">
        <v>1.03</v>
      </c>
      <c r="G782">
        <f t="shared" si="97"/>
        <v>5356</v>
      </c>
      <c r="H782">
        <v>1.03</v>
      </c>
      <c r="I782">
        <f t="shared" si="98"/>
        <v>5356</v>
      </c>
      <c r="J782" t="str">
        <f t="shared" si="99"/>
        <v>Normal</v>
      </c>
      <c r="K782">
        <f t="shared" si="100"/>
        <v>5356</v>
      </c>
      <c r="L782">
        <f t="shared" si="101"/>
        <v>0</v>
      </c>
      <c r="M782" s="2">
        <f t="shared" si="102"/>
        <v>0</v>
      </c>
      <c r="N782">
        <f t="shared" si="103"/>
        <v>0</v>
      </c>
    </row>
    <row r="783" spans="1:14">
      <c r="A783" s="1" cm="1">
        <f t="array" ref="A783">INDEX(tblWeeks[Week_Start],INT((ROW()-2)/20)+1)</f>
        <v>46300</v>
      </c>
      <c r="B783" t="str" cm="1">
        <f t="array" ref="B783">INDEX(tblDemandAssumptions[Customer_ID],MOD(ROW()-2,20)+1)</f>
        <v>C001</v>
      </c>
      <c r="C783" t="str" cm="1">
        <f t="array" ref="C783">INDEX(tblDemandAssumptions[Product_ID],MOD(ROW()-2,20)+1)</f>
        <v>P002</v>
      </c>
      <c r="D783" cm="1">
        <f t="array" ref="D783">INDEX(tblDemandAssumptions[Baseline_Weekly_Qty],MOD(ROW()-2,20)+1)</f>
        <v>4100</v>
      </c>
      <c r="E783">
        <f t="shared" si="96"/>
        <v>1</v>
      </c>
      <c r="F783">
        <v>1.05</v>
      </c>
      <c r="G783">
        <f t="shared" si="97"/>
        <v>4305</v>
      </c>
      <c r="H783">
        <v>1</v>
      </c>
      <c r="I783">
        <f t="shared" si="98"/>
        <v>4100</v>
      </c>
      <c r="J783" t="str">
        <f t="shared" si="99"/>
        <v>Normal</v>
      </c>
      <c r="K783">
        <f t="shared" si="100"/>
        <v>4305</v>
      </c>
      <c r="L783">
        <f t="shared" si="101"/>
        <v>205</v>
      </c>
      <c r="M783" s="2">
        <f t="shared" si="102"/>
        <v>0.05</v>
      </c>
      <c r="N783">
        <f t="shared" si="103"/>
        <v>205</v>
      </c>
    </row>
    <row r="784" spans="1:14">
      <c r="A784" s="1" cm="1">
        <f t="array" ref="A784">INDEX(tblWeeks[Week_Start],INT((ROW()-2)/20)+1)</f>
        <v>46300</v>
      </c>
      <c r="B784" t="str" cm="1">
        <f t="array" ref="B784">INDEX(tblDemandAssumptions[Customer_ID],MOD(ROW()-2,20)+1)</f>
        <v>C001</v>
      </c>
      <c r="C784" t="str" cm="1">
        <f t="array" ref="C784">INDEX(tblDemandAssumptions[Product_ID],MOD(ROW()-2,20)+1)</f>
        <v>P003</v>
      </c>
      <c r="D784" cm="1">
        <f t="array" ref="D784">INDEX(tblDemandAssumptions[Baseline_Weekly_Qty],MOD(ROW()-2,20)+1)</f>
        <v>3300</v>
      </c>
      <c r="E784">
        <f t="shared" si="96"/>
        <v>1</v>
      </c>
      <c r="F784">
        <v>1.01</v>
      </c>
      <c r="G784">
        <f t="shared" si="97"/>
        <v>3333</v>
      </c>
      <c r="H784">
        <v>1.01</v>
      </c>
      <c r="I784">
        <f t="shared" si="98"/>
        <v>3333</v>
      </c>
      <c r="J784" t="str">
        <f t="shared" si="99"/>
        <v>Normal</v>
      </c>
      <c r="K784">
        <f t="shared" si="100"/>
        <v>3333</v>
      </c>
      <c r="L784">
        <f t="shared" si="101"/>
        <v>0</v>
      </c>
      <c r="M784" s="2">
        <f t="shared" si="102"/>
        <v>0</v>
      </c>
      <c r="N784">
        <f t="shared" si="103"/>
        <v>0</v>
      </c>
    </row>
    <row r="785" spans="1:14">
      <c r="A785" s="1" cm="1">
        <f t="array" ref="A785">INDEX(tblWeeks[Week_Start],INT((ROW()-2)/20)+1)</f>
        <v>46300</v>
      </c>
      <c r="B785" t="str" cm="1">
        <f t="array" ref="B785">INDEX(tblDemandAssumptions[Customer_ID],MOD(ROW()-2,20)+1)</f>
        <v>C001</v>
      </c>
      <c r="C785" t="str" cm="1">
        <f t="array" ref="C785">INDEX(tblDemandAssumptions[Product_ID],MOD(ROW()-2,20)+1)</f>
        <v>P004</v>
      </c>
      <c r="D785" cm="1">
        <f t="array" ref="D785">INDEX(tblDemandAssumptions[Baseline_Weekly_Qty],MOD(ROW()-2,20)+1)</f>
        <v>3600</v>
      </c>
      <c r="E785">
        <f t="shared" si="96"/>
        <v>1</v>
      </c>
      <c r="F785">
        <v>1.04</v>
      </c>
      <c r="G785">
        <f t="shared" si="97"/>
        <v>3744</v>
      </c>
      <c r="H785">
        <v>1</v>
      </c>
      <c r="I785">
        <f t="shared" si="98"/>
        <v>3600</v>
      </c>
      <c r="J785" t="str">
        <f t="shared" si="99"/>
        <v>Normal</v>
      </c>
      <c r="K785">
        <f t="shared" si="100"/>
        <v>3744</v>
      </c>
      <c r="L785">
        <f t="shared" si="101"/>
        <v>144</v>
      </c>
      <c r="M785" s="2">
        <f t="shared" si="102"/>
        <v>0.04</v>
      </c>
      <c r="N785">
        <f t="shared" si="103"/>
        <v>144</v>
      </c>
    </row>
    <row r="786" spans="1:14">
      <c r="A786" s="1" cm="1">
        <f t="array" ref="A786">INDEX(tblWeeks[Week_Start],INT((ROW()-2)/20)+1)</f>
        <v>46300</v>
      </c>
      <c r="B786" t="str" cm="1">
        <f t="array" ref="B786">INDEX(tblDemandAssumptions[Customer_ID],MOD(ROW()-2,20)+1)</f>
        <v>C001</v>
      </c>
      <c r="C786" t="str" cm="1">
        <f t="array" ref="C786">INDEX(tblDemandAssumptions[Product_ID],MOD(ROW()-2,20)+1)</f>
        <v>P005</v>
      </c>
      <c r="D786" cm="1">
        <f t="array" ref="D786">INDEX(tblDemandAssumptions[Baseline_Weekly_Qty],MOD(ROW()-2,20)+1)</f>
        <v>2800</v>
      </c>
      <c r="E786">
        <f t="shared" si="96"/>
        <v>1</v>
      </c>
      <c r="F786">
        <v>0.98</v>
      </c>
      <c r="G786">
        <f t="shared" si="97"/>
        <v>2744</v>
      </c>
      <c r="H786">
        <v>1.01</v>
      </c>
      <c r="I786">
        <f t="shared" si="98"/>
        <v>2828</v>
      </c>
      <c r="J786" t="str">
        <f t="shared" si="99"/>
        <v>Normal</v>
      </c>
      <c r="K786">
        <f t="shared" si="100"/>
        <v>2744</v>
      </c>
      <c r="L786">
        <f t="shared" si="101"/>
        <v>-84</v>
      </c>
      <c r="M786" s="2">
        <f t="shared" si="102"/>
        <v>-2.9702970297029702E-2</v>
      </c>
      <c r="N786">
        <f t="shared" si="103"/>
        <v>84</v>
      </c>
    </row>
    <row r="787" spans="1:14">
      <c r="A787" s="1" cm="1">
        <f t="array" ref="A787">INDEX(tblWeeks[Week_Start],INT((ROW()-2)/20)+1)</f>
        <v>46300</v>
      </c>
      <c r="B787" t="str" cm="1">
        <f t="array" ref="B787">INDEX(tblDemandAssumptions[Customer_ID],MOD(ROW()-2,20)+1)</f>
        <v>C002</v>
      </c>
      <c r="C787" t="str" cm="1">
        <f t="array" ref="C787">INDEX(tblDemandAssumptions[Product_ID],MOD(ROW()-2,20)+1)</f>
        <v>P001</v>
      </c>
      <c r="D787" cm="1">
        <f t="array" ref="D787">INDEX(tblDemandAssumptions[Baseline_Weekly_Qty],MOD(ROW()-2,20)+1)</f>
        <v>3400</v>
      </c>
      <c r="E787">
        <f t="shared" si="96"/>
        <v>1</v>
      </c>
      <c r="F787">
        <v>1.05</v>
      </c>
      <c r="G787">
        <f t="shared" si="97"/>
        <v>3570</v>
      </c>
      <c r="H787">
        <v>1.02</v>
      </c>
      <c r="I787">
        <f t="shared" si="98"/>
        <v>3468</v>
      </c>
      <c r="J787" t="str">
        <f t="shared" si="99"/>
        <v>Normal</v>
      </c>
      <c r="K787">
        <f t="shared" si="100"/>
        <v>3570</v>
      </c>
      <c r="L787">
        <f t="shared" si="101"/>
        <v>102</v>
      </c>
      <c r="M787" s="2">
        <f t="shared" si="102"/>
        <v>2.9411764705882353E-2</v>
      </c>
      <c r="N787">
        <f t="shared" si="103"/>
        <v>102</v>
      </c>
    </row>
    <row r="788" spans="1:14">
      <c r="A788" s="1" cm="1">
        <f t="array" ref="A788">INDEX(tblWeeks[Week_Start],INT((ROW()-2)/20)+1)</f>
        <v>46300</v>
      </c>
      <c r="B788" t="str" cm="1">
        <f t="array" ref="B788">INDEX(tblDemandAssumptions[Customer_ID],MOD(ROW()-2,20)+1)</f>
        <v>C002</v>
      </c>
      <c r="C788" t="str" cm="1">
        <f t="array" ref="C788">INDEX(tblDemandAssumptions[Product_ID],MOD(ROW()-2,20)+1)</f>
        <v>P002</v>
      </c>
      <c r="D788" cm="1">
        <f t="array" ref="D788">INDEX(tblDemandAssumptions[Baseline_Weekly_Qty],MOD(ROW()-2,20)+1)</f>
        <v>3200</v>
      </c>
      <c r="E788">
        <f t="shared" si="96"/>
        <v>1</v>
      </c>
      <c r="F788">
        <v>0.95</v>
      </c>
      <c r="G788">
        <f t="shared" si="97"/>
        <v>3040</v>
      </c>
      <c r="H788">
        <v>0.99</v>
      </c>
      <c r="I788">
        <f t="shared" si="98"/>
        <v>3168</v>
      </c>
      <c r="J788" t="str">
        <f t="shared" si="99"/>
        <v>Normal</v>
      </c>
      <c r="K788">
        <f t="shared" si="100"/>
        <v>3040</v>
      </c>
      <c r="L788">
        <f t="shared" si="101"/>
        <v>-128</v>
      </c>
      <c r="M788" s="2">
        <f t="shared" si="102"/>
        <v>-4.0404040404040407E-2</v>
      </c>
      <c r="N788">
        <f t="shared" si="103"/>
        <v>128</v>
      </c>
    </row>
    <row r="789" spans="1:14">
      <c r="A789" s="1" cm="1">
        <f t="array" ref="A789">INDEX(tblWeeks[Week_Start],INT((ROW()-2)/20)+1)</f>
        <v>46300</v>
      </c>
      <c r="B789" t="str" cm="1">
        <f t="array" ref="B789">INDEX(tblDemandAssumptions[Customer_ID],MOD(ROW()-2,20)+1)</f>
        <v>C002</v>
      </c>
      <c r="C789" t="str" cm="1">
        <f t="array" ref="C789">INDEX(tblDemandAssumptions[Product_ID],MOD(ROW()-2,20)+1)</f>
        <v>P003</v>
      </c>
      <c r="D789" cm="1">
        <f t="array" ref="D789">INDEX(tblDemandAssumptions[Baseline_Weekly_Qty],MOD(ROW()-2,20)+1)</f>
        <v>2600</v>
      </c>
      <c r="E789">
        <f t="shared" si="96"/>
        <v>1</v>
      </c>
      <c r="F789">
        <v>0.98</v>
      </c>
      <c r="G789">
        <f t="shared" si="97"/>
        <v>2548</v>
      </c>
      <c r="H789">
        <v>1</v>
      </c>
      <c r="I789">
        <f t="shared" si="98"/>
        <v>2600</v>
      </c>
      <c r="J789" t="str">
        <f t="shared" si="99"/>
        <v>Normal</v>
      </c>
      <c r="K789">
        <f t="shared" si="100"/>
        <v>2548</v>
      </c>
      <c r="L789">
        <f t="shared" si="101"/>
        <v>-52</v>
      </c>
      <c r="M789" s="2">
        <f t="shared" si="102"/>
        <v>-0.02</v>
      </c>
      <c r="N789">
        <f t="shared" si="103"/>
        <v>52</v>
      </c>
    </row>
    <row r="790" spans="1:14">
      <c r="A790" s="1" cm="1">
        <f t="array" ref="A790">INDEX(tblWeeks[Week_Start],INT((ROW()-2)/20)+1)</f>
        <v>46300</v>
      </c>
      <c r="B790" t="str" cm="1">
        <f t="array" ref="B790">INDEX(tblDemandAssumptions[Customer_ID],MOD(ROW()-2,20)+1)</f>
        <v>C002</v>
      </c>
      <c r="C790" t="str" cm="1">
        <f t="array" ref="C790">INDEX(tblDemandAssumptions[Product_ID],MOD(ROW()-2,20)+1)</f>
        <v>P004</v>
      </c>
      <c r="D790" cm="1">
        <f t="array" ref="D790">INDEX(tblDemandAssumptions[Baseline_Weekly_Qty],MOD(ROW()-2,20)+1)</f>
        <v>2900</v>
      </c>
      <c r="E790">
        <f t="shared" si="96"/>
        <v>1</v>
      </c>
      <c r="F790">
        <v>1.03</v>
      </c>
      <c r="G790">
        <f t="shared" si="97"/>
        <v>2987</v>
      </c>
      <c r="H790">
        <v>0.96</v>
      </c>
      <c r="I790">
        <f t="shared" si="98"/>
        <v>2784</v>
      </c>
      <c r="J790" t="str">
        <f t="shared" si="99"/>
        <v>Normal</v>
      </c>
      <c r="K790">
        <f t="shared" si="100"/>
        <v>2987</v>
      </c>
      <c r="L790">
        <f t="shared" si="101"/>
        <v>203</v>
      </c>
      <c r="M790" s="2">
        <f t="shared" si="102"/>
        <v>7.2916666666666671E-2</v>
      </c>
      <c r="N790">
        <f t="shared" si="103"/>
        <v>203</v>
      </c>
    </row>
    <row r="791" spans="1:14">
      <c r="A791" s="1" cm="1">
        <f t="array" ref="A791">INDEX(tblWeeks[Week_Start],INT((ROW()-2)/20)+1)</f>
        <v>46300</v>
      </c>
      <c r="B791" t="str" cm="1">
        <f t="array" ref="B791">INDEX(tblDemandAssumptions[Customer_ID],MOD(ROW()-2,20)+1)</f>
        <v>C002</v>
      </c>
      <c r="C791" t="str" cm="1">
        <f t="array" ref="C791">INDEX(tblDemandAssumptions[Product_ID],MOD(ROW()-2,20)+1)</f>
        <v>P005</v>
      </c>
      <c r="D791" cm="1">
        <f t="array" ref="D791">INDEX(tblDemandAssumptions[Baseline_Weekly_Qty],MOD(ROW()-2,20)+1)</f>
        <v>2200</v>
      </c>
      <c r="E791">
        <f t="shared" si="96"/>
        <v>1</v>
      </c>
      <c r="F791">
        <v>0.99</v>
      </c>
      <c r="G791">
        <f t="shared" si="97"/>
        <v>2178</v>
      </c>
      <c r="H791">
        <v>1.04</v>
      </c>
      <c r="I791">
        <f t="shared" si="98"/>
        <v>2288</v>
      </c>
      <c r="J791" t="str">
        <f t="shared" si="99"/>
        <v>Normal</v>
      </c>
      <c r="K791">
        <f t="shared" si="100"/>
        <v>2178</v>
      </c>
      <c r="L791">
        <f t="shared" si="101"/>
        <v>-110</v>
      </c>
      <c r="M791" s="2">
        <f t="shared" si="102"/>
        <v>-4.807692307692308E-2</v>
      </c>
      <c r="N791">
        <f t="shared" si="103"/>
        <v>110</v>
      </c>
    </row>
    <row r="792" spans="1:14">
      <c r="A792" s="1" cm="1">
        <f t="array" ref="A792">INDEX(tblWeeks[Week_Start],INT((ROW()-2)/20)+1)</f>
        <v>46300</v>
      </c>
      <c r="B792" t="str" cm="1">
        <f t="array" ref="B792">INDEX(tblDemandAssumptions[Customer_ID],MOD(ROW()-2,20)+1)</f>
        <v>C003</v>
      </c>
      <c r="C792" t="str" cm="1">
        <f t="array" ref="C792">INDEX(tblDemandAssumptions[Product_ID],MOD(ROW()-2,20)+1)</f>
        <v>P001</v>
      </c>
      <c r="D792" cm="1">
        <f t="array" ref="D792">INDEX(tblDemandAssumptions[Baseline_Weekly_Qty],MOD(ROW()-2,20)+1)</f>
        <v>3000</v>
      </c>
      <c r="E792">
        <f t="shared" si="96"/>
        <v>1</v>
      </c>
      <c r="F792">
        <v>1</v>
      </c>
      <c r="G792">
        <f t="shared" si="97"/>
        <v>3000</v>
      </c>
      <c r="H792">
        <v>1.02</v>
      </c>
      <c r="I792">
        <f t="shared" si="98"/>
        <v>3060</v>
      </c>
      <c r="J792" t="str">
        <f t="shared" si="99"/>
        <v>Normal</v>
      </c>
      <c r="K792">
        <f t="shared" si="100"/>
        <v>3000</v>
      </c>
      <c r="L792">
        <f t="shared" si="101"/>
        <v>-60</v>
      </c>
      <c r="M792" s="2">
        <f t="shared" si="102"/>
        <v>-1.9607843137254902E-2</v>
      </c>
      <c r="N792">
        <f t="shared" si="103"/>
        <v>60</v>
      </c>
    </row>
    <row r="793" spans="1:14">
      <c r="A793" s="1" cm="1">
        <f t="array" ref="A793">INDEX(tblWeeks[Week_Start],INT((ROW()-2)/20)+1)</f>
        <v>46300</v>
      </c>
      <c r="B793" t="str" cm="1">
        <f t="array" ref="B793">INDEX(tblDemandAssumptions[Customer_ID],MOD(ROW()-2,20)+1)</f>
        <v>C003</v>
      </c>
      <c r="C793" t="str" cm="1">
        <f t="array" ref="C793">INDEX(tblDemandAssumptions[Product_ID],MOD(ROW()-2,20)+1)</f>
        <v>P002</v>
      </c>
      <c r="D793" cm="1">
        <f t="array" ref="D793">INDEX(tblDemandAssumptions[Baseline_Weekly_Qty],MOD(ROW()-2,20)+1)</f>
        <v>2700</v>
      </c>
      <c r="E793">
        <f t="shared" si="96"/>
        <v>1</v>
      </c>
      <c r="F793">
        <v>1.05</v>
      </c>
      <c r="G793">
        <f t="shared" si="97"/>
        <v>2835</v>
      </c>
      <c r="H793">
        <v>0.98</v>
      </c>
      <c r="I793">
        <f t="shared" si="98"/>
        <v>2646</v>
      </c>
      <c r="J793" t="str">
        <f t="shared" si="99"/>
        <v>Normal</v>
      </c>
      <c r="K793">
        <f t="shared" si="100"/>
        <v>2835</v>
      </c>
      <c r="L793">
        <f t="shared" si="101"/>
        <v>189</v>
      </c>
      <c r="M793" s="2">
        <f t="shared" si="102"/>
        <v>7.1428571428571425E-2</v>
      </c>
      <c r="N793">
        <f t="shared" si="103"/>
        <v>189</v>
      </c>
    </row>
    <row r="794" spans="1:14">
      <c r="A794" s="1" cm="1">
        <f t="array" ref="A794">INDEX(tblWeeks[Week_Start],INT((ROW()-2)/20)+1)</f>
        <v>46300</v>
      </c>
      <c r="B794" t="str" cm="1">
        <f t="array" ref="B794">INDEX(tblDemandAssumptions[Customer_ID],MOD(ROW()-2,20)+1)</f>
        <v>C003</v>
      </c>
      <c r="C794" t="str" cm="1">
        <f t="array" ref="C794">INDEX(tblDemandAssumptions[Product_ID],MOD(ROW()-2,20)+1)</f>
        <v>P003</v>
      </c>
      <c r="D794" cm="1">
        <f t="array" ref="D794">INDEX(tblDemandAssumptions[Baseline_Weekly_Qty],MOD(ROW()-2,20)+1)</f>
        <v>2800</v>
      </c>
      <c r="E794">
        <f t="shared" si="96"/>
        <v>1</v>
      </c>
      <c r="F794">
        <v>0.96</v>
      </c>
      <c r="G794">
        <f t="shared" si="97"/>
        <v>2688</v>
      </c>
      <c r="H794">
        <v>0.98</v>
      </c>
      <c r="I794">
        <f t="shared" si="98"/>
        <v>2744</v>
      </c>
      <c r="J794" t="str">
        <f t="shared" si="99"/>
        <v>Normal</v>
      </c>
      <c r="K794">
        <f t="shared" si="100"/>
        <v>2688</v>
      </c>
      <c r="L794">
        <f t="shared" si="101"/>
        <v>-56</v>
      </c>
      <c r="M794" s="2">
        <f t="shared" si="102"/>
        <v>-2.0408163265306121E-2</v>
      </c>
      <c r="N794">
        <f t="shared" si="103"/>
        <v>56</v>
      </c>
    </row>
    <row r="795" spans="1:14">
      <c r="A795" s="1" cm="1">
        <f t="array" ref="A795">INDEX(tblWeeks[Week_Start],INT((ROW()-2)/20)+1)</f>
        <v>46300</v>
      </c>
      <c r="B795" t="str" cm="1">
        <f t="array" ref="B795">INDEX(tblDemandAssumptions[Customer_ID],MOD(ROW()-2,20)+1)</f>
        <v>C003</v>
      </c>
      <c r="C795" t="str" cm="1">
        <f t="array" ref="C795">INDEX(tblDemandAssumptions[Product_ID],MOD(ROW()-2,20)+1)</f>
        <v>P004</v>
      </c>
      <c r="D795" cm="1">
        <f t="array" ref="D795">INDEX(tblDemandAssumptions[Baseline_Weekly_Qty],MOD(ROW()-2,20)+1)</f>
        <v>2400</v>
      </c>
      <c r="E795">
        <f t="shared" si="96"/>
        <v>1</v>
      </c>
      <c r="F795">
        <v>1.04</v>
      </c>
      <c r="G795">
        <f t="shared" si="97"/>
        <v>2496</v>
      </c>
      <c r="H795">
        <v>0.97</v>
      </c>
      <c r="I795">
        <f t="shared" si="98"/>
        <v>2328</v>
      </c>
      <c r="J795" t="str">
        <f t="shared" si="99"/>
        <v>Normal</v>
      </c>
      <c r="K795">
        <f t="shared" si="100"/>
        <v>2496</v>
      </c>
      <c r="L795">
        <f t="shared" si="101"/>
        <v>168</v>
      </c>
      <c r="M795" s="2">
        <f t="shared" si="102"/>
        <v>7.2164948453608241E-2</v>
      </c>
      <c r="N795">
        <f t="shared" si="103"/>
        <v>168</v>
      </c>
    </row>
    <row r="796" spans="1:14">
      <c r="A796" s="1" cm="1">
        <f t="array" ref="A796">INDEX(tblWeeks[Week_Start],INT((ROW()-2)/20)+1)</f>
        <v>46300</v>
      </c>
      <c r="B796" t="str" cm="1">
        <f t="array" ref="B796">INDEX(tblDemandAssumptions[Customer_ID],MOD(ROW()-2,20)+1)</f>
        <v>C003</v>
      </c>
      <c r="C796" t="str" cm="1">
        <f t="array" ref="C796">INDEX(tblDemandAssumptions[Product_ID],MOD(ROW()-2,20)+1)</f>
        <v>P005</v>
      </c>
      <c r="D796" cm="1">
        <f t="array" ref="D796">INDEX(tblDemandAssumptions[Baseline_Weekly_Qty],MOD(ROW()-2,20)+1)</f>
        <v>1900</v>
      </c>
      <c r="E796">
        <f t="shared" si="96"/>
        <v>1</v>
      </c>
      <c r="F796">
        <v>0.97</v>
      </c>
      <c r="G796">
        <f t="shared" si="97"/>
        <v>1843</v>
      </c>
      <c r="H796">
        <v>0.99</v>
      </c>
      <c r="I796">
        <f t="shared" si="98"/>
        <v>1881</v>
      </c>
      <c r="J796" t="str">
        <f t="shared" si="99"/>
        <v>Normal</v>
      </c>
      <c r="K796">
        <f t="shared" si="100"/>
        <v>1843</v>
      </c>
      <c r="L796">
        <f t="shared" si="101"/>
        <v>-38</v>
      </c>
      <c r="M796" s="2">
        <f t="shared" si="102"/>
        <v>-2.0202020202020204E-2</v>
      </c>
      <c r="N796">
        <f t="shared" si="103"/>
        <v>38</v>
      </c>
    </row>
    <row r="797" spans="1:14">
      <c r="A797" s="1" cm="1">
        <f t="array" ref="A797">INDEX(tblWeeks[Week_Start],INT((ROW()-2)/20)+1)</f>
        <v>46300</v>
      </c>
      <c r="B797" t="str" cm="1">
        <f t="array" ref="B797">INDEX(tblDemandAssumptions[Customer_ID],MOD(ROW()-2,20)+1)</f>
        <v>C004</v>
      </c>
      <c r="C797" t="str" cm="1">
        <f t="array" ref="C797">INDEX(tblDemandAssumptions[Product_ID],MOD(ROW()-2,20)+1)</f>
        <v>P001</v>
      </c>
      <c r="D797" cm="1">
        <f t="array" ref="D797">INDEX(tblDemandAssumptions[Baseline_Weekly_Qty],MOD(ROW()-2,20)+1)</f>
        <v>2700</v>
      </c>
      <c r="E797">
        <f t="shared" si="96"/>
        <v>1</v>
      </c>
      <c r="F797">
        <v>1.02</v>
      </c>
      <c r="G797">
        <f t="shared" si="97"/>
        <v>2754</v>
      </c>
      <c r="H797">
        <v>0.96</v>
      </c>
      <c r="I797">
        <f t="shared" si="98"/>
        <v>2592</v>
      </c>
      <c r="J797" t="str">
        <f t="shared" si="99"/>
        <v>Normal</v>
      </c>
      <c r="K797">
        <f t="shared" si="100"/>
        <v>2754</v>
      </c>
      <c r="L797">
        <f t="shared" si="101"/>
        <v>162</v>
      </c>
      <c r="M797" s="2">
        <f t="shared" si="102"/>
        <v>6.25E-2</v>
      </c>
      <c r="N797">
        <f t="shared" si="103"/>
        <v>162</v>
      </c>
    </row>
    <row r="798" spans="1:14">
      <c r="A798" s="1" cm="1">
        <f t="array" ref="A798">INDEX(tblWeeks[Week_Start],INT((ROW()-2)/20)+1)</f>
        <v>46300</v>
      </c>
      <c r="B798" t="str" cm="1">
        <f t="array" ref="B798">INDEX(tblDemandAssumptions[Customer_ID],MOD(ROW()-2,20)+1)</f>
        <v>C004</v>
      </c>
      <c r="C798" t="str" cm="1">
        <f t="array" ref="C798">INDEX(tblDemandAssumptions[Product_ID],MOD(ROW()-2,20)+1)</f>
        <v>P002</v>
      </c>
      <c r="D798" cm="1">
        <f t="array" ref="D798">INDEX(tblDemandAssumptions[Baseline_Weekly_Qty],MOD(ROW()-2,20)+1)</f>
        <v>2400</v>
      </c>
      <c r="E798">
        <f t="shared" si="96"/>
        <v>1</v>
      </c>
      <c r="F798">
        <v>0.95</v>
      </c>
      <c r="G798">
        <f t="shared" si="97"/>
        <v>2280</v>
      </c>
      <c r="H798">
        <v>1.02</v>
      </c>
      <c r="I798">
        <f t="shared" si="98"/>
        <v>2448</v>
      </c>
      <c r="J798" t="str">
        <f t="shared" si="99"/>
        <v>Normal</v>
      </c>
      <c r="K798">
        <f t="shared" si="100"/>
        <v>2280</v>
      </c>
      <c r="L798">
        <f t="shared" si="101"/>
        <v>-168</v>
      </c>
      <c r="M798" s="2">
        <f t="shared" si="102"/>
        <v>-6.8627450980392163E-2</v>
      </c>
      <c r="N798">
        <f t="shared" si="103"/>
        <v>168</v>
      </c>
    </row>
    <row r="799" spans="1:14">
      <c r="A799" s="1" cm="1">
        <f t="array" ref="A799">INDEX(tblWeeks[Week_Start],INT((ROW()-2)/20)+1)</f>
        <v>46300</v>
      </c>
      <c r="B799" t="str" cm="1">
        <f t="array" ref="B799">INDEX(tblDemandAssumptions[Customer_ID],MOD(ROW()-2,20)+1)</f>
        <v>C004</v>
      </c>
      <c r="C799" t="str" cm="1">
        <f t="array" ref="C799">INDEX(tblDemandAssumptions[Product_ID],MOD(ROW()-2,20)+1)</f>
        <v>P003</v>
      </c>
      <c r="D799" cm="1">
        <f t="array" ref="D799">INDEX(tblDemandAssumptions[Baseline_Weekly_Qty],MOD(ROW()-2,20)+1)</f>
        <v>2100</v>
      </c>
      <c r="E799">
        <f t="shared" si="96"/>
        <v>1</v>
      </c>
      <c r="F799">
        <v>0.98</v>
      </c>
      <c r="G799">
        <f t="shared" si="97"/>
        <v>2058</v>
      </c>
      <c r="H799">
        <v>0.97</v>
      </c>
      <c r="I799">
        <f t="shared" si="98"/>
        <v>2037</v>
      </c>
      <c r="J799" t="str">
        <f t="shared" si="99"/>
        <v>Normal</v>
      </c>
      <c r="K799">
        <f t="shared" si="100"/>
        <v>2058</v>
      </c>
      <c r="L799">
        <f t="shared" si="101"/>
        <v>21</v>
      </c>
      <c r="M799" s="2">
        <f t="shared" si="102"/>
        <v>1.0309278350515464E-2</v>
      </c>
      <c r="N799">
        <f t="shared" si="103"/>
        <v>21</v>
      </c>
    </row>
    <row r="800" spans="1:14">
      <c r="A800" s="1" cm="1">
        <f t="array" ref="A800">INDEX(tblWeeks[Week_Start],INT((ROW()-2)/20)+1)</f>
        <v>46300</v>
      </c>
      <c r="B800" t="str" cm="1">
        <f t="array" ref="B800">INDEX(tblDemandAssumptions[Customer_ID],MOD(ROW()-2,20)+1)</f>
        <v>C004</v>
      </c>
      <c r="C800" t="str" cm="1">
        <f t="array" ref="C800">INDEX(tblDemandAssumptions[Product_ID],MOD(ROW()-2,20)+1)</f>
        <v>P004</v>
      </c>
      <c r="D800" cm="1">
        <f t="array" ref="D800">INDEX(tblDemandAssumptions[Baseline_Weekly_Qty],MOD(ROW()-2,20)+1)</f>
        <v>2600</v>
      </c>
      <c r="E800">
        <f t="shared" si="96"/>
        <v>1</v>
      </c>
      <c r="F800">
        <v>1.03</v>
      </c>
      <c r="G800">
        <f t="shared" si="97"/>
        <v>2678</v>
      </c>
      <c r="H800">
        <v>1.01</v>
      </c>
      <c r="I800">
        <f t="shared" si="98"/>
        <v>2626</v>
      </c>
      <c r="J800" t="str">
        <f t="shared" si="99"/>
        <v>Normal</v>
      </c>
      <c r="K800">
        <f t="shared" si="100"/>
        <v>2678</v>
      </c>
      <c r="L800">
        <f t="shared" si="101"/>
        <v>52</v>
      </c>
      <c r="M800" s="2">
        <f t="shared" si="102"/>
        <v>1.9801980198019802E-2</v>
      </c>
      <c r="N800">
        <f t="shared" si="103"/>
        <v>52</v>
      </c>
    </row>
    <row r="801" spans="1:14">
      <c r="A801" s="1" cm="1">
        <f t="array" ref="A801">INDEX(tblWeeks[Week_Start],INT((ROW()-2)/20)+1)</f>
        <v>46300</v>
      </c>
      <c r="B801" t="str" cm="1">
        <f t="array" ref="B801">INDEX(tblDemandAssumptions[Customer_ID],MOD(ROW()-2,20)+1)</f>
        <v>C004</v>
      </c>
      <c r="C801" t="str" cm="1">
        <f t="array" ref="C801">INDEX(tblDemandAssumptions[Product_ID],MOD(ROW()-2,20)+1)</f>
        <v>P005</v>
      </c>
      <c r="D801" cm="1">
        <f t="array" ref="D801">INDEX(tblDemandAssumptions[Baseline_Weekly_Qty],MOD(ROW()-2,20)+1)</f>
        <v>1800</v>
      </c>
      <c r="E801">
        <f t="shared" si="96"/>
        <v>1</v>
      </c>
      <c r="F801">
        <v>1</v>
      </c>
      <c r="G801">
        <f t="shared" si="97"/>
        <v>1800</v>
      </c>
      <c r="H801">
        <v>1</v>
      </c>
      <c r="I801">
        <f t="shared" si="98"/>
        <v>1800</v>
      </c>
      <c r="J801" t="str">
        <f t="shared" si="99"/>
        <v>Normal</v>
      </c>
      <c r="K801">
        <f t="shared" si="100"/>
        <v>1800</v>
      </c>
      <c r="L801">
        <f t="shared" si="101"/>
        <v>0</v>
      </c>
      <c r="M801" s="2">
        <f t="shared" si="102"/>
        <v>0</v>
      </c>
      <c r="N801">
        <f t="shared" si="103"/>
        <v>0</v>
      </c>
    </row>
    <row r="802" spans="1:14">
      <c r="A802" s="1" cm="1">
        <f t="array" ref="A802">INDEX(tblWeeks[Week_Start],INT((ROW()-2)/20)+1)</f>
        <v>46307</v>
      </c>
      <c r="B802" t="str" cm="1">
        <f t="array" ref="B802">INDEX(tblDemandAssumptions[Customer_ID],MOD(ROW()-2,20)+1)</f>
        <v>C001</v>
      </c>
      <c r="C802" t="str" cm="1">
        <f t="array" ref="C802">INDEX(tblDemandAssumptions[Product_ID],MOD(ROW()-2,20)+1)</f>
        <v>P001</v>
      </c>
      <c r="D802" cm="1">
        <f t="array" ref="D802">INDEX(tblDemandAssumptions[Baseline_Weekly_Qty],MOD(ROW()-2,20)+1)</f>
        <v>5200</v>
      </c>
      <c r="E802">
        <f t="shared" si="96"/>
        <v>1</v>
      </c>
      <c r="F802">
        <v>1.01</v>
      </c>
      <c r="G802">
        <f t="shared" si="97"/>
        <v>5252</v>
      </c>
      <c r="H802">
        <v>1.01</v>
      </c>
      <c r="I802">
        <f t="shared" si="98"/>
        <v>5252</v>
      </c>
      <c r="J802" t="str">
        <f t="shared" si="99"/>
        <v>Normal</v>
      </c>
      <c r="K802">
        <f t="shared" si="100"/>
        <v>5252</v>
      </c>
      <c r="L802">
        <f t="shared" si="101"/>
        <v>0</v>
      </c>
      <c r="M802" s="2">
        <f t="shared" si="102"/>
        <v>0</v>
      </c>
      <c r="N802">
        <f t="shared" si="103"/>
        <v>0</v>
      </c>
    </row>
    <row r="803" spans="1:14">
      <c r="A803" s="1" cm="1">
        <f t="array" ref="A803">INDEX(tblWeeks[Week_Start],INT((ROW()-2)/20)+1)</f>
        <v>46307</v>
      </c>
      <c r="B803" t="str" cm="1">
        <f t="array" ref="B803">INDEX(tblDemandAssumptions[Customer_ID],MOD(ROW()-2,20)+1)</f>
        <v>C001</v>
      </c>
      <c r="C803" t="str" cm="1">
        <f t="array" ref="C803">INDEX(tblDemandAssumptions[Product_ID],MOD(ROW()-2,20)+1)</f>
        <v>P002</v>
      </c>
      <c r="D803" cm="1">
        <f t="array" ref="D803">INDEX(tblDemandAssumptions[Baseline_Weekly_Qty],MOD(ROW()-2,20)+1)</f>
        <v>4100</v>
      </c>
      <c r="E803">
        <f t="shared" si="96"/>
        <v>1</v>
      </c>
      <c r="F803">
        <v>0.95</v>
      </c>
      <c r="G803">
        <f t="shared" si="97"/>
        <v>3895</v>
      </c>
      <c r="H803">
        <v>1.02</v>
      </c>
      <c r="I803">
        <f t="shared" si="98"/>
        <v>4182</v>
      </c>
      <c r="J803" t="str">
        <f t="shared" si="99"/>
        <v>Normal</v>
      </c>
      <c r="K803">
        <f t="shared" si="100"/>
        <v>3895</v>
      </c>
      <c r="L803">
        <f t="shared" si="101"/>
        <v>-287</v>
      </c>
      <c r="M803" s="2">
        <f t="shared" si="102"/>
        <v>-6.8627450980392163E-2</v>
      </c>
      <c r="N803">
        <f t="shared" si="103"/>
        <v>287</v>
      </c>
    </row>
    <row r="804" spans="1:14">
      <c r="A804" s="1" cm="1">
        <f t="array" ref="A804">INDEX(tblWeeks[Week_Start],INT((ROW()-2)/20)+1)</f>
        <v>46307</v>
      </c>
      <c r="B804" t="str" cm="1">
        <f t="array" ref="B804">INDEX(tblDemandAssumptions[Customer_ID],MOD(ROW()-2,20)+1)</f>
        <v>C001</v>
      </c>
      <c r="C804" t="str" cm="1">
        <f t="array" ref="C804">INDEX(tblDemandAssumptions[Product_ID],MOD(ROW()-2,20)+1)</f>
        <v>P003</v>
      </c>
      <c r="D804" cm="1">
        <f t="array" ref="D804">INDEX(tblDemandAssumptions[Baseline_Weekly_Qty],MOD(ROW()-2,20)+1)</f>
        <v>3300</v>
      </c>
      <c r="E804">
        <f t="shared" si="96"/>
        <v>1</v>
      </c>
      <c r="F804">
        <v>1.04</v>
      </c>
      <c r="G804">
        <f t="shared" si="97"/>
        <v>3432</v>
      </c>
      <c r="H804">
        <v>0.96</v>
      </c>
      <c r="I804">
        <f t="shared" si="98"/>
        <v>3168</v>
      </c>
      <c r="J804" t="str">
        <f t="shared" si="99"/>
        <v>Normal</v>
      </c>
      <c r="K804">
        <f t="shared" si="100"/>
        <v>3432</v>
      </c>
      <c r="L804">
        <f t="shared" si="101"/>
        <v>264</v>
      </c>
      <c r="M804" s="2">
        <f t="shared" si="102"/>
        <v>8.3333333333333329E-2</v>
      </c>
      <c r="N804">
        <f t="shared" si="103"/>
        <v>264</v>
      </c>
    </row>
    <row r="805" spans="1:14">
      <c r="A805" s="1" cm="1">
        <f t="array" ref="A805">INDEX(tblWeeks[Week_Start],INT((ROW()-2)/20)+1)</f>
        <v>46307</v>
      </c>
      <c r="B805" t="str" cm="1">
        <f t="array" ref="B805">INDEX(tblDemandAssumptions[Customer_ID],MOD(ROW()-2,20)+1)</f>
        <v>C001</v>
      </c>
      <c r="C805" t="str" cm="1">
        <f t="array" ref="C805">INDEX(tblDemandAssumptions[Product_ID],MOD(ROW()-2,20)+1)</f>
        <v>P004</v>
      </c>
      <c r="D805" cm="1">
        <f t="array" ref="D805">INDEX(tblDemandAssumptions[Baseline_Weekly_Qty],MOD(ROW()-2,20)+1)</f>
        <v>3600</v>
      </c>
      <c r="E805">
        <f t="shared" si="96"/>
        <v>1</v>
      </c>
      <c r="F805">
        <v>0.96</v>
      </c>
      <c r="G805">
        <f t="shared" si="97"/>
        <v>3456</v>
      </c>
      <c r="H805">
        <v>0.96</v>
      </c>
      <c r="I805">
        <f t="shared" si="98"/>
        <v>3456</v>
      </c>
      <c r="J805" t="str">
        <f t="shared" si="99"/>
        <v>Normal</v>
      </c>
      <c r="K805">
        <f t="shared" si="100"/>
        <v>3456</v>
      </c>
      <c r="L805">
        <f t="shared" si="101"/>
        <v>0</v>
      </c>
      <c r="M805" s="2">
        <f t="shared" si="102"/>
        <v>0</v>
      </c>
      <c r="N805">
        <f t="shared" si="103"/>
        <v>0</v>
      </c>
    </row>
    <row r="806" spans="1:14">
      <c r="A806" s="1" cm="1">
        <f t="array" ref="A806">INDEX(tblWeeks[Week_Start],INT((ROW()-2)/20)+1)</f>
        <v>46307</v>
      </c>
      <c r="B806" t="str" cm="1">
        <f t="array" ref="B806">INDEX(tblDemandAssumptions[Customer_ID],MOD(ROW()-2,20)+1)</f>
        <v>C001</v>
      </c>
      <c r="C806" t="str" cm="1">
        <f t="array" ref="C806">INDEX(tblDemandAssumptions[Product_ID],MOD(ROW()-2,20)+1)</f>
        <v>P005</v>
      </c>
      <c r="D806" cm="1">
        <f t="array" ref="D806">INDEX(tblDemandAssumptions[Baseline_Weekly_Qty],MOD(ROW()-2,20)+1)</f>
        <v>2800</v>
      </c>
      <c r="E806">
        <f t="shared" si="96"/>
        <v>1</v>
      </c>
      <c r="F806">
        <v>0.99</v>
      </c>
      <c r="G806">
        <f t="shared" si="97"/>
        <v>2772</v>
      </c>
      <c r="H806">
        <v>1.01</v>
      </c>
      <c r="I806">
        <f t="shared" si="98"/>
        <v>2828</v>
      </c>
      <c r="J806" t="str">
        <f t="shared" si="99"/>
        <v>Normal</v>
      </c>
      <c r="K806">
        <f t="shared" si="100"/>
        <v>2772</v>
      </c>
      <c r="L806">
        <f t="shared" si="101"/>
        <v>-56</v>
      </c>
      <c r="M806" s="2">
        <f t="shared" si="102"/>
        <v>-1.9801980198019802E-2</v>
      </c>
      <c r="N806">
        <f t="shared" si="103"/>
        <v>56</v>
      </c>
    </row>
    <row r="807" spans="1:14">
      <c r="A807" s="1" cm="1">
        <f t="array" ref="A807">INDEX(tblWeeks[Week_Start],INT((ROW()-2)/20)+1)</f>
        <v>46307</v>
      </c>
      <c r="B807" t="str" cm="1">
        <f t="array" ref="B807">INDEX(tblDemandAssumptions[Customer_ID],MOD(ROW()-2,20)+1)</f>
        <v>C002</v>
      </c>
      <c r="C807" t="str" cm="1">
        <f t="array" ref="C807">INDEX(tblDemandAssumptions[Product_ID],MOD(ROW()-2,20)+1)</f>
        <v>P001</v>
      </c>
      <c r="D807" cm="1">
        <f t="array" ref="D807">INDEX(tblDemandAssumptions[Baseline_Weekly_Qty],MOD(ROW()-2,20)+1)</f>
        <v>3400</v>
      </c>
      <c r="E807">
        <f t="shared" si="96"/>
        <v>1</v>
      </c>
      <c r="F807">
        <v>0.96</v>
      </c>
      <c r="G807">
        <f t="shared" si="97"/>
        <v>3264</v>
      </c>
      <c r="H807">
        <v>1.03</v>
      </c>
      <c r="I807">
        <f t="shared" si="98"/>
        <v>3502</v>
      </c>
      <c r="J807" t="str">
        <f t="shared" si="99"/>
        <v>Normal</v>
      </c>
      <c r="K807">
        <f t="shared" si="100"/>
        <v>3264</v>
      </c>
      <c r="L807">
        <f t="shared" si="101"/>
        <v>-238</v>
      </c>
      <c r="M807" s="2">
        <f t="shared" si="102"/>
        <v>-6.7961165048543687E-2</v>
      </c>
      <c r="N807">
        <f t="shared" si="103"/>
        <v>238</v>
      </c>
    </row>
    <row r="808" spans="1:14">
      <c r="A808" s="1" cm="1">
        <f t="array" ref="A808">INDEX(tblWeeks[Week_Start],INT((ROW()-2)/20)+1)</f>
        <v>46307</v>
      </c>
      <c r="B808" t="str" cm="1">
        <f t="array" ref="B808">INDEX(tblDemandAssumptions[Customer_ID],MOD(ROW()-2,20)+1)</f>
        <v>C002</v>
      </c>
      <c r="C808" t="str" cm="1">
        <f t="array" ref="C808">INDEX(tblDemandAssumptions[Product_ID],MOD(ROW()-2,20)+1)</f>
        <v>P002</v>
      </c>
      <c r="D808" cm="1">
        <f t="array" ref="D808">INDEX(tblDemandAssumptions[Baseline_Weekly_Qty],MOD(ROW()-2,20)+1)</f>
        <v>3200</v>
      </c>
      <c r="E808">
        <f t="shared" si="96"/>
        <v>1</v>
      </c>
      <c r="F808">
        <v>1.04</v>
      </c>
      <c r="G808">
        <f t="shared" si="97"/>
        <v>3328</v>
      </c>
      <c r="H808">
        <v>1.04</v>
      </c>
      <c r="I808">
        <f t="shared" si="98"/>
        <v>3328</v>
      </c>
      <c r="J808" t="str">
        <f t="shared" si="99"/>
        <v>Normal</v>
      </c>
      <c r="K808">
        <f t="shared" si="100"/>
        <v>3328</v>
      </c>
      <c r="L808">
        <f t="shared" si="101"/>
        <v>0</v>
      </c>
      <c r="M808" s="2">
        <f t="shared" si="102"/>
        <v>0</v>
      </c>
      <c r="N808">
        <f t="shared" si="103"/>
        <v>0</v>
      </c>
    </row>
    <row r="809" spans="1:14">
      <c r="A809" s="1" cm="1">
        <f t="array" ref="A809">INDEX(tblWeeks[Week_Start],INT((ROW()-2)/20)+1)</f>
        <v>46307</v>
      </c>
      <c r="B809" t="str" cm="1">
        <f t="array" ref="B809">INDEX(tblDemandAssumptions[Customer_ID],MOD(ROW()-2,20)+1)</f>
        <v>C002</v>
      </c>
      <c r="C809" t="str" cm="1">
        <f t="array" ref="C809">INDEX(tblDemandAssumptions[Product_ID],MOD(ROW()-2,20)+1)</f>
        <v>P003</v>
      </c>
      <c r="D809" cm="1">
        <f t="array" ref="D809">INDEX(tblDemandAssumptions[Baseline_Weekly_Qty],MOD(ROW()-2,20)+1)</f>
        <v>2600</v>
      </c>
      <c r="E809">
        <f t="shared" si="96"/>
        <v>1</v>
      </c>
      <c r="F809">
        <v>0.96</v>
      </c>
      <c r="G809">
        <f t="shared" si="97"/>
        <v>2496</v>
      </c>
      <c r="H809">
        <v>1.03</v>
      </c>
      <c r="I809">
        <f t="shared" si="98"/>
        <v>2678</v>
      </c>
      <c r="J809" t="str">
        <f t="shared" si="99"/>
        <v>Normal</v>
      </c>
      <c r="K809">
        <f t="shared" si="100"/>
        <v>2496</v>
      </c>
      <c r="L809">
        <f t="shared" si="101"/>
        <v>-182</v>
      </c>
      <c r="M809" s="2">
        <f t="shared" si="102"/>
        <v>-6.7961165048543687E-2</v>
      </c>
      <c r="N809">
        <f t="shared" si="103"/>
        <v>182</v>
      </c>
    </row>
    <row r="810" spans="1:14">
      <c r="A810" s="1" cm="1">
        <f t="array" ref="A810">INDEX(tblWeeks[Week_Start],INT((ROW()-2)/20)+1)</f>
        <v>46307</v>
      </c>
      <c r="B810" t="str" cm="1">
        <f t="array" ref="B810">INDEX(tblDemandAssumptions[Customer_ID],MOD(ROW()-2,20)+1)</f>
        <v>C002</v>
      </c>
      <c r="C810" t="str" cm="1">
        <f t="array" ref="C810">INDEX(tblDemandAssumptions[Product_ID],MOD(ROW()-2,20)+1)</f>
        <v>P004</v>
      </c>
      <c r="D810" cm="1">
        <f t="array" ref="D810">INDEX(tblDemandAssumptions[Baseline_Weekly_Qty],MOD(ROW()-2,20)+1)</f>
        <v>2900</v>
      </c>
      <c r="E810">
        <f t="shared" si="96"/>
        <v>1</v>
      </c>
      <c r="F810">
        <v>0.99</v>
      </c>
      <c r="G810">
        <f t="shared" si="97"/>
        <v>2871</v>
      </c>
      <c r="H810">
        <v>1.03</v>
      </c>
      <c r="I810">
        <f t="shared" si="98"/>
        <v>2987</v>
      </c>
      <c r="J810" t="str">
        <f t="shared" si="99"/>
        <v>Normal</v>
      </c>
      <c r="K810">
        <f t="shared" si="100"/>
        <v>2871</v>
      </c>
      <c r="L810">
        <f t="shared" si="101"/>
        <v>-116</v>
      </c>
      <c r="M810" s="2">
        <f t="shared" si="102"/>
        <v>-3.8834951456310676E-2</v>
      </c>
      <c r="N810">
        <f t="shared" si="103"/>
        <v>116</v>
      </c>
    </row>
    <row r="811" spans="1:14">
      <c r="A811" s="1" cm="1">
        <f t="array" ref="A811">INDEX(tblWeeks[Week_Start],INT((ROW()-2)/20)+1)</f>
        <v>46307</v>
      </c>
      <c r="B811" t="str" cm="1">
        <f t="array" ref="B811">INDEX(tblDemandAssumptions[Customer_ID],MOD(ROW()-2,20)+1)</f>
        <v>C002</v>
      </c>
      <c r="C811" t="str" cm="1">
        <f t="array" ref="C811">INDEX(tblDemandAssumptions[Product_ID],MOD(ROW()-2,20)+1)</f>
        <v>P005</v>
      </c>
      <c r="D811" cm="1">
        <f t="array" ref="D811">INDEX(tblDemandAssumptions[Baseline_Weekly_Qty],MOD(ROW()-2,20)+1)</f>
        <v>2200</v>
      </c>
      <c r="E811">
        <f t="shared" si="96"/>
        <v>1</v>
      </c>
      <c r="F811">
        <v>0.98</v>
      </c>
      <c r="G811">
        <f t="shared" si="97"/>
        <v>2156</v>
      </c>
      <c r="H811">
        <v>0.97</v>
      </c>
      <c r="I811">
        <f t="shared" si="98"/>
        <v>2134</v>
      </c>
      <c r="J811" t="str">
        <f t="shared" si="99"/>
        <v>Normal</v>
      </c>
      <c r="K811">
        <f t="shared" si="100"/>
        <v>2156</v>
      </c>
      <c r="L811">
        <f t="shared" si="101"/>
        <v>22</v>
      </c>
      <c r="M811" s="2">
        <f t="shared" si="102"/>
        <v>1.0309278350515464E-2</v>
      </c>
      <c r="N811">
        <f t="shared" si="103"/>
        <v>22</v>
      </c>
    </row>
    <row r="812" spans="1:14">
      <c r="A812" s="1" cm="1">
        <f t="array" ref="A812">INDEX(tblWeeks[Week_Start],INT((ROW()-2)/20)+1)</f>
        <v>46307</v>
      </c>
      <c r="B812" t="str" cm="1">
        <f t="array" ref="B812">INDEX(tblDemandAssumptions[Customer_ID],MOD(ROW()-2,20)+1)</f>
        <v>C003</v>
      </c>
      <c r="C812" t="str" cm="1">
        <f t="array" ref="C812">INDEX(tblDemandAssumptions[Product_ID],MOD(ROW()-2,20)+1)</f>
        <v>P001</v>
      </c>
      <c r="D812" cm="1">
        <f t="array" ref="D812">INDEX(tblDemandAssumptions[Baseline_Weekly_Qty],MOD(ROW()-2,20)+1)</f>
        <v>3000</v>
      </c>
      <c r="E812">
        <f t="shared" si="96"/>
        <v>1</v>
      </c>
      <c r="F812">
        <v>1</v>
      </c>
      <c r="G812">
        <f t="shared" si="97"/>
        <v>3000</v>
      </c>
      <c r="H812">
        <v>0.98</v>
      </c>
      <c r="I812">
        <f t="shared" si="98"/>
        <v>2940</v>
      </c>
      <c r="J812" t="str">
        <f t="shared" si="99"/>
        <v>Normal</v>
      </c>
      <c r="K812">
        <f t="shared" si="100"/>
        <v>3000</v>
      </c>
      <c r="L812">
        <f t="shared" si="101"/>
        <v>60</v>
      </c>
      <c r="M812" s="2">
        <f t="shared" si="102"/>
        <v>2.0408163265306121E-2</v>
      </c>
      <c r="N812">
        <f t="shared" si="103"/>
        <v>60</v>
      </c>
    </row>
    <row r="813" spans="1:14">
      <c r="A813" s="1" cm="1">
        <f t="array" ref="A813">INDEX(tblWeeks[Week_Start],INT((ROW()-2)/20)+1)</f>
        <v>46307</v>
      </c>
      <c r="B813" t="str" cm="1">
        <f t="array" ref="B813">INDEX(tblDemandAssumptions[Customer_ID],MOD(ROW()-2,20)+1)</f>
        <v>C003</v>
      </c>
      <c r="C813" t="str" cm="1">
        <f t="array" ref="C813">INDEX(tblDemandAssumptions[Product_ID],MOD(ROW()-2,20)+1)</f>
        <v>P002</v>
      </c>
      <c r="D813" cm="1">
        <f t="array" ref="D813">INDEX(tblDemandAssumptions[Baseline_Weekly_Qty],MOD(ROW()-2,20)+1)</f>
        <v>2700</v>
      </c>
      <c r="E813">
        <f t="shared" si="96"/>
        <v>1</v>
      </c>
      <c r="F813">
        <v>1.04</v>
      </c>
      <c r="G813">
        <f t="shared" si="97"/>
        <v>2808</v>
      </c>
      <c r="H813">
        <v>1.04</v>
      </c>
      <c r="I813">
        <f t="shared" si="98"/>
        <v>2808</v>
      </c>
      <c r="J813" t="str">
        <f t="shared" si="99"/>
        <v>Normal</v>
      </c>
      <c r="K813">
        <f t="shared" si="100"/>
        <v>2808</v>
      </c>
      <c r="L813">
        <f t="shared" si="101"/>
        <v>0</v>
      </c>
      <c r="M813" s="2">
        <f t="shared" si="102"/>
        <v>0</v>
      </c>
      <c r="N813">
        <f t="shared" si="103"/>
        <v>0</v>
      </c>
    </row>
    <row r="814" spans="1:14">
      <c r="A814" s="1" cm="1">
        <f t="array" ref="A814">INDEX(tblWeeks[Week_Start],INT((ROW()-2)/20)+1)</f>
        <v>46307</v>
      </c>
      <c r="B814" t="str" cm="1">
        <f t="array" ref="B814">INDEX(tblDemandAssumptions[Customer_ID],MOD(ROW()-2,20)+1)</f>
        <v>C003</v>
      </c>
      <c r="C814" t="str" cm="1">
        <f t="array" ref="C814">INDEX(tblDemandAssumptions[Product_ID],MOD(ROW()-2,20)+1)</f>
        <v>P003</v>
      </c>
      <c r="D814" cm="1">
        <f t="array" ref="D814">INDEX(tblDemandAssumptions[Baseline_Weekly_Qty],MOD(ROW()-2,20)+1)</f>
        <v>2800</v>
      </c>
      <c r="E814">
        <f t="shared" si="96"/>
        <v>1</v>
      </c>
      <c r="F814">
        <v>0.95</v>
      </c>
      <c r="G814">
        <f t="shared" si="97"/>
        <v>2660</v>
      </c>
      <c r="H814">
        <v>1.04</v>
      </c>
      <c r="I814">
        <f t="shared" si="98"/>
        <v>2912</v>
      </c>
      <c r="J814" t="str">
        <f t="shared" si="99"/>
        <v>Normal</v>
      </c>
      <c r="K814">
        <f t="shared" si="100"/>
        <v>2660</v>
      </c>
      <c r="L814">
        <f t="shared" si="101"/>
        <v>-252</v>
      </c>
      <c r="M814" s="2">
        <f t="shared" si="102"/>
        <v>-8.6538461538461536E-2</v>
      </c>
      <c r="N814">
        <f t="shared" si="103"/>
        <v>252</v>
      </c>
    </row>
    <row r="815" spans="1:14">
      <c r="A815" s="1" cm="1">
        <f t="array" ref="A815">INDEX(tblWeeks[Week_Start],INT((ROW()-2)/20)+1)</f>
        <v>46307</v>
      </c>
      <c r="B815" t="str" cm="1">
        <f t="array" ref="B815">INDEX(tblDemandAssumptions[Customer_ID],MOD(ROW()-2,20)+1)</f>
        <v>C003</v>
      </c>
      <c r="C815" t="str" cm="1">
        <f t="array" ref="C815">INDEX(tblDemandAssumptions[Product_ID],MOD(ROW()-2,20)+1)</f>
        <v>P004</v>
      </c>
      <c r="D815" cm="1">
        <f t="array" ref="D815">INDEX(tblDemandAssumptions[Baseline_Weekly_Qty],MOD(ROW()-2,20)+1)</f>
        <v>2400</v>
      </c>
      <c r="E815">
        <f t="shared" si="96"/>
        <v>1</v>
      </c>
      <c r="F815">
        <v>0.99</v>
      </c>
      <c r="G815">
        <f t="shared" si="97"/>
        <v>2376</v>
      </c>
      <c r="H815">
        <v>1.04</v>
      </c>
      <c r="I815">
        <f t="shared" si="98"/>
        <v>2496</v>
      </c>
      <c r="J815" t="str">
        <f t="shared" si="99"/>
        <v>Normal</v>
      </c>
      <c r="K815">
        <f t="shared" si="100"/>
        <v>2376</v>
      </c>
      <c r="L815">
        <f t="shared" si="101"/>
        <v>-120</v>
      </c>
      <c r="M815" s="2">
        <f t="shared" si="102"/>
        <v>-4.807692307692308E-2</v>
      </c>
      <c r="N815">
        <f t="shared" si="103"/>
        <v>120</v>
      </c>
    </row>
    <row r="816" spans="1:14">
      <c r="A816" s="1" cm="1">
        <f t="array" ref="A816">INDEX(tblWeeks[Week_Start],INT((ROW()-2)/20)+1)</f>
        <v>46307</v>
      </c>
      <c r="B816" t="str" cm="1">
        <f t="array" ref="B816">INDEX(tblDemandAssumptions[Customer_ID],MOD(ROW()-2,20)+1)</f>
        <v>C003</v>
      </c>
      <c r="C816" t="str" cm="1">
        <f t="array" ref="C816">INDEX(tblDemandAssumptions[Product_ID],MOD(ROW()-2,20)+1)</f>
        <v>P005</v>
      </c>
      <c r="D816" cm="1">
        <f t="array" ref="D816">INDEX(tblDemandAssumptions[Baseline_Weekly_Qty],MOD(ROW()-2,20)+1)</f>
        <v>1900</v>
      </c>
      <c r="E816">
        <f t="shared" si="96"/>
        <v>1</v>
      </c>
      <c r="F816">
        <v>0.96</v>
      </c>
      <c r="G816">
        <f t="shared" si="97"/>
        <v>1824</v>
      </c>
      <c r="H816">
        <v>1.01</v>
      </c>
      <c r="I816">
        <f t="shared" si="98"/>
        <v>1919</v>
      </c>
      <c r="J816" t="str">
        <f t="shared" si="99"/>
        <v>Normal</v>
      </c>
      <c r="K816">
        <f t="shared" si="100"/>
        <v>1824</v>
      </c>
      <c r="L816">
        <f t="shared" si="101"/>
        <v>-95</v>
      </c>
      <c r="M816" s="2">
        <f t="shared" si="102"/>
        <v>-4.9504950495049507E-2</v>
      </c>
      <c r="N816">
        <f t="shared" si="103"/>
        <v>95</v>
      </c>
    </row>
    <row r="817" spans="1:14">
      <c r="A817" s="1" cm="1">
        <f t="array" ref="A817">INDEX(tblWeeks[Week_Start],INT((ROW()-2)/20)+1)</f>
        <v>46307</v>
      </c>
      <c r="B817" t="str" cm="1">
        <f t="array" ref="B817">INDEX(tblDemandAssumptions[Customer_ID],MOD(ROW()-2,20)+1)</f>
        <v>C004</v>
      </c>
      <c r="C817" t="str" cm="1">
        <f t="array" ref="C817">INDEX(tblDemandAssumptions[Product_ID],MOD(ROW()-2,20)+1)</f>
        <v>P001</v>
      </c>
      <c r="D817" cm="1">
        <f t="array" ref="D817">INDEX(tblDemandAssumptions[Baseline_Weekly_Qty],MOD(ROW()-2,20)+1)</f>
        <v>2700</v>
      </c>
      <c r="E817">
        <f t="shared" si="96"/>
        <v>1</v>
      </c>
      <c r="F817">
        <v>1.05</v>
      </c>
      <c r="G817">
        <f t="shared" si="97"/>
        <v>2835</v>
      </c>
      <c r="H817">
        <v>1.02</v>
      </c>
      <c r="I817">
        <f t="shared" si="98"/>
        <v>2754</v>
      </c>
      <c r="J817" t="str">
        <f t="shared" si="99"/>
        <v>Normal</v>
      </c>
      <c r="K817">
        <f t="shared" si="100"/>
        <v>2835</v>
      </c>
      <c r="L817">
        <f t="shared" si="101"/>
        <v>81</v>
      </c>
      <c r="M817" s="2">
        <f t="shared" si="102"/>
        <v>2.9411764705882353E-2</v>
      </c>
      <c r="N817">
        <f t="shared" si="103"/>
        <v>81</v>
      </c>
    </row>
    <row r="818" spans="1:14">
      <c r="A818" s="1" cm="1">
        <f t="array" ref="A818">INDEX(tblWeeks[Week_Start],INT((ROW()-2)/20)+1)</f>
        <v>46307</v>
      </c>
      <c r="B818" t="str" cm="1">
        <f t="array" ref="B818">INDEX(tblDemandAssumptions[Customer_ID],MOD(ROW()-2,20)+1)</f>
        <v>C004</v>
      </c>
      <c r="C818" t="str" cm="1">
        <f t="array" ref="C818">INDEX(tblDemandAssumptions[Product_ID],MOD(ROW()-2,20)+1)</f>
        <v>P002</v>
      </c>
      <c r="D818" cm="1">
        <f t="array" ref="D818">INDEX(tblDemandAssumptions[Baseline_Weekly_Qty],MOD(ROW()-2,20)+1)</f>
        <v>2400</v>
      </c>
      <c r="E818">
        <f t="shared" si="96"/>
        <v>1</v>
      </c>
      <c r="F818">
        <v>0.97</v>
      </c>
      <c r="G818">
        <f t="shared" si="97"/>
        <v>2328</v>
      </c>
      <c r="H818">
        <v>0.99</v>
      </c>
      <c r="I818">
        <f t="shared" si="98"/>
        <v>2376</v>
      </c>
      <c r="J818" t="str">
        <f t="shared" si="99"/>
        <v>Normal</v>
      </c>
      <c r="K818">
        <f t="shared" si="100"/>
        <v>2328</v>
      </c>
      <c r="L818">
        <f t="shared" si="101"/>
        <v>-48</v>
      </c>
      <c r="M818" s="2">
        <f t="shared" si="102"/>
        <v>-2.0202020202020204E-2</v>
      </c>
      <c r="N818">
        <f t="shared" si="103"/>
        <v>48</v>
      </c>
    </row>
    <row r="819" spans="1:14">
      <c r="A819" s="1" cm="1">
        <f t="array" ref="A819">INDEX(tblWeeks[Week_Start],INT((ROW()-2)/20)+1)</f>
        <v>46307</v>
      </c>
      <c r="B819" t="str" cm="1">
        <f t="array" ref="B819">INDEX(tblDemandAssumptions[Customer_ID],MOD(ROW()-2,20)+1)</f>
        <v>C004</v>
      </c>
      <c r="C819" t="str" cm="1">
        <f t="array" ref="C819">INDEX(tblDemandAssumptions[Product_ID],MOD(ROW()-2,20)+1)</f>
        <v>P003</v>
      </c>
      <c r="D819" cm="1">
        <f t="array" ref="D819">INDEX(tblDemandAssumptions[Baseline_Weekly_Qty],MOD(ROW()-2,20)+1)</f>
        <v>2100</v>
      </c>
      <c r="E819">
        <f t="shared" si="96"/>
        <v>1</v>
      </c>
      <c r="F819">
        <v>0.96</v>
      </c>
      <c r="G819">
        <f t="shared" si="97"/>
        <v>2016</v>
      </c>
      <c r="H819">
        <v>0.97</v>
      </c>
      <c r="I819">
        <f t="shared" si="98"/>
        <v>2037</v>
      </c>
      <c r="J819" t="str">
        <f t="shared" si="99"/>
        <v>Normal</v>
      </c>
      <c r="K819">
        <f t="shared" si="100"/>
        <v>2016</v>
      </c>
      <c r="L819">
        <f t="shared" si="101"/>
        <v>-21</v>
      </c>
      <c r="M819" s="2">
        <f t="shared" si="102"/>
        <v>-1.0309278350515464E-2</v>
      </c>
      <c r="N819">
        <f t="shared" si="103"/>
        <v>21</v>
      </c>
    </row>
    <row r="820" spans="1:14">
      <c r="A820" s="1" cm="1">
        <f t="array" ref="A820">INDEX(tblWeeks[Week_Start],INT((ROW()-2)/20)+1)</f>
        <v>46307</v>
      </c>
      <c r="B820" t="str" cm="1">
        <f t="array" ref="B820">INDEX(tblDemandAssumptions[Customer_ID],MOD(ROW()-2,20)+1)</f>
        <v>C004</v>
      </c>
      <c r="C820" t="str" cm="1">
        <f t="array" ref="C820">INDEX(tblDemandAssumptions[Product_ID],MOD(ROW()-2,20)+1)</f>
        <v>P004</v>
      </c>
      <c r="D820" cm="1">
        <f t="array" ref="D820">INDEX(tblDemandAssumptions[Baseline_Weekly_Qty],MOD(ROW()-2,20)+1)</f>
        <v>2600</v>
      </c>
      <c r="E820">
        <f t="shared" si="96"/>
        <v>1</v>
      </c>
      <c r="F820">
        <v>0.97</v>
      </c>
      <c r="G820">
        <f t="shared" si="97"/>
        <v>2522</v>
      </c>
      <c r="H820">
        <v>0.96</v>
      </c>
      <c r="I820">
        <f t="shared" si="98"/>
        <v>2496</v>
      </c>
      <c r="J820" t="str">
        <f t="shared" si="99"/>
        <v>Normal</v>
      </c>
      <c r="K820">
        <f t="shared" si="100"/>
        <v>2522</v>
      </c>
      <c r="L820">
        <f t="shared" si="101"/>
        <v>26</v>
      </c>
      <c r="M820" s="2">
        <f t="shared" si="102"/>
        <v>1.0416666666666666E-2</v>
      </c>
      <c r="N820">
        <f t="shared" si="103"/>
        <v>26</v>
      </c>
    </row>
    <row r="821" spans="1:14">
      <c r="A821" s="1" cm="1">
        <f t="array" ref="A821">INDEX(tblWeeks[Week_Start],INT((ROW()-2)/20)+1)</f>
        <v>46307</v>
      </c>
      <c r="B821" t="str" cm="1">
        <f t="array" ref="B821">INDEX(tblDemandAssumptions[Customer_ID],MOD(ROW()-2,20)+1)</f>
        <v>C004</v>
      </c>
      <c r="C821" t="str" cm="1">
        <f t="array" ref="C821">INDEX(tblDemandAssumptions[Product_ID],MOD(ROW()-2,20)+1)</f>
        <v>P005</v>
      </c>
      <c r="D821" cm="1">
        <f t="array" ref="D821">INDEX(tblDemandAssumptions[Baseline_Weekly_Qty],MOD(ROW()-2,20)+1)</f>
        <v>1800</v>
      </c>
      <c r="E821">
        <f t="shared" si="96"/>
        <v>1</v>
      </c>
      <c r="F821">
        <v>0.97</v>
      </c>
      <c r="G821">
        <f t="shared" si="97"/>
        <v>1746</v>
      </c>
      <c r="H821">
        <v>0.98</v>
      </c>
      <c r="I821">
        <f t="shared" si="98"/>
        <v>1764</v>
      </c>
      <c r="J821" t="str">
        <f t="shared" si="99"/>
        <v>Normal</v>
      </c>
      <c r="K821">
        <f t="shared" si="100"/>
        <v>1746</v>
      </c>
      <c r="L821">
        <f t="shared" si="101"/>
        <v>-18</v>
      </c>
      <c r="M821" s="2">
        <f t="shared" si="102"/>
        <v>-1.020408163265306E-2</v>
      </c>
      <c r="N821">
        <f t="shared" si="103"/>
        <v>18</v>
      </c>
    </row>
    <row r="822" spans="1:14">
      <c r="A822" s="1" cm="1">
        <f t="array" ref="A822">INDEX(tblWeeks[Week_Start],INT((ROW()-2)/20)+1)</f>
        <v>46314</v>
      </c>
      <c r="B822" t="str" cm="1">
        <f t="array" ref="B822">INDEX(tblDemandAssumptions[Customer_ID],MOD(ROW()-2,20)+1)</f>
        <v>C001</v>
      </c>
      <c r="C822" t="str" cm="1">
        <f t="array" ref="C822">INDEX(tblDemandAssumptions[Product_ID],MOD(ROW()-2,20)+1)</f>
        <v>P001</v>
      </c>
      <c r="D822" cm="1">
        <f t="array" ref="D822">INDEX(tblDemandAssumptions[Baseline_Weekly_Qty],MOD(ROW()-2,20)+1)</f>
        <v>5200</v>
      </c>
      <c r="E822">
        <f t="shared" si="96"/>
        <v>1</v>
      </c>
      <c r="F822">
        <v>1.03</v>
      </c>
      <c r="G822">
        <f t="shared" si="97"/>
        <v>5356</v>
      </c>
      <c r="H822">
        <v>1</v>
      </c>
      <c r="I822">
        <f t="shared" si="98"/>
        <v>5200</v>
      </c>
      <c r="J822" t="str">
        <f t="shared" si="99"/>
        <v>Normal</v>
      </c>
      <c r="K822">
        <f t="shared" si="100"/>
        <v>5356</v>
      </c>
      <c r="L822">
        <f t="shared" si="101"/>
        <v>156</v>
      </c>
      <c r="M822" s="2">
        <f t="shared" si="102"/>
        <v>0.03</v>
      </c>
      <c r="N822">
        <f t="shared" si="103"/>
        <v>156</v>
      </c>
    </row>
    <row r="823" spans="1:14">
      <c r="A823" s="1" cm="1">
        <f t="array" ref="A823">INDEX(tblWeeks[Week_Start],INT((ROW()-2)/20)+1)</f>
        <v>46314</v>
      </c>
      <c r="B823" t="str" cm="1">
        <f t="array" ref="B823">INDEX(tblDemandAssumptions[Customer_ID],MOD(ROW()-2,20)+1)</f>
        <v>C001</v>
      </c>
      <c r="C823" t="str" cm="1">
        <f t="array" ref="C823">INDEX(tblDemandAssumptions[Product_ID],MOD(ROW()-2,20)+1)</f>
        <v>P002</v>
      </c>
      <c r="D823" cm="1">
        <f t="array" ref="D823">INDEX(tblDemandAssumptions[Baseline_Weekly_Qty],MOD(ROW()-2,20)+1)</f>
        <v>4100</v>
      </c>
      <c r="E823">
        <f t="shared" si="96"/>
        <v>1</v>
      </c>
      <c r="F823">
        <v>1.04</v>
      </c>
      <c r="G823">
        <f t="shared" si="97"/>
        <v>4264</v>
      </c>
      <c r="H823">
        <v>0.98</v>
      </c>
      <c r="I823">
        <f t="shared" si="98"/>
        <v>4018</v>
      </c>
      <c r="J823" t="str">
        <f t="shared" si="99"/>
        <v>Normal</v>
      </c>
      <c r="K823">
        <f t="shared" si="100"/>
        <v>4264</v>
      </c>
      <c r="L823">
        <f t="shared" si="101"/>
        <v>246</v>
      </c>
      <c r="M823" s="2">
        <f t="shared" si="102"/>
        <v>6.1224489795918366E-2</v>
      </c>
      <c r="N823">
        <f t="shared" si="103"/>
        <v>246</v>
      </c>
    </row>
    <row r="824" spans="1:14">
      <c r="A824" s="1" cm="1">
        <f t="array" ref="A824">INDEX(tblWeeks[Week_Start],INT((ROW()-2)/20)+1)</f>
        <v>46314</v>
      </c>
      <c r="B824" t="str" cm="1">
        <f t="array" ref="B824">INDEX(tblDemandAssumptions[Customer_ID],MOD(ROW()-2,20)+1)</f>
        <v>C001</v>
      </c>
      <c r="C824" t="str" cm="1">
        <f t="array" ref="C824">INDEX(tblDemandAssumptions[Product_ID],MOD(ROW()-2,20)+1)</f>
        <v>P003</v>
      </c>
      <c r="D824" cm="1">
        <f t="array" ref="D824">INDEX(tblDemandAssumptions[Baseline_Weekly_Qty],MOD(ROW()-2,20)+1)</f>
        <v>3300</v>
      </c>
      <c r="E824">
        <f t="shared" si="96"/>
        <v>1</v>
      </c>
      <c r="F824">
        <v>0.96</v>
      </c>
      <c r="G824">
        <f t="shared" si="97"/>
        <v>3168</v>
      </c>
      <c r="H824">
        <v>1.02</v>
      </c>
      <c r="I824">
        <f t="shared" si="98"/>
        <v>3366</v>
      </c>
      <c r="J824" t="str">
        <f t="shared" si="99"/>
        <v>Normal</v>
      </c>
      <c r="K824">
        <f t="shared" si="100"/>
        <v>3168</v>
      </c>
      <c r="L824">
        <f t="shared" si="101"/>
        <v>-198</v>
      </c>
      <c r="M824" s="2">
        <f t="shared" si="102"/>
        <v>-5.8823529411764705E-2</v>
      </c>
      <c r="N824">
        <f t="shared" si="103"/>
        <v>198</v>
      </c>
    </row>
    <row r="825" spans="1:14">
      <c r="A825" s="1" cm="1">
        <f t="array" ref="A825">INDEX(tblWeeks[Week_Start],INT((ROW()-2)/20)+1)</f>
        <v>46314</v>
      </c>
      <c r="B825" t="str" cm="1">
        <f t="array" ref="B825">INDEX(tblDemandAssumptions[Customer_ID],MOD(ROW()-2,20)+1)</f>
        <v>C001</v>
      </c>
      <c r="C825" t="str" cm="1">
        <f t="array" ref="C825">INDEX(tblDemandAssumptions[Product_ID],MOD(ROW()-2,20)+1)</f>
        <v>P004</v>
      </c>
      <c r="D825" cm="1">
        <f t="array" ref="D825">INDEX(tblDemandAssumptions[Baseline_Weekly_Qty],MOD(ROW()-2,20)+1)</f>
        <v>3600</v>
      </c>
      <c r="E825">
        <f t="shared" si="96"/>
        <v>1</v>
      </c>
      <c r="F825">
        <v>0.98</v>
      </c>
      <c r="G825">
        <f t="shared" si="97"/>
        <v>3528</v>
      </c>
      <c r="H825">
        <v>1.03</v>
      </c>
      <c r="I825">
        <f t="shared" si="98"/>
        <v>3708</v>
      </c>
      <c r="J825" t="str">
        <f t="shared" si="99"/>
        <v>Normal</v>
      </c>
      <c r="K825">
        <f t="shared" si="100"/>
        <v>3528</v>
      </c>
      <c r="L825">
        <f t="shared" si="101"/>
        <v>-180</v>
      </c>
      <c r="M825" s="2">
        <f t="shared" si="102"/>
        <v>-4.8543689320388349E-2</v>
      </c>
      <c r="N825">
        <f t="shared" si="103"/>
        <v>180</v>
      </c>
    </row>
    <row r="826" spans="1:14">
      <c r="A826" s="1" cm="1">
        <f t="array" ref="A826">INDEX(tblWeeks[Week_Start],INT((ROW()-2)/20)+1)</f>
        <v>46314</v>
      </c>
      <c r="B826" t="str" cm="1">
        <f t="array" ref="B826">INDEX(tblDemandAssumptions[Customer_ID],MOD(ROW()-2,20)+1)</f>
        <v>C001</v>
      </c>
      <c r="C826" t="str" cm="1">
        <f t="array" ref="C826">INDEX(tblDemandAssumptions[Product_ID],MOD(ROW()-2,20)+1)</f>
        <v>P005</v>
      </c>
      <c r="D826" cm="1">
        <f t="array" ref="D826">INDEX(tblDemandAssumptions[Baseline_Weekly_Qty],MOD(ROW()-2,20)+1)</f>
        <v>2800</v>
      </c>
      <c r="E826">
        <f t="shared" si="96"/>
        <v>1</v>
      </c>
      <c r="F826">
        <v>0.97</v>
      </c>
      <c r="G826">
        <f t="shared" si="97"/>
        <v>2716</v>
      </c>
      <c r="H826">
        <v>0.97</v>
      </c>
      <c r="I826">
        <f t="shared" si="98"/>
        <v>2716</v>
      </c>
      <c r="J826" t="str">
        <f t="shared" si="99"/>
        <v>Normal</v>
      </c>
      <c r="K826">
        <f t="shared" si="100"/>
        <v>2716</v>
      </c>
      <c r="L826">
        <f t="shared" si="101"/>
        <v>0</v>
      </c>
      <c r="M826" s="2">
        <f t="shared" si="102"/>
        <v>0</v>
      </c>
      <c r="N826">
        <f t="shared" si="103"/>
        <v>0</v>
      </c>
    </row>
    <row r="827" spans="1:14">
      <c r="A827" s="1" cm="1">
        <f t="array" ref="A827">INDEX(tblWeeks[Week_Start],INT((ROW()-2)/20)+1)</f>
        <v>46314</v>
      </c>
      <c r="B827" t="str" cm="1">
        <f t="array" ref="B827">INDEX(tblDemandAssumptions[Customer_ID],MOD(ROW()-2,20)+1)</f>
        <v>C002</v>
      </c>
      <c r="C827" t="str" cm="1">
        <f t="array" ref="C827">INDEX(tblDemandAssumptions[Product_ID],MOD(ROW()-2,20)+1)</f>
        <v>P001</v>
      </c>
      <c r="D827" cm="1">
        <f t="array" ref="D827">INDEX(tblDemandAssumptions[Baseline_Weekly_Qty],MOD(ROW()-2,20)+1)</f>
        <v>3400</v>
      </c>
      <c r="E827">
        <f t="shared" si="96"/>
        <v>1</v>
      </c>
      <c r="F827">
        <v>0.95</v>
      </c>
      <c r="G827">
        <f t="shared" si="97"/>
        <v>3230</v>
      </c>
      <c r="H827">
        <v>1.01</v>
      </c>
      <c r="I827">
        <f t="shared" si="98"/>
        <v>3434</v>
      </c>
      <c r="J827" t="str">
        <f t="shared" si="99"/>
        <v>Normal</v>
      </c>
      <c r="K827">
        <f t="shared" si="100"/>
        <v>3230</v>
      </c>
      <c r="L827">
        <f t="shared" si="101"/>
        <v>-204</v>
      </c>
      <c r="M827" s="2">
        <f t="shared" si="102"/>
        <v>-5.9405940594059403E-2</v>
      </c>
      <c r="N827">
        <f t="shared" si="103"/>
        <v>204</v>
      </c>
    </row>
    <row r="828" spans="1:14">
      <c r="A828" s="1" cm="1">
        <f t="array" ref="A828">INDEX(tblWeeks[Week_Start],INT((ROW()-2)/20)+1)</f>
        <v>46314</v>
      </c>
      <c r="B828" t="str" cm="1">
        <f t="array" ref="B828">INDEX(tblDemandAssumptions[Customer_ID],MOD(ROW()-2,20)+1)</f>
        <v>C002</v>
      </c>
      <c r="C828" t="str" cm="1">
        <f t="array" ref="C828">INDEX(tblDemandAssumptions[Product_ID],MOD(ROW()-2,20)+1)</f>
        <v>P002</v>
      </c>
      <c r="D828" cm="1">
        <f t="array" ref="D828">INDEX(tblDemandAssumptions[Baseline_Weekly_Qty],MOD(ROW()-2,20)+1)</f>
        <v>3200</v>
      </c>
      <c r="E828">
        <f t="shared" si="96"/>
        <v>1</v>
      </c>
      <c r="F828">
        <v>0.96</v>
      </c>
      <c r="G828">
        <f t="shared" si="97"/>
        <v>3072</v>
      </c>
      <c r="H828">
        <v>1.04</v>
      </c>
      <c r="I828">
        <f t="shared" si="98"/>
        <v>3328</v>
      </c>
      <c r="J828" t="str">
        <f t="shared" si="99"/>
        <v>Normal</v>
      </c>
      <c r="K828">
        <f t="shared" si="100"/>
        <v>3072</v>
      </c>
      <c r="L828">
        <f t="shared" si="101"/>
        <v>-256</v>
      </c>
      <c r="M828" s="2">
        <f t="shared" si="102"/>
        <v>-7.6923076923076927E-2</v>
      </c>
      <c r="N828">
        <f t="shared" si="103"/>
        <v>256</v>
      </c>
    </row>
    <row r="829" spans="1:14">
      <c r="A829" s="1" cm="1">
        <f t="array" ref="A829">INDEX(tblWeeks[Week_Start],INT((ROW()-2)/20)+1)</f>
        <v>46314</v>
      </c>
      <c r="B829" t="str" cm="1">
        <f t="array" ref="B829">INDEX(tblDemandAssumptions[Customer_ID],MOD(ROW()-2,20)+1)</f>
        <v>C002</v>
      </c>
      <c r="C829" t="str" cm="1">
        <f t="array" ref="C829">INDEX(tblDemandAssumptions[Product_ID],MOD(ROW()-2,20)+1)</f>
        <v>P003</v>
      </c>
      <c r="D829" cm="1">
        <f t="array" ref="D829">INDEX(tblDemandAssumptions[Baseline_Weekly_Qty],MOD(ROW()-2,20)+1)</f>
        <v>2600</v>
      </c>
      <c r="E829">
        <f t="shared" si="96"/>
        <v>1</v>
      </c>
      <c r="F829">
        <v>0.96</v>
      </c>
      <c r="G829">
        <f t="shared" si="97"/>
        <v>2496</v>
      </c>
      <c r="H829">
        <v>1.01</v>
      </c>
      <c r="I829">
        <f t="shared" si="98"/>
        <v>2626</v>
      </c>
      <c r="J829" t="str">
        <f t="shared" si="99"/>
        <v>Normal</v>
      </c>
      <c r="K829">
        <f t="shared" si="100"/>
        <v>2496</v>
      </c>
      <c r="L829">
        <f t="shared" si="101"/>
        <v>-130</v>
      </c>
      <c r="M829" s="2">
        <f t="shared" si="102"/>
        <v>-4.9504950495049507E-2</v>
      </c>
      <c r="N829">
        <f t="shared" si="103"/>
        <v>130</v>
      </c>
    </row>
    <row r="830" spans="1:14">
      <c r="A830" s="1" cm="1">
        <f t="array" ref="A830">INDEX(tblWeeks[Week_Start],INT((ROW()-2)/20)+1)</f>
        <v>46314</v>
      </c>
      <c r="B830" t="str" cm="1">
        <f t="array" ref="B830">INDEX(tblDemandAssumptions[Customer_ID],MOD(ROW()-2,20)+1)</f>
        <v>C002</v>
      </c>
      <c r="C830" t="str" cm="1">
        <f t="array" ref="C830">INDEX(tblDemandAssumptions[Product_ID],MOD(ROW()-2,20)+1)</f>
        <v>P004</v>
      </c>
      <c r="D830" cm="1">
        <f t="array" ref="D830">INDEX(tblDemandAssumptions[Baseline_Weekly_Qty],MOD(ROW()-2,20)+1)</f>
        <v>2900</v>
      </c>
      <c r="E830">
        <f t="shared" si="96"/>
        <v>1</v>
      </c>
      <c r="F830">
        <v>1.02</v>
      </c>
      <c r="G830">
        <f t="shared" si="97"/>
        <v>2958</v>
      </c>
      <c r="H830">
        <v>0.97</v>
      </c>
      <c r="I830">
        <f t="shared" si="98"/>
        <v>2813</v>
      </c>
      <c r="J830" t="str">
        <f t="shared" si="99"/>
        <v>Normal</v>
      </c>
      <c r="K830">
        <f t="shared" si="100"/>
        <v>2958</v>
      </c>
      <c r="L830">
        <f t="shared" si="101"/>
        <v>145</v>
      </c>
      <c r="M830" s="2">
        <f t="shared" si="102"/>
        <v>5.1546391752577317E-2</v>
      </c>
      <c r="N830">
        <f t="shared" si="103"/>
        <v>145</v>
      </c>
    </row>
    <row r="831" spans="1:14">
      <c r="A831" s="1" cm="1">
        <f t="array" ref="A831">INDEX(tblWeeks[Week_Start],INT((ROW()-2)/20)+1)</f>
        <v>46314</v>
      </c>
      <c r="B831" t="str" cm="1">
        <f t="array" ref="B831">INDEX(tblDemandAssumptions[Customer_ID],MOD(ROW()-2,20)+1)</f>
        <v>C002</v>
      </c>
      <c r="C831" t="str" cm="1">
        <f t="array" ref="C831">INDEX(tblDemandAssumptions[Product_ID],MOD(ROW()-2,20)+1)</f>
        <v>P005</v>
      </c>
      <c r="D831" cm="1">
        <f t="array" ref="D831">INDEX(tblDemandAssumptions[Baseline_Weekly_Qty],MOD(ROW()-2,20)+1)</f>
        <v>2200</v>
      </c>
      <c r="E831">
        <f t="shared" si="96"/>
        <v>1</v>
      </c>
      <c r="F831">
        <v>1.03</v>
      </c>
      <c r="G831">
        <f t="shared" si="97"/>
        <v>2266</v>
      </c>
      <c r="H831">
        <v>1.03</v>
      </c>
      <c r="I831">
        <f t="shared" si="98"/>
        <v>2266</v>
      </c>
      <c r="J831" t="str">
        <f t="shared" si="99"/>
        <v>Normal</v>
      </c>
      <c r="K831">
        <f t="shared" si="100"/>
        <v>2266</v>
      </c>
      <c r="L831">
        <f t="shared" si="101"/>
        <v>0</v>
      </c>
      <c r="M831" s="2">
        <f t="shared" si="102"/>
        <v>0</v>
      </c>
      <c r="N831">
        <f t="shared" si="103"/>
        <v>0</v>
      </c>
    </row>
    <row r="832" spans="1:14">
      <c r="A832" s="1" cm="1">
        <f t="array" ref="A832">INDEX(tblWeeks[Week_Start],INT((ROW()-2)/20)+1)</f>
        <v>46314</v>
      </c>
      <c r="B832" t="str" cm="1">
        <f t="array" ref="B832">INDEX(tblDemandAssumptions[Customer_ID],MOD(ROW()-2,20)+1)</f>
        <v>C003</v>
      </c>
      <c r="C832" t="str" cm="1">
        <f t="array" ref="C832">INDEX(tblDemandAssumptions[Product_ID],MOD(ROW()-2,20)+1)</f>
        <v>P001</v>
      </c>
      <c r="D832" cm="1">
        <f t="array" ref="D832">INDEX(tblDemandAssumptions[Baseline_Weekly_Qty],MOD(ROW()-2,20)+1)</f>
        <v>3000</v>
      </c>
      <c r="E832">
        <f t="shared" si="96"/>
        <v>1</v>
      </c>
      <c r="F832">
        <v>0.98</v>
      </c>
      <c r="G832">
        <f t="shared" si="97"/>
        <v>2940</v>
      </c>
      <c r="H832">
        <v>1.01</v>
      </c>
      <c r="I832">
        <f t="shared" si="98"/>
        <v>3030</v>
      </c>
      <c r="J832" t="str">
        <f t="shared" si="99"/>
        <v>Normal</v>
      </c>
      <c r="K832">
        <f t="shared" si="100"/>
        <v>2940</v>
      </c>
      <c r="L832">
        <f t="shared" si="101"/>
        <v>-90</v>
      </c>
      <c r="M832" s="2">
        <f t="shared" si="102"/>
        <v>-2.9702970297029702E-2</v>
      </c>
      <c r="N832">
        <f t="shared" si="103"/>
        <v>90</v>
      </c>
    </row>
    <row r="833" spans="1:14">
      <c r="A833" s="1" cm="1">
        <f t="array" ref="A833">INDEX(tblWeeks[Week_Start],INT((ROW()-2)/20)+1)</f>
        <v>46314</v>
      </c>
      <c r="B833" t="str" cm="1">
        <f t="array" ref="B833">INDEX(tblDemandAssumptions[Customer_ID],MOD(ROW()-2,20)+1)</f>
        <v>C003</v>
      </c>
      <c r="C833" t="str" cm="1">
        <f t="array" ref="C833">INDEX(tblDemandAssumptions[Product_ID],MOD(ROW()-2,20)+1)</f>
        <v>P002</v>
      </c>
      <c r="D833" cm="1">
        <f t="array" ref="D833">INDEX(tblDemandAssumptions[Baseline_Weekly_Qty],MOD(ROW()-2,20)+1)</f>
        <v>2700</v>
      </c>
      <c r="E833">
        <f t="shared" si="96"/>
        <v>1</v>
      </c>
      <c r="F833">
        <v>0.98</v>
      </c>
      <c r="G833">
        <f t="shared" si="97"/>
        <v>2646</v>
      </c>
      <c r="H833">
        <v>1.01</v>
      </c>
      <c r="I833">
        <f t="shared" si="98"/>
        <v>2727</v>
      </c>
      <c r="J833" t="str">
        <f t="shared" si="99"/>
        <v>Normal</v>
      </c>
      <c r="K833">
        <f t="shared" si="100"/>
        <v>2646</v>
      </c>
      <c r="L833">
        <f t="shared" si="101"/>
        <v>-81</v>
      </c>
      <c r="M833" s="2">
        <f t="shared" si="102"/>
        <v>-2.9702970297029702E-2</v>
      </c>
      <c r="N833">
        <f t="shared" si="103"/>
        <v>81</v>
      </c>
    </row>
    <row r="834" spans="1:14">
      <c r="A834" s="1" cm="1">
        <f t="array" ref="A834">INDEX(tblWeeks[Week_Start],INT((ROW()-2)/20)+1)</f>
        <v>46314</v>
      </c>
      <c r="B834" t="str" cm="1">
        <f t="array" ref="B834">INDEX(tblDemandAssumptions[Customer_ID],MOD(ROW()-2,20)+1)</f>
        <v>C003</v>
      </c>
      <c r="C834" t="str" cm="1">
        <f t="array" ref="C834">INDEX(tblDemandAssumptions[Product_ID],MOD(ROW()-2,20)+1)</f>
        <v>P003</v>
      </c>
      <c r="D834" cm="1">
        <f t="array" ref="D834">INDEX(tblDemandAssumptions[Baseline_Weekly_Qty],MOD(ROW()-2,20)+1)</f>
        <v>2800</v>
      </c>
      <c r="E834">
        <f t="shared" ref="E834:E897" si="104">IF(MONTH(A834)&lt;=2,0.95,IF(MONTH(A834)&lt;=4,1,IF(MONTH(A834)&lt;=6,1.05,IF(MONTH(A834)&lt;=8,1.1,IF(MONTH(A834)&lt;=10,1,IF(MONTH(A834)=11,1.05,1.2))))))</f>
        <v>1</v>
      </c>
      <c r="F834">
        <v>0.97</v>
      </c>
      <c r="G834">
        <f t="shared" ref="G834:G897" si="105">ROUND(D834*E834*F834,0)</f>
        <v>2716</v>
      </c>
      <c r="H834">
        <v>1</v>
      </c>
      <c r="I834">
        <f t="shared" ref="I834:I897" si="106">ROUND(D834*E834*H834,0)</f>
        <v>2800</v>
      </c>
      <c r="J834" t="str">
        <f t="shared" ref="J834:J897" si="107">IF(AND(A834=DATE(2026,3,16),B834="C001",C834="P001"),"Promotion_Demand_Spike",IF(AND(A834=DATE(2026,6,8),B834="C002",C834="P004"),"Under_Forecast",IF(AND(A834=DATE(2026,7,20),B834="C003",C834="P003"),"Over_Forecast","Normal")))</f>
        <v>Normal</v>
      </c>
      <c r="K834">
        <f t="shared" ref="K834:K897" si="108">IF(J834="Promotion_Demand_Spike",ROUND(G834*1.35,0),IF(J834="Under_Forecast",ROUND(I834*1.25,0),IF(J834="Over_Forecast",ROUND(I834*0.72,0),G834)))</f>
        <v>2716</v>
      </c>
      <c r="L834">
        <f t="shared" ref="L834:L897" si="109">K834-I834</f>
        <v>-84</v>
      </c>
      <c r="M834" s="2">
        <f t="shared" ref="M834:M897" si="110">IF(I834=0,0,L834/I834)</f>
        <v>-0.03</v>
      </c>
      <c r="N834">
        <f t="shared" ref="N834:N897" si="111">ABS(L834)</f>
        <v>84</v>
      </c>
    </row>
    <row r="835" spans="1:14">
      <c r="A835" s="1" cm="1">
        <f t="array" ref="A835">INDEX(tblWeeks[Week_Start],INT((ROW()-2)/20)+1)</f>
        <v>46314</v>
      </c>
      <c r="B835" t="str" cm="1">
        <f t="array" ref="B835">INDEX(tblDemandAssumptions[Customer_ID],MOD(ROW()-2,20)+1)</f>
        <v>C003</v>
      </c>
      <c r="C835" t="str" cm="1">
        <f t="array" ref="C835">INDEX(tblDemandAssumptions[Product_ID],MOD(ROW()-2,20)+1)</f>
        <v>P004</v>
      </c>
      <c r="D835" cm="1">
        <f t="array" ref="D835">INDEX(tblDemandAssumptions[Baseline_Weekly_Qty],MOD(ROW()-2,20)+1)</f>
        <v>2400</v>
      </c>
      <c r="E835">
        <f t="shared" si="104"/>
        <v>1</v>
      </c>
      <c r="F835">
        <v>1.05</v>
      </c>
      <c r="G835">
        <f t="shared" si="105"/>
        <v>2520</v>
      </c>
      <c r="H835">
        <v>0.97</v>
      </c>
      <c r="I835">
        <f t="shared" si="106"/>
        <v>2328</v>
      </c>
      <c r="J835" t="str">
        <f t="shared" si="107"/>
        <v>Normal</v>
      </c>
      <c r="K835">
        <f t="shared" si="108"/>
        <v>2520</v>
      </c>
      <c r="L835">
        <f t="shared" si="109"/>
        <v>192</v>
      </c>
      <c r="M835" s="2">
        <f t="shared" si="110"/>
        <v>8.247422680412371E-2</v>
      </c>
      <c r="N835">
        <f t="shared" si="111"/>
        <v>192</v>
      </c>
    </row>
    <row r="836" spans="1:14">
      <c r="A836" s="1" cm="1">
        <f t="array" ref="A836">INDEX(tblWeeks[Week_Start],INT((ROW()-2)/20)+1)</f>
        <v>46314</v>
      </c>
      <c r="B836" t="str" cm="1">
        <f t="array" ref="B836">INDEX(tblDemandAssumptions[Customer_ID],MOD(ROW()-2,20)+1)</f>
        <v>C003</v>
      </c>
      <c r="C836" t="str" cm="1">
        <f t="array" ref="C836">INDEX(tblDemandAssumptions[Product_ID],MOD(ROW()-2,20)+1)</f>
        <v>P005</v>
      </c>
      <c r="D836" cm="1">
        <f t="array" ref="D836">INDEX(tblDemandAssumptions[Baseline_Weekly_Qty],MOD(ROW()-2,20)+1)</f>
        <v>1900</v>
      </c>
      <c r="E836">
        <f t="shared" si="104"/>
        <v>1</v>
      </c>
      <c r="F836">
        <v>1.01</v>
      </c>
      <c r="G836">
        <f t="shared" si="105"/>
        <v>1919</v>
      </c>
      <c r="H836">
        <v>0.99</v>
      </c>
      <c r="I836">
        <f t="shared" si="106"/>
        <v>1881</v>
      </c>
      <c r="J836" t="str">
        <f t="shared" si="107"/>
        <v>Normal</v>
      </c>
      <c r="K836">
        <f t="shared" si="108"/>
        <v>1919</v>
      </c>
      <c r="L836">
        <f t="shared" si="109"/>
        <v>38</v>
      </c>
      <c r="M836" s="2">
        <f t="shared" si="110"/>
        <v>2.0202020202020204E-2</v>
      </c>
      <c r="N836">
        <f t="shared" si="111"/>
        <v>38</v>
      </c>
    </row>
    <row r="837" spans="1:14">
      <c r="A837" s="1" cm="1">
        <f t="array" ref="A837">INDEX(tblWeeks[Week_Start],INT((ROW()-2)/20)+1)</f>
        <v>46314</v>
      </c>
      <c r="B837" t="str" cm="1">
        <f t="array" ref="B837">INDEX(tblDemandAssumptions[Customer_ID],MOD(ROW()-2,20)+1)</f>
        <v>C004</v>
      </c>
      <c r="C837" t="str" cm="1">
        <f t="array" ref="C837">INDEX(tblDemandAssumptions[Product_ID],MOD(ROW()-2,20)+1)</f>
        <v>P001</v>
      </c>
      <c r="D837" cm="1">
        <f t="array" ref="D837">INDEX(tblDemandAssumptions[Baseline_Weekly_Qty],MOD(ROW()-2,20)+1)</f>
        <v>2700</v>
      </c>
      <c r="E837">
        <f t="shared" si="104"/>
        <v>1</v>
      </c>
      <c r="F837">
        <v>1</v>
      </c>
      <c r="G837">
        <f t="shared" si="105"/>
        <v>2700</v>
      </c>
      <c r="H837">
        <v>0.97</v>
      </c>
      <c r="I837">
        <f t="shared" si="106"/>
        <v>2619</v>
      </c>
      <c r="J837" t="str">
        <f t="shared" si="107"/>
        <v>Normal</v>
      </c>
      <c r="K837">
        <f t="shared" si="108"/>
        <v>2700</v>
      </c>
      <c r="L837">
        <f t="shared" si="109"/>
        <v>81</v>
      </c>
      <c r="M837" s="2">
        <f t="shared" si="110"/>
        <v>3.0927835051546393E-2</v>
      </c>
      <c r="N837">
        <f t="shared" si="111"/>
        <v>81</v>
      </c>
    </row>
    <row r="838" spans="1:14">
      <c r="A838" s="1" cm="1">
        <f t="array" ref="A838">INDEX(tblWeeks[Week_Start],INT((ROW()-2)/20)+1)</f>
        <v>46314</v>
      </c>
      <c r="B838" t="str" cm="1">
        <f t="array" ref="B838">INDEX(tblDemandAssumptions[Customer_ID],MOD(ROW()-2,20)+1)</f>
        <v>C004</v>
      </c>
      <c r="C838" t="str" cm="1">
        <f t="array" ref="C838">INDEX(tblDemandAssumptions[Product_ID],MOD(ROW()-2,20)+1)</f>
        <v>P002</v>
      </c>
      <c r="D838" cm="1">
        <f t="array" ref="D838">INDEX(tblDemandAssumptions[Baseline_Weekly_Qty],MOD(ROW()-2,20)+1)</f>
        <v>2400</v>
      </c>
      <c r="E838">
        <f t="shared" si="104"/>
        <v>1</v>
      </c>
      <c r="F838">
        <v>0.98</v>
      </c>
      <c r="G838">
        <f t="shared" si="105"/>
        <v>2352</v>
      </c>
      <c r="H838">
        <v>0.98</v>
      </c>
      <c r="I838">
        <f t="shared" si="106"/>
        <v>2352</v>
      </c>
      <c r="J838" t="str">
        <f t="shared" si="107"/>
        <v>Normal</v>
      </c>
      <c r="K838">
        <f t="shared" si="108"/>
        <v>2352</v>
      </c>
      <c r="L838">
        <f t="shared" si="109"/>
        <v>0</v>
      </c>
      <c r="M838" s="2">
        <f t="shared" si="110"/>
        <v>0</v>
      </c>
      <c r="N838">
        <f t="shared" si="111"/>
        <v>0</v>
      </c>
    </row>
    <row r="839" spans="1:14">
      <c r="A839" s="1" cm="1">
        <f t="array" ref="A839">INDEX(tblWeeks[Week_Start],INT((ROW()-2)/20)+1)</f>
        <v>46314</v>
      </c>
      <c r="B839" t="str" cm="1">
        <f t="array" ref="B839">INDEX(tblDemandAssumptions[Customer_ID],MOD(ROW()-2,20)+1)</f>
        <v>C004</v>
      </c>
      <c r="C839" t="str" cm="1">
        <f t="array" ref="C839">INDEX(tblDemandAssumptions[Product_ID],MOD(ROW()-2,20)+1)</f>
        <v>P003</v>
      </c>
      <c r="D839" cm="1">
        <f t="array" ref="D839">INDEX(tblDemandAssumptions[Baseline_Weekly_Qty],MOD(ROW()-2,20)+1)</f>
        <v>2100</v>
      </c>
      <c r="E839">
        <f t="shared" si="104"/>
        <v>1</v>
      </c>
      <c r="F839">
        <v>0.95</v>
      </c>
      <c r="G839">
        <f t="shared" si="105"/>
        <v>1995</v>
      </c>
      <c r="H839">
        <v>0.99</v>
      </c>
      <c r="I839">
        <f t="shared" si="106"/>
        <v>2079</v>
      </c>
      <c r="J839" t="str">
        <f t="shared" si="107"/>
        <v>Normal</v>
      </c>
      <c r="K839">
        <f t="shared" si="108"/>
        <v>1995</v>
      </c>
      <c r="L839">
        <f t="shared" si="109"/>
        <v>-84</v>
      </c>
      <c r="M839" s="2">
        <f t="shared" si="110"/>
        <v>-4.0404040404040407E-2</v>
      </c>
      <c r="N839">
        <f t="shared" si="111"/>
        <v>84</v>
      </c>
    </row>
    <row r="840" spans="1:14">
      <c r="A840" s="1" cm="1">
        <f t="array" ref="A840">INDEX(tblWeeks[Week_Start],INT((ROW()-2)/20)+1)</f>
        <v>46314</v>
      </c>
      <c r="B840" t="str" cm="1">
        <f t="array" ref="B840">INDEX(tblDemandAssumptions[Customer_ID],MOD(ROW()-2,20)+1)</f>
        <v>C004</v>
      </c>
      <c r="C840" t="str" cm="1">
        <f t="array" ref="C840">INDEX(tblDemandAssumptions[Product_ID],MOD(ROW()-2,20)+1)</f>
        <v>P004</v>
      </c>
      <c r="D840" cm="1">
        <f t="array" ref="D840">INDEX(tblDemandAssumptions[Baseline_Weekly_Qty],MOD(ROW()-2,20)+1)</f>
        <v>2600</v>
      </c>
      <c r="E840">
        <f t="shared" si="104"/>
        <v>1</v>
      </c>
      <c r="F840">
        <v>0.97</v>
      </c>
      <c r="G840">
        <f t="shared" si="105"/>
        <v>2522</v>
      </c>
      <c r="H840">
        <v>0.96</v>
      </c>
      <c r="I840">
        <f t="shared" si="106"/>
        <v>2496</v>
      </c>
      <c r="J840" t="str">
        <f t="shared" si="107"/>
        <v>Normal</v>
      </c>
      <c r="K840">
        <f t="shared" si="108"/>
        <v>2522</v>
      </c>
      <c r="L840">
        <f t="shared" si="109"/>
        <v>26</v>
      </c>
      <c r="M840" s="2">
        <f t="shared" si="110"/>
        <v>1.0416666666666666E-2</v>
      </c>
      <c r="N840">
        <f t="shared" si="111"/>
        <v>26</v>
      </c>
    </row>
    <row r="841" spans="1:14">
      <c r="A841" s="1" cm="1">
        <f t="array" ref="A841">INDEX(tblWeeks[Week_Start],INT((ROW()-2)/20)+1)</f>
        <v>46314</v>
      </c>
      <c r="B841" t="str" cm="1">
        <f t="array" ref="B841">INDEX(tblDemandAssumptions[Customer_ID],MOD(ROW()-2,20)+1)</f>
        <v>C004</v>
      </c>
      <c r="C841" t="str" cm="1">
        <f t="array" ref="C841">INDEX(tblDemandAssumptions[Product_ID],MOD(ROW()-2,20)+1)</f>
        <v>P005</v>
      </c>
      <c r="D841" cm="1">
        <f t="array" ref="D841">INDEX(tblDemandAssumptions[Baseline_Weekly_Qty],MOD(ROW()-2,20)+1)</f>
        <v>1800</v>
      </c>
      <c r="E841">
        <f t="shared" si="104"/>
        <v>1</v>
      </c>
      <c r="F841">
        <v>1.04</v>
      </c>
      <c r="G841">
        <f t="shared" si="105"/>
        <v>1872</v>
      </c>
      <c r="H841">
        <v>0.98</v>
      </c>
      <c r="I841">
        <f t="shared" si="106"/>
        <v>1764</v>
      </c>
      <c r="J841" t="str">
        <f t="shared" si="107"/>
        <v>Normal</v>
      </c>
      <c r="K841">
        <f t="shared" si="108"/>
        <v>1872</v>
      </c>
      <c r="L841">
        <f t="shared" si="109"/>
        <v>108</v>
      </c>
      <c r="M841" s="2">
        <f t="shared" si="110"/>
        <v>6.1224489795918366E-2</v>
      </c>
      <c r="N841">
        <f t="shared" si="111"/>
        <v>108</v>
      </c>
    </row>
    <row r="842" spans="1:14">
      <c r="A842" s="1" cm="1">
        <f t="array" ref="A842">INDEX(tblWeeks[Week_Start],INT((ROW()-2)/20)+1)</f>
        <v>46321</v>
      </c>
      <c r="B842" t="str" cm="1">
        <f t="array" ref="B842">INDEX(tblDemandAssumptions[Customer_ID],MOD(ROW()-2,20)+1)</f>
        <v>C001</v>
      </c>
      <c r="C842" t="str" cm="1">
        <f t="array" ref="C842">INDEX(tblDemandAssumptions[Product_ID],MOD(ROW()-2,20)+1)</f>
        <v>P001</v>
      </c>
      <c r="D842" cm="1">
        <f t="array" ref="D842">INDEX(tblDemandAssumptions[Baseline_Weekly_Qty],MOD(ROW()-2,20)+1)</f>
        <v>5200</v>
      </c>
      <c r="E842">
        <f t="shared" si="104"/>
        <v>1</v>
      </c>
      <c r="F842">
        <v>0.97</v>
      </c>
      <c r="G842">
        <f t="shared" si="105"/>
        <v>5044</v>
      </c>
      <c r="H842">
        <v>1.02</v>
      </c>
      <c r="I842">
        <f t="shared" si="106"/>
        <v>5304</v>
      </c>
      <c r="J842" t="str">
        <f t="shared" si="107"/>
        <v>Normal</v>
      </c>
      <c r="K842">
        <f t="shared" si="108"/>
        <v>5044</v>
      </c>
      <c r="L842">
        <f t="shared" si="109"/>
        <v>-260</v>
      </c>
      <c r="M842" s="2">
        <f t="shared" si="110"/>
        <v>-4.9019607843137254E-2</v>
      </c>
      <c r="N842">
        <f t="shared" si="111"/>
        <v>260</v>
      </c>
    </row>
    <row r="843" spans="1:14">
      <c r="A843" s="1" cm="1">
        <f t="array" ref="A843">INDEX(tblWeeks[Week_Start],INT((ROW()-2)/20)+1)</f>
        <v>46321</v>
      </c>
      <c r="B843" t="str" cm="1">
        <f t="array" ref="B843">INDEX(tblDemandAssumptions[Customer_ID],MOD(ROW()-2,20)+1)</f>
        <v>C001</v>
      </c>
      <c r="C843" t="str" cm="1">
        <f t="array" ref="C843">INDEX(tblDemandAssumptions[Product_ID],MOD(ROW()-2,20)+1)</f>
        <v>P002</v>
      </c>
      <c r="D843" cm="1">
        <f t="array" ref="D843">INDEX(tblDemandAssumptions[Baseline_Weekly_Qty],MOD(ROW()-2,20)+1)</f>
        <v>4100</v>
      </c>
      <c r="E843">
        <f t="shared" si="104"/>
        <v>1</v>
      </c>
      <c r="F843">
        <v>1.01</v>
      </c>
      <c r="G843">
        <f t="shared" si="105"/>
        <v>4141</v>
      </c>
      <c r="H843">
        <v>1.04</v>
      </c>
      <c r="I843">
        <f t="shared" si="106"/>
        <v>4264</v>
      </c>
      <c r="J843" t="str">
        <f t="shared" si="107"/>
        <v>Normal</v>
      </c>
      <c r="K843">
        <f t="shared" si="108"/>
        <v>4141</v>
      </c>
      <c r="L843">
        <f t="shared" si="109"/>
        <v>-123</v>
      </c>
      <c r="M843" s="2">
        <f t="shared" si="110"/>
        <v>-2.8846153846153848E-2</v>
      </c>
      <c r="N843">
        <f t="shared" si="111"/>
        <v>123</v>
      </c>
    </row>
    <row r="844" spans="1:14">
      <c r="A844" s="1" cm="1">
        <f t="array" ref="A844">INDEX(tblWeeks[Week_Start],INT((ROW()-2)/20)+1)</f>
        <v>46321</v>
      </c>
      <c r="B844" t="str" cm="1">
        <f t="array" ref="B844">INDEX(tblDemandAssumptions[Customer_ID],MOD(ROW()-2,20)+1)</f>
        <v>C001</v>
      </c>
      <c r="C844" t="str" cm="1">
        <f t="array" ref="C844">INDEX(tblDemandAssumptions[Product_ID],MOD(ROW()-2,20)+1)</f>
        <v>P003</v>
      </c>
      <c r="D844" cm="1">
        <f t="array" ref="D844">INDEX(tblDemandAssumptions[Baseline_Weekly_Qty],MOD(ROW()-2,20)+1)</f>
        <v>3300</v>
      </c>
      <c r="E844">
        <f t="shared" si="104"/>
        <v>1</v>
      </c>
      <c r="F844">
        <v>1</v>
      </c>
      <c r="G844">
        <f t="shared" si="105"/>
        <v>3300</v>
      </c>
      <c r="H844">
        <v>0.96</v>
      </c>
      <c r="I844">
        <f t="shared" si="106"/>
        <v>3168</v>
      </c>
      <c r="J844" t="str">
        <f t="shared" si="107"/>
        <v>Normal</v>
      </c>
      <c r="K844">
        <f t="shared" si="108"/>
        <v>3300</v>
      </c>
      <c r="L844">
        <f t="shared" si="109"/>
        <v>132</v>
      </c>
      <c r="M844" s="2">
        <f t="shared" si="110"/>
        <v>4.1666666666666664E-2</v>
      </c>
      <c r="N844">
        <f t="shared" si="111"/>
        <v>132</v>
      </c>
    </row>
    <row r="845" spans="1:14">
      <c r="A845" s="1" cm="1">
        <f t="array" ref="A845">INDEX(tblWeeks[Week_Start],INT((ROW()-2)/20)+1)</f>
        <v>46321</v>
      </c>
      <c r="B845" t="str" cm="1">
        <f t="array" ref="B845">INDEX(tblDemandAssumptions[Customer_ID],MOD(ROW()-2,20)+1)</f>
        <v>C001</v>
      </c>
      <c r="C845" t="str" cm="1">
        <f t="array" ref="C845">INDEX(tblDemandAssumptions[Product_ID],MOD(ROW()-2,20)+1)</f>
        <v>P004</v>
      </c>
      <c r="D845" cm="1">
        <f t="array" ref="D845">INDEX(tblDemandAssumptions[Baseline_Weekly_Qty],MOD(ROW()-2,20)+1)</f>
        <v>3600</v>
      </c>
      <c r="E845">
        <f t="shared" si="104"/>
        <v>1</v>
      </c>
      <c r="F845">
        <v>1.05</v>
      </c>
      <c r="G845">
        <f t="shared" si="105"/>
        <v>3780</v>
      </c>
      <c r="H845">
        <v>1.02</v>
      </c>
      <c r="I845">
        <f t="shared" si="106"/>
        <v>3672</v>
      </c>
      <c r="J845" t="str">
        <f t="shared" si="107"/>
        <v>Normal</v>
      </c>
      <c r="K845">
        <f t="shared" si="108"/>
        <v>3780</v>
      </c>
      <c r="L845">
        <f t="shared" si="109"/>
        <v>108</v>
      </c>
      <c r="M845" s="2">
        <f t="shared" si="110"/>
        <v>2.9411764705882353E-2</v>
      </c>
      <c r="N845">
        <f t="shared" si="111"/>
        <v>108</v>
      </c>
    </row>
    <row r="846" spans="1:14">
      <c r="A846" s="1" cm="1">
        <f t="array" ref="A846">INDEX(tblWeeks[Week_Start],INT((ROW()-2)/20)+1)</f>
        <v>46321</v>
      </c>
      <c r="B846" t="str" cm="1">
        <f t="array" ref="B846">INDEX(tblDemandAssumptions[Customer_ID],MOD(ROW()-2,20)+1)</f>
        <v>C001</v>
      </c>
      <c r="C846" t="str" cm="1">
        <f t="array" ref="C846">INDEX(tblDemandAssumptions[Product_ID],MOD(ROW()-2,20)+1)</f>
        <v>P005</v>
      </c>
      <c r="D846" cm="1">
        <f t="array" ref="D846">INDEX(tblDemandAssumptions[Baseline_Weekly_Qty],MOD(ROW()-2,20)+1)</f>
        <v>2800</v>
      </c>
      <c r="E846">
        <f t="shared" si="104"/>
        <v>1</v>
      </c>
      <c r="F846">
        <v>1.03</v>
      </c>
      <c r="G846">
        <f t="shared" si="105"/>
        <v>2884</v>
      </c>
      <c r="H846">
        <v>1.02</v>
      </c>
      <c r="I846">
        <f t="shared" si="106"/>
        <v>2856</v>
      </c>
      <c r="J846" t="str">
        <f t="shared" si="107"/>
        <v>Normal</v>
      </c>
      <c r="K846">
        <f t="shared" si="108"/>
        <v>2884</v>
      </c>
      <c r="L846">
        <f t="shared" si="109"/>
        <v>28</v>
      </c>
      <c r="M846" s="2">
        <f t="shared" si="110"/>
        <v>9.8039215686274508E-3</v>
      </c>
      <c r="N846">
        <f t="shared" si="111"/>
        <v>28</v>
      </c>
    </row>
    <row r="847" spans="1:14">
      <c r="A847" s="1" cm="1">
        <f t="array" ref="A847">INDEX(tblWeeks[Week_Start],INT((ROW()-2)/20)+1)</f>
        <v>46321</v>
      </c>
      <c r="B847" t="str" cm="1">
        <f t="array" ref="B847">INDEX(tblDemandAssumptions[Customer_ID],MOD(ROW()-2,20)+1)</f>
        <v>C002</v>
      </c>
      <c r="C847" t="str" cm="1">
        <f t="array" ref="C847">INDEX(tblDemandAssumptions[Product_ID],MOD(ROW()-2,20)+1)</f>
        <v>P001</v>
      </c>
      <c r="D847" cm="1">
        <f t="array" ref="D847">INDEX(tblDemandAssumptions[Baseline_Weekly_Qty],MOD(ROW()-2,20)+1)</f>
        <v>3400</v>
      </c>
      <c r="E847">
        <f t="shared" si="104"/>
        <v>1</v>
      </c>
      <c r="F847">
        <v>0.99</v>
      </c>
      <c r="G847">
        <f t="shared" si="105"/>
        <v>3366</v>
      </c>
      <c r="H847">
        <v>1</v>
      </c>
      <c r="I847">
        <f t="shared" si="106"/>
        <v>3400</v>
      </c>
      <c r="J847" t="str">
        <f t="shared" si="107"/>
        <v>Normal</v>
      </c>
      <c r="K847">
        <f t="shared" si="108"/>
        <v>3366</v>
      </c>
      <c r="L847">
        <f t="shared" si="109"/>
        <v>-34</v>
      </c>
      <c r="M847" s="2">
        <f t="shared" si="110"/>
        <v>-0.01</v>
      </c>
      <c r="N847">
        <f t="shared" si="111"/>
        <v>34</v>
      </c>
    </row>
    <row r="848" spans="1:14">
      <c r="A848" s="1" cm="1">
        <f t="array" ref="A848">INDEX(tblWeeks[Week_Start],INT((ROW()-2)/20)+1)</f>
        <v>46321</v>
      </c>
      <c r="B848" t="str" cm="1">
        <f t="array" ref="B848">INDEX(tblDemandAssumptions[Customer_ID],MOD(ROW()-2,20)+1)</f>
        <v>C002</v>
      </c>
      <c r="C848" t="str" cm="1">
        <f t="array" ref="C848">INDEX(tblDemandAssumptions[Product_ID],MOD(ROW()-2,20)+1)</f>
        <v>P002</v>
      </c>
      <c r="D848" cm="1">
        <f t="array" ref="D848">INDEX(tblDemandAssumptions[Baseline_Weekly_Qty],MOD(ROW()-2,20)+1)</f>
        <v>3200</v>
      </c>
      <c r="E848">
        <f t="shared" si="104"/>
        <v>1</v>
      </c>
      <c r="F848">
        <v>1.01</v>
      </c>
      <c r="G848">
        <f t="shared" si="105"/>
        <v>3232</v>
      </c>
      <c r="H848">
        <v>1</v>
      </c>
      <c r="I848">
        <f t="shared" si="106"/>
        <v>3200</v>
      </c>
      <c r="J848" t="str">
        <f t="shared" si="107"/>
        <v>Normal</v>
      </c>
      <c r="K848">
        <f t="shared" si="108"/>
        <v>3232</v>
      </c>
      <c r="L848">
        <f t="shared" si="109"/>
        <v>32</v>
      </c>
      <c r="M848" s="2">
        <f t="shared" si="110"/>
        <v>0.01</v>
      </c>
      <c r="N848">
        <f t="shared" si="111"/>
        <v>32</v>
      </c>
    </row>
    <row r="849" spans="1:14">
      <c r="A849" s="1" cm="1">
        <f t="array" ref="A849">INDEX(tblWeeks[Week_Start],INT((ROW()-2)/20)+1)</f>
        <v>46321</v>
      </c>
      <c r="B849" t="str" cm="1">
        <f t="array" ref="B849">INDEX(tblDemandAssumptions[Customer_ID],MOD(ROW()-2,20)+1)</f>
        <v>C002</v>
      </c>
      <c r="C849" t="str" cm="1">
        <f t="array" ref="C849">INDEX(tblDemandAssumptions[Product_ID],MOD(ROW()-2,20)+1)</f>
        <v>P003</v>
      </c>
      <c r="D849" cm="1">
        <f t="array" ref="D849">INDEX(tblDemandAssumptions[Baseline_Weekly_Qty],MOD(ROW()-2,20)+1)</f>
        <v>2600</v>
      </c>
      <c r="E849">
        <f t="shared" si="104"/>
        <v>1</v>
      </c>
      <c r="F849">
        <v>1</v>
      </c>
      <c r="G849">
        <f t="shared" si="105"/>
        <v>2600</v>
      </c>
      <c r="H849">
        <v>1</v>
      </c>
      <c r="I849">
        <f t="shared" si="106"/>
        <v>2600</v>
      </c>
      <c r="J849" t="str">
        <f t="shared" si="107"/>
        <v>Normal</v>
      </c>
      <c r="K849">
        <f t="shared" si="108"/>
        <v>2600</v>
      </c>
      <c r="L849">
        <f t="shared" si="109"/>
        <v>0</v>
      </c>
      <c r="M849" s="2">
        <f t="shared" si="110"/>
        <v>0</v>
      </c>
      <c r="N849">
        <f t="shared" si="111"/>
        <v>0</v>
      </c>
    </row>
    <row r="850" spans="1:14">
      <c r="A850" s="1" cm="1">
        <f t="array" ref="A850">INDEX(tblWeeks[Week_Start],INT((ROW()-2)/20)+1)</f>
        <v>46321</v>
      </c>
      <c r="B850" t="str" cm="1">
        <f t="array" ref="B850">INDEX(tblDemandAssumptions[Customer_ID],MOD(ROW()-2,20)+1)</f>
        <v>C002</v>
      </c>
      <c r="C850" t="str" cm="1">
        <f t="array" ref="C850">INDEX(tblDemandAssumptions[Product_ID],MOD(ROW()-2,20)+1)</f>
        <v>P004</v>
      </c>
      <c r="D850" cm="1">
        <f t="array" ref="D850">INDEX(tblDemandAssumptions[Baseline_Weekly_Qty],MOD(ROW()-2,20)+1)</f>
        <v>2900</v>
      </c>
      <c r="E850">
        <f t="shared" si="104"/>
        <v>1</v>
      </c>
      <c r="F850">
        <v>1.01</v>
      </c>
      <c r="G850">
        <f t="shared" si="105"/>
        <v>2929</v>
      </c>
      <c r="H850">
        <v>1.02</v>
      </c>
      <c r="I850">
        <f t="shared" si="106"/>
        <v>2958</v>
      </c>
      <c r="J850" t="str">
        <f t="shared" si="107"/>
        <v>Normal</v>
      </c>
      <c r="K850">
        <f t="shared" si="108"/>
        <v>2929</v>
      </c>
      <c r="L850">
        <f t="shared" si="109"/>
        <v>-29</v>
      </c>
      <c r="M850" s="2">
        <f t="shared" si="110"/>
        <v>-9.8039215686274508E-3</v>
      </c>
      <c r="N850">
        <f t="shared" si="111"/>
        <v>29</v>
      </c>
    </row>
    <row r="851" spans="1:14">
      <c r="A851" s="1" cm="1">
        <f t="array" ref="A851">INDEX(tblWeeks[Week_Start],INT((ROW()-2)/20)+1)</f>
        <v>46321</v>
      </c>
      <c r="B851" t="str" cm="1">
        <f t="array" ref="B851">INDEX(tblDemandAssumptions[Customer_ID],MOD(ROW()-2,20)+1)</f>
        <v>C002</v>
      </c>
      <c r="C851" t="str" cm="1">
        <f t="array" ref="C851">INDEX(tblDemandAssumptions[Product_ID],MOD(ROW()-2,20)+1)</f>
        <v>P005</v>
      </c>
      <c r="D851" cm="1">
        <f t="array" ref="D851">INDEX(tblDemandAssumptions[Baseline_Weekly_Qty],MOD(ROW()-2,20)+1)</f>
        <v>2200</v>
      </c>
      <c r="E851">
        <f t="shared" si="104"/>
        <v>1</v>
      </c>
      <c r="F851">
        <v>1.02</v>
      </c>
      <c r="G851">
        <f t="shared" si="105"/>
        <v>2244</v>
      </c>
      <c r="H851">
        <v>1.02</v>
      </c>
      <c r="I851">
        <f t="shared" si="106"/>
        <v>2244</v>
      </c>
      <c r="J851" t="str">
        <f t="shared" si="107"/>
        <v>Normal</v>
      </c>
      <c r="K851">
        <f t="shared" si="108"/>
        <v>2244</v>
      </c>
      <c r="L851">
        <f t="shared" si="109"/>
        <v>0</v>
      </c>
      <c r="M851" s="2">
        <f t="shared" si="110"/>
        <v>0</v>
      </c>
      <c r="N851">
        <f t="shared" si="111"/>
        <v>0</v>
      </c>
    </row>
    <row r="852" spans="1:14">
      <c r="A852" s="1" cm="1">
        <f t="array" ref="A852">INDEX(tblWeeks[Week_Start],INT((ROW()-2)/20)+1)</f>
        <v>46321</v>
      </c>
      <c r="B852" t="str" cm="1">
        <f t="array" ref="B852">INDEX(tblDemandAssumptions[Customer_ID],MOD(ROW()-2,20)+1)</f>
        <v>C003</v>
      </c>
      <c r="C852" t="str" cm="1">
        <f t="array" ref="C852">INDEX(tblDemandAssumptions[Product_ID],MOD(ROW()-2,20)+1)</f>
        <v>P001</v>
      </c>
      <c r="D852" cm="1">
        <f t="array" ref="D852">INDEX(tblDemandAssumptions[Baseline_Weekly_Qty],MOD(ROW()-2,20)+1)</f>
        <v>3000</v>
      </c>
      <c r="E852">
        <f t="shared" si="104"/>
        <v>1</v>
      </c>
      <c r="F852">
        <v>0.98</v>
      </c>
      <c r="G852">
        <f t="shared" si="105"/>
        <v>2940</v>
      </c>
      <c r="H852">
        <v>1.02</v>
      </c>
      <c r="I852">
        <f t="shared" si="106"/>
        <v>3060</v>
      </c>
      <c r="J852" t="str">
        <f t="shared" si="107"/>
        <v>Normal</v>
      </c>
      <c r="K852">
        <f t="shared" si="108"/>
        <v>2940</v>
      </c>
      <c r="L852">
        <f t="shared" si="109"/>
        <v>-120</v>
      </c>
      <c r="M852" s="2">
        <f t="shared" si="110"/>
        <v>-3.9215686274509803E-2</v>
      </c>
      <c r="N852">
        <f t="shared" si="111"/>
        <v>120</v>
      </c>
    </row>
    <row r="853" spans="1:14">
      <c r="A853" s="1" cm="1">
        <f t="array" ref="A853">INDEX(tblWeeks[Week_Start],INT((ROW()-2)/20)+1)</f>
        <v>46321</v>
      </c>
      <c r="B853" t="str" cm="1">
        <f t="array" ref="B853">INDEX(tblDemandAssumptions[Customer_ID],MOD(ROW()-2,20)+1)</f>
        <v>C003</v>
      </c>
      <c r="C853" t="str" cm="1">
        <f t="array" ref="C853">INDEX(tblDemandAssumptions[Product_ID],MOD(ROW()-2,20)+1)</f>
        <v>P002</v>
      </c>
      <c r="D853" cm="1">
        <f t="array" ref="D853">INDEX(tblDemandAssumptions[Baseline_Weekly_Qty],MOD(ROW()-2,20)+1)</f>
        <v>2700</v>
      </c>
      <c r="E853">
        <f t="shared" si="104"/>
        <v>1</v>
      </c>
      <c r="F853">
        <v>0.97</v>
      </c>
      <c r="G853">
        <f t="shared" si="105"/>
        <v>2619</v>
      </c>
      <c r="H853">
        <v>0.96</v>
      </c>
      <c r="I853">
        <f t="shared" si="106"/>
        <v>2592</v>
      </c>
      <c r="J853" t="str">
        <f t="shared" si="107"/>
        <v>Normal</v>
      </c>
      <c r="K853">
        <f t="shared" si="108"/>
        <v>2619</v>
      </c>
      <c r="L853">
        <f t="shared" si="109"/>
        <v>27</v>
      </c>
      <c r="M853" s="2">
        <f t="shared" si="110"/>
        <v>1.0416666666666666E-2</v>
      </c>
      <c r="N853">
        <f t="shared" si="111"/>
        <v>27</v>
      </c>
    </row>
    <row r="854" spans="1:14">
      <c r="A854" s="1" cm="1">
        <f t="array" ref="A854">INDEX(tblWeeks[Week_Start],INT((ROW()-2)/20)+1)</f>
        <v>46321</v>
      </c>
      <c r="B854" t="str" cm="1">
        <f t="array" ref="B854">INDEX(tblDemandAssumptions[Customer_ID],MOD(ROW()-2,20)+1)</f>
        <v>C003</v>
      </c>
      <c r="C854" t="str" cm="1">
        <f t="array" ref="C854">INDEX(tblDemandAssumptions[Product_ID],MOD(ROW()-2,20)+1)</f>
        <v>P003</v>
      </c>
      <c r="D854" cm="1">
        <f t="array" ref="D854">INDEX(tblDemandAssumptions[Baseline_Weekly_Qty],MOD(ROW()-2,20)+1)</f>
        <v>2800</v>
      </c>
      <c r="E854">
        <f t="shared" si="104"/>
        <v>1</v>
      </c>
      <c r="F854">
        <v>0.99</v>
      </c>
      <c r="G854">
        <f t="shared" si="105"/>
        <v>2772</v>
      </c>
      <c r="H854">
        <v>0.97</v>
      </c>
      <c r="I854">
        <f t="shared" si="106"/>
        <v>2716</v>
      </c>
      <c r="J854" t="str">
        <f t="shared" si="107"/>
        <v>Normal</v>
      </c>
      <c r="K854">
        <f t="shared" si="108"/>
        <v>2772</v>
      </c>
      <c r="L854">
        <f t="shared" si="109"/>
        <v>56</v>
      </c>
      <c r="M854" s="2">
        <f t="shared" si="110"/>
        <v>2.0618556701030927E-2</v>
      </c>
      <c r="N854">
        <f t="shared" si="111"/>
        <v>56</v>
      </c>
    </row>
    <row r="855" spans="1:14">
      <c r="A855" s="1" cm="1">
        <f t="array" ref="A855">INDEX(tblWeeks[Week_Start],INT((ROW()-2)/20)+1)</f>
        <v>46321</v>
      </c>
      <c r="B855" t="str" cm="1">
        <f t="array" ref="B855">INDEX(tblDemandAssumptions[Customer_ID],MOD(ROW()-2,20)+1)</f>
        <v>C003</v>
      </c>
      <c r="C855" t="str" cm="1">
        <f t="array" ref="C855">INDEX(tblDemandAssumptions[Product_ID],MOD(ROW()-2,20)+1)</f>
        <v>P004</v>
      </c>
      <c r="D855" cm="1">
        <f t="array" ref="D855">INDEX(tblDemandAssumptions[Baseline_Weekly_Qty],MOD(ROW()-2,20)+1)</f>
        <v>2400</v>
      </c>
      <c r="E855">
        <f t="shared" si="104"/>
        <v>1</v>
      </c>
      <c r="F855">
        <v>0.99</v>
      </c>
      <c r="G855">
        <f t="shared" si="105"/>
        <v>2376</v>
      </c>
      <c r="H855">
        <v>0.98</v>
      </c>
      <c r="I855">
        <f t="shared" si="106"/>
        <v>2352</v>
      </c>
      <c r="J855" t="str">
        <f t="shared" si="107"/>
        <v>Normal</v>
      </c>
      <c r="K855">
        <f t="shared" si="108"/>
        <v>2376</v>
      </c>
      <c r="L855">
        <f t="shared" si="109"/>
        <v>24</v>
      </c>
      <c r="M855" s="2">
        <f t="shared" si="110"/>
        <v>1.020408163265306E-2</v>
      </c>
      <c r="N855">
        <f t="shared" si="111"/>
        <v>24</v>
      </c>
    </row>
    <row r="856" spans="1:14">
      <c r="A856" s="1" cm="1">
        <f t="array" ref="A856">INDEX(tblWeeks[Week_Start],INT((ROW()-2)/20)+1)</f>
        <v>46321</v>
      </c>
      <c r="B856" t="str" cm="1">
        <f t="array" ref="B856">INDEX(tblDemandAssumptions[Customer_ID],MOD(ROW()-2,20)+1)</f>
        <v>C003</v>
      </c>
      <c r="C856" t="str" cm="1">
        <f t="array" ref="C856">INDEX(tblDemandAssumptions[Product_ID],MOD(ROW()-2,20)+1)</f>
        <v>P005</v>
      </c>
      <c r="D856" cm="1">
        <f t="array" ref="D856">INDEX(tblDemandAssumptions[Baseline_Weekly_Qty],MOD(ROW()-2,20)+1)</f>
        <v>1900</v>
      </c>
      <c r="E856">
        <f t="shared" si="104"/>
        <v>1</v>
      </c>
      <c r="F856">
        <v>0.98</v>
      </c>
      <c r="G856">
        <f t="shared" si="105"/>
        <v>1862</v>
      </c>
      <c r="H856">
        <v>0.96</v>
      </c>
      <c r="I856">
        <f t="shared" si="106"/>
        <v>1824</v>
      </c>
      <c r="J856" t="str">
        <f t="shared" si="107"/>
        <v>Normal</v>
      </c>
      <c r="K856">
        <f t="shared" si="108"/>
        <v>1862</v>
      </c>
      <c r="L856">
        <f t="shared" si="109"/>
        <v>38</v>
      </c>
      <c r="M856" s="2">
        <f t="shared" si="110"/>
        <v>2.0833333333333332E-2</v>
      </c>
      <c r="N856">
        <f t="shared" si="111"/>
        <v>38</v>
      </c>
    </row>
    <row r="857" spans="1:14">
      <c r="A857" s="1" cm="1">
        <f t="array" ref="A857">INDEX(tblWeeks[Week_Start],INT((ROW()-2)/20)+1)</f>
        <v>46321</v>
      </c>
      <c r="B857" t="str" cm="1">
        <f t="array" ref="B857">INDEX(tblDemandAssumptions[Customer_ID],MOD(ROW()-2,20)+1)</f>
        <v>C004</v>
      </c>
      <c r="C857" t="str" cm="1">
        <f t="array" ref="C857">INDEX(tblDemandAssumptions[Product_ID],MOD(ROW()-2,20)+1)</f>
        <v>P001</v>
      </c>
      <c r="D857" cm="1">
        <f t="array" ref="D857">INDEX(tblDemandAssumptions[Baseline_Weekly_Qty],MOD(ROW()-2,20)+1)</f>
        <v>2700</v>
      </c>
      <c r="E857">
        <f t="shared" si="104"/>
        <v>1</v>
      </c>
      <c r="F857">
        <v>1</v>
      </c>
      <c r="G857">
        <f t="shared" si="105"/>
        <v>2700</v>
      </c>
      <c r="H857">
        <v>1</v>
      </c>
      <c r="I857">
        <f t="shared" si="106"/>
        <v>2700</v>
      </c>
      <c r="J857" t="str">
        <f t="shared" si="107"/>
        <v>Normal</v>
      </c>
      <c r="K857">
        <f t="shared" si="108"/>
        <v>2700</v>
      </c>
      <c r="L857">
        <f t="shared" si="109"/>
        <v>0</v>
      </c>
      <c r="M857" s="2">
        <f t="shared" si="110"/>
        <v>0</v>
      </c>
      <c r="N857">
        <f t="shared" si="111"/>
        <v>0</v>
      </c>
    </row>
    <row r="858" spans="1:14">
      <c r="A858" s="1" cm="1">
        <f t="array" ref="A858">INDEX(tblWeeks[Week_Start],INT((ROW()-2)/20)+1)</f>
        <v>46321</v>
      </c>
      <c r="B858" t="str" cm="1">
        <f t="array" ref="B858">INDEX(tblDemandAssumptions[Customer_ID],MOD(ROW()-2,20)+1)</f>
        <v>C004</v>
      </c>
      <c r="C858" t="str" cm="1">
        <f t="array" ref="C858">INDEX(tblDemandAssumptions[Product_ID],MOD(ROW()-2,20)+1)</f>
        <v>P002</v>
      </c>
      <c r="D858" cm="1">
        <f t="array" ref="D858">INDEX(tblDemandAssumptions[Baseline_Weekly_Qty],MOD(ROW()-2,20)+1)</f>
        <v>2400</v>
      </c>
      <c r="E858">
        <f t="shared" si="104"/>
        <v>1</v>
      </c>
      <c r="F858">
        <v>1.02</v>
      </c>
      <c r="G858">
        <f t="shared" si="105"/>
        <v>2448</v>
      </c>
      <c r="H858">
        <v>1.03</v>
      </c>
      <c r="I858">
        <f t="shared" si="106"/>
        <v>2472</v>
      </c>
      <c r="J858" t="str">
        <f t="shared" si="107"/>
        <v>Normal</v>
      </c>
      <c r="K858">
        <f t="shared" si="108"/>
        <v>2448</v>
      </c>
      <c r="L858">
        <f t="shared" si="109"/>
        <v>-24</v>
      </c>
      <c r="M858" s="2">
        <f t="shared" si="110"/>
        <v>-9.7087378640776691E-3</v>
      </c>
      <c r="N858">
        <f t="shared" si="111"/>
        <v>24</v>
      </c>
    </row>
    <row r="859" spans="1:14">
      <c r="A859" s="1" cm="1">
        <f t="array" ref="A859">INDEX(tblWeeks[Week_Start],INT((ROW()-2)/20)+1)</f>
        <v>46321</v>
      </c>
      <c r="B859" t="str" cm="1">
        <f t="array" ref="B859">INDEX(tblDemandAssumptions[Customer_ID],MOD(ROW()-2,20)+1)</f>
        <v>C004</v>
      </c>
      <c r="C859" t="str" cm="1">
        <f t="array" ref="C859">INDEX(tblDemandAssumptions[Product_ID],MOD(ROW()-2,20)+1)</f>
        <v>P003</v>
      </c>
      <c r="D859" cm="1">
        <f t="array" ref="D859">INDEX(tblDemandAssumptions[Baseline_Weekly_Qty],MOD(ROW()-2,20)+1)</f>
        <v>2100</v>
      </c>
      <c r="E859">
        <f t="shared" si="104"/>
        <v>1</v>
      </c>
      <c r="F859">
        <v>1</v>
      </c>
      <c r="G859">
        <f t="shared" si="105"/>
        <v>2100</v>
      </c>
      <c r="H859">
        <v>0.96</v>
      </c>
      <c r="I859">
        <f t="shared" si="106"/>
        <v>2016</v>
      </c>
      <c r="J859" t="str">
        <f t="shared" si="107"/>
        <v>Normal</v>
      </c>
      <c r="K859">
        <f t="shared" si="108"/>
        <v>2100</v>
      </c>
      <c r="L859">
        <f t="shared" si="109"/>
        <v>84</v>
      </c>
      <c r="M859" s="2">
        <f t="shared" si="110"/>
        <v>4.1666666666666664E-2</v>
      </c>
      <c r="N859">
        <f t="shared" si="111"/>
        <v>84</v>
      </c>
    </row>
    <row r="860" spans="1:14">
      <c r="A860" s="1" cm="1">
        <f t="array" ref="A860">INDEX(tblWeeks[Week_Start],INT((ROW()-2)/20)+1)</f>
        <v>46321</v>
      </c>
      <c r="B860" t="str" cm="1">
        <f t="array" ref="B860">INDEX(tblDemandAssumptions[Customer_ID],MOD(ROW()-2,20)+1)</f>
        <v>C004</v>
      </c>
      <c r="C860" t="str" cm="1">
        <f t="array" ref="C860">INDEX(tblDemandAssumptions[Product_ID],MOD(ROW()-2,20)+1)</f>
        <v>P004</v>
      </c>
      <c r="D860" cm="1">
        <f t="array" ref="D860">INDEX(tblDemandAssumptions[Baseline_Weekly_Qty],MOD(ROW()-2,20)+1)</f>
        <v>2600</v>
      </c>
      <c r="E860">
        <f t="shared" si="104"/>
        <v>1</v>
      </c>
      <c r="F860">
        <v>0.95</v>
      </c>
      <c r="G860">
        <f t="shared" si="105"/>
        <v>2470</v>
      </c>
      <c r="H860">
        <v>0.99</v>
      </c>
      <c r="I860">
        <f t="shared" si="106"/>
        <v>2574</v>
      </c>
      <c r="J860" t="str">
        <f t="shared" si="107"/>
        <v>Normal</v>
      </c>
      <c r="K860">
        <f t="shared" si="108"/>
        <v>2470</v>
      </c>
      <c r="L860">
        <f t="shared" si="109"/>
        <v>-104</v>
      </c>
      <c r="M860" s="2">
        <f t="shared" si="110"/>
        <v>-4.0404040404040407E-2</v>
      </c>
      <c r="N860">
        <f t="shared" si="111"/>
        <v>104</v>
      </c>
    </row>
    <row r="861" spans="1:14">
      <c r="A861" s="1" cm="1">
        <f t="array" ref="A861">INDEX(tblWeeks[Week_Start],INT((ROW()-2)/20)+1)</f>
        <v>46321</v>
      </c>
      <c r="B861" t="str" cm="1">
        <f t="array" ref="B861">INDEX(tblDemandAssumptions[Customer_ID],MOD(ROW()-2,20)+1)</f>
        <v>C004</v>
      </c>
      <c r="C861" t="str" cm="1">
        <f t="array" ref="C861">INDEX(tblDemandAssumptions[Product_ID],MOD(ROW()-2,20)+1)</f>
        <v>P005</v>
      </c>
      <c r="D861" cm="1">
        <f t="array" ref="D861">INDEX(tblDemandAssumptions[Baseline_Weekly_Qty],MOD(ROW()-2,20)+1)</f>
        <v>1800</v>
      </c>
      <c r="E861">
        <f t="shared" si="104"/>
        <v>1</v>
      </c>
      <c r="F861">
        <v>0.95</v>
      </c>
      <c r="G861">
        <f t="shared" si="105"/>
        <v>1710</v>
      </c>
      <c r="H861">
        <v>1.03</v>
      </c>
      <c r="I861">
        <f t="shared" si="106"/>
        <v>1854</v>
      </c>
      <c r="J861" t="str">
        <f t="shared" si="107"/>
        <v>Normal</v>
      </c>
      <c r="K861">
        <f t="shared" si="108"/>
        <v>1710</v>
      </c>
      <c r="L861">
        <f t="shared" si="109"/>
        <v>-144</v>
      </c>
      <c r="M861" s="2">
        <f t="shared" si="110"/>
        <v>-7.7669902912621352E-2</v>
      </c>
      <c r="N861">
        <f t="shared" si="111"/>
        <v>144</v>
      </c>
    </row>
    <row r="862" spans="1:14">
      <c r="A862" s="1" cm="1">
        <f t="array" ref="A862">INDEX(tblWeeks[Week_Start],INT((ROW()-2)/20)+1)</f>
        <v>46328</v>
      </c>
      <c r="B862" t="str" cm="1">
        <f t="array" ref="B862">INDEX(tblDemandAssumptions[Customer_ID],MOD(ROW()-2,20)+1)</f>
        <v>C001</v>
      </c>
      <c r="C862" t="str" cm="1">
        <f t="array" ref="C862">INDEX(tblDemandAssumptions[Product_ID],MOD(ROW()-2,20)+1)</f>
        <v>P001</v>
      </c>
      <c r="D862" cm="1">
        <f t="array" ref="D862">INDEX(tblDemandAssumptions[Baseline_Weekly_Qty],MOD(ROW()-2,20)+1)</f>
        <v>5200</v>
      </c>
      <c r="E862">
        <f t="shared" si="104"/>
        <v>1.05</v>
      </c>
      <c r="F862">
        <v>1.05</v>
      </c>
      <c r="G862">
        <f t="shared" si="105"/>
        <v>5733</v>
      </c>
      <c r="H862">
        <v>1.04</v>
      </c>
      <c r="I862">
        <f t="shared" si="106"/>
        <v>5678</v>
      </c>
      <c r="J862" t="str">
        <f t="shared" si="107"/>
        <v>Normal</v>
      </c>
      <c r="K862">
        <f t="shared" si="108"/>
        <v>5733</v>
      </c>
      <c r="L862">
        <f t="shared" si="109"/>
        <v>55</v>
      </c>
      <c r="M862" s="2">
        <f t="shared" si="110"/>
        <v>9.6865093342726315E-3</v>
      </c>
      <c r="N862">
        <f t="shared" si="111"/>
        <v>55</v>
      </c>
    </row>
    <row r="863" spans="1:14">
      <c r="A863" s="1" cm="1">
        <f t="array" ref="A863">INDEX(tblWeeks[Week_Start],INT((ROW()-2)/20)+1)</f>
        <v>46328</v>
      </c>
      <c r="B863" t="str" cm="1">
        <f t="array" ref="B863">INDEX(tblDemandAssumptions[Customer_ID],MOD(ROW()-2,20)+1)</f>
        <v>C001</v>
      </c>
      <c r="C863" t="str" cm="1">
        <f t="array" ref="C863">INDEX(tblDemandAssumptions[Product_ID],MOD(ROW()-2,20)+1)</f>
        <v>P002</v>
      </c>
      <c r="D863" cm="1">
        <f t="array" ref="D863">INDEX(tblDemandAssumptions[Baseline_Weekly_Qty],MOD(ROW()-2,20)+1)</f>
        <v>4100</v>
      </c>
      <c r="E863">
        <f t="shared" si="104"/>
        <v>1.05</v>
      </c>
      <c r="F863">
        <v>0.96</v>
      </c>
      <c r="G863">
        <f t="shared" si="105"/>
        <v>4133</v>
      </c>
      <c r="H863">
        <v>1.03</v>
      </c>
      <c r="I863">
        <f t="shared" si="106"/>
        <v>4434</v>
      </c>
      <c r="J863" t="str">
        <f t="shared" si="107"/>
        <v>Normal</v>
      </c>
      <c r="K863">
        <f t="shared" si="108"/>
        <v>4133</v>
      </c>
      <c r="L863">
        <f t="shared" si="109"/>
        <v>-301</v>
      </c>
      <c r="M863" s="2">
        <f t="shared" si="110"/>
        <v>-6.7884528642309427E-2</v>
      </c>
      <c r="N863">
        <f t="shared" si="111"/>
        <v>301</v>
      </c>
    </row>
    <row r="864" spans="1:14">
      <c r="A864" s="1" cm="1">
        <f t="array" ref="A864">INDEX(tblWeeks[Week_Start],INT((ROW()-2)/20)+1)</f>
        <v>46328</v>
      </c>
      <c r="B864" t="str" cm="1">
        <f t="array" ref="B864">INDEX(tblDemandAssumptions[Customer_ID],MOD(ROW()-2,20)+1)</f>
        <v>C001</v>
      </c>
      <c r="C864" t="str" cm="1">
        <f t="array" ref="C864">INDEX(tblDemandAssumptions[Product_ID],MOD(ROW()-2,20)+1)</f>
        <v>P003</v>
      </c>
      <c r="D864" cm="1">
        <f t="array" ref="D864">INDEX(tblDemandAssumptions[Baseline_Weekly_Qty],MOD(ROW()-2,20)+1)</f>
        <v>3300</v>
      </c>
      <c r="E864">
        <f t="shared" si="104"/>
        <v>1.05</v>
      </c>
      <c r="F864">
        <v>0.97</v>
      </c>
      <c r="G864">
        <f t="shared" si="105"/>
        <v>3361</v>
      </c>
      <c r="H864">
        <v>1.03</v>
      </c>
      <c r="I864">
        <f t="shared" si="106"/>
        <v>3569</v>
      </c>
      <c r="J864" t="str">
        <f t="shared" si="107"/>
        <v>Normal</v>
      </c>
      <c r="K864">
        <f t="shared" si="108"/>
        <v>3361</v>
      </c>
      <c r="L864">
        <f t="shared" si="109"/>
        <v>-208</v>
      </c>
      <c r="M864" s="2">
        <f t="shared" si="110"/>
        <v>-5.8279630148500981E-2</v>
      </c>
      <c r="N864">
        <f t="shared" si="111"/>
        <v>208</v>
      </c>
    </row>
    <row r="865" spans="1:14">
      <c r="A865" s="1" cm="1">
        <f t="array" ref="A865">INDEX(tblWeeks[Week_Start],INT((ROW()-2)/20)+1)</f>
        <v>46328</v>
      </c>
      <c r="B865" t="str" cm="1">
        <f t="array" ref="B865">INDEX(tblDemandAssumptions[Customer_ID],MOD(ROW()-2,20)+1)</f>
        <v>C001</v>
      </c>
      <c r="C865" t="str" cm="1">
        <f t="array" ref="C865">INDEX(tblDemandAssumptions[Product_ID],MOD(ROW()-2,20)+1)</f>
        <v>P004</v>
      </c>
      <c r="D865" cm="1">
        <f t="array" ref="D865">INDEX(tblDemandAssumptions[Baseline_Weekly_Qty],MOD(ROW()-2,20)+1)</f>
        <v>3600</v>
      </c>
      <c r="E865">
        <f t="shared" si="104"/>
        <v>1.05</v>
      </c>
      <c r="F865">
        <v>0.99</v>
      </c>
      <c r="G865">
        <f t="shared" si="105"/>
        <v>3742</v>
      </c>
      <c r="H865">
        <v>0.99</v>
      </c>
      <c r="I865">
        <f t="shared" si="106"/>
        <v>3742</v>
      </c>
      <c r="J865" t="str">
        <f t="shared" si="107"/>
        <v>Normal</v>
      </c>
      <c r="K865">
        <f t="shared" si="108"/>
        <v>3742</v>
      </c>
      <c r="L865">
        <f t="shared" si="109"/>
        <v>0</v>
      </c>
      <c r="M865" s="2">
        <f t="shared" si="110"/>
        <v>0</v>
      </c>
      <c r="N865">
        <f t="shared" si="111"/>
        <v>0</v>
      </c>
    </row>
    <row r="866" spans="1:14">
      <c r="A866" s="1" cm="1">
        <f t="array" ref="A866">INDEX(tblWeeks[Week_Start],INT((ROW()-2)/20)+1)</f>
        <v>46328</v>
      </c>
      <c r="B866" t="str" cm="1">
        <f t="array" ref="B866">INDEX(tblDemandAssumptions[Customer_ID],MOD(ROW()-2,20)+1)</f>
        <v>C001</v>
      </c>
      <c r="C866" t="str" cm="1">
        <f t="array" ref="C866">INDEX(tblDemandAssumptions[Product_ID],MOD(ROW()-2,20)+1)</f>
        <v>P005</v>
      </c>
      <c r="D866" cm="1">
        <f t="array" ref="D866">INDEX(tblDemandAssumptions[Baseline_Weekly_Qty],MOD(ROW()-2,20)+1)</f>
        <v>2800</v>
      </c>
      <c r="E866">
        <f t="shared" si="104"/>
        <v>1.05</v>
      </c>
      <c r="F866">
        <v>1</v>
      </c>
      <c r="G866">
        <f t="shared" si="105"/>
        <v>2940</v>
      </c>
      <c r="H866">
        <v>1.02</v>
      </c>
      <c r="I866">
        <f t="shared" si="106"/>
        <v>2999</v>
      </c>
      <c r="J866" t="str">
        <f t="shared" si="107"/>
        <v>Normal</v>
      </c>
      <c r="K866">
        <f t="shared" si="108"/>
        <v>2940</v>
      </c>
      <c r="L866">
        <f t="shared" si="109"/>
        <v>-59</v>
      </c>
      <c r="M866" s="2">
        <f t="shared" si="110"/>
        <v>-1.9673224408136045E-2</v>
      </c>
      <c r="N866">
        <f t="shared" si="111"/>
        <v>59</v>
      </c>
    </row>
    <row r="867" spans="1:14">
      <c r="A867" s="1" cm="1">
        <f t="array" ref="A867">INDEX(tblWeeks[Week_Start],INT((ROW()-2)/20)+1)</f>
        <v>46328</v>
      </c>
      <c r="B867" t="str" cm="1">
        <f t="array" ref="B867">INDEX(tblDemandAssumptions[Customer_ID],MOD(ROW()-2,20)+1)</f>
        <v>C002</v>
      </c>
      <c r="C867" t="str" cm="1">
        <f t="array" ref="C867">INDEX(tblDemandAssumptions[Product_ID],MOD(ROW()-2,20)+1)</f>
        <v>P001</v>
      </c>
      <c r="D867" cm="1">
        <f t="array" ref="D867">INDEX(tblDemandAssumptions[Baseline_Weekly_Qty],MOD(ROW()-2,20)+1)</f>
        <v>3400</v>
      </c>
      <c r="E867">
        <f t="shared" si="104"/>
        <v>1.05</v>
      </c>
      <c r="F867">
        <v>0.98</v>
      </c>
      <c r="G867">
        <f t="shared" si="105"/>
        <v>3499</v>
      </c>
      <c r="H867">
        <v>0.99</v>
      </c>
      <c r="I867">
        <f t="shared" si="106"/>
        <v>3534</v>
      </c>
      <c r="J867" t="str">
        <f t="shared" si="107"/>
        <v>Normal</v>
      </c>
      <c r="K867">
        <f t="shared" si="108"/>
        <v>3499</v>
      </c>
      <c r="L867">
        <f t="shared" si="109"/>
        <v>-35</v>
      </c>
      <c r="M867" s="2">
        <f t="shared" si="110"/>
        <v>-9.903791737408036E-3</v>
      </c>
      <c r="N867">
        <f t="shared" si="111"/>
        <v>35</v>
      </c>
    </row>
    <row r="868" spans="1:14">
      <c r="A868" s="1" cm="1">
        <f t="array" ref="A868">INDEX(tblWeeks[Week_Start],INT((ROW()-2)/20)+1)</f>
        <v>46328</v>
      </c>
      <c r="B868" t="str" cm="1">
        <f t="array" ref="B868">INDEX(tblDemandAssumptions[Customer_ID],MOD(ROW()-2,20)+1)</f>
        <v>C002</v>
      </c>
      <c r="C868" t="str" cm="1">
        <f t="array" ref="C868">INDEX(tblDemandAssumptions[Product_ID],MOD(ROW()-2,20)+1)</f>
        <v>P002</v>
      </c>
      <c r="D868" cm="1">
        <f t="array" ref="D868">INDEX(tblDemandAssumptions[Baseline_Weekly_Qty],MOD(ROW()-2,20)+1)</f>
        <v>3200</v>
      </c>
      <c r="E868">
        <f t="shared" si="104"/>
        <v>1.05</v>
      </c>
      <c r="F868">
        <v>1.04</v>
      </c>
      <c r="G868">
        <f t="shared" si="105"/>
        <v>3494</v>
      </c>
      <c r="H868">
        <v>0.96</v>
      </c>
      <c r="I868">
        <f t="shared" si="106"/>
        <v>3226</v>
      </c>
      <c r="J868" t="str">
        <f t="shared" si="107"/>
        <v>Normal</v>
      </c>
      <c r="K868">
        <f t="shared" si="108"/>
        <v>3494</v>
      </c>
      <c r="L868">
        <f t="shared" si="109"/>
        <v>268</v>
      </c>
      <c r="M868" s="2">
        <f t="shared" si="110"/>
        <v>8.3075015499070051E-2</v>
      </c>
      <c r="N868">
        <f t="shared" si="111"/>
        <v>268</v>
      </c>
    </row>
    <row r="869" spans="1:14">
      <c r="A869" s="1" cm="1">
        <f t="array" ref="A869">INDEX(tblWeeks[Week_Start],INT((ROW()-2)/20)+1)</f>
        <v>46328</v>
      </c>
      <c r="B869" t="str" cm="1">
        <f t="array" ref="B869">INDEX(tblDemandAssumptions[Customer_ID],MOD(ROW()-2,20)+1)</f>
        <v>C002</v>
      </c>
      <c r="C869" t="str" cm="1">
        <f t="array" ref="C869">INDEX(tblDemandAssumptions[Product_ID],MOD(ROW()-2,20)+1)</f>
        <v>P003</v>
      </c>
      <c r="D869" cm="1">
        <f t="array" ref="D869">INDEX(tblDemandAssumptions[Baseline_Weekly_Qty],MOD(ROW()-2,20)+1)</f>
        <v>2600</v>
      </c>
      <c r="E869">
        <f t="shared" si="104"/>
        <v>1.05</v>
      </c>
      <c r="F869">
        <v>1.01</v>
      </c>
      <c r="G869">
        <f t="shared" si="105"/>
        <v>2757</v>
      </c>
      <c r="H869">
        <v>1.04</v>
      </c>
      <c r="I869">
        <f t="shared" si="106"/>
        <v>2839</v>
      </c>
      <c r="J869" t="str">
        <f t="shared" si="107"/>
        <v>Normal</v>
      </c>
      <c r="K869">
        <f t="shared" si="108"/>
        <v>2757</v>
      </c>
      <c r="L869">
        <f t="shared" si="109"/>
        <v>-82</v>
      </c>
      <c r="M869" s="2">
        <f t="shared" si="110"/>
        <v>-2.8883409651285663E-2</v>
      </c>
      <c r="N869">
        <f t="shared" si="111"/>
        <v>82</v>
      </c>
    </row>
    <row r="870" spans="1:14">
      <c r="A870" s="1" cm="1">
        <f t="array" ref="A870">INDEX(tblWeeks[Week_Start],INT((ROW()-2)/20)+1)</f>
        <v>46328</v>
      </c>
      <c r="B870" t="str" cm="1">
        <f t="array" ref="B870">INDEX(tblDemandAssumptions[Customer_ID],MOD(ROW()-2,20)+1)</f>
        <v>C002</v>
      </c>
      <c r="C870" t="str" cm="1">
        <f t="array" ref="C870">INDEX(tblDemandAssumptions[Product_ID],MOD(ROW()-2,20)+1)</f>
        <v>P004</v>
      </c>
      <c r="D870" cm="1">
        <f t="array" ref="D870">INDEX(tblDemandAssumptions[Baseline_Weekly_Qty],MOD(ROW()-2,20)+1)</f>
        <v>2900</v>
      </c>
      <c r="E870">
        <f t="shared" si="104"/>
        <v>1.05</v>
      </c>
      <c r="F870">
        <v>1</v>
      </c>
      <c r="G870">
        <f t="shared" si="105"/>
        <v>3045</v>
      </c>
      <c r="H870">
        <v>1.03</v>
      </c>
      <c r="I870">
        <f t="shared" si="106"/>
        <v>3136</v>
      </c>
      <c r="J870" t="str">
        <f t="shared" si="107"/>
        <v>Normal</v>
      </c>
      <c r="K870">
        <f t="shared" si="108"/>
        <v>3045</v>
      </c>
      <c r="L870">
        <f t="shared" si="109"/>
        <v>-91</v>
      </c>
      <c r="M870" s="2">
        <f t="shared" si="110"/>
        <v>-2.9017857142857144E-2</v>
      </c>
      <c r="N870">
        <f t="shared" si="111"/>
        <v>91</v>
      </c>
    </row>
    <row r="871" spans="1:14">
      <c r="A871" s="1" cm="1">
        <f t="array" ref="A871">INDEX(tblWeeks[Week_Start],INT((ROW()-2)/20)+1)</f>
        <v>46328</v>
      </c>
      <c r="B871" t="str" cm="1">
        <f t="array" ref="B871">INDEX(tblDemandAssumptions[Customer_ID],MOD(ROW()-2,20)+1)</f>
        <v>C002</v>
      </c>
      <c r="C871" t="str" cm="1">
        <f t="array" ref="C871">INDEX(tblDemandAssumptions[Product_ID],MOD(ROW()-2,20)+1)</f>
        <v>P005</v>
      </c>
      <c r="D871" cm="1">
        <f t="array" ref="D871">INDEX(tblDemandAssumptions[Baseline_Weekly_Qty],MOD(ROW()-2,20)+1)</f>
        <v>2200</v>
      </c>
      <c r="E871">
        <f t="shared" si="104"/>
        <v>1.05</v>
      </c>
      <c r="F871">
        <v>1.03</v>
      </c>
      <c r="G871">
        <f t="shared" si="105"/>
        <v>2379</v>
      </c>
      <c r="H871">
        <v>1.04</v>
      </c>
      <c r="I871">
        <f t="shared" si="106"/>
        <v>2402</v>
      </c>
      <c r="J871" t="str">
        <f t="shared" si="107"/>
        <v>Normal</v>
      </c>
      <c r="K871">
        <f t="shared" si="108"/>
        <v>2379</v>
      </c>
      <c r="L871">
        <f t="shared" si="109"/>
        <v>-23</v>
      </c>
      <c r="M871" s="2">
        <f t="shared" si="110"/>
        <v>-9.5753538717735214E-3</v>
      </c>
      <c r="N871">
        <f t="shared" si="111"/>
        <v>23</v>
      </c>
    </row>
    <row r="872" spans="1:14">
      <c r="A872" s="1" cm="1">
        <f t="array" ref="A872">INDEX(tblWeeks[Week_Start],INT((ROW()-2)/20)+1)</f>
        <v>46328</v>
      </c>
      <c r="B872" t="str" cm="1">
        <f t="array" ref="B872">INDEX(tblDemandAssumptions[Customer_ID],MOD(ROW()-2,20)+1)</f>
        <v>C003</v>
      </c>
      <c r="C872" t="str" cm="1">
        <f t="array" ref="C872">INDEX(tblDemandAssumptions[Product_ID],MOD(ROW()-2,20)+1)</f>
        <v>P001</v>
      </c>
      <c r="D872" cm="1">
        <f t="array" ref="D872">INDEX(tblDemandAssumptions[Baseline_Weekly_Qty],MOD(ROW()-2,20)+1)</f>
        <v>3000</v>
      </c>
      <c r="E872">
        <f t="shared" si="104"/>
        <v>1.05</v>
      </c>
      <c r="F872">
        <v>1</v>
      </c>
      <c r="G872">
        <f t="shared" si="105"/>
        <v>3150</v>
      </c>
      <c r="H872">
        <v>0.99</v>
      </c>
      <c r="I872">
        <f t="shared" si="106"/>
        <v>3119</v>
      </c>
      <c r="J872" t="str">
        <f t="shared" si="107"/>
        <v>Normal</v>
      </c>
      <c r="K872">
        <f t="shared" si="108"/>
        <v>3150</v>
      </c>
      <c r="L872">
        <f t="shared" si="109"/>
        <v>31</v>
      </c>
      <c r="M872" s="2">
        <f t="shared" si="110"/>
        <v>9.9390830394357164E-3</v>
      </c>
      <c r="N872">
        <f t="shared" si="111"/>
        <v>31</v>
      </c>
    </row>
    <row r="873" spans="1:14">
      <c r="A873" s="1" cm="1">
        <f t="array" ref="A873">INDEX(tblWeeks[Week_Start],INT((ROW()-2)/20)+1)</f>
        <v>46328</v>
      </c>
      <c r="B873" t="str" cm="1">
        <f t="array" ref="B873">INDEX(tblDemandAssumptions[Customer_ID],MOD(ROW()-2,20)+1)</f>
        <v>C003</v>
      </c>
      <c r="C873" t="str" cm="1">
        <f t="array" ref="C873">INDEX(tblDemandAssumptions[Product_ID],MOD(ROW()-2,20)+1)</f>
        <v>P002</v>
      </c>
      <c r="D873" cm="1">
        <f t="array" ref="D873">INDEX(tblDemandAssumptions[Baseline_Weekly_Qty],MOD(ROW()-2,20)+1)</f>
        <v>2700</v>
      </c>
      <c r="E873">
        <f t="shared" si="104"/>
        <v>1.05</v>
      </c>
      <c r="F873">
        <v>0.95</v>
      </c>
      <c r="G873">
        <f t="shared" si="105"/>
        <v>2693</v>
      </c>
      <c r="H873">
        <v>0.99</v>
      </c>
      <c r="I873">
        <f t="shared" si="106"/>
        <v>2807</v>
      </c>
      <c r="J873" t="str">
        <f t="shared" si="107"/>
        <v>Normal</v>
      </c>
      <c r="K873">
        <f t="shared" si="108"/>
        <v>2693</v>
      </c>
      <c r="L873">
        <f t="shared" si="109"/>
        <v>-114</v>
      </c>
      <c r="M873" s="2">
        <f t="shared" si="110"/>
        <v>-4.0612753829711433E-2</v>
      </c>
      <c r="N873">
        <f t="shared" si="111"/>
        <v>114</v>
      </c>
    </row>
    <row r="874" spans="1:14">
      <c r="A874" s="1" cm="1">
        <f t="array" ref="A874">INDEX(tblWeeks[Week_Start],INT((ROW()-2)/20)+1)</f>
        <v>46328</v>
      </c>
      <c r="B874" t="str" cm="1">
        <f t="array" ref="B874">INDEX(tblDemandAssumptions[Customer_ID],MOD(ROW()-2,20)+1)</f>
        <v>C003</v>
      </c>
      <c r="C874" t="str" cm="1">
        <f t="array" ref="C874">INDEX(tblDemandAssumptions[Product_ID],MOD(ROW()-2,20)+1)</f>
        <v>P003</v>
      </c>
      <c r="D874" cm="1">
        <f t="array" ref="D874">INDEX(tblDemandAssumptions[Baseline_Weekly_Qty],MOD(ROW()-2,20)+1)</f>
        <v>2800</v>
      </c>
      <c r="E874">
        <f t="shared" si="104"/>
        <v>1.05</v>
      </c>
      <c r="F874">
        <v>1.02</v>
      </c>
      <c r="G874">
        <f t="shared" si="105"/>
        <v>2999</v>
      </c>
      <c r="H874">
        <v>1.03</v>
      </c>
      <c r="I874">
        <f t="shared" si="106"/>
        <v>3028</v>
      </c>
      <c r="J874" t="str">
        <f t="shared" si="107"/>
        <v>Normal</v>
      </c>
      <c r="K874">
        <f t="shared" si="108"/>
        <v>2999</v>
      </c>
      <c r="L874">
        <f t="shared" si="109"/>
        <v>-29</v>
      </c>
      <c r="M874" s="2">
        <f t="shared" si="110"/>
        <v>-9.5772787318361956E-3</v>
      </c>
      <c r="N874">
        <f t="shared" si="111"/>
        <v>29</v>
      </c>
    </row>
    <row r="875" spans="1:14">
      <c r="A875" s="1" cm="1">
        <f t="array" ref="A875">INDEX(tblWeeks[Week_Start],INT((ROW()-2)/20)+1)</f>
        <v>46328</v>
      </c>
      <c r="B875" t="str" cm="1">
        <f t="array" ref="B875">INDEX(tblDemandAssumptions[Customer_ID],MOD(ROW()-2,20)+1)</f>
        <v>C003</v>
      </c>
      <c r="C875" t="str" cm="1">
        <f t="array" ref="C875">INDEX(tblDemandAssumptions[Product_ID],MOD(ROW()-2,20)+1)</f>
        <v>P004</v>
      </c>
      <c r="D875" cm="1">
        <f t="array" ref="D875">INDEX(tblDemandAssumptions[Baseline_Weekly_Qty],MOD(ROW()-2,20)+1)</f>
        <v>2400</v>
      </c>
      <c r="E875">
        <f t="shared" si="104"/>
        <v>1.05</v>
      </c>
      <c r="F875">
        <v>1.04</v>
      </c>
      <c r="G875">
        <f t="shared" si="105"/>
        <v>2621</v>
      </c>
      <c r="H875">
        <v>1.02</v>
      </c>
      <c r="I875">
        <f t="shared" si="106"/>
        <v>2570</v>
      </c>
      <c r="J875" t="str">
        <f t="shared" si="107"/>
        <v>Normal</v>
      </c>
      <c r="K875">
        <f t="shared" si="108"/>
        <v>2621</v>
      </c>
      <c r="L875">
        <f t="shared" si="109"/>
        <v>51</v>
      </c>
      <c r="M875" s="2">
        <f t="shared" si="110"/>
        <v>1.9844357976653695E-2</v>
      </c>
      <c r="N875">
        <f t="shared" si="111"/>
        <v>51</v>
      </c>
    </row>
    <row r="876" spans="1:14">
      <c r="A876" s="1" cm="1">
        <f t="array" ref="A876">INDEX(tblWeeks[Week_Start],INT((ROW()-2)/20)+1)</f>
        <v>46328</v>
      </c>
      <c r="B876" t="str" cm="1">
        <f t="array" ref="B876">INDEX(tblDemandAssumptions[Customer_ID],MOD(ROW()-2,20)+1)</f>
        <v>C003</v>
      </c>
      <c r="C876" t="str" cm="1">
        <f t="array" ref="C876">INDEX(tblDemandAssumptions[Product_ID],MOD(ROW()-2,20)+1)</f>
        <v>P005</v>
      </c>
      <c r="D876" cm="1">
        <f t="array" ref="D876">INDEX(tblDemandAssumptions[Baseline_Weekly_Qty],MOD(ROW()-2,20)+1)</f>
        <v>1900</v>
      </c>
      <c r="E876">
        <f t="shared" si="104"/>
        <v>1.05</v>
      </c>
      <c r="F876">
        <v>1.03</v>
      </c>
      <c r="G876">
        <f t="shared" si="105"/>
        <v>2055</v>
      </c>
      <c r="H876">
        <v>1</v>
      </c>
      <c r="I876">
        <f t="shared" si="106"/>
        <v>1995</v>
      </c>
      <c r="J876" t="str">
        <f t="shared" si="107"/>
        <v>Normal</v>
      </c>
      <c r="K876">
        <f t="shared" si="108"/>
        <v>2055</v>
      </c>
      <c r="L876">
        <f t="shared" si="109"/>
        <v>60</v>
      </c>
      <c r="M876" s="2">
        <f t="shared" si="110"/>
        <v>3.007518796992481E-2</v>
      </c>
      <c r="N876">
        <f t="shared" si="111"/>
        <v>60</v>
      </c>
    </row>
    <row r="877" spans="1:14">
      <c r="A877" s="1" cm="1">
        <f t="array" ref="A877">INDEX(tblWeeks[Week_Start],INT((ROW()-2)/20)+1)</f>
        <v>46328</v>
      </c>
      <c r="B877" t="str" cm="1">
        <f t="array" ref="B877">INDEX(tblDemandAssumptions[Customer_ID],MOD(ROW()-2,20)+1)</f>
        <v>C004</v>
      </c>
      <c r="C877" t="str" cm="1">
        <f t="array" ref="C877">INDEX(tblDemandAssumptions[Product_ID],MOD(ROW()-2,20)+1)</f>
        <v>P001</v>
      </c>
      <c r="D877" cm="1">
        <f t="array" ref="D877">INDEX(tblDemandAssumptions[Baseline_Weekly_Qty],MOD(ROW()-2,20)+1)</f>
        <v>2700</v>
      </c>
      <c r="E877">
        <f t="shared" si="104"/>
        <v>1.05</v>
      </c>
      <c r="F877">
        <v>1.04</v>
      </c>
      <c r="G877">
        <f t="shared" si="105"/>
        <v>2948</v>
      </c>
      <c r="H877">
        <v>1</v>
      </c>
      <c r="I877">
        <f t="shared" si="106"/>
        <v>2835</v>
      </c>
      <c r="J877" t="str">
        <f t="shared" si="107"/>
        <v>Normal</v>
      </c>
      <c r="K877">
        <f t="shared" si="108"/>
        <v>2948</v>
      </c>
      <c r="L877">
        <f t="shared" si="109"/>
        <v>113</v>
      </c>
      <c r="M877" s="2">
        <f t="shared" si="110"/>
        <v>3.9858906525573196E-2</v>
      </c>
      <c r="N877">
        <f t="shared" si="111"/>
        <v>113</v>
      </c>
    </row>
    <row r="878" spans="1:14">
      <c r="A878" s="1" cm="1">
        <f t="array" ref="A878">INDEX(tblWeeks[Week_Start],INT((ROW()-2)/20)+1)</f>
        <v>46328</v>
      </c>
      <c r="B878" t="str" cm="1">
        <f t="array" ref="B878">INDEX(tblDemandAssumptions[Customer_ID],MOD(ROW()-2,20)+1)</f>
        <v>C004</v>
      </c>
      <c r="C878" t="str" cm="1">
        <f t="array" ref="C878">INDEX(tblDemandAssumptions[Product_ID],MOD(ROW()-2,20)+1)</f>
        <v>P002</v>
      </c>
      <c r="D878" cm="1">
        <f t="array" ref="D878">INDEX(tblDemandAssumptions[Baseline_Weekly_Qty],MOD(ROW()-2,20)+1)</f>
        <v>2400</v>
      </c>
      <c r="E878">
        <f t="shared" si="104"/>
        <v>1.05</v>
      </c>
      <c r="F878">
        <v>0.97</v>
      </c>
      <c r="G878">
        <f t="shared" si="105"/>
        <v>2444</v>
      </c>
      <c r="H878">
        <v>0.96</v>
      </c>
      <c r="I878">
        <f t="shared" si="106"/>
        <v>2419</v>
      </c>
      <c r="J878" t="str">
        <f t="shared" si="107"/>
        <v>Normal</v>
      </c>
      <c r="K878">
        <f t="shared" si="108"/>
        <v>2444</v>
      </c>
      <c r="L878">
        <f t="shared" si="109"/>
        <v>25</v>
      </c>
      <c r="M878" s="2">
        <f t="shared" si="110"/>
        <v>1.0334849111202976E-2</v>
      </c>
      <c r="N878">
        <f t="shared" si="111"/>
        <v>25</v>
      </c>
    </row>
    <row r="879" spans="1:14">
      <c r="A879" s="1" cm="1">
        <f t="array" ref="A879">INDEX(tblWeeks[Week_Start],INT((ROW()-2)/20)+1)</f>
        <v>46328</v>
      </c>
      <c r="B879" t="str" cm="1">
        <f t="array" ref="B879">INDEX(tblDemandAssumptions[Customer_ID],MOD(ROW()-2,20)+1)</f>
        <v>C004</v>
      </c>
      <c r="C879" t="str" cm="1">
        <f t="array" ref="C879">INDEX(tblDemandAssumptions[Product_ID],MOD(ROW()-2,20)+1)</f>
        <v>P003</v>
      </c>
      <c r="D879" cm="1">
        <f t="array" ref="D879">INDEX(tblDemandAssumptions[Baseline_Weekly_Qty],MOD(ROW()-2,20)+1)</f>
        <v>2100</v>
      </c>
      <c r="E879">
        <f t="shared" si="104"/>
        <v>1.05</v>
      </c>
      <c r="F879">
        <v>0.98</v>
      </c>
      <c r="G879">
        <f t="shared" si="105"/>
        <v>2161</v>
      </c>
      <c r="H879">
        <v>1</v>
      </c>
      <c r="I879">
        <f t="shared" si="106"/>
        <v>2205</v>
      </c>
      <c r="J879" t="str">
        <f t="shared" si="107"/>
        <v>Normal</v>
      </c>
      <c r="K879">
        <f t="shared" si="108"/>
        <v>2161</v>
      </c>
      <c r="L879">
        <f t="shared" si="109"/>
        <v>-44</v>
      </c>
      <c r="M879" s="2">
        <f t="shared" si="110"/>
        <v>-1.9954648526077097E-2</v>
      </c>
      <c r="N879">
        <f t="shared" si="111"/>
        <v>44</v>
      </c>
    </row>
    <row r="880" spans="1:14">
      <c r="A880" s="1" cm="1">
        <f t="array" ref="A880">INDEX(tblWeeks[Week_Start],INT((ROW()-2)/20)+1)</f>
        <v>46328</v>
      </c>
      <c r="B880" t="str" cm="1">
        <f t="array" ref="B880">INDEX(tblDemandAssumptions[Customer_ID],MOD(ROW()-2,20)+1)</f>
        <v>C004</v>
      </c>
      <c r="C880" t="str" cm="1">
        <f t="array" ref="C880">INDEX(tblDemandAssumptions[Product_ID],MOD(ROW()-2,20)+1)</f>
        <v>P004</v>
      </c>
      <c r="D880" cm="1">
        <f t="array" ref="D880">INDEX(tblDemandAssumptions[Baseline_Weekly_Qty],MOD(ROW()-2,20)+1)</f>
        <v>2600</v>
      </c>
      <c r="E880">
        <f t="shared" si="104"/>
        <v>1.05</v>
      </c>
      <c r="F880">
        <v>1.03</v>
      </c>
      <c r="G880">
        <f t="shared" si="105"/>
        <v>2812</v>
      </c>
      <c r="H880">
        <v>0.99</v>
      </c>
      <c r="I880">
        <f t="shared" si="106"/>
        <v>2703</v>
      </c>
      <c r="J880" t="str">
        <f t="shared" si="107"/>
        <v>Normal</v>
      </c>
      <c r="K880">
        <f t="shared" si="108"/>
        <v>2812</v>
      </c>
      <c r="L880">
        <f t="shared" si="109"/>
        <v>109</v>
      </c>
      <c r="M880" s="2">
        <f t="shared" si="110"/>
        <v>4.0325564187939325E-2</v>
      </c>
      <c r="N880">
        <f t="shared" si="111"/>
        <v>109</v>
      </c>
    </row>
    <row r="881" spans="1:14">
      <c r="A881" s="1" cm="1">
        <f t="array" ref="A881">INDEX(tblWeeks[Week_Start],INT((ROW()-2)/20)+1)</f>
        <v>46328</v>
      </c>
      <c r="B881" t="str" cm="1">
        <f t="array" ref="B881">INDEX(tblDemandAssumptions[Customer_ID],MOD(ROW()-2,20)+1)</f>
        <v>C004</v>
      </c>
      <c r="C881" t="str" cm="1">
        <f t="array" ref="C881">INDEX(tblDemandAssumptions[Product_ID],MOD(ROW()-2,20)+1)</f>
        <v>P005</v>
      </c>
      <c r="D881" cm="1">
        <f t="array" ref="D881">INDEX(tblDemandAssumptions[Baseline_Weekly_Qty],MOD(ROW()-2,20)+1)</f>
        <v>1800</v>
      </c>
      <c r="E881">
        <f t="shared" si="104"/>
        <v>1.05</v>
      </c>
      <c r="F881">
        <v>1.01</v>
      </c>
      <c r="G881">
        <f t="shared" si="105"/>
        <v>1909</v>
      </c>
      <c r="H881">
        <v>0.98</v>
      </c>
      <c r="I881">
        <f t="shared" si="106"/>
        <v>1852</v>
      </c>
      <c r="J881" t="str">
        <f t="shared" si="107"/>
        <v>Normal</v>
      </c>
      <c r="K881">
        <f t="shared" si="108"/>
        <v>1909</v>
      </c>
      <c r="L881">
        <f t="shared" si="109"/>
        <v>57</v>
      </c>
      <c r="M881" s="2">
        <f t="shared" si="110"/>
        <v>3.0777537796976243E-2</v>
      </c>
      <c r="N881">
        <f t="shared" si="111"/>
        <v>57</v>
      </c>
    </row>
    <row r="882" spans="1:14">
      <c r="A882" s="1" cm="1">
        <f t="array" ref="A882">INDEX(tblWeeks[Week_Start],INT((ROW()-2)/20)+1)</f>
        <v>46335</v>
      </c>
      <c r="B882" t="str" cm="1">
        <f t="array" ref="B882">INDEX(tblDemandAssumptions[Customer_ID],MOD(ROW()-2,20)+1)</f>
        <v>C001</v>
      </c>
      <c r="C882" t="str" cm="1">
        <f t="array" ref="C882">INDEX(tblDemandAssumptions[Product_ID],MOD(ROW()-2,20)+1)</f>
        <v>P001</v>
      </c>
      <c r="D882" cm="1">
        <f t="array" ref="D882">INDEX(tblDemandAssumptions[Baseline_Weekly_Qty],MOD(ROW()-2,20)+1)</f>
        <v>5200</v>
      </c>
      <c r="E882">
        <f t="shared" si="104"/>
        <v>1.05</v>
      </c>
      <c r="F882">
        <v>0.95</v>
      </c>
      <c r="G882">
        <f t="shared" si="105"/>
        <v>5187</v>
      </c>
      <c r="H882">
        <v>0.99</v>
      </c>
      <c r="I882">
        <f t="shared" si="106"/>
        <v>5405</v>
      </c>
      <c r="J882" t="str">
        <f t="shared" si="107"/>
        <v>Normal</v>
      </c>
      <c r="K882">
        <f t="shared" si="108"/>
        <v>5187</v>
      </c>
      <c r="L882">
        <f t="shared" si="109"/>
        <v>-218</v>
      </c>
      <c r="M882" s="2">
        <f t="shared" si="110"/>
        <v>-4.0333024976873265E-2</v>
      </c>
      <c r="N882">
        <f t="shared" si="111"/>
        <v>218</v>
      </c>
    </row>
    <row r="883" spans="1:14">
      <c r="A883" s="1" cm="1">
        <f t="array" ref="A883">INDEX(tblWeeks[Week_Start],INT((ROW()-2)/20)+1)</f>
        <v>46335</v>
      </c>
      <c r="B883" t="str" cm="1">
        <f t="array" ref="B883">INDEX(tblDemandAssumptions[Customer_ID],MOD(ROW()-2,20)+1)</f>
        <v>C001</v>
      </c>
      <c r="C883" t="str" cm="1">
        <f t="array" ref="C883">INDEX(tblDemandAssumptions[Product_ID],MOD(ROW()-2,20)+1)</f>
        <v>P002</v>
      </c>
      <c r="D883" cm="1">
        <f t="array" ref="D883">INDEX(tblDemandAssumptions[Baseline_Weekly_Qty],MOD(ROW()-2,20)+1)</f>
        <v>4100</v>
      </c>
      <c r="E883">
        <f t="shared" si="104"/>
        <v>1.05</v>
      </c>
      <c r="F883">
        <v>1.02</v>
      </c>
      <c r="G883">
        <f t="shared" si="105"/>
        <v>4391</v>
      </c>
      <c r="H883">
        <v>0.97</v>
      </c>
      <c r="I883">
        <f t="shared" si="106"/>
        <v>4176</v>
      </c>
      <c r="J883" t="str">
        <f t="shared" si="107"/>
        <v>Normal</v>
      </c>
      <c r="K883">
        <f t="shared" si="108"/>
        <v>4391</v>
      </c>
      <c r="L883">
        <f t="shared" si="109"/>
        <v>215</v>
      </c>
      <c r="M883" s="2">
        <f t="shared" si="110"/>
        <v>5.1484674329501913E-2</v>
      </c>
      <c r="N883">
        <f t="shared" si="111"/>
        <v>215</v>
      </c>
    </row>
    <row r="884" spans="1:14">
      <c r="A884" s="1" cm="1">
        <f t="array" ref="A884">INDEX(tblWeeks[Week_Start],INT((ROW()-2)/20)+1)</f>
        <v>46335</v>
      </c>
      <c r="B884" t="str" cm="1">
        <f t="array" ref="B884">INDEX(tblDemandAssumptions[Customer_ID],MOD(ROW()-2,20)+1)</f>
        <v>C001</v>
      </c>
      <c r="C884" t="str" cm="1">
        <f t="array" ref="C884">INDEX(tblDemandAssumptions[Product_ID],MOD(ROW()-2,20)+1)</f>
        <v>P003</v>
      </c>
      <c r="D884" cm="1">
        <f t="array" ref="D884">INDEX(tblDemandAssumptions[Baseline_Weekly_Qty],MOD(ROW()-2,20)+1)</f>
        <v>3300</v>
      </c>
      <c r="E884">
        <f t="shared" si="104"/>
        <v>1.05</v>
      </c>
      <c r="F884">
        <v>1.03</v>
      </c>
      <c r="G884">
        <f t="shared" si="105"/>
        <v>3569</v>
      </c>
      <c r="H884">
        <v>0.97</v>
      </c>
      <c r="I884">
        <f t="shared" si="106"/>
        <v>3361</v>
      </c>
      <c r="J884" t="str">
        <f t="shared" si="107"/>
        <v>Normal</v>
      </c>
      <c r="K884">
        <f t="shared" si="108"/>
        <v>3569</v>
      </c>
      <c r="L884">
        <f t="shared" si="109"/>
        <v>208</v>
      </c>
      <c r="M884" s="2">
        <f t="shared" si="110"/>
        <v>6.1886343350193392E-2</v>
      </c>
      <c r="N884">
        <f t="shared" si="111"/>
        <v>208</v>
      </c>
    </row>
    <row r="885" spans="1:14">
      <c r="A885" s="1" cm="1">
        <f t="array" ref="A885">INDEX(tblWeeks[Week_Start],INT((ROW()-2)/20)+1)</f>
        <v>46335</v>
      </c>
      <c r="B885" t="str" cm="1">
        <f t="array" ref="B885">INDEX(tblDemandAssumptions[Customer_ID],MOD(ROW()-2,20)+1)</f>
        <v>C001</v>
      </c>
      <c r="C885" t="str" cm="1">
        <f t="array" ref="C885">INDEX(tblDemandAssumptions[Product_ID],MOD(ROW()-2,20)+1)</f>
        <v>P004</v>
      </c>
      <c r="D885" cm="1">
        <f t="array" ref="D885">INDEX(tblDemandAssumptions[Baseline_Weekly_Qty],MOD(ROW()-2,20)+1)</f>
        <v>3600</v>
      </c>
      <c r="E885">
        <f t="shared" si="104"/>
        <v>1.05</v>
      </c>
      <c r="F885">
        <v>0.99</v>
      </c>
      <c r="G885">
        <f t="shared" si="105"/>
        <v>3742</v>
      </c>
      <c r="H885">
        <v>0.98</v>
      </c>
      <c r="I885">
        <f t="shared" si="106"/>
        <v>3704</v>
      </c>
      <c r="J885" t="str">
        <f t="shared" si="107"/>
        <v>Normal</v>
      </c>
      <c r="K885">
        <f t="shared" si="108"/>
        <v>3742</v>
      </c>
      <c r="L885">
        <f t="shared" si="109"/>
        <v>38</v>
      </c>
      <c r="M885" s="2">
        <f t="shared" si="110"/>
        <v>1.0259179265658747E-2</v>
      </c>
      <c r="N885">
        <f t="shared" si="111"/>
        <v>38</v>
      </c>
    </row>
    <row r="886" spans="1:14">
      <c r="A886" s="1" cm="1">
        <f t="array" ref="A886">INDEX(tblWeeks[Week_Start],INT((ROW()-2)/20)+1)</f>
        <v>46335</v>
      </c>
      <c r="B886" t="str" cm="1">
        <f t="array" ref="B886">INDEX(tblDemandAssumptions[Customer_ID],MOD(ROW()-2,20)+1)</f>
        <v>C001</v>
      </c>
      <c r="C886" t="str" cm="1">
        <f t="array" ref="C886">INDEX(tblDemandAssumptions[Product_ID],MOD(ROW()-2,20)+1)</f>
        <v>P005</v>
      </c>
      <c r="D886" cm="1">
        <f t="array" ref="D886">INDEX(tblDemandAssumptions[Baseline_Weekly_Qty],MOD(ROW()-2,20)+1)</f>
        <v>2800</v>
      </c>
      <c r="E886">
        <f t="shared" si="104"/>
        <v>1.05</v>
      </c>
      <c r="F886">
        <v>0.99</v>
      </c>
      <c r="G886">
        <f t="shared" si="105"/>
        <v>2911</v>
      </c>
      <c r="H886">
        <v>0.96</v>
      </c>
      <c r="I886">
        <f t="shared" si="106"/>
        <v>2822</v>
      </c>
      <c r="J886" t="str">
        <f t="shared" si="107"/>
        <v>Normal</v>
      </c>
      <c r="K886">
        <f t="shared" si="108"/>
        <v>2911</v>
      </c>
      <c r="L886">
        <f t="shared" si="109"/>
        <v>89</v>
      </c>
      <c r="M886" s="2">
        <f t="shared" si="110"/>
        <v>3.1537916371367825E-2</v>
      </c>
      <c r="N886">
        <f t="shared" si="111"/>
        <v>89</v>
      </c>
    </row>
    <row r="887" spans="1:14">
      <c r="A887" s="1" cm="1">
        <f t="array" ref="A887">INDEX(tblWeeks[Week_Start],INT((ROW()-2)/20)+1)</f>
        <v>46335</v>
      </c>
      <c r="B887" t="str" cm="1">
        <f t="array" ref="B887">INDEX(tblDemandAssumptions[Customer_ID],MOD(ROW()-2,20)+1)</f>
        <v>C002</v>
      </c>
      <c r="C887" t="str" cm="1">
        <f t="array" ref="C887">INDEX(tblDemandAssumptions[Product_ID],MOD(ROW()-2,20)+1)</f>
        <v>P001</v>
      </c>
      <c r="D887" cm="1">
        <f t="array" ref="D887">INDEX(tblDemandAssumptions[Baseline_Weekly_Qty],MOD(ROW()-2,20)+1)</f>
        <v>3400</v>
      </c>
      <c r="E887">
        <f t="shared" si="104"/>
        <v>1.05</v>
      </c>
      <c r="F887">
        <v>0.95</v>
      </c>
      <c r="G887">
        <f t="shared" si="105"/>
        <v>3392</v>
      </c>
      <c r="H887">
        <v>0.96</v>
      </c>
      <c r="I887">
        <f t="shared" si="106"/>
        <v>3427</v>
      </c>
      <c r="J887" t="str">
        <f t="shared" si="107"/>
        <v>Normal</v>
      </c>
      <c r="K887">
        <f t="shared" si="108"/>
        <v>3392</v>
      </c>
      <c r="L887">
        <f t="shared" si="109"/>
        <v>-35</v>
      </c>
      <c r="M887" s="2">
        <f t="shared" si="110"/>
        <v>-1.0213014298220018E-2</v>
      </c>
      <c r="N887">
        <f t="shared" si="111"/>
        <v>35</v>
      </c>
    </row>
    <row r="888" spans="1:14">
      <c r="A888" s="1" cm="1">
        <f t="array" ref="A888">INDEX(tblWeeks[Week_Start],INT((ROW()-2)/20)+1)</f>
        <v>46335</v>
      </c>
      <c r="B888" t="str" cm="1">
        <f t="array" ref="B888">INDEX(tblDemandAssumptions[Customer_ID],MOD(ROW()-2,20)+1)</f>
        <v>C002</v>
      </c>
      <c r="C888" t="str" cm="1">
        <f t="array" ref="C888">INDEX(tblDemandAssumptions[Product_ID],MOD(ROW()-2,20)+1)</f>
        <v>P002</v>
      </c>
      <c r="D888" cm="1">
        <f t="array" ref="D888">INDEX(tblDemandAssumptions[Baseline_Weekly_Qty],MOD(ROW()-2,20)+1)</f>
        <v>3200</v>
      </c>
      <c r="E888">
        <f t="shared" si="104"/>
        <v>1.05</v>
      </c>
      <c r="F888">
        <v>1.03</v>
      </c>
      <c r="G888">
        <f t="shared" si="105"/>
        <v>3461</v>
      </c>
      <c r="H888">
        <v>1.04</v>
      </c>
      <c r="I888">
        <f t="shared" si="106"/>
        <v>3494</v>
      </c>
      <c r="J888" t="str">
        <f t="shared" si="107"/>
        <v>Normal</v>
      </c>
      <c r="K888">
        <f t="shared" si="108"/>
        <v>3461</v>
      </c>
      <c r="L888">
        <f t="shared" si="109"/>
        <v>-33</v>
      </c>
      <c r="M888" s="2">
        <f t="shared" si="110"/>
        <v>-9.4447624499141378E-3</v>
      </c>
      <c r="N888">
        <f t="shared" si="111"/>
        <v>33</v>
      </c>
    </row>
    <row r="889" spans="1:14">
      <c r="A889" s="1" cm="1">
        <f t="array" ref="A889">INDEX(tblWeeks[Week_Start],INT((ROW()-2)/20)+1)</f>
        <v>46335</v>
      </c>
      <c r="B889" t="str" cm="1">
        <f t="array" ref="B889">INDEX(tblDemandAssumptions[Customer_ID],MOD(ROW()-2,20)+1)</f>
        <v>C002</v>
      </c>
      <c r="C889" t="str" cm="1">
        <f t="array" ref="C889">INDEX(tblDemandAssumptions[Product_ID],MOD(ROW()-2,20)+1)</f>
        <v>P003</v>
      </c>
      <c r="D889" cm="1">
        <f t="array" ref="D889">INDEX(tblDemandAssumptions[Baseline_Weekly_Qty],MOD(ROW()-2,20)+1)</f>
        <v>2600</v>
      </c>
      <c r="E889">
        <f t="shared" si="104"/>
        <v>1.05</v>
      </c>
      <c r="F889">
        <v>1.05</v>
      </c>
      <c r="G889">
        <f t="shared" si="105"/>
        <v>2867</v>
      </c>
      <c r="H889">
        <v>0.98</v>
      </c>
      <c r="I889">
        <f t="shared" si="106"/>
        <v>2675</v>
      </c>
      <c r="J889" t="str">
        <f t="shared" si="107"/>
        <v>Normal</v>
      </c>
      <c r="K889">
        <f t="shared" si="108"/>
        <v>2867</v>
      </c>
      <c r="L889">
        <f t="shared" si="109"/>
        <v>192</v>
      </c>
      <c r="M889" s="2">
        <f t="shared" si="110"/>
        <v>7.1775700934579439E-2</v>
      </c>
      <c r="N889">
        <f t="shared" si="111"/>
        <v>192</v>
      </c>
    </row>
    <row r="890" spans="1:14">
      <c r="A890" s="1" cm="1">
        <f t="array" ref="A890">INDEX(tblWeeks[Week_Start],INT((ROW()-2)/20)+1)</f>
        <v>46335</v>
      </c>
      <c r="B890" t="str" cm="1">
        <f t="array" ref="B890">INDEX(tblDemandAssumptions[Customer_ID],MOD(ROW()-2,20)+1)</f>
        <v>C002</v>
      </c>
      <c r="C890" t="str" cm="1">
        <f t="array" ref="C890">INDEX(tblDemandAssumptions[Product_ID],MOD(ROW()-2,20)+1)</f>
        <v>P004</v>
      </c>
      <c r="D890" cm="1">
        <f t="array" ref="D890">INDEX(tblDemandAssumptions[Baseline_Weekly_Qty],MOD(ROW()-2,20)+1)</f>
        <v>2900</v>
      </c>
      <c r="E890">
        <f t="shared" si="104"/>
        <v>1.05</v>
      </c>
      <c r="F890">
        <v>0.99</v>
      </c>
      <c r="G890">
        <f t="shared" si="105"/>
        <v>3015</v>
      </c>
      <c r="H890">
        <v>1.03</v>
      </c>
      <c r="I890">
        <f t="shared" si="106"/>
        <v>3136</v>
      </c>
      <c r="J890" t="str">
        <f t="shared" si="107"/>
        <v>Normal</v>
      </c>
      <c r="K890">
        <f t="shared" si="108"/>
        <v>3015</v>
      </c>
      <c r="L890">
        <f t="shared" si="109"/>
        <v>-121</v>
      </c>
      <c r="M890" s="2">
        <f t="shared" si="110"/>
        <v>-3.8584183673469385E-2</v>
      </c>
      <c r="N890">
        <f t="shared" si="111"/>
        <v>121</v>
      </c>
    </row>
    <row r="891" spans="1:14">
      <c r="A891" s="1" cm="1">
        <f t="array" ref="A891">INDEX(tblWeeks[Week_Start],INT((ROW()-2)/20)+1)</f>
        <v>46335</v>
      </c>
      <c r="B891" t="str" cm="1">
        <f t="array" ref="B891">INDEX(tblDemandAssumptions[Customer_ID],MOD(ROW()-2,20)+1)</f>
        <v>C002</v>
      </c>
      <c r="C891" t="str" cm="1">
        <f t="array" ref="C891">INDEX(tblDemandAssumptions[Product_ID],MOD(ROW()-2,20)+1)</f>
        <v>P005</v>
      </c>
      <c r="D891" cm="1">
        <f t="array" ref="D891">INDEX(tblDemandAssumptions[Baseline_Weekly_Qty],MOD(ROW()-2,20)+1)</f>
        <v>2200</v>
      </c>
      <c r="E891">
        <f t="shared" si="104"/>
        <v>1.05</v>
      </c>
      <c r="F891">
        <v>0.99</v>
      </c>
      <c r="G891">
        <f t="shared" si="105"/>
        <v>2287</v>
      </c>
      <c r="H891">
        <v>0.97</v>
      </c>
      <c r="I891">
        <f t="shared" si="106"/>
        <v>2241</v>
      </c>
      <c r="J891" t="str">
        <f t="shared" si="107"/>
        <v>Normal</v>
      </c>
      <c r="K891">
        <f t="shared" si="108"/>
        <v>2287</v>
      </c>
      <c r="L891">
        <f t="shared" si="109"/>
        <v>46</v>
      </c>
      <c r="M891" s="2">
        <f t="shared" si="110"/>
        <v>2.0526550647032574E-2</v>
      </c>
      <c r="N891">
        <f t="shared" si="111"/>
        <v>46</v>
      </c>
    </row>
    <row r="892" spans="1:14">
      <c r="A892" s="1" cm="1">
        <f t="array" ref="A892">INDEX(tblWeeks[Week_Start],INT((ROW()-2)/20)+1)</f>
        <v>46335</v>
      </c>
      <c r="B892" t="str" cm="1">
        <f t="array" ref="B892">INDEX(tblDemandAssumptions[Customer_ID],MOD(ROW()-2,20)+1)</f>
        <v>C003</v>
      </c>
      <c r="C892" t="str" cm="1">
        <f t="array" ref="C892">INDEX(tblDemandAssumptions[Product_ID],MOD(ROW()-2,20)+1)</f>
        <v>P001</v>
      </c>
      <c r="D892" cm="1">
        <f t="array" ref="D892">INDEX(tblDemandAssumptions[Baseline_Weekly_Qty],MOD(ROW()-2,20)+1)</f>
        <v>3000</v>
      </c>
      <c r="E892">
        <f t="shared" si="104"/>
        <v>1.05</v>
      </c>
      <c r="F892">
        <v>0.98</v>
      </c>
      <c r="G892">
        <f t="shared" si="105"/>
        <v>3087</v>
      </c>
      <c r="H892">
        <v>1.04</v>
      </c>
      <c r="I892">
        <f t="shared" si="106"/>
        <v>3276</v>
      </c>
      <c r="J892" t="str">
        <f t="shared" si="107"/>
        <v>Normal</v>
      </c>
      <c r="K892">
        <f t="shared" si="108"/>
        <v>3087</v>
      </c>
      <c r="L892">
        <f t="shared" si="109"/>
        <v>-189</v>
      </c>
      <c r="M892" s="2">
        <f t="shared" si="110"/>
        <v>-5.7692307692307696E-2</v>
      </c>
      <c r="N892">
        <f t="shared" si="111"/>
        <v>189</v>
      </c>
    </row>
    <row r="893" spans="1:14">
      <c r="A893" s="1" cm="1">
        <f t="array" ref="A893">INDEX(tblWeeks[Week_Start],INT((ROW()-2)/20)+1)</f>
        <v>46335</v>
      </c>
      <c r="B893" t="str" cm="1">
        <f t="array" ref="B893">INDEX(tblDemandAssumptions[Customer_ID],MOD(ROW()-2,20)+1)</f>
        <v>C003</v>
      </c>
      <c r="C893" t="str" cm="1">
        <f t="array" ref="C893">INDEX(tblDemandAssumptions[Product_ID],MOD(ROW()-2,20)+1)</f>
        <v>P002</v>
      </c>
      <c r="D893" cm="1">
        <f t="array" ref="D893">INDEX(tblDemandAssumptions[Baseline_Weekly_Qty],MOD(ROW()-2,20)+1)</f>
        <v>2700</v>
      </c>
      <c r="E893">
        <f t="shared" si="104"/>
        <v>1.05</v>
      </c>
      <c r="F893">
        <v>1.01</v>
      </c>
      <c r="G893">
        <f t="shared" si="105"/>
        <v>2863</v>
      </c>
      <c r="H893">
        <v>1.04</v>
      </c>
      <c r="I893">
        <f t="shared" si="106"/>
        <v>2948</v>
      </c>
      <c r="J893" t="str">
        <f t="shared" si="107"/>
        <v>Normal</v>
      </c>
      <c r="K893">
        <f t="shared" si="108"/>
        <v>2863</v>
      </c>
      <c r="L893">
        <f t="shared" si="109"/>
        <v>-85</v>
      </c>
      <c r="M893" s="2">
        <f t="shared" si="110"/>
        <v>-2.8833107191316147E-2</v>
      </c>
      <c r="N893">
        <f t="shared" si="111"/>
        <v>85</v>
      </c>
    </row>
    <row r="894" spans="1:14">
      <c r="A894" s="1" cm="1">
        <f t="array" ref="A894">INDEX(tblWeeks[Week_Start],INT((ROW()-2)/20)+1)</f>
        <v>46335</v>
      </c>
      <c r="B894" t="str" cm="1">
        <f t="array" ref="B894">INDEX(tblDemandAssumptions[Customer_ID],MOD(ROW()-2,20)+1)</f>
        <v>C003</v>
      </c>
      <c r="C894" t="str" cm="1">
        <f t="array" ref="C894">INDEX(tblDemandAssumptions[Product_ID],MOD(ROW()-2,20)+1)</f>
        <v>P003</v>
      </c>
      <c r="D894" cm="1">
        <f t="array" ref="D894">INDEX(tblDemandAssumptions[Baseline_Weekly_Qty],MOD(ROW()-2,20)+1)</f>
        <v>2800</v>
      </c>
      <c r="E894">
        <f t="shared" si="104"/>
        <v>1.05</v>
      </c>
      <c r="F894">
        <v>0.97</v>
      </c>
      <c r="G894">
        <f t="shared" si="105"/>
        <v>2852</v>
      </c>
      <c r="H894">
        <v>1.02</v>
      </c>
      <c r="I894">
        <f t="shared" si="106"/>
        <v>2999</v>
      </c>
      <c r="J894" t="str">
        <f t="shared" si="107"/>
        <v>Normal</v>
      </c>
      <c r="K894">
        <f t="shared" si="108"/>
        <v>2852</v>
      </c>
      <c r="L894">
        <f t="shared" si="109"/>
        <v>-147</v>
      </c>
      <c r="M894" s="2">
        <f t="shared" si="110"/>
        <v>-4.9016338779593195E-2</v>
      </c>
      <c r="N894">
        <f t="shared" si="111"/>
        <v>147</v>
      </c>
    </row>
    <row r="895" spans="1:14">
      <c r="A895" s="1" cm="1">
        <f t="array" ref="A895">INDEX(tblWeeks[Week_Start],INT((ROW()-2)/20)+1)</f>
        <v>46335</v>
      </c>
      <c r="B895" t="str" cm="1">
        <f t="array" ref="B895">INDEX(tblDemandAssumptions[Customer_ID],MOD(ROW()-2,20)+1)</f>
        <v>C003</v>
      </c>
      <c r="C895" t="str" cm="1">
        <f t="array" ref="C895">INDEX(tblDemandAssumptions[Product_ID],MOD(ROW()-2,20)+1)</f>
        <v>P004</v>
      </c>
      <c r="D895" cm="1">
        <f t="array" ref="D895">INDEX(tblDemandAssumptions[Baseline_Weekly_Qty],MOD(ROW()-2,20)+1)</f>
        <v>2400</v>
      </c>
      <c r="E895">
        <f t="shared" si="104"/>
        <v>1.05</v>
      </c>
      <c r="F895">
        <v>0.97</v>
      </c>
      <c r="G895">
        <f t="shared" si="105"/>
        <v>2444</v>
      </c>
      <c r="H895">
        <v>1.01</v>
      </c>
      <c r="I895">
        <f t="shared" si="106"/>
        <v>2545</v>
      </c>
      <c r="J895" t="str">
        <f t="shared" si="107"/>
        <v>Normal</v>
      </c>
      <c r="K895">
        <f t="shared" si="108"/>
        <v>2444</v>
      </c>
      <c r="L895">
        <f t="shared" si="109"/>
        <v>-101</v>
      </c>
      <c r="M895" s="2">
        <f t="shared" si="110"/>
        <v>-3.9685658153241647E-2</v>
      </c>
      <c r="N895">
        <f t="shared" si="111"/>
        <v>101</v>
      </c>
    </row>
    <row r="896" spans="1:14">
      <c r="A896" s="1" cm="1">
        <f t="array" ref="A896">INDEX(tblWeeks[Week_Start],INT((ROW()-2)/20)+1)</f>
        <v>46335</v>
      </c>
      <c r="B896" t="str" cm="1">
        <f t="array" ref="B896">INDEX(tblDemandAssumptions[Customer_ID],MOD(ROW()-2,20)+1)</f>
        <v>C003</v>
      </c>
      <c r="C896" t="str" cm="1">
        <f t="array" ref="C896">INDEX(tblDemandAssumptions[Product_ID],MOD(ROW()-2,20)+1)</f>
        <v>P005</v>
      </c>
      <c r="D896" cm="1">
        <f t="array" ref="D896">INDEX(tblDemandAssumptions[Baseline_Weekly_Qty],MOD(ROW()-2,20)+1)</f>
        <v>1900</v>
      </c>
      <c r="E896">
        <f t="shared" si="104"/>
        <v>1.05</v>
      </c>
      <c r="F896">
        <v>1</v>
      </c>
      <c r="G896">
        <f t="shared" si="105"/>
        <v>1995</v>
      </c>
      <c r="H896">
        <v>1.02</v>
      </c>
      <c r="I896">
        <f t="shared" si="106"/>
        <v>2035</v>
      </c>
      <c r="J896" t="str">
        <f t="shared" si="107"/>
        <v>Normal</v>
      </c>
      <c r="K896">
        <f t="shared" si="108"/>
        <v>1995</v>
      </c>
      <c r="L896">
        <f t="shared" si="109"/>
        <v>-40</v>
      </c>
      <c r="M896" s="2">
        <f t="shared" si="110"/>
        <v>-1.9656019656019656E-2</v>
      </c>
      <c r="N896">
        <f t="shared" si="111"/>
        <v>40</v>
      </c>
    </row>
    <row r="897" spans="1:14">
      <c r="A897" s="1" cm="1">
        <f t="array" ref="A897">INDEX(tblWeeks[Week_Start],INT((ROW()-2)/20)+1)</f>
        <v>46335</v>
      </c>
      <c r="B897" t="str" cm="1">
        <f t="array" ref="B897">INDEX(tblDemandAssumptions[Customer_ID],MOD(ROW()-2,20)+1)</f>
        <v>C004</v>
      </c>
      <c r="C897" t="str" cm="1">
        <f t="array" ref="C897">INDEX(tblDemandAssumptions[Product_ID],MOD(ROW()-2,20)+1)</f>
        <v>P001</v>
      </c>
      <c r="D897" cm="1">
        <f t="array" ref="D897">INDEX(tblDemandAssumptions[Baseline_Weekly_Qty],MOD(ROW()-2,20)+1)</f>
        <v>2700</v>
      </c>
      <c r="E897">
        <f t="shared" si="104"/>
        <v>1.05</v>
      </c>
      <c r="F897">
        <v>0.95</v>
      </c>
      <c r="G897">
        <f t="shared" si="105"/>
        <v>2693</v>
      </c>
      <c r="H897">
        <v>1.04</v>
      </c>
      <c r="I897">
        <f t="shared" si="106"/>
        <v>2948</v>
      </c>
      <c r="J897" t="str">
        <f t="shared" si="107"/>
        <v>Normal</v>
      </c>
      <c r="K897">
        <f t="shared" si="108"/>
        <v>2693</v>
      </c>
      <c r="L897">
        <f t="shared" si="109"/>
        <v>-255</v>
      </c>
      <c r="M897" s="2">
        <f t="shared" si="110"/>
        <v>-8.6499321573948434E-2</v>
      </c>
      <c r="N897">
        <f t="shared" si="111"/>
        <v>255</v>
      </c>
    </row>
    <row r="898" spans="1:14">
      <c r="A898" s="1" cm="1">
        <f t="array" ref="A898">INDEX(tblWeeks[Week_Start],INT((ROW()-2)/20)+1)</f>
        <v>46335</v>
      </c>
      <c r="B898" t="str" cm="1">
        <f t="array" ref="B898">INDEX(tblDemandAssumptions[Customer_ID],MOD(ROW()-2,20)+1)</f>
        <v>C004</v>
      </c>
      <c r="C898" t="str" cm="1">
        <f t="array" ref="C898">INDEX(tblDemandAssumptions[Product_ID],MOD(ROW()-2,20)+1)</f>
        <v>P002</v>
      </c>
      <c r="D898" cm="1">
        <f t="array" ref="D898">INDEX(tblDemandAssumptions[Baseline_Weekly_Qty],MOD(ROW()-2,20)+1)</f>
        <v>2400</v>
      </c>
      <c r="E898">
        <f t="shared" ref="E898:E961" si="112">IF(MONTH(A898)&lt;=2,0.95,IF(MONTH(A898)&lt;=4,1,IF(MONTH(A898)&lt;=6,1.05,IF(MONTH(A898)&lt;=8,1.1,IF(MONTH(A898)&lt;=10,1,IF(MONTH(A898)=11,1.05,1.2))))))</f>
        <v>1.05</v>
      </c>
      <c r="F898">
        <v>0.95</v>
      </c>
      <c r="G898">
        <f t="shared" ref="G898:G961" si="113">ROUND(D898*E898*F898,0)</f>
        <v>2394</v>
      </c>
      <c r="H898">
        <v>0.99</v>
      </c>
      <c r="I898">
        <f t="shared" ref="I898:I961" si="114">ROUND(D898*E898*H898,0)</f>
        <v>2495</v>
      </c>
      <c r="J898" t="str">
        <f t="shared" ref="J898:J961" si="115">IF(AND(A898=DATE(2026,3,16),B898="C001",C898="P001"),"Promotion_Demand_Spike",IF(AND(A898=DATE(2026,6,8),B898="C002",C898="P004"),"Under_Forecast",IF(AND(A898=DATE(2026,7,20),B898="C003",C898="P003"),"Over_Forecast","Normal")))</f>
        <v>Normal</v>
      </c>
      <c r="K898">
        <f t="shared" ref="K898:K961" si="116">IF(J898="Promotion_Demand_Spike",ROUND(G898*1.35,0),IF(J898="Under_Forecast",ROUND(I898*1.25,0),IF(J898="Over_Forecast",ROUND(I898*0.72,0),G898)))</f>
        <v>2394</v>
      </c>
      <c r="L898">
        <f t="shared" ref="L898:L961" si="117">K898-I898</f>
        <v>-101</v>
      </c>
      <c r="M898" s="2">
        <f t="shared" ref="M898:M961" si="118">IF(I898=0,0,L898/I898)</f>
        <v>-4.0480961923847696E-2</v>
      </c>
      <c r="N898">
        <f t="shared" ref="N898:N961" si="119">ABS(L898)</f>
        <v>101</v>
      </c>
    </row>
    <row r="899" spans="1:14">
      <c r="A899" s="1" cm="1">
        <f t="array" ref="A899">INDEX(tblWeeks[Week_Start],INT((ROW()-2)/20)+1)</f>
        <v>46335</v>
      </c>
      <c r="B899" t="str" cm="1">
        <f t="array" ref="B899">INDEX(tblDemandAssumptions[Customer_ID],MOD(ROW()-2,20)+1)</f>
        <v>C004</v>
      </c>
      <c r="C899" t="str" cm="1">
        <f t="array" ref="C899">INDEX(tblDemandAssumptions[Product_ID],MOD(ROW()-2,20)+1)</f>
        <v>P003</v>
      </c>
      <c r="D899" cm="1">
        <f t="array" ref="D899">INDEX(tblDemandAssumptions[Baseline_Weekly_Qty],MOD(ROW()-2,20)+1)</f>
        <v>2100</v>
      </c>
      <c r="E899">
        <f t="shared" si="112"/>
        <v>1.05</v>
      </c>
      <c r="F899">
        <v>1.05</v>
      </c>
      <c r="G899">
        <f t="shared" si="113"/>
        <v>2315</v>
      </c>
      <c r="H899">
        <v>1.01</v>
      </c>
      <c r="I899">
        <f t="shared" si="114"/>
        <v>2227</v>
      </c>
      <c r="J899" t="str">
        <f t="shared" si="115"/>
        <v>Normal</v>
      </c>
      <c r="K899">
        <f t="shared" si="116"/>
        <v>2315</v>
      </c>
      <c r="L899">
        <f t="shared" si="117"/>
        <v>88</v>
      </c>
      <c r="M899" s="2">
        <f t="shared" si="118"/>
        <v>3.9515042658284691E-2</v>
      </c>
      <c r="N899">
        <f t="shared" si="119"/>
        <v>88</v>
      </c>
    </row>
    <row r="900" spans="1:14">
      <c r="A900" s="1" cm="1">
        <f t="array" ref="A900">INDEX(tblWeeks[Week_Start],INT((ROW()-2)/20)+1)</f>
        <v>46335</v>
      </c>
      <c r="B900" t="str" cm="1">
        <f t="array" ref="B900">INDEX(tblDemandAssumptions[Customer_ID],MOD(ROW()-2,20)+1)</f>
        <v>C004</v>
      </c>
      <c r="C900" t="str" cm="1">
        <f t="array" ref="C900">INDEX(tblDemandAssumptions[Product_ID],MOD(ROW()-2,20)+1)</f>
        <v>P004</v>
      </c>
      <c r="D900" cm="1">
        <f t="array" ref="D900">INDEX(tblDemandAssumptions[Baseline_Weekly_Qty],MOD(ROW()-2,20)+1)</f>
        <v>2600</v>
      </c>
      <c r="E900">
        <f t="shared" si="112"/>
        <v>1.05</v>
      </c>
      <c r="F900">
        <v>1.03</v>
      </c>
      <c r="G900">
        <f t="shared" si="113"/>
        <v>2812</v>
      </c>
      <c r="H900">
        <v>1</v>
      </c>
      <c r="I900">
        <f t="shared" si="114"/>
        <v>2730</v>
      </c>
      <c r="J900" t="str">
        <f t="shared" si="115"/>
        <v>Normal</v>
      </c>
      <c r="K900">
        <f t="shared" si="116"/>
        <v>2812</v>
      </c>
      <c r="L900">
        <f t="shared" si="117"/>
        <v>82</v>
      </c>
      <c r="M900" s="2">
        <f t="shared" si="118"/>
        <v>3.0036630036630037E-2</v>
      </c>
      <c r="N900">
        <f t="shared" si="119"/>
        <v>82</v>
      </c>
    </row>
    <row r="901" spans="1:14">
      <c r="A901" s="1" cm="1">
        <f t="array" ref="A901">INDEX(tblWeeks[Week_Start],INT((ROW()-2)/20)+1)</f>
        <v>46335</v>
      </c>
      <c r="B901" t="str" cm="1">
        <f t="array" ref="B901">INDEX(tblDemandAssumptions[Customer_ID],MOD(ROW()-2,20)+1)</f>
        <v>C004</v>
      </c>
      <c r="C901" t="str" cm="1">
        <f t="array" ref="C901">INDEX(tblDemandAssumptions[Product_ID],MOD(ROW()-2,20)+1)</f>
        <v>P005</v>
      </c>
      <c r="D901" cm="1">
        <f t="array" ref="D901">INDEX(tblDemandAssumptions[Baseline_Weekly_Qty],MOD(ROW()-2,20)+1)</f>
        <v>1800</v>
      </c>
      <c r="E901">
        <f t="shared" si="112"/>
        <v>1.05</v>
      </c>
      <c r="F901">
        <v>1</v>
      </c>
      <c r="G901">
        <f t="shared" si="113"/>
        <v>1890</v>
      </c>
      <c r="H901">
        <v>0.96</v>
      </c>
      <c r="I901">
        <f t="shared" si="114"/>
        <v>1814</v>
      </c>
      <c r="J901" t="str">
        <f t="shared" si="115"/>
        <v>Normal</v>
      </c>
      <c r="K901">
        <f t="shared" si="116"/>
        <v>1890</v>
      </c>
      <c r="L901">
        <f t="shared" si="117"/>
        <v>76</v>
      </c>
      <c r="M901" s="2">
        <f t="shared" si="118"/>
        <v>4.1896361631753032E-2</v>
      </c>
      <c r="N901">
        <f t="shared" si="119"/>
        <v>76</v>
      </c>
    </row>
    <row r="902" spans="1:14">
      <c r="A902" s="1" cm="1">
        <f t="array" ref="A902">INDEX(tblWeeks[Week_Start],INT((ROW()-2)/20)+1)</f>
        <v>46342</v>
      </c>
      <c r="B902" t="str" cm="1">
        <f t="array" ref="B902">INDEX(tblDemandAssumptions[Customer_ID],MOD(ROW()-2,20)+1)</f>
        <v>C001</v>
      </c>
      <c r="C902" t="str" cm="1">
        <f t="array" ref="C902">INDEX(tblDemandAssumptions[Product_ID],MOD(ROW()-2,20)+1)</f>
        <v>P001</v>
      </c>
      <c r="D902" cm="1">
        <f t="array" ref="D902">INDEX(tblDemandAssumptions[Baseline_Weekly_Qty],MOD(ROW()-2,20)+1)</f>
        <v>5200</v>
      </c>
      <c r="E902">
        <f t="shared" si="112"/>
        <v>1.05</v>
      </c>
      <c r="F902">
        <v>1.04</v>
      </c>
      <c r="G902">
        <f t="shared" si="113"/>
        <v>5678</v>
      </c>
      <c r="H902">
        <v>0.97</v>
      </c>
      <c r="I902">
        <f t="shared" si="114"/>
        <v>5296</v>
      </c>
      <c r="J902" t="str">
        <f t="shared" si="115"/>
        <v>Normal</v>
      </c>
      <c r="K902">
        <f t="shared" si="116"/>
        <v>5678</v>
      </c>
      <c r="L902">
        <f t="shared" si="117"/>
        <v>382</v>
      </c>
      <c r="M902" s="2">
        <f t="shared" si="118"/>
        <v>7.2129909365558909E-2</v>
      </c>
      <c r="N902">
        <f t="shared" si="119"/>
        <v>382</v>
      </c>
    </row>
    <row r="903" spans="1:14">
      <c r="A903" s="1" cm="1">
        <f t="array" ref="A903">INDEX(tblWeeks[Week_Start],INT((ROW()-2)/20)+1)</f>
        <v>46342</v>
      </c>
      <c r="B903" t="str" cm="1">
        <f t="array" ref="B903">INDEX(tblDemandAssumptions[Customer_ID],MOD(ROW()-2,20)+1)</f>
        <v>C001</v>
      </c>
      <c r="C903" t="str" cm="1">
        <f t="array" ref="C903">INDEX(tblDemandAssumptions[Product_ID],MOD(ROW()-2,20)+1)</f>
        <v>P002</v>
      </c>
      <c r="D903" cm="1">
        <f t="array" ref="D903">INDEX(tblDemandAssumptions[Baseline_Weekly_Qty],MOD(ROW()-2,20)+1)</f>
        <v>4100</v>
      </c>
      <c r="E903">
        <f t="shared" si="112"/>
        <v>1.05</v>
      </c>
      <c r="F903">
        <v>1</v>
      </c>
      <c r="G903">
        <f t="shared" si="113"/>
        <v>4305</v>
      </c>
      <c r="H903">
        <v>0.97</v>
      </c>
      <c r="I903">
        <f t="shared" si="114"/>
        <v>4176</v>
      </c>
      <c r="J903" t="str">
        <f t="shared" si="115"/>
        <v>Normal</v>
      </c>
      <c r="K903">
        <f t="shared" si="116"/>
        <v>4305</v>
      </c>
      <c r="L903">
        <f t="shared" si="117"/>
        <v>129</v>
      </c>
      <c r="M903" s="2">
        <f t="shared" si="118"/>
        <v>3.089080459770115E-2</v>
      </c>
      <c r="N903">
        <f t="shared" si="119"/>
        <v>129</v>
      </c>
    </row>
    <row r="904" spans="1:14">
      <c r="A904" s="1" cm="1">
        <f t="array" ref="A904">INDEX(tblWeeks[Week_Start],INT((ROW()-2)/20)+1)</f>
        <v>46342</v>
      </c>
      <c r="B904" t="str" cm="1">
        <f t="array" ref="B904">INDEX(tblDemandAssumptions[Customer_ID],MOD(ROW()-2,20)+1)</f>
        <v>C001</v>
      </c>
      <c r="C904" t="str" cm="1">
        <f t="array" ref="C904">INDEX(tblDemandAssumptions[Product_ID],MOD(ROW()-2,20)+1)</f>
        <v>P003</v>
      </c>
      <c r="D904" cm="1">
        <f t="array" ref="D904">INDEX(tblDemandAssumptions[Baseline_Weekly_Qty],MOD(ROW()-2,20)+1)</f>
        <v>3300</v>
      </c>
      <c r="E904">
        <f t="shared" si="112"/>
        <v>1.05</v>
      </c>
      <c r="F904">
        <v>1.04</v>
      </c>
      <c r="G904">
        <f t="shared" si="113"/>
        <v>3604</v>
      </c>
      <c r="H904">
        <v>1.02</v>
      </c>
      <c r="I904">
        <f t="shared" si="114"/>
        <v>3534</v>
      </c>
      <c r="J904" t="str">
        <f t="shared" si="115"/>
        <v>Normal</v>
      </c>
      <c r="K904">
        <f t="shared" si="116"/>
        <v>3604</v>
      </c>
      <c r="L904">
        <f t="shared" si="117"/>
        <v>70</v>
      </c>
      <c r="M904" s="2">
        <f t="shared" si="118"/>
        <v>1.9807583474816072E-2</v>
      </c>
      <c r="N904">
        <f t="shared" si="119"/>
        <v>70</v>
      </c>
    </row>
    <row r="905" spans="1:14">
      <c r="A905" s="1" cm="1">
        <f t="array" ref="A905">INDEX(tblWeeks[Week_Start],INT((ROW()-2)/20)+1)</f>
        <v>46342</v>
      </c>
      <c r="B905" t="str" cm="1">
        <f t="array" ref="B905">INDEX(tblDemandAssumptions[Customer_ID],MOD(ROW()-2,20)+1)</f>
        <v>C001</v>
      </c>
      <c r="C905" t="str" cm="1">
        <f t="array" ref="C905">INDEX(tblDemandAssumptions[Product_ID],MOD(ROW()-2,20)+1)</f>
        <v>P004</v>
      </c>
      <c r="D905" cm="1">
        <f t="array" ref="D905">INDEX(tblDemandAssumptions[Baseline_Weekly_Qty],MOD(ROW()-2,20)+1)</f>
        <v>3600</v>
      </c>
      <c r="E905">
        <f t="shared" si="112"/>
        <v>1.05</v>
      </c>
      <c r="F905">
        <v>1.05</v>
      </c>
      <c r="G905">
        <f t="shared" si="113"/>
        <v>3969</v>
      </c>
      <c r="H905">
        <v>0.96</v>
      </c>
      <c r="I905">
        <f t="shared" si="114"/>
        <v>3629</v>
      </c>
      <c r="J905" t="str">
        <f t="shared" si="115"/>
        <v>Normal</v>
      </c>
      <c r="K905">
        <f t="shared" si="116"/>
        <v>3969</v>
      </c>
      <c r="L905">
        <f t="shared" si="117"/>
        <v>340</v>
      </c>
      <c r="M905" s="2">
        <f t="shared" si="118"/>
        <v>9.3689721686414984E-2</v>
      </c>
      <c r="N905">
        <f t="shared" si="119"/>
        <v>340</v>
      </c>
    </row>
    <row r="906" spans="1:14">
      <c r="A906" s="1" cm="1">
        <f t="array" ref="A906">INDEX(tblWeeks[Week_Start],INT((ROW()-2)/20)+1)</f>
        <v>46342</v>
      </c>
      <c r="B906" t="str" cm="1">
        <f t="array" ref="B906">INDEX(tblDemandAssumptions[Customer_ID],MOD(ROW()-2,20)+1)</f>
        <v>C001</v>
      </c>
      <c r="C906" t="str" cm="1">
        <f t="array" ref="C906">INDEX(tblDemandAssumptions[Product_ID],MOD(ROW()-2,20)+1)</f>
        <v>P005</v>
      </c>
      <c r="D906" cm="1">
        <f t="array" ref="D906">INDEX(tblDemandAssumptions[Baseline_Weekly_Qty],MOD(ROW()-2,20)+1)</f>
        <v>2800</v>
      </c>
      <c r="E906">
        <f t="shared" si="112"/>
        <v>1.05</v>
      </c>
      <c r="F906">
        <v>1</v>
      </c>
      <c r="G906">
        <f t="shared" si="113"/>
        <v>2940</v>
      </c>
      <c r="H906">
        <v>0.98</v>
      </c>
      <c r="I906">
        <f t="shared" si="114"/>
        <v>2881</v>
      </c>
      <c r="J906" t="str">
        <f t="shared" si="115"/>
        <v>Normal</v>
      </c>
      <c r="K906">
        <f t="shared" si="116"/>
        <v>2940</v>
      </c>
      <c r="L906">
        <f t="shared" si="117"/>
        <v>59</v>
      </c>
      <c r="M906" s="2">
        <f t="shared" si="118"/>
        <v>2.0479000347101702E-2</v>
      </c>
      <c r="N906">
        <f t="shared" si="119"/>
        <v>59</v>
      </c>
    </row>
    <row r="907" spans="1:14">
      <c r="A907" s="1" cm="1">
        <f t="array" ref="A907">INDEX(tblWeeks[Week_Start],INT((ROW()-2)/20)+1)</f>
        <v>46342</v>
      </c>
      <c r="B907" t="str" cm="1">
        <f t="array" ref="B907">INDEX(tblDemandAssumptions[Customer_ID],MOD(ROW()-2,20)+1)</f>
        <v>C002</v>
      </c>
      <c r="C907" t="str" cm="1">
        <f t="array" ref="C907">INDEX(tblDemandAssumptions[Product_ID],MOD(ROW()-2,20)+1)</f>
        <v>P001</v>
      </c>
      <c r="D907" cm="1">
        <f t="array" ref="D907">INDEX(tblDemandAssumptions[Baseline_Weekly_Qty],MOD(ROW()-2,20)+1)</f>
        <v>3400</v>
      </c>
      <c r="E907">
        <f t="shared" si="112"/>
        <v>1.05</v>
      </c>
      <c r="F907">
        <v>0.99</v>
      </c>
      <c r="G907">
        <f t="shared" si="113"/>
        <v>3534</v>
      </c>
      <c r="H907">
        <v>0.99</v>
      </c>
      <c r="I907">
        <f t="shared" si="114"/>
        <v>3534</v>
      </c>
      <c r="J907" t="str">
        <f t="shared" si="115"/>
        <v>Normal</v>
      </c>
      <c r="K907">
        <f t="shared" si="116"/>
        <v>3534</v>
      </c>
      <c r="L907">
        <f t="shared" si="117"/>
        <v>0</v>
      </c>
      <c r="M907" s="2">
        <f t="shared" si="118"/>
        <v>0</v>
      </c>
      <c r="N907">
        <f t="shared" si="119"/>
        <v>0</v>
      </c>
    </row>
    <row r="908" spans="1:14">
      <c r="A908" s="1" cm="1">
        <f t="array" ref="A908">INDEX(tblWeeks[Week_Start],INT((ROW()-2)/20)+1)</f>
        <v>46342</v>
      </c>
      <c r="B908" t="str" cm="1">
        <f t="array" ref="B908">INDEX(tblDemandAssumptions[Customer_ID],MOD(ROW()-2,20)+1)</f>
        <v>C002</v>
      </c>
      <c r="C908" t="str" cm="1">
        <f t="array" ref="C908">INDEX(tblDemandAssumptions[Product_ID],MOD(ROW()-2,20)+1)</f>
        <v>P002</v>
      </c>
      <c r="D908" cm="1">
        <f t="array" ref="D908">INDEX(tblDemandAssumptions[Baseline_Weekly_Qty],MOD(ROW()-2,20)+1)</f>
        <v>3200</v>
      </c>
      <c r="E908">
        <f t="shared" si="112"/>
        <v>1.05</v>
      </c>
      <c r="F908">
        <v>0.97</v>
      </c>
      <c r="G908">
        <f t="shared" si="113"/>
        <v>3259</v>
      </c>
      <c r="H908">
        <v>1</v>
      </c>
      <c r="I908">
        <f t="shared" si="114"/>
        <v>3360</v>
      </c>
      <c r="J908" t="str">
        <f t="shared" si="115"/>
        <v>Normal</v>
      </c>
      <c r="K908">
        <f t="shared" si="116"/>
        <v>3259</v>
      </c>
      <c r="L908">
        <f t="shared" si="117"/>
        <v>-101</v>
      </c>
      <c r="M908" s="2">
        <f t="shared" si="118"/>
        <v>-3.005952380952381E-2</v>
      </c>
      <c r="N908">
        <f t="shared" si="119"/>
        <v>101</v>
      </c>
    </row>
    <row r="909" spans="1:14">
      <c r="A909" s="1" cm="1">
        <f t="array" ref="A909">INDEX(tblWeeks[Week_Start],INT((ROW()-2)/20)+1)</f>
        <v>46342</v>
      </c>
      <c r="B909" t="str" cm="1">
        <f t="array" ref="B909">INDEX(tblDemandAssumptions[Customer_ID],MOD(ROW()-2,20)+1)</f>
        <v>C002</v>
      </c>
      <c r="C909" t="str" cm="1">
        <f t="array" ref="C909">INDEX(tblDemandAssumptions[Product_ID],MOD(ROW()-2,20)+1)</f>
        <v>P003</v>
      </c>
      <c r="D909" cm="1">
        <f t="array" ref="D909">INDEX(tblDemandAssumptions[Baseline_Weekly_Qty],MOD(ROW()-2,20)+1)</f>
        <v>2600</v>
      </c>
      <c r="E909">
        <f t="shared" si="112"/>
        <v>1.05</v>
      </c>
      <c r="F909">
        <v>1.04</v>
      </c>
      <c r="G909">
        <f t="shared" si="113"/>
        <v>2839</v>
      </c>
      <c r="H909">
        <v>1.03</v>
      </c>
      <c r="I909">
        <f t="shared" si="114"/>
        <v>2812</v>
      </c>
      <c r="J909" t="str">
        <f t="shared" si="115"/>
        <v>Normal</v>
      </c>
      <c r="K909">
        <f t="shared" si="116"/>
        <v>2839</v>
      </c>
      <c r="L909">
        <f t="shared" si="117"/>
        <v>27</v>
      </c>
      <c r="M909" s="2">
        <f t="shared" si="118"/>
        <v>9.6017069701280228E-3</v>
      </c>
      <c r="N909">
        <f t="shared" si="119"/>
        <v>27</v>
      </c>
    </row>
    <row r="910" spans="1:14">
      <c r="A910" s="1" cm="1">
        <f t="array" ref="A910">INDEX(tblWeeks[Week_Start],INT((ROW()-2)/20)+1)</f>
        <v>46342</v>
      </c>
      <c r="B910" t="str" cm="1">
        <f t="array" ref="B910">INDEX(tblDemandAssumptions[Customer_ID],MOD(ROW()-2,20)+1)</f>
        <v>C002</v>
      </c>
      <c r="C910" t="str" cm="1">
        <f t="array" ref="C910">INDEX(tblDemandAssumptions[Product_ID],MOD(ROW()-2,20)+1)</f>
        <v>P004</v>
      </c>
      <c r="D910" cm="1">
        <f t="array" ref="D910">INDEX(tblDemandAssumptions[Baseline_Weekly_Qty],MOD(ROW()-2,20)+1)</f>
        <v>2900</v>
      </c>
      <c r="E910">
        <f t="shared" si="112"/>
        <v>1.05</v>
      </c>
      <c r="F910">
        <v>1.02</v>
      </c>
      <c r="G910">
        <f t="shared" si="113"/>
        <v>3106</v>
      </c>
      <c r="H910">
        <v>1</v>
      </c>
      <c r="I910">
        <f t="shared" si="114"/>
        <v>3045</v>
      </c>
      <c r="J910" t="str">
        <f t="shared" si="115"/>
        <v>Normal</v>
      </c>
      <c r="K910">
        <f t="shared" si="116"/>
        <v>3106</v>
      </c>
      <c r="L910">
        <f t="shared" si="117"/>
        <v>61</v>
      </c>
      <c r="M910" s="2">
        <f t="shared" si="118"/>
        <v>2.0032840722495896E-2</v>
      </c>
      <c r="N910">
        <f t="shared" si="119"/>
        <v>61</v>
      </c>
    </row>
    <row r="911" spans="1:14">
      <c r="A911" s="1" cm="1">
        <f t="array" ref="A911">INDEX(tblWeeks[Week_Start],INT((ROW()-2)/20)+1)</f>
        <v>46342</v>
      </c>
      <c r="B911" t="str" cm="1">
        <f t="array" ref="B911">INDEX(tblDemandAssumptions[Customer_ID],MOD(ROW()-2,20)+1)</f>
        <v>C002</v>
      </c>
      <c r="C911" t="str" cm="1">
        <f t="array" ref="C911">INDEX(tblDemandAssumptions[Product_ID],MOD(ROW()-2,20)+1)</f>
        <v>P005</v>
      </c>
      <c r="D911" cm="1">
        <f t="array" ref="D911">INDEX(tblDemandAssumptions[Baseline_Weekly_Qty],MOD(ROW()-2,20)+1)</f>
        <v>2200</v>
      </c>
      <c r="E911">
        <f t="shared" si="112"/>
        <v>1.05</v>
      </c>
      <c r="F911">
        <v>0.97</v>
      </c>
      <c r="G911">
        <f t="shared" si="113"/>
        <v>2241</v>
      </c>
      <c r="H911">
        <v>1</v>
      </c>
      <c r="I911">
        <f t="shared" si="114"/>
        <v>2310</v>
      </c>
      <c r="J911" t="str">
        <f t="shared" si="115"/>
        <v>Normal</v>
      </c>
      <c r="K911">
        <f t="shared" si="116"/>
        <v>2241</v>
      </c>
      <c r="L911">
        <f t="shared" si="117"/>
        <v>-69</v>
      </c>
      <c r="M911" s="2">
        <f t="shared" si="118"/>
        <v>-2.987012987012987E-2</v>
      </c>
      <c r="N911">
        <f t="shared" si="119"/>
        <v>69</v>
      </c>
    </row>
    <row r="912" spans="1:14">
      <c r="A912" s="1" cm="1">
        <f t="array" ref="A912">INDEX(tblWeeks[Week_Start],INT((ROW()-2)/20)+1)</f>
        <v>46342</v>
      </c>
      <c r="B912" t="str" cm="1">
        <f t="array" ref="B912">INDEX(tblDemandAssumptions[Customer_ID],MOD(ROW()-2,20)+1)</f>
        <v>C003</v>
      </c>
      <c r="C912" t="str" cm="1">
        <f t="array" ref="C912">INDEX(tblDemandAssumptions[Product_ID],MOD(ROW()-2,20)+1)</f>
        <v>P001</v>
      </c>
      <c r="D912" cm="1">
        <f t="array" ref="D912">INDEX(tblDemandAssumptions[Baseline_Weekly_Qty],MOD(ROW()-2,20)+1)</f>
        <v>3000</v>
      </c>
      <c r="E912">
        <f t="shared" si="112"/>
        <v>1.05</v>
      </c>
      <c r="F912">
        <v>1.01</v>
      </c>
      <c r="G912">
        <f t="shared" si="113"/>
        <v>3182</v>
      </c>
      <c r="H912">
        <v>1.01</v>
      </c>
      <c r="I912">
        <f t="shared" si="114"/>
        <v>3182</v>
      </c>
      <c r="J912" t="str">
        <f t="shared" si="115"/>
        <v>Normal</v>
      </c>
      <c r="K912">
        <f t="shared" si="116"/>
        <v>3182</v>
      </c>
      <c r="L912">
        <f t="shared" si="117"/>
        <v>0</v>
      </c>
      <c r="M912" s="2">
        <f t="shared" si="118"/>
        <v>0</v>
      </c>
      <c r="N912">
        <f t="shared" si="119"/>
        <v>0</v>
      </c>
    </row>
    <row r="913" spans="1:14">
      <c r="A913" s="1" cm="1">
        <f t="array" ref="A913">INDEX(tblWeeks[Week_Start],INT((ROW()-2)/20)+1)</f>
        <v>46342</v>
      </c>
      <c r="B913" t="str" cm="1">
        <f t="array" ref="B913">INDEX(tblDemandAssumptions[Customer_ID],MOD(ROW()-2,20)+1)</f>
        <v>C003</v>
      </c>
      <c r="C913" t="str" cm="1">
        <f t="array" ref="C913">INDEX(tblDemandAssumptions[Product_ID],MOD(ROW()-2,20)+1)</f>
        <v>P002</v>
      </c>
      <c r="D913" cm="1">
        <f t="array" ref="D913">INDEX(tblDemandAssumptions[Baseline_Weekly_Qty],MOD(ROW()-2,20)+1)</f>
        <v>2700</v>
      </c>
      <c r="E913">
        <f t="shared" si="112"/>
        <v>1.05</v>
      </c>
      <c r="F913">
        <v>1.02</v>
      </c>
      <c r="G913">
        <f t="shared" si="113"/>
        <v>2892</v>
      </c>
      <c r="H913">
        <v>0.97</v>
      </c>
      <c r="I913">
        <f t="shared" si="114"/>
        <v>2750</v>
      </c>
      <c r="J913" t="str">
        <f t="shared" si="115"/>
        <v>Normal</v>
      </c>
      <c r="K913">
        <f t="shared" si="116"/>
        <v>2892</v>
      </c>
      <c r="L913">
        <f t="shared" si="117"/>
        <v>142</v>
      </c>
      <c r="M913" s="2">
        <f t="shared" si="118"/>
        <v>5.1636363636363633E-2</v>
      </c>
      <c r="N913">
        <f t="shared" si="119"/>
        <v>142</v>
      </c>
    </row>
    <row r="914" spans="1:14">
      <c r="A914" s="1" cm="1">
        <f t="array" ref="A914">INDEX(tblWeeks[Week_Start],INT((ROW()-2)/20)+1)</f>
        <v>46342</v>
      </c>
      <c r="B914" t="str" cm="1">
        <f t="array" ref="B914">INDEX(tblDemandAssumptions[Customer_ID],MOD(ROW()-2,20)+1)</f>
        <v>C003</v>
      </c>
      <c r="C914" t="str" cm="1">
        <f t="array" ref="C914">INDEX(tblDemandAssumptions[Product_ID],MOD(ROW()-2,20)+1)</f>
        <v>P003</v>
      </c>
      <c r="D914" cm="1">
        <f t="array" ref="D914">INDEX(tblDemandAssumptions[Baseline_Weekly_Qty],MOD(ROW()-2,20)+1)</f>
        <v>2800</v>
      </c>
      <c r="E914">
        <f t="shared" si="112"/>
        <v>1.05</v>
      </c>
      <c r="F914">
        <v>1.02</v>
      </c>
      <c r="G914">
        <f t="shared" si="113"/>
        <v>2999</v>
      </c>
      <c r="H914">
        <v>0.97</v>
      </c>
      <c r="I914">
        <f t="shared" si="114"/>
        <v>2852</v>
      </c>
      <c r="J914" t="str">
        <f t="shared" si="115"/>
        <v>Normal</v>
      </c>
      <c r="K914">
        <f t="shared" si="116"/>
        <v>2999</v>
      </c>
      <c r="L914">
        <f t="shared" si="117"/>
        <v>147</v>
      </c>
      <c r="M914" s="2">
        <f t="shared" si="118"/>
        <v>5.1542776998597474E-2</v>
      </c>
      <c r="N914">
        <f t="shared" si="119"/>
        <v>147</v>
      </c>
    </row>
    <row r="915" spans="1:14">
      <c r="A915" s="1" cm="1">
        <f t="array" ref="A915">INDEX(tblWeeks[Week_Start],INT((ROW()-2)/20)+1)</f>
        <v>46342</v>
      </c>
      <c r="B915" t="str" cm="1">
        <f t="array" ref="B915">INDEX(tblDemandAssumptions[Customer_ID],MOD(ROW()-2,20)+1)</f>
        <v>C003</v>
      </c>
      <c r="C915" t="str" cm="1">
        <f t="array" ref="C915">INDEX(tblDemandAssumptions[Product_ID],MOD(ROW()-2,20)+1)</f>
        <v>P004</v>
      </c>
      <c r="D915" cm="1">
        <f t="array" ref="D915">INDEX(tblDemandAssumptions[Baseline_Weekly_Qty],MOD(ROW()-2,20)+1)</f>
        <v>2400</v>
      </c>
      <c r="E915">
        <f t="shared" si="112"/>
        <v>1.05</v>
      </c>
      <c r="F915">
        <v>0.97</v>
      </c>
      <c r="G915">
        <f t="shared" si="113"/>
        <v>2444</v>
      </c>
      <c r="H915">
        <v>0.98</v>
      </c>
      <c r="I915">
        <f t="shared" si="114"/>
        <v>2470</v>
      </c>
      <c r="J915" t="str">
        <f t="shared" si="115"/>
        <v>Normal</v>
      </c>
      <c r="K915">
        <f t="shared" si="116"/>
        <v>2444</v>
      </c>
      <c r="L915">
        <f t="shared" si="117"/>
        <v>-26</v>
      </c>
      <c r="M915" s="2">
        <f t="shared" si="118"/>
        <v>-1.0526315789473684E-2</v>
      </c>
      <c r="N915">
        <f t="shared" si="119"/>
        <v>26</v>
      </c>
    </row>
    <row r="916" spans="1:14">
      <c r="A916" s="1" cm="1">
        <f t="array" ref="A916">INDEX(tblWeeks[Week_Start],INT((ROW()-2)/20)+1)</f>
        <v>46342</v>
      </c>
      <c r="B916" t="str" cm="1">
        <f t="array" ref="B916">INDEX(tblDemandAssumptions[Customer_ID],MOD(ROW()-2,20)+1)</f>
        <v>C003</v>
      </c>
      <c r="C916" t="str" cm="1">
        <f t="array" ref="C916">INDEX(tblDemandAssumptions[Product_ID],MOD(ROW()-2,20)+1)</f>
        <v>P005</v>
      </c>
      <c r="D916" cm="1">
        <f t="array" ref="D916">INDEX(tblDemandAssumptions[Baseline_Weekly_Qty],MOD(ROW()-2,20)+1)</f>
        <v>1900</v>
      </c>
      <c r="E916">
        <f t="shared" si="112"/>
        <v>1.05</v>
      </c>
      <c r="F916">
        <v>0.99</v>
      </c>
      <c r="G916">
        <f t="shared" si="113"/>
        <v>1975</v>
      </c>
      <c r="H916">
        <v>1</v>
      </c>
      <c r="I916">
        <f t="shared" si="114"/>
        <v>1995</v>
      </c>
      <c r="J916" t="str">
        <f t="shared" si="115"/>
        <v>Normal</v>
      </c>
      <c r="K916">
        <f t="shared" si="116"/>
        <v>1975</v>
      </c>
      <c r="L916">
        <f t="shared" si="117"/>
        <v>-20</v>
      </c>
      <c r="M916" s="2">
        <f t="shared" si="118"/>
        <v>-1.0025062656641603E-2</v>
      </c>
      <c r="N916">
        <f t="shared" si="119"/>
        <v>20</v>
      </c>
    </row>
    <row r="917" spans="1:14">
      <c r="A917" s="1" cm="1">
        <f t="array" ref="A917">INDEX(tblWeeks[Week_Start],INT((ROW()-2)/20)+1)</f>
        <v>46342</v>
      </c>
      <c r="B917" t="str" cm="1">
        <f t="array" ref="B917">INDEX(tblDemandAssumptions[Customer_ID],MOD(ROW()-2,20)+1)</f>
        <v>C004</v>
      </c>
      <c r="C917" t="str" cm="1">
        <f t="array" ref="C917">INDEX(tblDemandAssumptions[Product_ID],MOD(ROW()-2,20)+1)</f>
        <v>P001</v>
      </c>
      <c r="D917" cm="1">
        <f t="array" ref="D917">INDEX(tblDemandAssumptions[Baseline_Weekly_Qty],MOD(ROW()-2,20)+1)</f>
        <v>2700</v>
      </c>
      <c r="E917">
        <f t="shared" si="112"/>
        <v>1.05</v>
      </c>
      <c r="F917">
        <v>1.01</v>
      </c>
      <c r="G917">
        <f t="shared" si="113"/>
        <v>2863</v>
      </c>
      <c r="H917">
        <v>1.04</v>
      </c>
      <c r="I917">
        <f t="shared" si="114"/>
        <v>2948</v>
      </c>
      <c r="J917" t="str">
        <f t="shared" si="115"/>
        <v>Normal</v>
      </c>
      <c r="K917">
        <f t="shared" si="116"/>
        <v>2863</v>
      </c>
      <c r="L917">
        <f t="shared" si="117"/>
        <v>-85</v>
      </c>
      <c r="M917" s="2">
        <f t="shared" si="118"/>
        <v>-2.8833107191316147E-2</v>
      </c>
      <c r="N917">
        <f t="shared" si="119"/>
        <v>85</v>
      </c>
    </row>
    <row r="918" spans="1:14">
      <c r="A918" s="1" cm="1">
        <f t="array" ref="A918">INDEX(tblWeeks[Week_Start],INT((ROW()-2)/20)+1)</f>
        <v>46342</v>
      </c>
      <c r="B918" t="str" cm="1">
        <f t="array" ref="B918">INDEX(tblDemandAssumptions[Customer_ID],MOD(ROW()-2,20)+1)</f>
        <v>C004</v>
      </c>
      <c r="C918" t="str" cm="1">
        <f t="array" ref="C918">INDEX(tblDemandAssumptions[Product_ID],MOD(ROW()-2,20)+1)</f>
        <v>P002</v>
      </c>
      <c r="D918" cm="1">
        <f t="array" ref="D918">INDEX(tblDemandAssumptions[Baseline_Weekly_Qty],MOD(ROW()-2,20)+1)</f>
        <v>2400</v>
      </c>
      <c r="E918">
        <f t="shared" si="112"/>
        <v>1.05</v>
      </c>
      <c r="F918">
        <v>1.04</v>
      </c>
      <c r="G918">
        <f t="shared" si="113"/>
        <v>2621</v>
      </c>
      <c r="H918">
        <v>0.98</v>
      </c>
      <c r="I918">
        <f t="shared" si="114"/>
        <v>2470</v>
      </c>
      <c r="J918" t="str">
        <f t="shared" si="115"/>
        <v>Normal</v>
      </c>
      <c r="K918">
        <f t="shared" si="116"/>
        <v>2621</v>
      </c>
      <c r="L918">
        <f t="shared" si="117"/>
        <v>151</v>
      </c>
      <c r="M918" s="2">
        <f t="shared" si="118"/>
        <v>6.1133603238866394E-2</v>
      </c>
      <c r="N918">
        <f t="shared" si="119"/>
        <v>151</v>
      </c>
    </row>
    <row r="919" spans="1:14">
      <c r="A919" s="1" cm="1">
        <f t="array" ref="A919">INDEX(tblWeeks[Week_Start],INT((ROW()-2)/20)+1)</f>
        <v>46342</v>
      </c>
      <c r="B919" t="str" cm="1">
        <f t="array" ref="B919">INDEX(tblDemandAssumptions[Customer_ID],MOD(ROW()-2,20)+1)</f>
        <v>C004</v>
      </c>
      <c r="C919" t="str" cm="1">
        <f t="array" ref="C919">INDEX(tblDemandAssumptions[Product_ID],MOD(ROW()-2,20)+1)</f>
        <v>P003</v>
      </c>
      <c r="D919" cm="1">
        <f t="array" ref="D919">INDEX(tblDemandAssumptions[Baseline_Weekly_Qty],MOD(ROW()-2,20)+1)</f>
        <v>2100</v>
      </c>
      <c r="E919">
        <f t="shared" si="112"/>
        <v>1.05</v>
      </c>
      <c r="F919">
        <v>0.98</v>
      </c>
      <c r="G919">
        <f t="shared" si="113"/>
        <v>2161</v>
      </c>
      <c r="H919">
        <v>1.02</v>
      </c>
      <c r="I919">
        <f t="shared" si="114"/>
        <v>2249</v>
      </c>
      <c r="J919" t="str">
        <f t="shared" si="115"/>
        <v>Normal</v>
      </c>
      <c r="K919">
        <f t="shared" si="116"/>
        <v>2161</v>
      </c>
      <c r="L919">
        <f t="shared" si="117"/>
        <v>-88</v>
      </c>
      <c r="M919" s="2">
        <f t="shared" si="118"/>
        <v>-3.9128501556247218E-2</v>
      </c>
      <c r="N919">
        <f t="shared" si="119"/>
        <v>88</v>
      </c>
    </row>
    <row r="920" spans="1:14">
      <c r="A920" s="1" cm="1">
        <f t="array" ref="A920">INDEX(tblWeeks[Week_Start],INT((ROW()-2)/20)+1)</f>
        <v>46342</v>
      </c>
      <c r="B920" t="str" cm="1">
        <f t="array" ref="B920">INDEX(tblDemandAssumptions[Customer_ID],MOD(ROW()-2,20)+1)</f>
        <v>C004</v>
      </c>
      <c r="C920" t="str" cm="1">
        <f t="array" ref="C920">INDEX(tblDemandAssumptions[Product_ID],MOD(ROW()-2,20)+1)</f>
        <v>P004</v>
      </c>
      <c r="D920" cm="1">
        <f t="array" ref="D920">INDEX(tblDemandAssumptions[Baseline_Weekly_Qty],MOD(ROW()-2,20)+1)</f>
        <v>2600</v>
      </c>
      <c r="E920">
        <f t="shared" si="112"/>
        <v>1.05</v>
      </c>
      <c r="F920">
        <v>1.01</v>
      </c>
      <c r="G920">
        <f t="shared" si="113"/>
        <v>2757</v>
      </c>
      <c r="H920">
        <v>0.99</v>
      </c>
      <c r="I920">
        <f t="shared" si="114"/>
        <v>2703</v>
      </c>
      <c r="J920" t="str">
        <f t="shared" si="115"/>
        <v>Normal</v>
      </c>
      <c r="K920">
        <f t="shared" si="116"/>
        <v>2757</v>
      </c>
      <c r="L920">
        <f t="shared" si="117"/>
        <v>54</v>
      </c>
      <c r="M920" s="2">
        <f t="shared" si="118"/>
        <v>1.9977802441731411E-2</v>
      </c>
      <c r="N920">
        <f t="shared" si="119"/>
        <v>54</v>
      </c>
    </row>
    <row r="921" spans="1:14">
      <c r="A921" s="1" cm="1">
        <f t="array" ref="A921">INDEX(tblWeeks[Week_Start],INT((ROW()-2)/20)+1)</f>
        <v>46342</v>
      </c>
      <c r="B921" t="str" cm="1">
        <f t="array" ref="B921">INDEX(tblDemandAssumptions[Customer_ID],MOD(ROW()-2,20)+1)</f>
        <v>C004</v>
      </c>
      <c r="C921" t="str" cm="1">
        <f t="array" ref="C921">INDEX(tblDemandAssumptions[Product_ID],MOD(ROW()-2,20)+1)</f>
        <v>P005</v>
      </c>
      <c r="D921" cm="1">
        <f t="array" ref="D921">INDEX(tblDemandAssumptions[Baseline_Weekly_Qty],MOD(ROW()-2,20)+1)</f>
        <v>1800</v>
      </c>
      <c r="E921">
        <f t="shared" si="112"/>
        <v>1.05</v>
      </c>
      <c r="F921">
        <v>1.03</v>
      </c>
      <c r="G921">
        <f t="shared" si="113"/>
        <v>1947</v>
      </c>
      <c r="H921">
        <v>0.99</v>
      </c>
      <c r="I921">
        <f t="shared" si="114"/>
        <v>1871</v>
      </c>
      <c r="J921" t="str">
        <f t="shared" si="115"/>
        <v>Normal</v>
      </c>
      <c r="K921">
        <f t="shared" si="116"/>
        <v>1947</v>
      </c>
      <c r="L921">
        <f t="shared" si="117"/>
        <v>76</v>
      </c>
      <c r="M921" s="2">
        <f t="shared" si="118"/>
        <v>4.0619989310529125E-2</v>
      </c>
      <c r="N921">
        <f t="shared" si="119"/>
        <v>76</v>
      </c>
    </row>
    <row r="922" spans="1:14">
      <c r="A922" s="1" cm="1">
        <f t="array" ref="A922">INDEX(tblWeeks[Week_Start],INT((ROW()-2)/20)+1)</f>
        <v>46349</v>
      </c>
      <c r="B922" t="str" cm="1">
        <f t="array" ref="B922">INDEX(tblDemandAssumptions[Customer_ID],MOD(ROW()-2,20)+1)</f>
        <v>C001</v>
      </c>
      <c r="C922" t="str" cm="1">
        <f t="array" ref="C922">INDEX(tblDemandAssumptions[Product_ID],MOD(ROW()-2,20)+1)</f>
        <v>P001</v>
      </c>
      <c r="D922" cm="1">
        <f t="array" ref="D922">INDEX(tblDemandAssumptions[Baseline_Weekly_Qty],MOD(ROW()-2,20)+1)</f>
        <v>5200</v>
      </c>
      <c r="E922">
        <f t="shared" si="112"/>
        <v>1.05</v>
      </c>
      <c r="F922">
        <v>1</v>
      </c>
      <c r="G922">
        <f t="shared" si="113"/>
        <v>5460</v>
      </c>
      <c r="H922">
        <v>1.01</v>
      </c>
      <c r="I922">
        <f t="shared" si="114"/>
        <v>5515</v>
      </c>
      <c r="J922" t="str">
        <f t="shared" si="115"/>
        <v>Normal</v>
      </c>
      <c r="K922">
        <f t="shared" si="116"/>
        <v>5460</v>
      </c>
      <c r="L922">
        <f t="shared" si="117"/>
        <v>-55</v>
      </c>
      <c r="M922" s="2">
        <f t="shared" si="118"/>
        <v>-9.9728014505893019E-3</v>
      </c>
      <c r="N922">
        <f t="shared" si="119"/>
        <v>55</v>
      </c>
    </row>
    <row r="923" spans="1:14">
      <c r="A923" s="1" cm="1">
        <f t="array" ref="A923">INDEX(tblWeeks[Week_Start],INT((ROW()-2)/20)+1)</f>
        <v>46349</v>
      </c>
      <c r="B923" t="str" cm="1">
        <f t="array" ref="B923">INDEX(tblDemandAssumptions[Customer_ID],MOD(ROW()-2,20)+1)</f>
        <v>C001</v>
      </c>
      <c r="C923" t="str" cm="1">
        <f t="array" ref="C923">INDEX(tblDemandAssumptions[Product_ID],MOD(ROW()-2,20)+1)</f>
        <v>P002</v>
      </c>
      <c r="D923" cm="1">
        <f t="array" ref="D923">INDEX(tblDemandAssumptions[Baseline_Weekly_Qty],MOD(ROW()-2,20)+1)</f>
        <v>4100</v>
      </c>
      <c r="E923">
        <f t="shared" si="112"/>
        <v>1.05</v>
      </c>
      <c r="F923">
        <v>0.97</v>
      </c>
      <c r="G923">
        <f t="shared" si="113"/>
        <v>4176</v>
      </c>
      <c r="H923">
        <v>0.99</v>
      </c>
      <c r="I923">
        <f t="shared" si="114"/>
        <v>4262</v>
      </c>
      <c r="J923" t="str">
        <f t="shared" si="115"/>
        <v>Normal</v>
      </c>
      <c r="K923">
        <f t="shared" si="116"/>
        <v>4176</v>
      </c>
      <c r="L923">
        <f t="shared" si="117"/>
        <v>-86</v>
      </c>
      <c r="M923" s="2">
        <f t="shared" si="118"/>
        <v>-2.017832003754106E-2</v>
      </c>
      <c r="N923">
        <f t="shared" si="119"/>
        <v>86</v>
      </c>
    </row>
    <row r="924" spans="1:14">
      <c r="A924" s="1" cm="1">
        <f t="array" ref="A924">INDEX(tblWeeks[Week_Start],INT((ROW()-2)/20)+1)</f>
        <v>46349</v>
      </c>
      <c r="B924" t="str" cm="1">
        <f t="array" ref="B924">INDEX(tblDemandAssumptions[Customer_ID],MOD(ROW()-2,20)+1)</f>
        <v>C001</v>
      </c>
      <c r="C924" t="str" cm="1">
        <f t="array" ref="C924">INDEX(tblDemandAssumptions[Product_ID],MOD(ROW()-2,20)+1)</f>
        <v>P003</v>
      </c>
      <c r="D924" cm="1">
        <f t="array" ref="D924">INDEX(tblDemandAssumptions[Baseline_Weekly_Qty],MOD(ROW()-2,20)+1)</f>
        <v>3300</v>
      </c>
      <c r="E924">
        <f t="shared" si="112"/>
        <v>1.05</v>
      </c>
      <c r="F924">
        <v>1.02</v>
      </c>
      <c r="G924">
        <f t="shared" si="113"/>
        <v>3534</v>
      </c>
      <c r="H924">
        <v>0.96</v>
      </c>
      <c r="I924">
        <f t="shared" si="114"/>
        <v>3326</v>
      </c>
      <c r="J924" t="str">
        <f t="shared" si="115"/>
        <v>Normal</v>
      </c>
      <c r="K924">
        <f t="shared" si="116"/>
        <v>3534</v>
      </c>
      <c r="L924">
        <f t="shared" si="117"/>
        <v>208</v>
      </c>
      <c r="M924" s="2">
        <f t="shared" si="118"/>
        <v>6.2537582681900183E-2</v>
      </c>
      <c r="N924">
        <f t="shared" si="119"/>
        <v>208</v>
      </c>
    </row>
    <row r="925" spans="1:14">
      <c r="A925" s="1" cm="1">
        <f t="array" ref="A925">INDEX(tblWeeks[Week_Start],INT((ROW()-2)/20)+1)</f>
        <v>46349</v>
      </c>
      <c r="B925" t="str" cm="1">
        <f t="array" ref="B925">INDEX(tblDemandAssumptions[Customer_ID],MOD(ROW()-2,20)+1)</f>
        <v>C001</v>
      </c>
      <c r="C925" t="str" cm="1">
        <f t="array" ref="C925">INDEX(tblDemandAssumptions[Product_ID],MOD(ROW()-2,20)+1)</f>
        <v>P004</v>
      </c>
      <c r="D925" cm="1">
        <f t="array" ref="D925">INDEX(tblDemandAssumptions[Baseline_Weekly_Qty],MOD(ROW()-2,20)+1)</f>
        <v>3600</v>
      </c>
      <c r="E925">
        <f t="shared" si="112"/>
        <v>1.05</v>
      </c>
      <c r="F925">
        <v>1.03</v>
      </c>
      <c r="G925">
        <f t="shared" si="113"/>
        <v>3893</v>
      </c>
      <c r="H925">
        <v>1.03</v>
      </c>
      <c r="I925">
        <f t="shared" si="114"/>
        <v>3893</v>
      </c>
      <c r="J925" t="str">
        <f t="shared" si="115"/>
        <v>Normal</v>
      </c>
      <c r="K925">
        <f t="shared" si="116"/>
        <v>3893</v>
      </c>
      <c r="L925">
        <f t="shared" si="117"/>
        <v>0</v>
      </c>
      <c r="M925" s="2">
        <f t="shared" si="118"/>
        <v>0</v>
      </c>
      <c r="N925">
        <f t="shared" si="119"/>
        <v>0</v>
      </c>
    </row>
    <row r="926" spans="1:14">
      <c r="A926" s="1" cm="1">
        <f t="array" ref="A926">INDEX(tblWeeks[Week_Start],INT((ROW()-2)/20)+1)</f>
        <v>46349</v>
      </c>
      <c r="B926" t="str" cm="1">
        <f t="array" ref="B926">INDEX(tblDemandAssumptions[Customer_ID],MOD(ROW()-2,20)+1)</f>
        <v>C001</v>
      </c>
      <c r="C926" t="str" cm="1">
        <f t="array" ref="C926">INDEX(tblDemandAssumptions[Product_ID],MOD(ROW()-2,20)+1)</f>
        <v>P005</v>
      </c>
      <c r="D926" cm="1">
        <f t="array" ref="D926">INDEX(tblDemandAssumptions[Baseline_Weekly_Qty],MOD(ROW()-2,20)+1)</f>
        <v>2800</v>
      </c>
      <c r="E926">
        <f t="shared" si="112"/>
        <v>1.05</v>
      </c>
      <c r="F926">
        <v>1.04</v>
      </c>
      <c r="G926">
        <f t="shared" si="113"/>
        <v>3058</v>
      </c>
      <c r="H926">
        <v>0.96</v>
      </c>
      <c r="I926">
        <f t="shared" si="114"/>
        <v>2822</v>
      </c>
      <c r="J926" t="str">
        <f t="shared" si="115"/>
        <v>Normal</v>
      </c>
      <c r="K926">
        <f t="shared" si="116"/>
        <v>3058</v>
      </c>
      <c r="L926">
        <f t="shared" si="117"/>
        <v>236</v>
      </c>
      <c r="M926" s="2">
        <f t="shared" si="118"/>
        <v>8.3628632175761872E-2</v>
      </c>
      <c r="N926">
        <f t="shared" si="119"/>
        <v>236</v>
      </c>
    </row>
    <row r="927" spans="1:14">
      <c r="A927" s="1" cm="1">
        <f t="array" ref="A927">INDEX(tblWeeks[Week_Start],INT((ROW()-2)/20)+1)</f>
        <v>46349</v>
      </c>
      <c r="B927" t="str" cm="1">
        <f t="array" ref="B927">INDEX(tblDemandAssumptions[Customer_ID],MOD(ROW()-2,20)+1)</f>
        <v>C002</v>
      </c>
      <c r="C927" t="str" cm="1">
        <f t="array" ref="C927">INDEX(tblDemandAssumptions[Product_ID],MOD(ROW()-2,20)+1)</f>
        <v>P001</v>
      </c>
      <c r="D927" cm="1">
        <f t="array" ref="D927">INDEX(tblDemandAssumptions[Baseline_Weekly_Qty],MOD(ROW()-2,20)+1)</f>
        <v>3400</v>
      </c>
      <c r="E927">
        <f t="shared" si="112"/>
        <v>1.05</v>
      </c>
      <c r="F927">
        <v>1.02</v>
      </c>
      <c r="G927">
        <f t="shared" si="113"/>
        <v>3641</v>
      </c>
      <c r="H927">
        <v>1</v>
      </c>
      <c r="I927">
        <f t="shared" si="114"/>
        <v>3570</v>
      </c>
      <c r="J927" t="str">
        <f t="shared" si="115"/>
        <v>Normal</v>
      </c>
      <c r="K927">
        <f t="shared" si="116"/>
        <v>3641</v>
      </c>
      <c r="L927">
        <f t="shared" si="117"/>
        <v>71</v>
      </c>
      <c r="M927" s="2">
        <f t="shared" si="118"/>
        <v>1.9887955182072828E-2</v>
      </c>
      <c r="N927">
        <f t="shared" si="119"/>
        <v>71</v>
      </c>
    </row>
    <row r="928" spans="1:14">
      <c r="A928" s="1" cm="1">
        <f t="array" ref="A928">INDEX(tblWeeks[Week_Start],INT((ROW()-2)/20)+1)</f>
        <v>46349</v>
      </c>
      <c r="B928" t="str" cm="1">
        <f t="array" ref="B928">INDEX(tblDemandAssumptions[Customer_ID],MOD(ROW()-2,20)+1)</f>
        <v>C002</v>
      </c>
      <c r="C928" t="str" cm="1">
        <f t="array" ref="C928">INDEX(tblDemandAssumptions[Product_ID],MOD(ROW()-2,20)+1)</f>
        <v>P002</v>
      </c>
      <c r="D928" cm="1">
        <f t="array" ref="D928">INDEX(tblDemandAssumptions[Baseline_Weekly_Qty],MOD(ROW()-2,20)+1)</f>
        <v>3200</v>
      </c>
      <c r="E928">
        <f t="shared" si="112"/>
        <v>1.05</v>
      </c>
      <c r="F928">
        <v>0.95</v>
      </c>
      <c r="G928">
        <f t="shared" si="113"/>
        <v>3192</v>
      </c>
      <c r="H928">
        <v>0.97</v>
      </c>
      <c r="I928">
        <f t="shared" si="114"/>
        <v>3259</v>
      </c>
      <c r="J928" t="str">
        <f t="shared" si="115"/>
        <v>Normal</v>
      </c>
      <c r="K928">
        <f t="shared" si="116"/>
        <v>3192</v>
      </c>
      <c r="L928">
        <f t="shared" si="117"/>
        <v>-67</v>
      </c>
      <c r="M928" s="2">
        <f t="shared" si="118"/>
        <v>-2.0558453513347653E-2</v>
      </c>
      <c r="N928">
        <f t="shared" si="119"/>
        <v>67</v>
      </c>
    </row>
    <row r="929" spans="1:14">
      <c r="A929" s="1" cm="1">
        <f t="array" ref="A929">INDEX(tblWeeks[Week_Start],INT((ROW()-2)/20)+1)</f>
        <v>46349</v>
      </c>
      <c r="B929" t="str" cm="1">
        <f t="array" ref="B929">INDEX(tblDemandAssumptions[Customer_ID],MOD(ROW()-2,20)+1)</f>
        <v>C002</v>
      </c>
      <c r="C929" t="str" cm="1">
        <f t="array" ref="C929">INDEX(tblDemandAssumptions[Product_ID],MOD(ROW()-2,20)+1)</f>
        <v>P003</v>
      </c>
      <c r="D929" cm="1">
        <f t="array" ref="D929">INDEX(tblDemandAssumptions[Baseline_Weekly_Qty],MOD(ROW()-2,20)+1)</f>
        <v>2600</v>
      </c>
      <c r="E929">
        <f t="shared" si="112"/>
        <v>1.05</v>
      </c>
      <c r="F929">
        <v>1.01</v>
      </c>
      <c r="G929">
        <f t="shared" si="113"/>
        <v>2757</v>
      </c>
      <c r="H929">
        <v>1.04</v>
      </c>
      <c r="I929">
        <f t="shared" si="114"/>
        <v>2839</v>
      </c>
      <c r="J929" t="str">
        <f t="shared" si="115"/>
        <v>Normal</v>
      </c>
      <c r="K929">
        <f t="shared" si="116"/>
        <v>2757</v>
      </c>
      <c r="L929">
        <f t="shared" si="117"/>
        <v>-82</v>
      </c>
      <c r="M929" s="2">
        <f t="shared" si="118"/>
        <v>-2.8883409651285663E-2</v>
      </c>
      <c r="N929">
        <f t="shared" si="119"/>
        <v>82</v>
      </c>
    </row>
    <row r="930" spans="1:14">
      <c r="A930" s="1" cm="1">
        <f t="array" ref="A930">INDEX(tblWeeks[Week_Start],INT((ROW()-2)/20)+1)</f>
        <v>46349</v>
      </c>
      <c r="B930" t="str" cm="1">
        <f t="array" ref="B930">INDEX(tblDemandAssumptions[Customer_ID],MOD(ROW()-2,20)+1)</f>
        <v>C002</v>
      </c>
      <c r="C930" t="str" cm="1">
        <f t="array" ref="C930">INDEX(tblDemandAssumptions[Product_ID],MOD(ROW()-2,20)+1)</f>
        <v>P004</v>
      </c>
      <c r="D930" cm="1">
        <f t="array" ref="D930">INDEX(tblDemandAssumptions[Baseline_Weekly_Qty],MOD(ROW()-2,20)+1)</f>
        <v>2900</v>
      </c>
      <c r="E930">
        <f t="shared" si="112"/>
        <v>1.05</v>
      </c>
      <c r="F930">
        <v>1</v>
      </c>
      <c r="G930">
        <f t="shared" si="113"/>
        <v>3045</v>
      </c>
      <c r="H930">
        <v>0.97</v>
      </c>
      <c r="I930">
        <f t="shared" si="114"/>
        <v>2954</v>
      </c>
      <c r="J930" t="str">
        <f t="shared" si="115"/>
        <v>Normal</v>
      </c>
      <c r="K930">
        <f t="shared" si="116"/>
        <v>3045</v>
      </c>
      <c r="L930">
        <f t="shared" si="117"/>
        <v>91</v>
      </c>
      <c r="M930" s="2">
        <f t="shared" si="118"/>
        <v>3.0805687203791468E-2</v>
      </c>
      <c r="N930">
        <f t="shared" si="119"/>
        <v>91</v>
      </c>
    </row>
    <row r="931" spans="1:14">
      <c r="A931" s="1" cm="1">
        <f t="array" ref="A931">INDEX(tblWeeks[Week_Start],INT((ROW()-2)/20)+1)</f>
        <v>46349</v>
      </c>
      <c r="B931" t="str" cm="1">
        <f t="array" ref="B931">INDEX(tblDemandAssumptions[Customer_ID],MOD(ROW()-2,20)+1)</f>
        <v>C002</v>
      </c>
      <c r="C931" t="str" cm="1">
        <f t="array" ref="C931">INDEX(tblDemandAssumptions[Product_ID],MOD(ROW()-2,20)+1)</f>
        <v>P005</v>
      </c>
      <c r="D931" cm="1">
        <f t="array" ref="D931">INDEX(tblDemandAssumptions[Baseline_Weekly_Qty],MOD(ROW()-2,20)+1)</f>
        <v>2200</v>
      </c>
      <c r="E931">
        <f t="shared" si="112"/>
        <v>1.05</v>
      </c>
      <c r="F931">
        <v>1</v>
      </c>
      <c r="G931">
        <f t="shared" si="113"/>
        <v>2310</v>
      </c>
      <c r="H931">
        <v>1.02</v>
      </c>
      <c r="I931">
        <f t="shared" si="114"/>
        <v>2356</v>
      </c>
      <c r="J931" t="str">
        <f t="shared" si="115"/>
        <v>Normal</v>
      </c>
      <c r="K931">
        <f t="shared" si="116"/>
        <v>2310</v>
      </c>
      <c r="L931">
        <f t="shared" si="117"/>
        <v>-46</v>
      </c>
      <c r="M931" s="2">
        <f t="shared" si="118"/>
        <v>-1.9524617996604415E-2</v>
      </c>
      <c r="N931">
        <f t="shared" si="119"/>
        <v>46</v>
      </c>
    </row>
    <row r="932" spans="1:14">
      <c r="A932" s="1" cm="1">
        <f t="array" ref="A932">INDEX(tblWeeks[Week_Start],INT((ROW()-2)/20)+1)</f>
        <v>46349</v>
      </c>
      <c r="B932" t="str" cm="1">
        <f t="array" ref="B932">INDEX(tblDemandAssumptions[Customer_ID],MOD(ROW()-2,20)+1)</f>
        <v>C003</v>
      </c>
      <c r="C932" t="str" cm="1">
        <f t="array" ref="C932">INDEX(tblDemandAssumptions[Product_ID],MOD(ROW()-2,20)+1)</f>
        <v>P001</v>
      </c>
      <c r="D932" cm="1">
        <f t="array" ref="D932">INDEX(tblDemandAssumptions[Baseline_Weekly_Qty],MOD(ROW()-2,20)+1)</f>
        <v>3000</v>
      </c>
      <c r="E932">
        <f t="shared" si="112"/>
        <v>1.05</v>
      </c>
      <c r="F932">
        <v>0.95</v>
      </c>
      <c r="G932">
        <f t="shared" si="113"/>
        <v>2993</v>
      </c>
      <c r="H932">
        <v>1.01</v>
      </c>
      <c r="I932">
        <f t="shared" si="114"/>
        <v>3182</v>
      </c>
      <c r="J932" t="str">
        <f t="shared" si="115"/>
        <v>Normal</v>
      </c>
      <c r="K932">
        <f t="shared" si="116"/>
        <v>2993</v>
      </c>
      <c r="L932">
        <f t="shared" si="117"/>
        <v>-189</v>
      </c>
      <c r="M932" s="2">
        <f t="shared" si="118"/>
        <v>-5.9396605908233813E-2</v>
      </c>
      <c r="N932">
        <f t="shared" si="119"/>
        <v>189</v>
      </c>
    </row>
    <row r="933" spans="1:14">
      <c r="A933" s="1" cm="1">
        <f t="array" ref="A933">INDEX(tblWeeks[Week_Start],INT((ROW()-2)/20)+1)</f>
        <v>46349</v>
      </c>
      <c r="B933" t="str" cm="1">
        <f t="array" ref="B933">INDEX(tblDemandAssumptions[Customer_ID],MOD(ROW()-2,20)+1)</f>
        <v>C003</v>
      </c>
      <c r="C933" t="str" cm="1">
        <f t="array" ref="C933">INDEX(tblDemandAssumptions[Product_ID],MOD(ROW()-2,20)+1)</f>
        <v>P002</v>
      </c>
      <c r="D933" cm="1">
        <f t="array" ref="D933">INDEX(tblDemandAssumptions[Baseline_Weekly_Qty],MOD(ROW()-2,20)+1)</f>
        <v>2700</v>
      </c>
      <c r="E933">
        <f t="shared" si="112"/>
        <v>1.05</v>
      </c>
      <c r="F933">
        <v>1.04</v>
      </c>
      <c r="G933">
        <f t="shared" si="113"/>
        <v>2948</v>
      </c>
      <c r="H933">
        <v>1</v>
      </c>
      <c r="I933">
        <f t="shared" si="114"/>
        <v>2835</v>
      </c>
      <c r="J933" t="str">
        <f t="shared" si="115"/>
        <v>Normal</v>
      </c>
      <c r="K933">
        <f t="shared" si="116"/>
        <v>2948</v>
      </c>
      <c r="L933">
        <f t="shared" si="117"/>
        <v>113</v>
      </c>
      <c r="M933" s="2">
        <f t="shared" si="118"/>
        <v>3.9858906525573196E-2</v>
      </c>
      <c r="N933">
        <f t="shared" si="119"/>
        <v>113</v>
      </c>
    </row>
    <row r="934" spans="1:14">
      <c r="A934" s="1" cm="1">
        <f t="array" ref="A934">INDEX(tblWeeks[Week_Start],INT((ROW()-2)/20)+1)</f>
        <v>46349</v>
      </c>
      <c r="B934" t="str" cm="1">
        <f t="array" ref="B934">INDEX(tblDemandAssumptions[Customer_ID],MOD(ROW()-2,20)+1)</f>
        <v>C003</v>
      </c>
      <c r="C934" t="str" cm="1">
        <f t="array" ref="C934">INDEX(tblDemandAssumptions[Product_ID],MOD(ROW()-2,20)+1)</f>
        <v>P003</v>
      </c>
      <c r="D934" cm="1">
        <f t="array" ref="D934">INDEX(tblDemandAssumptions[Baseline_Weekly_Qty],MOD(ROW()-2,20)+1)</f>
        <v>2800</v>
      </c>
      <c r="E934">
        <f t="shared" si="112"/>
        <v>1.05</v>
      </c>
      <c r="F934">
        <v>0.98</v>
      </c>
      <c r="G934">
        <f t="shared" si="113"/>
        <v>2881</v>
      </c>
      <c r="H934">
        <v>0.96</v>
      </c>
      <c r="I934">
        <f t="shared" si="114"/>
        <v>2822</v>
      </c>
      <c r="J934" t="str">
        <f t="shared" si="115"/>
        <v>Normal</v>
      </c>
      <c r="K934">
        <f t="shared" si="116"/>
        <v>2881</v>
      </c>
      <c r="L934">
        <f t="shared" si="117"/>
        <v>59</v>
      </c>
      <c r="M934" s="2">
        <f t="shared" si="118"/>
        <v>2.0907158043940468E-2</v>
      </c>
      <c r="N934">
        <f t="shared" si="119"/>
        <v>59</v>
      </c>
    </row>
    <row r="935" spans="1:14">
      <c r="A935" s="1" cm="1">
        <f t="array" ref="A935">INDEX(tblWeeks[Week_Start],INT((ROW()-2)/20)+1)</f>
        <v>46349</v>
      </c>
      <c r="B935" t="str" cm="1">
        <f t="array" ref="B935">INDEX(tblDemandAssumptions[Customer_ID],MOD(ROW()-2,20)+1)</f>
        <v>C003</v>
      </c>
      <c r="C935" t="str" cm="1">
        <f t="array" ref="C935">INDEX(tblDemandAssumptions[Product_ID],MOD(ROW()-2,20)+1)</f>
        <v>P004</v>
      </c>
      <c r="D935" cm="1">
        <f t="array" ref="D935">INDEX(tblDemandAssumptions[Baseline_Weekly_Qty],MOD(ROW()-2,20)+1)</f>
        <v>2400</v>
      </c>
      <c r="E935">
        <f t="shared" si="112"/>
        <v>1.05</v>
      </c>
      <c r="F935">
        <v>1.02</v>
      </c>
      <c r="G935">
        <f t="shared" si="113"/>
        <v>2570</v>
      </c>
      <c r="H935">
        <v>0.96</v>
      </c>
      <c r="I935">
        <f t="shared" si="114"/>
        <v>2419</v>
      </c>
      <c r="J935" t="str">
        <f t="shared" si="115"/>
        <v>Normal</v>
      </c>
      <c r="K935">
        <f t="shared" si="116"/>
        <v>2570</v>
      </c>
      <c r="L935">
        <f t="shared" si="117"/>
        <v>151</v>
      </c>
      <c r="M935" s="2">
        <f t="shared" si="118"/>
        <v>6.2422488631665975E-2</v>
      </c>
      <c r="N935">
        <f t="shared" si="119"/>
        <v>151</v>
      </c>
    </row>
    <row r="936" spans="1:14">
      <c r="A936" s="1" cm="1">
        <f t="array" ref="A936">INDEX(tblWeeks[Week_Start],INT((ROW()-2)/20)+1)</f>
        <v>46349</v>
      </c>
      <c r="B936" t="str" cm="1">
        <f t="array" ref="B936">INDEX(tblDemandAssumptions[Customer_ID],MOD(ROW()-2,20)+1)</f>
        <v>C003</v>
      </c>
      <c r="C936" t="str" cm="1">
        <f t="array" ref="C936">INDEX(tblDemandAssumptions[Product_ID],MOD(ROW()-2,20)+1)</f>
        <v>P005</v>
      </c>
      <c r="D936" cm="1">
        <f t="array" ref="D936">INDEX(tblDemandAssumptions[Baseline_Weekly_Qty],MOD(ROW()-2,20)+1)</f>
        <v>1900</v>
      </c>
      <c r="E936">
        <f t="shared" si="112"/>
        <v>1.05</v>
      </c>
      <c r="F936">
        <v>0.97</v>
      </c>
      <c r="G936">
        <f t="shared" si="113"/>
        <v>1935</v>
      </c>
      <c r="H936">
        <v>1.04</v>
      </c>
      <c r="I936">
        <f t="shared" si="114"/>
        <v>2075</v>
      </c>
      <c r="J936" t="str">
        <f t="shared" si="115"/>
        <v>Normal</v>
      </c>
      <c r="K936">
        <f t="shared" si="116"/>
        <v>1935</v>
      </c>
      <c r="L936">
        <f t="shared" si="117"/>
        <v>-140</v>
      </c>
      <c r="M936" s="2">
        <f t="shared" si="118"/>
        <v>-6.746987951807229E-2</v>
      </c>
      <c r="N936">
        <f t="shared" si="119"/>
        <v>140</v>
      </c>
    </row>
    <row r="937" spans="1:14">
      <c r="A937" s="1" cm="1">
        <f t="array" ref="A937">INDEX(tblWeeks[Week_Start],INT((ROW()-2)/20)+1)</f>
        <v>46349</v>
      </c>
      <c r="B937" t="str" cm="1">
        <f t="array" ref="B937">INDEX(tblDemandAssumptions[Customer_ID],MOD(ROW()-2,20)+1)</f>
        <v>C004</v>
      </c>
      <c r="C937" t="str" cm="1">
        <f t="array" ref="C937">INDEX(tblDemandAssumptions[Product_ID],MOD(ROW()-2,20)+1)</f>
        <v>P001</v>
      </c>
      <c r="D937" cm="1">
        <f t="array" ref="D937">INDEX(tblDemandAssumptions[Baseline_Weekly_Qty],MOD(ROW()-2,20)+1)</f>
        <v>2700</v>
      </c>
      <c r="E937">
        <f t="shared" si="112"/>
        <v>1.05</v>
      </c>
      <c r="F937">
        <v>1.04</v>
      </c>
      <c r="G937">
        <f t="shared" si="113"/>
        <v>2948</v>
      </c>
      <c r="H937">
        <v>1.02</v>
      </c>
      <c r="I937">
        <f t="shared" si="114"/>
        <v>2892</v>
      </c>
      <c r="J937" t="str">
        <f t="shared" si="115"/>
        <v>Normal</v>
      </c>
      <c r="K937">
        <f t="shared" si="116"/>
        <v>2948</v>
      </c>
      <c r="L937">
        <f t="shared" si="117"/>
        <v>56</v>
      </c>
      <c r="M937" s="2">
        <f t="shared" si="118"/>
        <v>1.9363762102351315E-2</v>
      </c>
      <c r="N937">
        <f t="shared" si="119"/>
        <v>56</v>
      </c>
    </row>
    <row r="938" spans="1:14">
      <c r="A938" s="1" cm="1">
        <f t="array" ref="A938">INDEX(tblWeeks[Week_Start],INT((ROW()-2)/20)+1)</f>
        <v>46349</v>
      </c>
      <c r="B938" t="str" cm="1">
        <f t="array" ref="B938">INDEX(tblDemandAssumptions[Customer_ID],MOD(ROW()-2,20)+1)</f>
        <v>C004</v>
      </c>
      <c r="C938" t="str" cm="1">
        <f t="array" ref="C938">INDEX(tblDemandAssumptions[Product_ID],MOD(ROW()-2,20)+1)</f>
        <v>P002</v>
      </c>
      <c r="D938" cm="1">
        <f t="array" ref="D938">INDEX(tblDemandAssumptions[Baseline_Weekly_Qty],MOD(ROW()-2,20)+1)</f>
        <v>2400</v>
      </c>
      <c r="E938">
        <f t="shared" si="112"/>
        <v>1.05</v>
      </c>
      <c r="F938">
        <v>0.95</v>
      </c>
      <c r="G938">
        <f t="shared" si="113"/>
        <v>2394</v>
      </c>
      <c r="H938">
        <v>1.01</v>
      </c>
      <c r="I938">
        <f t="shared" si="114"/>
        <v>2545</v>
      </c>
      <c r="J938" t="str">
        <f t="shared" si="115"/>
        <v>Normal</v>
      </c>
      <c r="K938">
        <f t="shared" si="116"/>
        <v>2394</v>
      </c>
      <c r="L938">
        <f t="shared" si="117"/>
        <v>-151</v>
      </c>
      <c r="M938" s="2">
        <f t="shared" si="118"/>
        <v>-5.9332023575638507E-2</v>
      </c>
      <c r="N938">
        <f t="shared" si="119"/>
        <v>151</v>
      </c>
    </row>
    <row r="939" spans="1:14">
      <c r="A939" s="1" cm="1">
        <f t="array" ref="A939">INDEX(tblWeeks[Week_Start],INT((ROW()-2)/20)+1)</f>
        <v>46349</v>
      </c>
      <c r="B939" t="str" cm="1">
        <f t="array" ref="B939">INDEX(tblDemandAssumptions[Customer_ID],MOD(ROW()-2,20)+1)</f>
        <v>C004</v>
      </c>
      <c r="C939" t="str" cm="1">
        <f t="array" ref="C939">INDEX(tblDemandAssumptions[Product_ID],MOD(ROW()-2,20)+1)</f>
        <v>P003</v>
      </c>
      <c r="D939" cm="1">
        <f t="array" ref="D939">INDEX(tblDemandAssumptions[Baseline_Weekly_Qty],MOD(ROW()-2,20)+1)</f>
        <v>2100</v>
      </c>
      <c r="E939">
        <f t="shared" si="112"/>
        <v>1.05</v>
      </c>
      <c r="F939">
        <v>0.96</v>
      </c>
      <c r="G939">
        <f t="shared" si="113"/>
        <v>2117</v>
      </c>
      <c r="H939">
        <v>1.03</v>
      </c>
      <c r="I939">
        <f t="shared" si="114"/>
        <v>2271</v>
      </c>
      <c r="J939" t="str">
        <f t="shared" si="115"/>
        <v>Normal</v>
      </c>
      <c r="K939">
        <f t="shared" si="116"/>
        <v>2117</v>
      </c>
      <c r="L939">
        <f t="shared" si="117"/>
        <v>-154</v>
      </c>
      <c r="M939" s="2">
        <f t="shared" si="118"/>
        <v>-6.7811536767943631E-2</v>
      </c>
      <c r="N939">
        <f t="shared" si="119"/>
        <v>154</v>
      </c>
    </row>
    <row r="940" spans="1:14">
      <c r="A940" s="1" cm="1">
        <f t="array" ref="A940">INDEX(tblWeeks[Week_Start],INT((ROW()-2)/20)+1)</f>
        <v>46349</v>
      </c>
      <c r="B940" t="str" cm="1">
        <f t="array" ref="B940">INDEX(tblDemandAssumptions[Customer_ID],MOD(ROW()-2,20)+1)</f>
        <v>C004</v>
      </c>
      <c r="C940" t="str" cm="1">
        <f t="array" ref="C940">INDEX(tblDemandAssumptions[Product_ID],MOD(ROW()-2,20)+1)</f>
        <v>P004</v>
      </c>
      <c r="D940" cm="1">
        <f t="array" ref="D940">INDEX(tblDemandAssumptions[Baseline_Weekly_Qty],MOD(ROW()-2,20)+1)</f>
        <v>2600</v>
      </c>
      <c r="E940">
        <f t="shared" si="112"/>
        <v>1.05</v>
      </c>
      <c r="F940">
        <v>0.98</v>
      </c>
      <c r="G940">
        <f t="shared" si="113"/>
        <v>2675</v>
      </c>
      <c r="H940">
        <v>0.98</v>
      </c>
      <c r="I940">
        <f t="shared" si="114"/>
        <v>2675</v>
      </c>
      <c r="J940" t="str">
        <f t="shared" si="115"/>
        <v>Normal</v>
      </c>
      <c r="K940">
        <f t="shared" si="116"/>
        <v>2675</v>
      </c>
      <c r="L940">
        <f t="shared" si="117"/>
        <v>0</v>
      </c>
      <c r="M940" s="2">
        <f t="shared" si="118"/>
        <v>0</v>
      </c>
      <c r="N940">
        <f t="shared" si="119"/>
        <v>0</v>
      </c>
    </row>
    <row r="941" spans="1:14">
      <c r="A941" s="1" cm="1">
        <f t="array" ref="A941">INDEX(tblWeeks[Week_Start],INT((ROW()-2)/20)+1)</f>
        <v>46349</v>
      </c>
      <c r="B941" t="str" cm="1">
        <f t="array" ref="B941">INDEX(tblDemandAssumptions[Customer_ID],MOD(ROW()-2,20)+1)</f>
        <v>C004</v>
      </c>
      <c r="C941" t="str" cm="1">
        <f t="array" ref="C941">INDEX(tblDemandAssumptions[Product_ID],MOD(ROW()-2,20)+1)</f>
        <v>P005</v>
      </c>
      <c r="D941" cm="1">
        <f t="array" ref="D941">INDEX(tblDemandAssumptions[Baseline_Weekly_Qty],MOD(ROW()-2,20)+1)</f>
        <v>1800</v>
      </c>
      <c r="E941">
        <f t="shared" si="112"/>
        <v>1.05</v>
      </c>
      <c r="F941">
        <v>1.04</v>
      </c>
      <c r="G941">
        <f t="shared" si="113"/>
        <v>1966</v>
      </c>
      <c r="H941">
        <v>1.01</v>
      </c>
      <c r="I941">
        <f t="shared" si="114"/>
        <v>1909</v>
      </c>
      <c r="J941" t="str">
        <f t="shared" si="115"/>
        <v>Normal</v>
      </c>
      <c r="K941">
        <f t="shared" si="116"/>
        <v>1966</v>
      </c>
      <c r="L941">
        <f t="shared" si="117"/>
        <v>57</v>
      </c>
      <c r="M941" s="2">
        <f t="shared" si="118"/>
        <v>2.9858564693556838E-2</v>
      </c>
      <c r="N941">
        <f t="shared" si="119"/>
        <v>57</v>
      </c>
    </row>
    <row r="942" spans="1:14">
      <c r="A942" s="1" cm="1">
        <f t="array" ref="A942">INDEX(tblWeeks[Week_Start],INT((ROW()-2)/20)+1)</f>
        <v>46356</v>
      </c>
      <c r="B942" t="str" cm="1">
        <f t="array" ref="B942">INDEX(tblDemandAssumptions[Customer_ID],MOD(ROW()-2,20)+1)</f>
        <v>C001</v>
      </c>
      <c r="C942" t="str" cm="1">
        <f t="array" ref="C942">INDEX(tblDemandAssumptions[Product_ID],MOD(ROW()-2,20)+1)</f>
        <v>P001</v>
      </c>
      <c r="D942" cm="1">
        <f t="array" ref="D942">INDEX(tblDemandAssumptions[Baseline_Weekly_Qty],MOD(ROW()-2,20)+1)</f>
        <v>5200</v>
      </c>
      <c r="E942">
        <f t="shared" si="112"/>
        <v>1.05</v>
      </c>
      <c r="F942">
        <v>1.03</v>
      </c>
      <c r="G942">
        <f t="shared" si="113"/>
        <v>5624</v>
      </c>
      <c r="H942">
        <v>1.03</v>
      </c>
      <c r="I942">
        <f t="shared" si="114"/>
        <v>5624</v>
      </c>
      <c r="J942" t="str">
        <f t="shared" si="115"/>
        <v>Normal</v>
      </c>
      <c r="K942">
        <f t="shared" si="116"/>
        <v>5624</v>
      </c>
      <c r="L942">
        <f t="shared" si="117"/>
        <v>0</v>
      </c>
      <c r="M942" s="2">
        <f t="shared" si="118"/>
        <v>0</v>
      </c>
      <c r="N942">
        <f t="shared" si="119"/>
        <v>0</v>
      </c>
    </row>
    <row r="943" spans="1:14">
      <c r="A943" s="1" cm="1">
        <f t="array" ref="A943">INDEX(tblWeeks[Week_Start],INT((ROW()-2)/20)+1)</f>
        <v>46356</v>
      </c>
      <c r="B943" t="str" cm="1">
        <f t="array" ref="B943">INDEX(tblDemandAssumptions[Customer_ID],MOD(ROW()-2,20)+1)</f>
        <v>C001</v>
      </c>
      <c r="C943" t="str" cm="1">
        <f t="array" ref="C943">INDEX(tblDemandAssumptions[Product_ID],MOD(ROW()-2,20)+1)</f>
        <v>P002</v>
      </c>
      <c r="D943" cm="1">
        <f t="array" ref="D943">INDEX(tblDemandAssumptions[Baseline_Weekly_Qty],MOD(ROW()-2,20)+1)</f>
        <v>4100</v>
      </c>
      <c r="E943">
        <f t="shared" si="112"/>
        <v>1.05</v>
      </c>
      <c r="F943">
        <v>1.04</v>
      </c>
      <c r="G943">
        <f t="shared" si="113"/>
        <v>4477</v>
      </c>
      <c r="H943">
        <v>0.98</v>
      </c>
      <c r="I943">
        <f t="shared" si="114"/>
        <v>4219</v>
      </c>
      <c r="J943" t="str">
        <f t="shared" si="115"/>
        <v>Normal</v>
      </c>
      <c r="K943">
        <f t="shared" si="116"/>
        <v>4477</v>
      </c>
      <c r="L943">
        <f t="shared" si="117"/>
        <v>258</v>
      </c>
      <c r="M943" s="2">
        <f t="shared" si="118"/>
        <v>6.1151931737378526E-2</v>
      </c>
      <c r="N943">
        <f t="shared" si="119"/>
        <v>258</v>
      </c>
    </row>
    <row r="944" spans="1:14">
      <c r="A944" s="1" cm="1">
        <f t="array" ref="A944">INDEX(tblWeeks[Week_Start],INT((ROW()-2)/20)+1)</f>
        <v>46356</v>
      </c>
      <c r="B944" t="str" cm="1">
        <f t="array" ref="B944">INDEX(tblDemandAssumptions[Customer_ID],MOD(ROW()-2,20)+1)</f>
        <v>C001</v>
      </c>
      <c r="C944" t="str" cm="1">
        <f t="array" ref="C944">INDEX(tblDemandAssumptions[Product_ID],MOD(ROW()-2,20)+1)</f>
        <v>P003</v>
      </c>
      <c r="D944" cm="1">
        <f t="array" ref="D944">INDEX(tblDemandAssumptions[Baseline_Weekly_Qty],MOD(ROW()-2,20)+1)</f>
        <v>3300</v>
      </c>
      <c r="E944">
        <f t="shared" si="112"/>
        <v>1.05</v>
      </c>
      <c r="F944">
        <v>1.04</v>
      </c>
      <c r="G944">
        <f t="shared" si="113"/>
        <v>3604</v>
      </c>
      <c r="H944">
        <v>1.01</v>
      </c>
      <c r="I944">
        <f t="shared" si="114"/>
        <v>3500</v>
      </c>
      <c r="J944" t="str">
        <f t="shared" si="115"/>
        <v>Normal</v>
      </c>
      <c r="K944">
        <f t="shared" si="116"/>
        <v>3604</v>
      </c>
      <c r="L944">
        <f t="shared" si="117"/>
        <v>104</v>
      </c>
      <c r="M944" s="2">
        <f t="shared" si="118"/>
        <v>2.9714285714285714E-2</v>
      </c>
      <c r="N944">
        <f t="shared" si="119"/>
        <v>104</v>
      </c>
    </row>
    <row r="945" spans="1:14">
      <c r="A945" s="1" cm="1">
        <f t="array" ref="A945">INDEX(tblWeeks[Week_Start],INT((ROW()-2)/20)+1)</f>
        <v>46356</v>
      </c>
      <c r="B945" t="str" cm="1">
        <f t="array" ref="B945">INDEX(tblDemandAssumptions[Customer_ID],MOD(ROW()-2,20)+1)</f>
        <v>C001</v>
      </c>
      <c r="C945" t="str" cm="1">
        <f t="array" ref="C945">INDEX(tblDemandAssumptions[Product_ID],MOD(ROW()-2,20)+1)</f>
        <v>P004</v>
      </c>
      <c r="D945" cm="1">
        <f t="array" ref="D945">INDEX(tblDemandAssumptions[Baseline_Weekly_Qty],MOD(ROW()-2,20)+1)</f>
        <v>3600</v>
      </c>
      <c r="E945">
        <f t="shared" si="112"/>
        <v>1.05</v>
      </c>
      <c r="F945">
        <v>1.02</v>
      </c>
      <c r="G945">
        <f t="shared" si="113"/>
        <v>3856</v>
      </c>
      <c r="H945">
        <v>1.02</v>
      </c>
      <c r="I945">
        <f t="shared" si="114"/>
        <v>3856</v>
      </c>
      <c r="J945" t="str">
        <f t="shared" si="115"/>
        <v>Normal</v>
      </c>
      <c r="K945">
        <f t="shared" si="116"/>
        <v>3856</v>
      </c>
      <c r="L945">
        <f t="shared" si="117"/>
        <v>0</v>
      </c>
      <c r="M945" s="2">
        <f t="shared" si="118"/>
        <v>0</v>
      </c>
      <c r="N945">
        <f t="shared" si="119"/>
        <v>0</v>
      </c>
    </row>
    <row r="946" spans="1:14">
      <c r="A946" s="1" cm="1">
        <f t="array" ref="A946">INDEX(tblWeeks[Week_Start],INT((ROW()-2)/20)+1)</f>
        <v>46356</v>
      </c>
      <c r="B946" t="str" cm="1">
        <f t="array" ref="B946">INDEX(tblDemandAssumptions[Customer_ID],MOD(ROW()-2,20)+1)</f>
        <v>C001</v>
      </c>
      <c r="C946" t="str" cm="1">
        <f t="array" ref="C946">INDEX(tblDemandAssumptions[Product_ID],MOD(ROW()-2,20)+1)</f>
        <v>P005</v>
      </c>
      <c r="D946" cm="1">
        <f t="array" ref="D946">INDEX(tblDemandAssumptions[Baseline_Weekly_Qty],MOD(ROW()-2,20)+1)</f>
        <v>2800</v>
      </c>
      <c r="E946">
        <f t="shared" si="112"/>
        <v>1.05</v>
      </c>
      <c r="F946">
        <v>1.03</v>
      </c>
      <c r="G946">
        <f t="shared" si="113"/>
        <v>3028</v>
      </c>
      <c r="H946">
        <v>0.99</v>
      </c>
      <c r="I946">
        <f t="shared" si="114"/>
        <v>2911</v>
      </c>
      <c r="J946" t="str">
        <f t="shared" si="115"/>
        <v>Normal</v>
      </c>
      <c r="K946">
        <f t="shared" si="116"/>
        <v>3028</v>
      </c>
      <c r="L946">
        <f t="shared" si="117"/>
        <v>117</v>
      </c>
      <c r="M946" s="2">
        <f t="shared" si="118"/>
        <v>4.0192373754723461E-2</v>
      </c>
      <c r="N946">
        <f t="shared" si="119"/>
        <v>117</v>
      </c>
    </row>
    <row r="947" spans="1:14">
      <c r="A947" s="1" cm="1">
        <f t="array" ref="A947">INDEX(tblWeeks[Week_Start],INT((ROW()-2)/20)+1)</f>
        <v>46356</v>
      </c>
      <c r="B947" t="str" cm="1">
        <f t="array" ref="B947">INDEX(tblDemandAssumptions[Customer_ID],MOD(ROW()-2,20)+1)</f>
        <v>C002</v>
      </c>
      <c r="C947" t="str" cm="1">
        <f t="array" ref="C947">INDEX(tblDemandAssumptions[Product_ID],MOD(ROW()-2,20)+1)</f>
        <v>P001</v>
      </c>
      <c r="D947" cm="1">
        <f t="array" ref="D947">INDEX(tblDemandAssumptions[Baseline_Weekly_Qty],MOD(ROW()-2,20)+1)</f>
        <v>3400</v>
      </c>
      <c r="E947">
        <f t="shared" si="112"/>
        <v>1.05</v>
      </c>
      <c r="F947">
        <v>0.98</v>
      </c>
      <c r="G947">
        <f t="shared" si="113"/>
        <v>3499</v>
      </c>
      <c r="H947">
        <v>0.99</v>
      </c>
      <c r="I947">
        <f t="shared" si="114"/>
        <v>3534</v>
      </c>
      <c r="J947" t="str">
        <f t="shared" si="115"/>
        <v>Normal</v>
      </c>
      <c r="K947">
        <f t="shared" si="116"/>
        <v>3499</v>
      </c>
      <c r="L947">
        <f t="shared" si="117"/>
        <v>-35</v>
      </c>
      <c r="M947" s="2">
        <f t="shared" si="118"/>
        <v>-9.903791737408036E-3</v>
      </c>
      <c r="N947">
        <f t="shared" si="119"/>
        <v>35</v>
      </c>
    </row>
    <row r="948" spans="1:14">
      <c r="A948" s="1" cm="1">
        <f t="array" ref="A948">INDEX(tblWeeks[Week_Start],INT((ROW()-2)/20)+1)</f>
        <v>46356</v>
      </c>
      <c r="B948" t="str" cm="1">
        <f t="array" ref="B948">INDEX(tblDemandAssumptions[Customer_ID],MOD(ROW()-2,20)+1)</f>
        <v>C002</v>
      </c>
      <c r="C948" t="str" cm="1">
        <f t="array" ref="C948">INDEX(tblDemandAssumptions[Product_ID],MOD(ROW()-2,20)+1)</f>
        <v>P002</v>
      </c>
      <c r="D948" cm="1">
        <f t="array" ref="D948">INDEX(tblDemandAssumptions[Baseline_Weekly_Qty],MOD(ROW()-2,20)+1)</f>
        <v>3200</v>
      </c>
      <c r="E948">
        <f t="shared" si="112"/>
        <v>1.05</v>
      </c>
      <c r="F948">
        <v>0.98</v>
      </c>
      <c r="G948">
        <f t="shared" si="113"/>
        <v>3293</v>
      </c>
      <c r="H948">
        <v>0.99</v>
      </c>
      <c r="I948">
        <f t="shared" si="114"/>
        <v>3326</v>
      </c>
      <c r="J948" t="str">
        <f t="shared" si="115"/>
        <v>Normal</v>
      </c>
      <c r="K948">
        <f t="shared" si="116"/>
        <v>3293</v>
      </c>
      <c r="L948">
        <f t="shared" si="117"/>
        <v>-33</v>
      </c>
      <c r="M948" s="2">
        <f t="shared" si="118"/>
        <v>-9.9218280216476253E-3</v>
      </c>
      <c r="N948">
        <f t="shared" si="119"/>
        <v>33</v>
      </c>
    </row>
    <row r="949" spans="1:14">
      <c r="A949" s="1" cm="1">
        <f t="array" ref="A949">INDEX(tblWeeks[Week_Start],INT((ROW()-2)/20)+1)</f>
        <v>46356</v>
      </c>
      <c r="B949" t="str" cm="1">
        <f t="array" ref="B949">INDEX(tblDemandAssumptions[Customer_ID],MOD(ROW()-2,20)+1)</f>
        <v>C002</v>
      </c>
      <c r="C949" t="str" cm="1">
        <f t="array" ref="C949">INDEX(tblDemandAssumptions[Product_ID],MOD(ROW()-2,20)+1)</f>
        <v>P003</v>
      </c>
      <c r="D949" cm="1">
        <f t="array" ref="D949">INDEX(tblDemandAssumptions[Baseline_Weekly_Qty],MOD(ROW()-2,20)+1)</f>
        <v>2600</v>
      </c>
      <c r="E949">
        <f t="shared" si="112"/>
        <v>1.05</v>
      </c>
      <c r="F949">
        <v>0.96</v>
      </c>
      <c r="G949">
        <f t="shared" si="113"/>
        <v>2621</v>
      </c>
      <c r="H949">
        <v>1.01</v>
      </c>
      <c r="I949">
        <f t="shared" si="114"/>
        <v>2757</v>
      </c>
      <c r="J949" t="str">
        <f t="shared" si="115"/>
        <v>Normal</v>
      </c>
      <c r="K949">
        <f t="shared" si="116"/>
        <v>2621</v>
      </c>
      <c r="L949">
        <f t="shared" si="117"/>
        <v>-136</v>
      </c>
      <c r="M949" s="2">
        <f t="shared" si="118"/>
        <v>-4.9328980776206025E-2</v>
      </c>
      <c r="N949">
        <f t="shared" si="119"/>
        <v>136</v>
      </c>
    </row>
    <row r="950" spans="1:14">
      <c r="A950" s="1" cm="1">
        <f t="array" ref="A950">INDEX(tblWeeks[Week_Start],INT((ROW()-2)/20)+1)</f>
        <v>46356</v>
      </c>
      <c r="B950" t="str" cm="1">
        <f t="array" ref="B950">INDEX(tblDemandAssumptions[Customer_ID],MOD(ROW()-2,20)+1)</f>
        <v>C002</v>
      </c>
      <c r="C950" t="str" cm="1">
        <f t="array" ref="C950">INDEX(tblDemandAssumptions[Product_ID],MOD(ROW()-2,20)+1)</f>
        <v>P004</v>
      </c>
      <c r="D950" cm="1">
        <f t="array" ref="D950">INDEX(tblDemandAssumptions[Baseline_Weekly_Qty],MOD(ROW()-2,20)+1)</f>
        <v>2900</v>
      </c>
      <c r="E950">
        <f t="shared" si="112"/>
        <v>1.05</v>
      </c>
      <c r="F950">
        <v>0.97</v>
      </c>
      <c r="G950">
        <f t="shared" si="113"/>
        <v>2954</v>
      </c>
      <c r="H950">
        <v>0.98</v>
      </c>
      <c r="I950">
        <f t="shared" si="114"/>
        <v>2984</v>
      </c>
      <c r="J950" t="str">
        <f t="shared" si="115"/>
        <v>Normal</v>
      </c>
      <c r="K950">
        <f t="shared" si="116"/>
        <v>2954</v>
      </c>
      <c r="L950">
        <f t="shared" si="117"/>
        <v>-30</v>
      </c>
      <c r="M950" s="2">
        <f t="shared" si="118"/>
        <v>-1.0053619302949061E-2</v>
      </c>
      <c r="N950">
        <f t="shared" si="119"/>
        <v>30</v>
      </c>
    </row>
    <row r="951" spans="1:14">
      <c r="A951" s="1" cm="1">
        <f t="array" ref="A951">INDEX(tblWeeks[Week_Start],INT((ROW()-2)/20)+1)</f>
        <v>46356</v>
      </c>
      <c r="B951" t="str" cm="1">
        <f t="array" ref="B951">INDEX(tblDemandAssumptions[Customer_ID],MOD(ROW()-2,20)+1)</f>
        <v>C002</v>
      </c>
      <c r="C951" t="str" cm="1">
        <f t="array" ref="C951">INDEX(tblDemandAssumptions[Product_ID],MOD(ROW()-2,20)+1)</f>
        <v>P005</v>
      </c>
      <c r="D951" cm="1">
        <f t="array" ref="D951">INDEX(tblDemandAssumptions[Baseline_Weekly_Qty],MOD(ROW()-2,20)+1)</f>
        <v>2200</v>
      </c>
      <c r="E951">
        <f t="shared" si="112"/>
        <v>1.05</v>
      </c>
      <c r="F951">
        <v>1.04</v>
      </c>
      <c r="G951">
        <f t="shared" si="113"/>
        <v>2402</v>
      </c>
      <c r="H951">
        <v>0.99</v>
      </c>
      <c r="I951">
        <f t="shared" si="114"/>
        <v>2287</v>
      </c>
      <c r="J951" t="str">
        <f t="shared" si="115"/>
        <v>Normal</v>
      </c>
      <c r="K951">
        <f t="shared" si="116"/>
        <v>2402</v>
      </c>
      <c r="L951">
        <f t="shared" si="117"/>
        <v>115</v>
      </c>
      <c r="M951" s="2">
        <f t="shared" si="118"/>
        <v>5.0284215128989944E-2</v>
      </c>
      <c r="N951">
        <f t="shared" si="119"/>
        <v>115</v>
      </c>
    </row>
    <row r="952" spans="1:14">
      <c r="A952" s="1" cm="1">
        <f t="array" ref="A952">INDEX(tblWeeks[Week_Start],INT((ROW()-2)/20)+1)</f>
        <v>46356</v>
      </c>
      <c r="B952" t="str" cm="1">
        <f t="array" ref="B952">INDEX(tblDemandAssumptions[Customer_ID],MOD(ROW()-2,20)+1)</f>
        <v>C003</v>
      </c>
      <c r="C952" t="str" cm="1">
        <f t="array" ref="C952">INDEX(tblDemandAssumptions[Product_ID],MOD(ROW()-2,20)+1)</f>
        <v>P001</v>
      </c>
      <c r="D952" cm="1">
        <f t="array" ref="D952">INDEX(tblDemandAssumptions[Baseline_Weekly_Qty],MOD(ROW()-2,20)+1)</f>
        <v>3000</v>
      </c>
      <c r="E952">
        <f t="shared" si="112"/>
        <v>1.05</v>
      </c>
      <c r="F952">
        <v>1.05</v>
      </c>
      <c r="G952">
        <f t="shared" si="113"/>
        <v>3308</v>
      </c>
      <c r="H952">
        <v>0.96</v>
      </c>
      <c r="I952">
        <f t="shared" si="114"/>
        <v>3024</v>
      </c>
      <c r="J952" t="str">
        <f t="shared" si="115"/>
        <v>Normal</v>
      </c>
      <c r="K952">
        <f t="shared" si="116"/>
        <v>3308</v>
      </c>
      <c r="L952">
        <f t="shared" si="117"/>
        <v>284</v>
      </c>
      <c r="M952" s="2">
        <f t="shared" si="118"/>
        <v>9.391534391534391E-2</v>
      </c>
      <c r="N952">
        <f t="shared" si="119"/>
        <v>284</v>
      </c>
    </row>
    <row r="953" spans="1:14">
      <c r="A953" s="1" cm="1">
        <f t="array" ref="A953">INDEX(tblWeeks[Week_Start],INT((ROW()-2)/20)+1)</f>
        <v>46356</v>
      </c>
      <c r="B953" t="str" cm="1">
        <f t="array" ref="B953">INDEX(tblDemandAssumptions[Customer_ID],MOD(ROW()-2,20)+1)</f>
        <v>C003</v>
      </c>
      <c r="C953" t="str" cm="1">
        <f t="array" ref="C953">INDEX(tblDemandAssumptions[Product_ID],MOD(ROW()-2,20)+1)</f>
        <v>P002</v>
      </c>
      <c r="D953" cm="1">
        <f t="array" ref="D953">INDEX(tblDemandAssumptions[Baseline_Weekly_Qty],MOD(ROW()-2,20)+1)</f>
        <v>2700</v>
      </c>
      <c r="E953">
        <f t="shared" si="112"/>
        <v>1.05</v>
      </c>
      <c r="F953">
        <v>0.96</v>
      </c>
      <c r="G953">
        <f t="shared" si="113"/>
        <v>2722</v>
      </c>
      <c r="H953">
        <v>1.03</v>
      </c>
      <c r="I953">
        <f t="shared" si="114"/>
        <v>2920</v>
      </c>
      <c r="J953" t="str">
        <f t="shared" si="115"/>
        <v>Normal</v>
      </c>
      <c r="K953">
        <f t="shared" si="116"/>
        <v>2722</v>
      </c>
      <c r="L953">
        <f t="shared" si="117"/>
        <v>-198</v>
      </c>
      <c r="M953" s="2">
        <f t="shared" si="118"/>
        <v>-6.7808219178082191E-2</v>
      </c>
      <c r="N953">
        <f t="shared" si="119"/>
        <v>198</v>
      </c>
    </row>
    <row r="954" spans="1:14">
      <c r="A954" s="1" cm="1">
        <f t="array" ref="A954">INDEX(tblWeeks[Week_Start],INT((ROW()-2)/20)+1)</f>
        <v>46356</v>
      </c>
      <c r="B954" t="str" cm="1">
        <f t="array" ref="B954">INDEX(tblDemandAssumptions[Customer_ID],MOD(ROW()-2,20)+1)</f>
        <v>C003</v>
      </c>
      <c r="C954" t="str" cm="1">
        <f t="array" ref="C954">INDEX(tblDemandAssumptions[Product_ID],MOD(ROW()-2,20)+1)</f>
        <v>P003</v>
      </c>
      <c r="D954" cm="1">
        <f t="array" ref="D954">INDEX(tblDemandAssumptions[Baseline_Weekly_Qty],MOD(ROW()-2,20)+1)</f>
        <v>2800</v>
      </c>
      <c r="E954">
        <f t="shared" si="112"/>
        <v>1.05</v>
      </c>
      <c r="F954">
        <v>0.95</v>
      </c>
      <c r="G954">
        <f t="shared" si="113"/>
        <v>2793</v>
      </c>
      <c r="H954">
        <v>0.99</v>
      </c>
      <c r="I954">
        <f t="shared" si="114"/>
        <v>2911</v>
      </c>
      <c r="J954" t="str">
        <f t="shared" si="115"/>
        <v>Normal</v>
      </c>
      <c r="K954">
        <f t="shared" si="116"/>
        <v>2793</v>
      </c>
      <c r="L954">
        <f t="shared" si="117"/>
        <v>-118</v>
      </c>
      <c r="M954" s="2">
        <f t="shared" si="118"/>
        <v>-4.0535898316729643E-2</v>
      </c>
      <c r="N954">
        <f t="shared" si="119"/>
        <v>118</v>
      </c>
    </row>
    <row r="955" spans="1:14">
      <c r="A955" s="1" cm="1">
        <f t="array" ref="A955">INDEX(tblWeeks[Week_Start],INT((ROW()-2)/20)+1)</f>
        <v>46356</v>
      </c>
      <c r="B955" t="str" cm="1">
        <f t="array" ref="B955">INDEX(tblDemandAssumptions[Customer_ID],MOD(ROW()-2,20)+1)</f>
        <v>C003</v>
      </c>
      <c r="C955" t="str" cm="1">
        <f t="array" ref="C955">INDEX(tblDemandAssumptions[Product_ID],MOD(ROW()-2,20)+1)</f>
        <v>P004</v>
      </c>
      <c r="D955" cm="1">
        <f t="array" ref="D955">INDEX(tblDemandAssumptions[Baseline_Weekly_Qty],MOD(ROW()-2,20)+1)</f>
        <v>2400</v>
      </c>
      <c r="E955">
        <f t="shared" si="112"/>
        <v>1.05</v>
      </c>
      <c r="F955">
        <v>1.04</v>
      </c>
      <c r="G955">
        <f t="shared" si="113"/>
        <v>2621</v>
      </c>
      <c r="H955">
        <v>0.97</v>
      </c>
      <c r="I955">
        <f t="shared" si="114"/>
        <v>2444</v>
      </c>
      <c r="J955" t="str">
        <f t="shared" si="115"/>
        <v>Normal</v>
      </c>
      <c r="K955">
        <f t="shared" si="116"/>
        <v>2621</v>
      </c>
      <c r="L955">
        <f t="shared" si="117"/>
        <v>177</v>
      </c>
      <c r="M955" s="2">
        <f t="shared" si="118"/>
        <v>7.2422258592471353E-2</v>
      </c>
      <c r="N955">
        <f t="shared" si="119"/>
        <v>177</v>
      </c>
    </row>
    <row r="956" spans="1:14">
      <c r="A956" s="1" cm="1">
        <f t="array" ref="A956">INDEX(tblWeeks[Week_Start],INT((ROW()-2)/20)+1)</f>
        <v>46356</v>
      </c>
      <c r="B956" t="str" cm="1">
        <f t="array" ref="B956">INDEX(tblDemandAssumptions[Customer_ID],MOD(ROW()-2,20)+1)</f>
        <v>C003</v>
      </c>
      <c r="C956" t="str" cm="1">
        <f t="array" ref="C956">INDEX(tblDemandAssumptions[Product_ID],MOD(ROW()-2,20)+1)</f>
        <v>P005</v>
      </c>
      <c r="D956" cm="1">
        <f t="array" ref="D956">INDEX(tblDemandAssumptions[Baseline_Weekly_Qty],MOD(ROW()-2,20)+1)</f>
        <v>1900</v>
      </c>
      <c r="E956">
        <f t="shared" si="112"/>
        <v>1.05</v>
      </c>
      <c r="F956">
        <v>0.99</v>
      </c>
      <c r="G956">
        <f t="shared" si="113"/>
        <v>1975</v>
      </c>
      <c r="H956">
        <v>1.02</v>
      </c>
      <c r="I956">
        <f t="shared" si="114"/>
        <v>2035</v>
      </c>
      <c r="J956" t="str">
        <f t="shared" si="115"/>
        <v>Normal</v>
      </c>
      <c r="K956">
        <f t="shared" si="116"/>
        <v>1975</v>
      </c>
      <c r="L956">
        <f t="shared" si="117"/>
        <v>-60</v>
      </c>
      <c r="M956" s="2">
        <f t="shared" si="118"/>
        <v>-2.9484029484029485E-2</v>
      </c>
      <c r="N956">
        <f t="shared" si="119"/>
        <v>60</v>
      </c>
    </row>
    <row r="957" spans="1:14">
      <c r="A957" s="1" cm="1">
        <f t="array" ref="A957">INDEX(tblWeeks[Week_Start],INT((ROW()-2)/20)+1)</f>
        <v>46356</v>
      </c>
      <c r="B957" t="str" cm="1">
        <f t="array" ref="B957">INDEX(tblDemandAssumptions[Customer_ID],MOD(ROW()-2,20)+1)</f>
        <v>C004</v>
      </c>
      <c r="C957" t="str" cm="1">
        <f t="array" ref="C957">INDEX(tblDemandAssumptions[Product_ID],MOD(ROW()-2,20)+1)</f>
        <v>P001</v>
      </c>
      <c r="D957" cm="1">
        <f t="array" ref="D957">INDEX(tblDemandAssumptions[Baseline_Weekly_Qty],MOD(ROW()-2,20)+1)</f>
        <v>2700</v>
      </c>
      <c r="E957">
        <f t="shared" si="112"/>
        <v>1.05</v>
      </c>
      <c r="F957">
        <v>0.97</v>
      </c>
      <c r="G957">
        <f t="shared" si="113"/>
        <v>2750</v>
      </c>
      <c r="H957">
        <v>1.02</v>
      </c>
      <c r="I957">
        <f t="shared" si="114"/>
        <v>2892</v>
      </c>
      <c r="J957" t="str">
        <f t="shared" si="115"/>
        <v>Normal</v>
      </c>
      <c r="K957">
        <f t="shared" si="116"/>
        <v>2750</v>
      </c>
      <c r="L957">
        <f t="shared" si="117"/>
        <v>-142</v>
      </c>
      <c r="M957" s="2">
        <f t="shared" si="118"/>
        <v>-4.9100968188105117E-2</v>
      </c>
      <c r="N957">
        <f t="shared" si="119"/>
        <v>142</v>
      </c>
    </row>
    <row r="958" spans="1:14">
      <c r="A958" s="1" cm="1">
        <f t="array" ref="A958">INDEX(tblWeeks[Week_Start],INT((ROW()-2)/20)+1)</f>
        <v>46356</v>
      </c>
      <c r="B958" t="str" cm="1">
        <f t="array" ref="B958">INDEX(tblDemandAssumptions[Customer_ID],MOD(ROW()-2,20)+1)</f>
        <v>C004</v>
      </c>
      <c r="C958" t="str" cm="1">
        <f t="array" ref="C958">INDEX(tblDemandAssumptions[Product_ID],MOD(ROW()-2,20)+1)</f>
        <v>P002</v>
      </c>
      <c r="D958" cm="1">
        <f t="array" ref="D958">INDEX(tblDemandAssumptions[Baseline_Weekly_Qty],MOD(ROW()-2,20)+1)</f>
        <v>2400</v>
      </c>
      <c r="E958">
        <f t="shared" si="112"/>
        <v>1.05</v>
      </c>
      <c r="F958">
        <v>1.03</v>
      </c>
      <c r="G958">
        <f t="shared" si="113"/>
        <v>2596</v>
      </c>
      <c r="H958">
        <v>0.97</v>
      </c>
      <c r="I958">
        <f t="shared" si="114"/>
        <v>2444</v>
      </c>
      <c r="J958" t="str">
        <f t="shared" si="115"/>
        <v>Normal</v>
      </c>
      <c r="K958">
        <f t="shared" si="116"/>
        <v>2596</v>
      </c>
      <c r="L958">
        <f t="shared" si="117"/>
        <v>152</v>
      </c>
      <c r="M958" s="2">
        <f t="shared" si="118"/>
        <v>6.2193126022913256E-2</v>
      </c>
      <c r="N958">
        <f t="shared" si="119"/>
        <v>152</v>
      </c>
    </row>
    <row r="959" spans="1:14">
      <c r="A959" s="1" cm="1">
        <f t="array" ref="A959">INDEX(tblWeeks[Week_Start],INT((ROW()-2)/20)+1)</f>
        <v>46356</v>
      </c>
      <c r="B959" t="str" cm="1">
        <f t="array" ref="B959">INDEX(tblDemandAssumptions[Customer_ID],MOD(ROW()-2,20)+1)</f>
        <v>C004</v>
      </c>
      <c r="C959" t="str" cm="1">
        <f t="array" ref="C959">INDEX(tblDemandAssumptions[Product_ID],MOD(ROW()-2,20)+1)</f>
        <v>P003</v>
      </c>
      <c r="D959" cm="1">
        <f t="array" ref="D959">INDEX(tblDemandAssumptions[Baseline_Weekly_Qty],MOD(ROW()-2,20)+1)</f>
        <v>2100</v>
      </c>
      <c r="E959">
        <f t="shared" si="112"/>
        <v>1.05</v>
      </c>
      <c r="F959">
        <v>1</v>
      </c>
      <c r="G959">
        <f t="shared" si="113"/>
        <v>2205</v>
      </c>
      <c r="H959">
        <v>1.03</v>
      </c>
      <c r="I959">
        <f t="shared" si="114"/>
        <v>2271</v>
      </c>
      <c r="J959" t="str">
        <f t="shared" si="115"/>
        <v>Normal</v>
      </c>
      <c r="K959">
        <f t="shared" si="116"/>
        <v>2205</v>
      </c>
      <c r="L959">
        <f t="shared" si="117"/>
        <v>-66</v>
      </c>
      <c r="M959" s="2">
        <f t="shared" si="118"/>
        <v>-2.9062087186261559E-2</v>
      </c>
      <c r="N959">
        <f t="shared" si="119"/>
        <v>66</v>
      </c>
    </row>
    <row r="960" spans="1:14">
      <c r="A960" s="1" cm="1">
        <f t="array" ref="A960">INDEX(tblWeeks[Week_Start],INT((ROW()-2)/20)+1)</f>
        <v>46356</v>
      </c>
      <c r="B960" t="str" cm="1">
        <f t="array" ref="B960">INDEX(tblDemandAssumptions[Customer_ID],MOD(ROW()-2,20)+1)</f>
        <v>C004</v>
      </c>
      <c r="C960" t="str" cm="1">
        <f t="array" ref="C960">INDEX(tblDemandAssumptions[Product_ID],MOD(ROW()-2,20)+1)</f>
        <v>P004</v>
      </c>
      <c r="D960" cm="1">
        <f t="array" ref="D960">INDEX(tblDemandAssumptions[Baseline_Weekly_Qty],MOD(ROW()-2,20)+1)</f>
        <v>2600</v>
      </c>
      <c r="E960">
        <f t="shared" si="112"/>
        <v>1.05</v>
      </c>
      <c r="F960">
        <v>1</v>
      </c>
      <c r="G960">
        <f t="shared" si="113"/>
        <v>2730</v>
      </c>
      <c r="H960">
        <v>1.01</v>
      </c>
      <c r="I960">
        <f t="shared" si="114"/>
        <v>2757</v>
      </c>
      <c r="J960" t="str">
        <f t="shared" si="115"/>
        <v>Normal</v>
      </c>
      <c r="K960">
        <f t="shared" si="116"/>
        <v>2730</v>
      </c>
      <c r="L960">
        <f t="shared" si="117"/>
        <v>-27</v>
      </c>
      <c r="M960" s="2">
        <f t="shared" si="118"/>
        <v>-9.7932535364526653E-3</v>
      </c>
      <c r="N960">
        <f t="shared" si="119"/>
        <v>27</v>
      </c>
    </row>
    <row r="961" spans="1:14">
      <c r="A961" s="1" cm="1">
        <f t="array" ref="A961">INDEX(tblWeeks[Week_Start],INT((ROW()-2)/20)+1)</f>
        <v>46356</v>
      </c>
      <c r="B961" t="str" cm="1">
        <f t="array" ref="B961">INDEX(tblDemandAssumptions[Customer_ID],MOD(ROW()-2,20)+1)</f>
        <v>C004</v>
      </c>
      <c r="C961" t="str" cm="1">
        <f t="array" ref="C961">INDEX(tblDemandAssumptions[Product_ID],MOD(ROW()-2,20)+1)</f>
        <v>P005</v>
      </c>
      <c r="D961" cm="1">
        <f t="array" ref="D961">INDEX(tblDemandAssumptions[Baseline_Weekly_Qty],MOD(ROW()-2,20)+1)</f>
        <v>1800</v>
      </c>
      <c r="E961">
        <f t="shared" si="112"/>
        <v>1.05</v>
      </c>
      <c r="F961">
        <v>1.04</v>
      </c>
      <c r="G961">
        <f t="shared" si="113"/>
        <v>1966</v>
      </c>
      <c r="H961">
        <v>1.04</v>
      </c>
      <c r="I961">
        <f t="shared" si="114"/>
        <v>1966</v>
      </c>
      <c r="J961" t="str">
        <f t="shared" si="115"/>
        <v>Normal</v>
      </c>
      <c r="K961">
        <f t="shared" si="116"/>
        <v>1966</v>
      </c>
      <c r="L961">
        <f t="shared" si="117"/>
        <v>0</v>
      </c>
      <c r="M961" s="2">
        <f t="shared" si="118"/>
        <v>0</v>
      </c>
      <c r="N961">
        <f t="shared" si="119"/>
        <v>0</v>
      </c>
    </row>
    <row r="962" spans="1:14">
      <c r="A962" s="1" cm="1">
        <f t="array" ref="A962">INDEX(tblWeeks[Week_Start],INT((ROW()-2)/20)+1)</f>
        <v>46363</v>
      </c>
      <c r="B962" t="str" cm="1">
        <f t="array" ref="B962">INDEX(tblDemandAssumptions[Customer_ID],MOD(ROW()-2,20)+1)</f>
        <v>C001</v>
      </c>
      <c r="C962" t="str" cm="1">
        <f t="array" ref="C962">INDEX(tblDemandAssumptions[Product_ID],MOD(ROW()-2,20)+1)</f>
        <v>P001</v>
      </c>
      <c r="D962" cm="1">
        <f t="array" ref="D962">INDEX(tblDemandAssumptions[Baseline_Weekly_Qty],MOD(ROW()-2,20)+1)</f>
        <v>5200</v>
      </c>
      <c r="E962">
        <f t="shared" ref="E962:E1025" si="120">IF(MONTH(A962)&lt;=2,0.95,IF(MONTH(A962)&lt;=4,1,IF(MONTH(A962)&lt;=6,1.05,IF(MONTH(A962)&lt;=8,1.1,IF(MONTH(A962)&lt;=10,1,IF(MONTH(A962)=11,1.05,1.2))))))</f>
        <v>1.2</v>
      </c>
      <c r="F962">
        <v>1.02</v>
      </c>
      <c r="G962">
        <f t="shared" ref="G962:G1025" si="121">ROUND(D962*E962*F962,0)</f>
        <v>6365</v>
      </c>
      <c r="H962">
        <v>0.98</v>
      </c>
      <c r="I962">
        <f t="shared" ref="I962:I1025" si="122">ROUND(D962*E962*H962,0)</f>
        <v>6115</v>
      </c>
      <c r="J962" t="str">
        <f t="shared" ref="J962:J1025" si="123">IF(AND(A962=DATE(2026,3,16),B962="C001",C962="P001"),"Promotion_Demand_Spike",IF(AND(A962=DATE(2026,6,8),B962="C002",C962="P004"),"Under_Forecast",IF(AND(A962=DATE(2026,7,20),B962="C003",C962="P003"),"Over_Forecast","Normal")))</f>
        <v>Normal</v>
      </c>
      <c r="K962">
        <f t="shared" ref="K962:K1025" si="124">IF(J962="Promotion_Demand_Spike",ROUND(G962*1.35,0),IF(J962="Under_Forecast",ROUND(I962*1.25,0),IF(J962="Over_Forecast",ROUND(I962*0.72,0),G962)))</f>
        <v>6365</v>
      </c>
      <c r="L962">
        <f t="shared" ref="L962:L1025" si="125">K962-I962</f>
        <v>250</v>
      </c>
      <c r="M962" s="2">
        <f t="shared" ref="M962:M1025" si="126">IF(I962=0,0,L962/I962)</f>
        <v>4.0883074407195422E-2</v>
      </c>
      <c r="N962">
        <f t="shared" ref="N962:N1025" si="127">ABS(L962)</f>
        <v>250</v>
      </c>
    </row>
    <row r="963" spans="1:14">
      <c r="A963" s="1" cm="1">
        <f t="array" ref="A963">INDEX(tblWeeks[Week_Start],INT((ROW()-2)/20)+1)</f>
        <v>46363</v>
      </c>
      <c r="B963" t="str" cm="1">
        <f t="array" ref="B963">INDEX(tblDemandAssumptions[Customer_ID],MOD(ROW()-2,20)+1)</f>
        <v>C001</v>
      </c>
      <c r="C963" t="str" cm="1">
        <f t="array" ref="C963">INDEX(tblDemandAssumptions[Product_ID],MOD(ROW()-2,20)+1)</f>
        <v>P002</v>
      </c>
      <c r="D963" cm="1">
        <f t="array" ref="D963">INDEX(tblDemandAssumptions[Baseline_Weekly_Qty],MOD(ROW()-2,20)+1)</f>
        <v>4100</v>
      </c>
      <c r="E963">
        <f t="shared" si="120"/>
        <v>1.2</v>
      </c>
      <c r="F963">
        <v>1.04</v>
      </c>
      <c r="G963">
        <f t="shared" si="121"/>
        <v>5117</v>
      </c>
      <c r="H963">
        <v>1.04</v>
      </c>
      <c r="I963">
        <f t="shared" si="122"/>
        <v>5117</v>
      </c>
      <c r="J963" t="str">
        <f t="shared" si="123"/>
        <v>Normal</v>
      </c>
      <c r="K963">
        <f t="shared" si="124"/>
        <v>5117</v>
      </c>
      <c r="L963">
        <f t="shared" si="125"/>
        <v>0</v>
      </c>
      <c r="M963" s="2">
        <f t="shared" si="126"/>
        <v>0</v>
      </c>
      <c r="N963">
        <f t="shared" si="127"/>
        <v>0</v>
      </c>
    </row>
    <row r="964" spans="1:14">
      <c r="A964" s="1" cm="1">
        <f t="array" ref="A964">INDEX(tblWeeks[Week_Start],INT((ROW()-2)/20)+1)</f>
        <v>46363</v>
      </c>
      <c r="B964" t="str" cm="1">
        <f t="array" ref="B964">INDEX(tblDemandAssumptions[Customer_ID],MOD(ROW()-2,20)+1)</f>
        <v>C001</v>
      </c>
      <c r="C964" t="str" cm="1">
        <f t="array" ref="C964">INDEX(tblDemandAssumptions[Product_ID],MOD(ROW()-2,20)+1)</f>
        <v>P003</v>
      </c>
      <c r="D964" cm="1">
        <f t="array" ref="D964">INDEX(tblDemandAssumptions[Baseline_Weekly_Qty],MOD(ROW()-2,20)+1)</f>
        <v>3300</v>
      </c>
      <c r="E964">
        <f t="shared" si="120"/>
        <v>1.2</v>
      </c>
      <c r="F964">
        <v>1.05</v>
      </c>
      <c r="G964">
        <f t="shared" si="121"/>
        <v>4158</v>
      </c>
      <c r="H964">
        <v>1.01</v>
      </c>
      <c r="I964">
        <f t="shared" si="122"/>
        <v>4000</v>
      </c>
      <c r="J964" t="str">
        <f t="shared" si="123"/>
        <v>Normal</v>
      </c>
      <c r="K964">
        <f t="shared" si="124"/>
        <v>4158</v>
      </c>
      <c r="L964">
        <f t="shared" si="125"/>
        <v>158</v>
      </c>
      <c r="M964" s="2">
        <f t="shared" si="126"/>
        <v>3.95E-2</v>
      </c>
      <c r="N964">
        <f t="shared" si="127"/>
        <v>158</v>
      </c>
    </row>
    <row r="965" spans="1:14">
      <c r="A965" s="1" cm="1">
        <f t="array" ref="A965">INDEX(tblWeeks[Week_Start],INT((ROW()-2)/20)+1)</f>
        <v>46363</v>
      </c>
      <c r="B965" t="str" cm="1">
        <f t="array" ref="B965">INDEX(tblDemandAssumptions[Customer_ID],MOD(ROW()-2,20)+1)</f>
        <v>C001</v>
      </c>
      <c r="C965" t="str" cm="1">
        <f t="array" ref="C965">INDEX(tblDemandAssumptions[Product_ID],MOD(ROW()-2,20)+1)</f>
        <v>P004</v>
      </c>
      <c r="D965" cm="1">
        <f t="array" ref="D965">INDEX(tblDemandAssumptions[Baseline_Weekly_Qty],MOD(ROW()-2,20)+1)</f>
        <v>3600</v>
      </c>
      <c r="E965">
        <f t="shared" si="120"/>
        <v>1.2</v>
      </c>
      <c r="F965">
        <v>1.03</v>
      </c>
      <c r="G965">
        <f t="shared" si="121"/>
        <v>4450</v>
      </c>
      <c r="H965">
        <v>0.97</v>
      </c>
      <c r="I965">
        <f t="shared" si="122"/>
        <v>4190</v>
      </c>
      <c r="J965" t="str">
        <f t="shared" si="123"/>
        <v>Normal</v>
      </c>
      <c r="K965">
        <f t="shared" si="124"/>
        <v>4450</v>
      </c>
      <c r="L965">
        <f t="shared" si="125"/>
        <v>260</v>
      </c>
      <c r="M965" s="2">
        <f t="shared" si="126"/>
        <v>6.205250596658711E-2</v>
      </c>
      <c r="N965">
        <f t="shared" si="127"/>
        <v>260</v>
      </c>
    </row>
    <row r="966" spans="1:14">
      <c r="A966" s="1" cm="1">
        <f t="array" ref="A966">INDEX(tblWeeks[Week_Start],INT((ROW()-2)/20)+1)</f>
        <v>46363</v>
      </c>
      <c r="B966" t="str" cm="1">
        <f t="array" ref="B966">INDEX(tblDemandAssumptions[Customer_ID],MOD(ROW()-2,20)+1)</f>
        <v>C001</v>
      </c>
      <c r="C966" t="str" cm="1">
        <f t="array" ref="C966">INDEX(tblDemandAssumptions[Product_ID],MOD(ROW()-2,20)+1)</f>
        <v>P005</v>
      </c>
      <c r="D966" cm="1">
        <f t="array" ref="D966">INDEX(tblDemandAssumptions[Baseline_Weekly_Qty],MOD(ROW()-2,20)+1)</f>
        <v>2800</v>
      </c>
      <c r="E966">
        <f t="shared" si="120"/>
        <v>1.2</v>
      </c>
      <c r="F966">
        <v>1.01</v>
      </c>
      <c r="G966">
        <f t="shared" si="121"/>
        <v>3394</v>
      </c>
      <c r="H966">
        <v>1</v>
      </c>
      <c r="I966">
        <f t="shared" si="122"/>
        <v>3360</v>
      </c>
      <c r="J966" t="str">
        <f t="shared" si="123"/>
        <v>Normal</v>
      </c>
      <c r="K966">
        <f t="shared" si="124"/>
        <v>3394</v>
      </c>
      <c r="L966">
        <f t="shared" si="125"/>
        <v>34</v>
      </c>
      <c r="M966" s="2">
        <f t="shared" si="126"/>
        <v>1.011904761904762E-2</v>
      </c>
      <c r="N966">
        <f t="shared" si="127"/>
        <v>34</v>
      </c>
    </row>
    <row r="967" spans="1:14">
      <c r="A967" s="1" cm="1">
        <f t="array" ref="A967">INDEX(tblWeeks[Week_Start],INT((ROW()-2)/20)+1)</f>
        <v>46363</v>
      </c>
      <c r="B967" t="str" cm="1">
        <f t="array" ref="B967">INDEX(tblDemandAssumptions[Customer_ID],MOD(ROW()-2,20)+1)</f>
        <v>C002</v>
      </c>
      <c r="C967" t="str" cm="1">
        <f t="array" ref="C967">INDEX(tblDemandAssumptions[Product_ID],MOD(ROW()-2,20)+1)</f>
        <v>P001</v>
      </c>
      <c r="D967" cm="1">
        <f t="array" ref="D967">INDEX(tblDemandAssumptions[Baseline_Weekly_Qty],MOD(ROW()-2,20)+1)</f>
        <v>3400</v>
      </c>
      <c r="E967">
        <f t="shared" si="120"/>
        <v>1.2</v>
      </c>
      <c r="F967">
        <v>0.95</v>
      </c>
      <c r="G967">
        <f t="shared" si="121"/>
        <v>3876</v>
      </c>
      <c r="H967">
        <v>1.04</v>
      </c>
      <c r="I967">
        <f t="shared" si="122"/>
        <v>4243</v>
      </c>
      <c r="J967" t="str">
        <f t="shared" si="123"/>
        <v>Normal</v>
      </c>
      <c r="K967">
        <f t="shared" si="124"/>
        <v>3876</v>
      </c>
      <c r="L967">
        <f t="shared" si="125"/>
        <v>-367</v>
      </c>
      <c r="M967" s="2">
        <f t="shared" si="126"/>
        <v>-8.649540419514494E-2</v>
      </c>
      <c r="N967">
        <f t="shared" si="127"/>
        <v>367</v>
      </c>
    </row>
    <row r="968" spans="1:14">
      <c r="A968" s="1" cm="1">
        <f t="array" ref="A968">INDEX(tblWeeks[Week_Start],INT((ROW()-2)/20)+1)</f>
        <v>46363</v>
      </c>
      <c r="B968" t="str" cm="1">
        <f t="array" ref="B968">INDEX(tblDemandAssumptions[Customer_ID],MOD(ROW()-2,20)+1)</f>
        <v>C002</v>
      </c>
      <c r="C968" t="str" cm="1">
        <f t="array" ref="C968">INDEX(tblDemandAssumptions[Product_ID],MOD(ROW()-2,20)+1)</f>
        <v>P002</v>
      </c>
      <c r="D968" cm="1">
        <f t="array" ref="D968">INDEX(tblDemandAssumptions[Baseline_Weekly_Qty],MOD(ROW()-2,20)+1)</f>
        <v>3200</v>
      </c>
      <c r="E968">
        <f t="shared" si="120"/>
        <v>1.2</v>
      </c>
      <c r="F968">
        <v>0.99</v>
      </c>
      <c r="G968">
        <f t="shared" si="121"/>
        <v>3802</v>
      </c>
      <c r="H968">
        <v>0.99</v>
      </c>
      <c r="I968">
        <f t="shared" si="122"/>
        <v>3802</v>
      </c>
      <c r="J968" t="str">
        <f t="shared" si="123"/>
        <v>Normal</v>
      </c>
      <c r="K968">
        <f t="shared" si="124"/>
        <v>3802</v>
      </c>
      <c r="L968">
        <f t="shared" si="125"/>
        <v>0</v>
      </c>
      <c r="M968" s="2">
        <f t="shared" si="126"/>
        <v>0</v>
      </c>
      <c r="N968">
        <f t="shared" si="127"/>
        <v>0</v>
      </c>
    </row>
    <row r="969" spans="1:14">
      <c r="A969" s="1" cm="1">
        <f t="array" ref="A969">INDEX(tblWeeks[Week_Start],INT((ROW()-2)/20)+1)</f>
        <v>46363</v>
      </c>
      <c r="B969" t="str" cm="1">
        <f t="array" ref="B969">INDEX(tblDemandAssumptions[Customer_ID],MOD(ROW()-2,20)+1)</f>
        <v>C002</v>
      </c>
      <c r="C969" t="str" cm="1">
        <f t="array" ref="C969">INDEX(tblDemandAssumptions[Product_ID],MOD(ROW()-2,20)+1)</f>
        <v>P003</v>
      </c>
      <c r="D969" cm="1">
        <f t="array" ref="D969">INDEX(tblDemandAssumptions[Baseline_Weekly_Qty],MOD(ROW()-2,20)+1)</f>
        <v>2600</v>
      </c>
      <c r="E969">
        <f t="shared" si="120"/>
        <v>1.2</v>
      </c>
      <c r="F969">
        <v>0.99</v>
      </c>
      <c r="G969">
        <f t="shared" si="121"/>
        <v>3089</v>
      </c>
      <c r="H969">
        <v>0.99</v>
      </c>
      <c r="I969">
        <f t="shared" si="122"/>
        <v>3089</v>
      </c>
      <c r="J969" t="str">
        <f t="shared" si="123"/>
        <v>Normal</v>
      </c>
      <c r="K969">
        <f t="shared" si="124"/>
        <v>3089</v>
      </c>
      <c r="L969">
        <f t="shared" si="125"/>
        <v>0</v>
      </c>
      <c r="M969" s="2">
        <f t="shared" si="126"/>
        <v>0</v>
      </c>
      <c r="N969">
        <f t="shared" si="127"/>
        <v>0</v>
      </c>
    </row>
    <row r="970" spans="1:14">
      <c r="A970" s="1" cm="1">
        <f t="array" ref="A970">INDEX(tblWeeks[Week_Start],INT((ROW()-2)/20)+1)</f>
        <v>46363</v>
      </c>
      <c r="B970" t="str" cm="1">
        <f t="array" ref="B970">INDEX(tblDemandAssumptions[Customer_ID],MOD(ROW()-2,20)+1)</f>
        <v>C002</v>
      </c>
      <c r="C970" t="str" cm="1">
        <f t="array" ref="C970">INDEX(tblDemandAssumptions[Product_ID],MOD(ROW()-2,20)+1)</f>
        <v>P004</v>
      </c>
      <c r="D970" cm="1">
        <f t="array" ref="D970">INDEX(tblDemandAssumptions[Baseline_Weekly_Qty],MOD(ROW()-2,20)+1)</f>
        <v>2900</v>
      </c>
      <c r="E970">
        <f t="shared" si="120"/>
        <v>1.2</v>
      </c>
      <c r="F970">
        <v>0.98</v>
      </c>
      <c r="G970">
        <f t="shared" si="121"/>
        <v>3410</v>
      </c>
      <c r="H970">
        <v>0.99</v>
      </c>
      <c r="I970">
        <f t="shared" si="122"/>
        <v>3445</v>
      </c>
      <c r="J970" t="str">
        <f t="shared" si="123"/>
        <v>Normal</v>
      </c>
      <c r="K970">
        <f t="shared" si="124"/>
        <v>3410</v>
      </c>
      <c r="L970">
        <f t="shared" si="125"/>
        <v>-35</v>
      </c>
      <c r="M970" s="2">
        <f t="shared" si="126"/>
        <v>-1.0159651669085631E-2</v>
      </c>
      <c r="N970">
        <f t="shared" si="127"/>
        <v>35</v>
      </c>
    </row>
    <row r="971" spans="1:14">
      <c r="A971" s="1" cm="1">
        <f t="array" ref="A971">INDEX(tblWeeks[Week_Start],INT((ROW()-2)/20)+1)</f>
        <v>46363</v>
      </c>
      <c r="B971" t="str" cm="1">
        <f t="array" ref="B971">INDEX(tblDemandAssumptions[Customer_ID],MOD(ROW()-2,20)+1)</f>
        <v>C002</v>
      </c>
      <c r="C971" t="str" cm="1">
        <f t="array" ref="C971">INDEX(tblDemandAssumptions[Product_ID],MOD(ROW()-2,20)+1)</f>
        <v>P005</v>
      </c>
      <c r="D971" cm="1">
        <f t="array" ref="D971">INDEX(tblDemandAssumptions[Baseline_Weekly_Qty],MOD(ROW()-2,20)+1)</f>
        <v>2200</v>
      </c>
      <c r="E971">
        <f t="shared" si="120"/>
        <v>1.2</v>
      </c>
      <c r="F971">
        <v>1</v>
      </c>
      <c r="G971">
        <f t="shared" si="121"/>
        <v>2640</v>
      </c>
      <c r="H971">
        <v>1.04</v>
      </c>
      <c r="I971">
        <f t="shared" si="122"/>
        <v>2746</v>
      </c>
      <c r="J971" t="str">
        <f t="shared" si="123"/>
        <v>Normal</v>
      </c>
      <c r="K971">
        <f t="shared" si="124"/>
        <v>2640</v>
      </c>
      <c r="L971">
        <f t="shared" si="125"/>
        <v>-106</v>
      </c>
      <c r="M971" s="2">
        <f t="shared" si="126"/>
        <v>-3.8601602330662781E-2</v>
      </c>
      <c r="N971">
        <f t="shared" si="127"/>
        <v>106</v>
      </c>
    </row>
    <row r="972" spans="1:14">
      <c r="A972" s="1" cm="1">
        <f t="array" ref="A972">INDEX(tblWeeks[Week_Start],INT((ROW()-2)/20)+1)</f>
        <v>46363</v>
      </c>
      <c r="B972" t="str" cm="1">
        <f t="array" ref="B972">INDEX(tblDemandAssumptions[Customer_ID],MOD(ROW()-2,20)+1)</f>
        <v>C003</v>
      </c>
      <c r="C972" t="str" cm="1">
        <f t="array" ref="C972">INDEX(tblDemandAssumptions[Product_ID],MOD(ROW()-2,20)+1)</f>
        <v>P001</v>
      </c>
      <c r="D972" cm="1">
        <f t="array" ref="D972">INDEX(tblDemandAssumptions[Baseline_Weekly_Qty],MOD(ROW()-2,20)+1)</f>
        <v>3000</v>
      </c>
      <c r="E972">
        <f t="shared" si="120"/>
        <v>1.2</v>
      </c>
      <c r="F972">
        <v>0.98</v>
      </c>
      <c r="G972">
        <f t="shared" si="121"/>
        <v>3528</v>
      </c>
      <c r="H972">
        <v>1.04</v>
      </c>
      <c r="I972">
        <f t="shared" si="122"/>
        <v>3744</v>
      </c>
      <c r="J972" t="str">
        <f t="shared" si="123"/>
        <v>Normal</v>
      </c>
      <c r="K972">
        <f t="shared" si="124"/>
        <v>3528</v>
      </c>
      <c r="L972">
        <f t="shared" si="125"/>
        <v>-216</v>
      </c>
      <c r="M972" s="2">
        <f t="shared" si="126"/>
        <v>-5.7692307692307696E-2</v>
      </c>
      <c r="N972">
        <f t="shared" si="127"/>
        <v>216</v>
      </c>
    </row>
    <row r="973" spans="1:14">
      <c r="A973" s="1" cm="1">
        <f t="array" ref="A973">INDEX(tblWeeks[Week_Start],INT((ROW()-2)/20)+1)</f>
        <v>46363</v>
      </c>
      <c r="B973" t="str" cm="1">
        <f t="array" ref="B973">INDEX(tblDemandAssumptions[Customer_ID],MOD(ROW()-2,20)+1)</f>
        <v>C003</v>
      </c>
      <c r="C973" t="str" cm="1">
        <f t="array" ref="C973">INDEX(tblDemandAssumptions[Product_ID],MOD(ROW()-2,20)+1)</f>
        <v>P002</v>
      </c>
      <c r="D973" cm="1">
        <f t="array" ref="D973">INDEX(tblDemandAssumptions[Baseline_Weekly_Qty],MOD(ROW()-2,20)+1)</f>
        <v>2700</v>
      </c>
      <c r="E973">
        <f t="shared" si="120"/>
        <v>1.2</v>
      </c>
      <c r="F973">
        <v>0.96</v>
      </c>
      <c r="G973">
        <f t="shared" si="121"/>
        <v>3110</v>
      </c>
      <c r="H973">
        <v>0.97</v>
      </c>
      <c r="I973">
        <f t="shared" si="122"/>
        <v>3143</v>
      </c>
      <c r="J973" t="str">
        <f t="shared" si="123"/>
        <v>Normal</v>
      </c>
      <c r="K973">
        <f t="shared" si="124"/>
        <v>3110</v>
      </c>
      <c r="L973">
        <f t="shared" si="125"/>
        <v>-33</v>
      </c>
      <c r="M973" s="2">
        <f t="shared" si="126"/>
        <v>-1.0499522748965956E-2</v>
      </c>
      <c r="N973">
        <f t="shared" si="127"/>
        <v>33</v>
      </c>
    </row>
    <row r="974" spans="1:14">
      <c r="A974" s="1" cm="1">
        <f t="array" ref="A974">INDEX(tblWeeks[Week_Start],INT((ROW()-2)/20)+1)</f>
        <v>46363</v>
      </c>
      <c r="B974" t="str" cm="1">
        <f t="array" ref="B974">INDEX(tblDemandAssumptions[Customer_ID],MOD(ROW()-2,20)+1)</f>
        <v>C003</v>
      </c>
      <c r="C974" t="str" cm="1">
        <f t="array" ref="C974">INDEX(tblDemandAssumptions[Product_ID],MOD(ROW()-2,20)+1)</f>
        <v>P003</v>
      </c>
      <c r="D974" cm="1">
        <f t="array" ref="D974">INDEX(tblDemandAssumptions[Baseline_Weekly_Qty],MOD(ROW()-2,20)+1)</f>
        <v>2800</v>
      </c>
      <c r="E974">
        <f t="shared" si="120"/>
        <v>1.2</v>
      </c>
      <c r="F974">
        <v>1.04</v>
      </c>
      <c r="G974">
        <f t="shared" si="121"/>
        <v>3494</v>
      </c>
      <c r="H974">
        <v>0.98</v>
      </c>
      <c r="I974">
        <f t="shared" si="122"/>
        <v>3293</v>
      </c>
      <c r="J974" t="str">
        <f t="shared" si="123"/>
        <v>Normal</v>
      </c>
      <c r="K974">
        <f t="shared" si="124"/>
        <v>3494</v>
      </c>
      <c r="L974">
        <f t="shared" si="125"/>
        <v>201</v>
      </c>
      <c r="M974" s="2">
        <f t="shared" si="126"/>
        <v>6.1038566656544183E-2</v>
      </c>
      <c r="N974">
        <f t="shared" si="127"/>
        <v>201</v>
      </c>
    </row>
    <row r="975" spans="1:14">
      <c r="A975" s="1" cm="1">
        <f t="array" ref="A975">INDEX(tblWeeks[Week_Start],INT((ROW()-2)/20)+1)</f>
        <v>46363</v>
      </c>
      <c r="B975" t="str" cm="1">
        <f t="array" ref="B975">INDEX(tblDemandAssumptions[Customer_ID],MOD(ROW()-2,20)+1)</f>
        <v>C003</v>
      </c>
      <c r="C975" t="str" cm="1">
        <f t="array" ref="C975">INDEX(tblDemandAssumptions[Product_ID],MOD(ROW()-2,20)+1)</f>
        <v>P004</v>
      </c>
      <c r="D975" cm="1">
        <f t="array" ref="D975">INDEX(tblDemandAssumptions[Baseline_Weekly_Qty],MOD(ROW()-2,20)+1)</f>
        <v>2400</v>
      </c>
      <c r="E975">
        <f t="shared" si="120"/>
        <v>1.2</v>
      </c>
      <c r="F975">
        <v>0.97</v>
      </c>
      <c r="G975">
        <f t="shared" si="121"/>
        <v>2794</v>
      </c>
      <c r="H975">
        <v>1.03</v>
      </c>
      <c r="I975">
        <f t="shared" si="122"/>
        <v>2966</v>
      </c>
      <c r="J975" t="str">
        <f t="shared" si="123"/>
        <v>Normal</v>
      </c>
      <c r="K975">
        <f t="shared" si="124"/>
        <v>2794</v>
      </c>
      <c r="L975">
        <f t="shared" si="125"/>
        <v>-172</v>
      </c>
      <c r="M975" s="2">
        <f t="shared" si="126"/>
        <v>-5.7990559676331759E-2</v>
      </c>
      <c r="N975">
        <f t="shared" si="127"/>
        <v>172</v>
      </c>
    </row>
    <row r="976" spans="1:14">
      <c r="A976" s="1" cm="1">
        <f t="array" ref="A976">INDEX(tblWeeks[Week_Start],INT((ROW()-2)/20)+1)</f>
        <v>46363</v>
      </c>
      <c r="B976" t="str" cm="1">
        <f t="array" ref="B976">INDEX(tblDemandAssumptions[Customer_ID],MOD(ROW()-2,20)+1)</f>
        <v>C003</v>
      </c>
      <c r="C976" t="str" cm="1">
        <f t="array" ref="C976">INDEX(tblDemandAssumptions[Product_ID],MOD(ROW()-2,20)+1)</f>
        <v>P005</v>
      </c>
      <c r="D976" cm="1">
        <f t="array" ref="D976">INDEX(tblDemandAssumptions[Baseline_Weekly_Qty],MOD(ROW()-2,20)+1)</f>
        <v>1900</v>
      </c>
      <c r="E976">
        <f t="shared" si="120"/>
        <v>1.2</v>
      </c>
      <c r="F976">
        <v>0.97</v>
      </c>
      <c r="G976">
        <f t="shared" si="121"/>
        <v>2212</v>
      </c>
      <c r="H976">
        <v>0.99</v>
      </c>
      <c r="I976">
        <f t="shared" si="122"/>
        <v>2257</v>
      </c>
      <c r="J976" t="str">
        <f t="shared" si="123"/>
        <v>Normal</v>
      </c>
      <c r="K976">
        <f t="shared" si="124"/>
        <v>2212</v>
      </c>
      <c r="L976">
        <f t="shared" si="125"/>
        <v>-45</v>
      </c>
      <c r="M976" s="2">
        <f t="shared" si="126"/>
        <v>-1.9937970757642889E-2</v>
      </c>
      <c r="N976">
        <f t="shared" si="127"/>
        <v>45</v>
      </c>
    </row>
    <row r="977" spans="1:14">
      <c r="A977" s="1" cm="1">
        <f t="array" ref="A977">INDEX(tblWeeks[Week_Start],INT((ROW()-2)/20)+1)</f>
        <v>46363</v>
      </c>
      <c r="B977" t="str" cm="1">
        <f t="array" ref="B977">INDEX(tblDemandAssumptions[Customer_ID],MOD(ROW()-2,20)+1)</f>
        <v>C004</v>
      </c>
      <c r="C977" t="str" cm="1">
        <f t="array" ref="C977">INDEX(tblDemandAssumptions[Product_ID],MOD(ROW()-2,20)+1)</f>
        <v>P001</v>
      </c>
      <c r="D977" cm="1">
        <f t="array" ref="D977">INDEX(tblDemandAssumptions[Baseline_Weekly_Qty],MOD(ROW()-2,20)+1)</f>
        <v>2700</v>
      </c>
      <c r="E977">
        <f t="shared" si="120"/>
        <v>1.2</v>
      </c>
      <c r="F977">
        <v>0.96</v>
      </c>
      <c r="G977">
        <f t="shared" si="121"/>
        <v>3110</v>
      </c>
      <c r="H977">
        <v>0.97</v>
      </c>
      <c r="I977">
        <f t="shared" si="122"/>
        <v>3143</v>
      </c>
      <c r="J977" t="str">
        <f t="shared" si="123"/>
        <v>Normal</v>
      </c>
      <c r="K977">
        <f t="shared" si="124"/>
        <v>3110</v>
      </c>
      <c r="L977">
        <f t="shared" si="125"/>
        <v>-33</v>
      </c>
      <c r="M977" s="2">
        <f t="shared" si="126"/>
        <v>-1.0499522748965956E-2</v>
      </c>
      <c r="N977">
        <f t="shared" si="127"/>
        <v>33</v>
      </c>
    </row>
    <row r="978" spans="1:14">
      <c r="A978" s="1" cm="1">
        <f t="array" ref="A978">INDEX(tblWeeks[Week_Start],INT((ROW()-2)/20)+1)</f>
        <v>46363</v>
      </c>
      <c r="B978" t="str" cm="1">
        <f t="array" ref="B978">INDEX(tblDemandAssumptions[Customer_ID],MOD(ROW()-2,20)+1)</f>
        <v>C004</v>
      </c>
      <c r="C978" t="str" cm="1">
        <f t="array" ref="C978">INDEX(tblDemandAssumptions[Product_ID],MOD(ROW()-2,20)+1)</f>
        <v>P002</v>
      </c>
      <c r="D978" cm="1">
        <f t="array" ref="D978">INDEX(tblDemandAssumptions[Baseline_Weekly_Qty],MOD(ROW()-2,20)+1)</f>
        <v>2400</v>
      </c>
      <c r="E978">
        <f t="shared" si="120"/>
        <v>1.2</v>
      </c>
      <c r="F978">
        <v>0.95</v>
      </c>
      <c r="G978">
        <f t="shared" si="121"/>
        <v>2736</v>
      </c>
      <c r="H978">
        <v>1.02</v>
      </c>
      <c r="I978">
        <f t="shared" si="122"/>
        <v>2938</v>
      </c>
      <c r="J978" t="str">
        <f t="shared" si="123"/>
        <v>Normal</v>
      </c>
      <c r="K978">
        <f t="shared" si="124"/>
        <v>2736</v>
      </c>
      <c r="L978">
        <f t="shared" si="125"/>
        <v>-202</v>
      </c>
      <c r="M978" s="2">
        <f t="shared" si="126"/>
        <v>-6.8754254594962566E-2</v>
      </c>
      <c r="N978">
        <f t="shared" si="127"/>
        <v>202</v>
      </c>
    </row>
    <row r="979" spans="1:14">
      <c r="A979" s="1" cm="1">
        <f t="array" ref="A979">INDEX(tblWeeks[Week_Start],INT((ROW()-2)/20)+1)</f>
        <v>46363</v>
      </c>
      <c r="B979" t="str" cm="1">
        <f t="array" ref="B979">INDEX(tblDemandAssumptions[Customer_ID],MOD(ROW()-2,20)+1)</f>
        <v>C004</v>
      </c>
      <c r="C979" t="str" cm="1">
        <f t="array" ref="C979">INDEX(tblDemandAssumptions[Product_ID],MOD(ROW()-2,20)+1)</f>
        <v>P003</v>
      </c>
      <c r="D979" cm="1">
        <f t="array" ref="D979">INDEX(tblDemandAssumptions[Baseline_Weekly_Qty],MOD(ROW()-2,20)+1)</f>
        <v>2100</v>
      </c>
      <c r="E979">
        <f t="shared" si="120"/>
        <v>1.2</v>
      </c>
      <c r="F979">
        <v>1.02</v>
      </c>
      <c r="G979">
        <f t="shared" si="121"/>
        <v>2570</v>
      </c>
      <c r="H979">
        <v>0.97</v>
      </c>
      <c r="I979">
        <f t="shared" si="122"/>
        <v>2444</v>
      </c>
      <c r="J979" t="str">
        <f t="shared" si="123"/>
        <v>Normal</v>
      </c>
      <c r="K979">
        <f t="shared" si="124"/>
        <v>2570</v>
      </c>
      <c r="L979">
        <f t="shared" si="125"/>
        <v>126</v>
      </c>
      <c r="M979" s="2">
        <f t="shared" si="126"/>
        <v>5.1554828150572829E-2</v>
      </c>
      <c r="N979">
        <f t="shared" si="127"/>
        <v>126</v>
      </c>
    </row>
    <row r="980" spans="1:14">
      <c r="A980" s="1" cm="1">
        <f t="array" ref="A980">INDEX(tblWeeks[Week_Start],INT((ROW()-2)/20)+1)</f>
        <v>46363</v>
      </c>
      <c r="B980" t="str" cm="1">
        <f t="array" ref="B980">INDEX(tblDemandAssumptions[Customer_ID],MOD(ROW()-2,20)+1)</f>
        <v>C004</v>
      </c>
      <c r="C980" t="str" cm="1">
        <f t="array" ref="C980">INDEX(tblDemandAssumptions[Product_ID],MOD(ROW()-2,20)+1)</f>
        <v>P004</v>
      </c>
      <c r="D980" cm="1">
        <f t="array" ref="D980">INDEX(tblDemandAssumptions[Baseline_Weekly_Qty],MOD(ROW()-2,20)+1)</f>
        <v>2600</v>
      </c>
      <c r="E980">
        <f t="shared" si="120"/>
        <v>1.2</v>
      </c>
      <c r="F980">
        <v>1.04</v>
      </c>
      <c r="G980">
        <f t="shared" si="121"/>
        <v>3245</v>
      </c>
      <c r="H980">
        <v>0.96</v>
      </c>
      <c r="I980">
        <f t="shared" si="122"/>
        <v>2995</v>
      </c>
      <c r="J980" t="str">
        <f t="shared" si="123"/>
        <v>Normal</v>
      </c>
      <c r="K980">
        <f t="shared" si="124"/>
        <v>3245</v>
      </c>
      <c r="L980">
        <f t="shared" si="125"/>
        <v>250</v>
      </c>
      <c r="M980" s="2">
        <f t="shared" si="126"/>
        <v>8.347245409015025E-2</v>
      </c>
      <c r="N980">
        <f t="shared" si="127"/>
        <v>250</v>
      </c>
    </row>
    <row r="981" spans="1:14">
      <c r="A981" s="1" cm="1">
        <f t="array" ref="A981">INDEX(tblWeeks[Week_Start],INT((ROW()-2)/20)+1)</f>
        <v>46363</v>
      </c>
      <c r="B981" t="str" cm="1">
        <f t="array" ref="B981">INDEX(tblDemandAssumptions[Customer_ID],MOD(ROW()-2,20)+1)</f>
        <v>C004</v>
      </c>
      <c r="C981" t="str" cm="1">
        <f t="array" ref="C981">INDEX(tblDemandAssumptions[Product_ID],MOD(ROW()-2,20)+1)</f>
        <v>P005</v>
      </c>
      <c r="D981" cm="1">
        <f t="array" ref="D981">INDEX(tblDemandAssumptions[Baseline_Weekly_Qty],MOD(ROW()-2,20)+1)</f>
        <v>1800</v>
      </c>
      <c r="E981">
        <f t="shared" si="120"/>
        <v>1.2</v>
      </c>
      <c r="F981">
        <v>0.97</v>
      </c>
      <c r="G981">
        <f t="shared" si="121"/>
        <v>2095</v>
      </c>
      <c r="H981">
        <v>0.98</v>
      </c>
      <c r="I981">
        <f t="shared" si="122"/>
        <v>2117</v>
      </c>
      <c r="J981" t="str">
        <f t="shared" si="123"/>
        <v>Normal</v>
      </c>
      <c r="K981">
        <f t="shared" si="124"/>
        <v>2095</v>
      </c>
      <c r="L981">
        <f t="shared" si="125"/>
        <v>-22</v>
      </c>
      <c r="M981" s="2">
        <f t="shared" si="126"/>
        <v>-1.0392064241851677E-2</v>
      </c>
      <c r="N981">
        <f t="shared" si="127"/>
        <v>22</v>
      </c>
    </row>
    <row r="982" spans="1:14">
      <c r="A982" s="1" cm="1">
        <f t="array" ref="A982">INDEX(tblWeeks[Week_Start],INT((ROW()-2)/20)+1)</f>
        <v>46370</v>
      </c>
      <c r="B982" t="str" cm="1">
        <f t="array" ref="B982">INDEX(tblDemandAssumptions[Customer_ID],MOD(ROW()-2,20)+1)</f>
        <v>C001</v>
      </c>
      <c r="C982" t="str" cm="1">
        <f t="array" ref="C982">INDEX(tblDemandAssumptions[Product_ID],MOD(ROW()-2,20)+1)</f>
        <v>P001</v>
      </c>
      <c r="D982" cm="1">
        <f t="array" ref="D982">INDEX(tblDemandAssumptions[Baseline_Weekly_Qty],MOD(ROW()-2,20)+1)</f>
        <v>5200</v>
      </c>
      <c r="E982">
        <f t="shared" si="120"/>
        <v>1.2</v>
      </c>
      <c r="F982">
        <v>1.02</v>
      </c>
      <c r="G982">
        <f t="shared" si="121"/>
        <v>6365</v>
      </c>
      <c r="H982">
        <v>1.04</v>
      </c>
      <c r="I982">
        <f t="shared" si="122"/>
        <v>6490</v>
      </c>
      <c r="J982" t="str">
        <f t="shared" si="123"/>
        <v>Normal</v>
      </c>
      <c r="K982">
        <f t="shared" si="124"/>
        <v>6365</v>
      </c>
      <c r="L982">
        <f t="shared" si="125"/>
        <v>-125</v>
      </c>
      <c r="M982" s="2">
        <f t="shared" si="126"/>
        <v>-1.9260400616332819E-2</v>
      </c>
      <c r="N982">
        <f t="shared" si="127"/>
        <v>125</v>
      </c>
    </row>
    <row r="983" spans="1:14">
      <c r="A983" s="1" cm="1">
        <f t="array" ref="A983">INDEX(tblWeeks[Week_Start],INT((ROW()-2)/20)+1)</f>
        <v>46370</v>
      </c>
      <c r="B983" t="str" cm="1">
        <f t="array" ref="B983">INDEX(tblDemandAssumptions[Customer_ID],MOD(ROW()-2,20)+1)</f>
        <v>C001</v>
      </c>
      <c r="C983" t="str" cm="1">
        <f t="array" ref="C983">INDEX(tblDemandAssumptions[Product_ID],MOD(ROW()-2,20)+1)</f>
        <v>P002</v>
      </c>
      <c r="D983" cm="1">
        <f t="array" ref="D983">INDEX(tblDemandAssumptions[Baseline_Weekly_Qty],MOD(ROW()-2,20)+1)</f>
        <v>4100</v>
      </c>
      <c r="E983">
        <f t="shared" si="120"/>
        <v>1.2</v>
      </c>
      <c r="F983">
        <v>0.97</v>
      </c>
      <c r="G983">
        <f t="shared" si="121"/>
        <v>4772</v>
      </c>
      <c r="H983">
        <v>0.96</v>
      </c>
      <c r="I983">
        <f t="shared" si="122"/>
        <v>4723</v>
      </c>
      <c r="J983" t="str">
        <f t="shared" si="123"/>
        <v>Normal</v>
      </c>
      <c r="K983">
        <f t="shared" si="124"/>
        <v>4772</v>
      </c>
      <c r="L983">
        <f t="shared" si="125"/>
        <v>49</v>
      </c>
      <c r="M983" s="2">
        <f t="shared" si="126"/>
        <v>1.0374761803938174E-2</v>
      </c>
      <c r="N983">
        <f t="shared" si="127"/>
        <v>49</v>
      </c>
    </row>
    <row r="984" spans="1:14">
      <c r="A984" s="1" cm="1">
        <f t="array" ref="A984">INDEX(tblWeeks[Week_Start],INT((ROW()-2)/20)+1)</f>
        <v>46370</v>
      </c>
      <c r="B984" t="str" cm="1">
        <f t="array" ref="B984">INDEX(tblDemandAssumptions[Customer_ID],MOD(ROW()-2,20)+1)</f>
        <v>C001</v>
      </c>
      <c r="C984" t="str" cm="1">
        <f t="array" ref="C984">INDEX(tblDemandAssumptions[Product_ID],MOD(ROW()-2,20)+1)</f>
        <v>P003</v>
      </c>
      <c r="D984" cm="1">
        <f t="array" ref="D984">INDEX(tblDemandAssumptions[Baseline_Weekly_Qty],MOD(ROW()-2,20)+1)</f>
        <v>3300</v>
      </c>
      <c r="E984">
        <f t="shared" si="120"/>
        <v>1.2</v>
      </c>
      <c r="F984">
        <v>0.98</v>
      </c>
      <c r="G984">
        <f t="shared" si="121"/>
        <v>3881</v>
      </c>
      <c r="H984">
        <v>0.99</v>
      </c>
      <c r="I984">
        <f t="shared" si="122"/>
        <v>3920</v>
      </c>
      <c r="J984" t="str">
        <f t="shared" si="123"/>
        <v>Normal</v>
      </c>
      <c r="K984">
        <f t="shared" si="124"/>
        <v>3881</v>
      </c>
      <c r="L984">
        <f t="shared" si="125"/>
        <v>-39</v>
      </c>
      <c r="M984" s="2">
        <f t="shared" si="126"/>
        <v>-9.9489795918367343E-3</v>
      </c>
      <c r="N984">
        <f t="shared" si="127"/>
        <v>39</v>
      </c>
    </row>
    <row r="985" spans="1:14">
      <c r="A985" s="1" cm="1">
        <f t="array" ref="A985">INDEX(tblWeeks[Week_Start],INT((ROW()-2)/20)+1)</f>
        <v>46370</v>
      </c>
      <c r="B985" t="str" cm="1">
        <f t="array" ref="B985">INDEX(tblDemandAssumptions[Customer_ID],MOD(ROW()-2,20)+1)</f>
        <v>C001</v>
      </c>
      <c r="C985" t="str" cm="1">
        <f t="array" ref="C985">INDEX(tblDemandAssumptions[Product_ID],MOD(ROW()-2,20)+1)</f>
        <v>P004</v>
      </c>
      <c r="D985" cm="1">
        <f t="array" ref="D985">INDEX(tblDemandAssumptions[Baseline_Weekly_Qty],MOD(ROW()-2,20)+1)</f>
        <v>3600</v>
      </c>
      <c r="E985">
        <f t="shared" si="120"/>
        <v>1.2</v>
      </c>
      <c r="F985">
        <v>1.04</v>
      </c>
      <c r="G985">
        <f t="shared" si="121"/>
        <v>4493</v>
      </c>
      <c r="H985">
        <v>1.04</v>
      </c>
      <c r="I985">
        <f t="shared" si="122"/>
        <v>4493</v>
      </c>
      <c r="J985" t="str">
        <f t="shared" si="123"/>
        <v>Normal</v>
      </c>
      <c r="K985">
        <f t="shared" si="124"/>
        <v>4493</v>
      </c>
      <c r="L985">
        <f t="shared" si="125"/>
        <v>0</v>
      </c>
      <c r="M985" s="2">
        <f t="shared" si="126"/>
        <v>0</v>
      </c>
      <c r="N985">
        <f t="shared" si="127"/>
        <v>0</v>
      </c>
    </row>
    <row r="986" spans="1:14">
      <c r="A986" s="1" cm="1">
        <f t="array" ref="A986">INDEX(tblWeeks[Week_Start],INT((ROW()-2)/20)+1)</f>
        <v>46370</v>
      </c>
      <c r="B986" t="str" cm="1">
        <f t="array" ref="B986">INDEX(tblDemandAssumptions[Customer_ID],MOD(ROW()-2,20)+1)</f>
        <v>C001</v>
      </c>
      <c r="C986" t="str" cm="1">
        <f t="array" ref="C986">INDEX(tblDemandAssumptions[Product_ID],MOD(ROW()-2,20)+1)</f>
        <v>P005</v>
      </c>
      <c r="D986" cm="1">
        <f t="array" ref="D986">INDEX(tblDemandAssumptions[Baseline_Weekly_Qty],MOD(ROW()-2,20)+1)</f>
        <v>2800</v>
      </c>
      <c r="E986">
        <f t="shared" si="120"/>
        <v>1.2</v>
      </c>
      <c r="F986">
        <v>0.99</v>
      </c>
      <c r="G986">
        <f t="shared" si="121"/>
        <v>3326</v>
      </c>
      <c r="H986">
        <v>0.97</v>
      </c>
      <c r="I986">
        <f t="shared" si="122"/>
        <v>3259</v>
      </c>
      <c r="J986" t="str">
        <f t="shared" si="123"/>
        <v>Normal</v>
      </c>
      <c r="K986">
        <f t="shared" si="124"/>
        <v>3326</v>
      </c>
      <c r="L986">
        <f t="shared" si="125"/>
        <v>67</v>
      </c>
      <c r="M986" s="2">
        <f t="shared" si="126"/>
        <v>2.0558453513347653E-2</v>
      </c>
      <c r="N986">
        <f t="shared" si="127"/>
        <v>67</v>
      </c>
    </row>
    <row r="987" spans="1:14">
      <c r="A987" s="1" cm="1">
        <f t="array" ref="A987">INDEX(tblWeeks[Week_Start],INT((ROW()-2)/20)+1)</f>
        <v>46370</v>
      </c>
      <c r="B987" t="str" cm="1">
        <f t="array" ref="B987">INDEX(tblDemandAssumptions[Customer_ID],MOD(ROW()-2,20)+1)</f>
        <v>C002</v>
      </c>
      <c r="C987" t="str" cm="1">
        <f t="array" ref="C987">INDEX(tblDemandAssumptions[Product_ID],MOD(ROW()-2,20)+1)</f>
        <v>P001</v>
      </c>
      <c r="D987" cm="1">
        <f t="array" ref="D987">INDEX(tblDemandAssumptions[Baseline_Weekly_Qty],MOD(ROW()-2,20)+1)</f>
        <v>3400</v>
      </c>
      <c r="E987">
        <f t="shared" si="120"/>
        <v>1.2</v>
      </c>
      <c r="F987">
        <v>0.95</v>
      </c>
      <c r="G987">
        <f t="shared" si="121"/>
        <v>3876</v>
      </c>
      <c r="H987">
        <v>0.99</v>
      </c>
      <c r="I987">
        <f t="shared" si="122"/>
        <v>4039</v>
      </c>
      <c r="J987" t="str">
        <f t="shared" si="123"/>
        <v>Normal</v>
      </c>
      <c r="K987">
        <f t="shared" si="124"/>
        <v>3876</v>
      </c>
      <c r="L987">
        <f t="shared" si="125"/>
        <v>-163</v>
      </c>
      <c r="M987" s="2">
        <f t="shared" si="126"/>
        <v>-4.0356523892052486E-2</v>
      </c>
      <c r="N987">
        <f t="shared" si="127"/>
        <v>163</v>
      </c>
    </row>
    <row r="988" spans="1:14">
      <c r="A988" s="1" cm="1">
        <f t="array" ref="A988">INDEX(tblWeeks[Week_Start],INT((ROW()-2)/20)+1)</f>
        <v>46370</v>
      </c>
      <c r="B988" t="str" cm="1">
        <f t="array" ref="B988">INDEX(tblDemandAssumptions[Customer_ID],MOD(ROW()-2,20)+1)</f>
        <v>C002</v>
      </c>
      <c r="C988" t="str" cm="1">
        <f t="array" ref="C988">INDEX(tblDemandAssumptions[Product_ID],MOD(ROW()-2,20)+1)</f>
        <v>P002</v>
      </c>
      <c r="D988" cm="1">
        <f t="array" ref="D988">INDEX(tblDemandAssumptions[Baseline_Weekly_Qty],MOD(ROW()-2,20)+1)</f>
        <v>3200</v>
      </c>
      <c r="E988">
        <f t="shared" si="120"/>
        <v>1.2</v>
      </c>
      <c r="F988">
        <v>0.95</v>
      </c>
      <c r="G988">
        <f t="shared" si="121"/>
        <v>3648</v>
      </c>
      <c r="H988">
        <v>1.01</v>
      </c>
      <c r="I988">
        <f t="shared" si="122"/>
        <v>3878</v>
      </c>
      <c r="J988" t="str">
        <f t="shared" si="123"/>
        <v>Normal</v>
      </c>
      <c r="K988">
        <f t="shared" si="124"/>
        <v>3648</v>
      </c>
      <c r="L988">
        <f t="shared" si="125"/>
        <v>-230</v>
      </c>
      <c r="M988" s="2">
        <f t="shared" si="126"/>
        <v>-5.9308922124806603E-2</v>
      </c>
      <c r="N988">
        <f t="shared" si="127"/>
        <v>230</v>
      </c>
    </row>
    <row r="989" spans="1:14">
      <c r="A989" s="1" cm="1">
        <f t="array" ref="A989">INDEX(tblWeeks[Week_Start],INT((ROW()-2)/20)+1)</f>
        <v>46370</v>
      </c>
      <c r="B989" t="str" cm="1">
        <f t="array" ref="B989">INDEX(tblDemandAssumptions[Customer_ID],MOD(ROW()-2,20)+1)</f>
        <v>C002</v>
      </c>
      <c r="C989" t="str" cm="1">
        <f t="array" ref="C989">INDEX(tblDemandAssumptions[Product_ID],MOD(ROW()-2,20)+1)</f>
        <v>P003</v>
      </c>
      <c r="D989" cm="1">
        <f t="array" ref="D989">INDEX(tblDemandAssumptions[Baseline_Weekly_Qty],MOD(ROW()-2,20)+1)</f>
        <v>2600</v>
      </c>
      <c r="E989">
        <f t="shared" si="120"/>
        <v>1.2</v>
      </c>
      <c r="F989">
        <v>0.96</v>
      </c>
      <c r="G989">
        <f t="shared" si="121"/>
        <v>2995</v>
      </c>
      <c r="H989">
        <v>0.98</v>
      </c>
      <c r="I989">
        <f t="shared" si="122"/>
        <v>3058</v>
      </c>
      <c r="J989" t="str">
        <f t="shared" si="123"/>
        <v>Normal</v>
      </c>
      <c r="K989">
        <f t="shared" si="124"/>
        <v>2995</v>
      </c>
      <c r="L989">
        <f t="shared" si="125"/>
        <v>-63</v>
      </c>
      <c r="M989" s="2">
        <f t="shared" si="126"/>
        <v>-2.0601700457815567E-2</v>
      </c>
      <c r="N989">
        <f t="shared" si="127"/>
        <v>63</v>
      </c>
    </row>
    <row r="990" spans="1:14">
      <c r="A990" s="1" cm="1">
        <f t="array" ref="A990">INDEX(tblWeeks[Week_Start],INT((ROW()-2)/20)+1)</f>
        <v>46370</v>
      </c>
      <c r="B990" t="str" cm="1">
        <f t="array" ref="B990">INDEX(tblDemandAssumptions[Customer_ID],MOD(ROW()-2,20)+1)</f>
        <v>C002</v>
      </c>
      <c r="C990" t="str" cm="1">
        <f t="array" ref="C990">INDEX(tblDemandAssumptions[Product_ID],MOD(ROW()-2,20)+1)</f>
        <v>P004</v>
      </c>
      <c r="D990" cm="1">
        <f t="array" ref="D990">INDEX(tblDemandAssumptions[Baseline_Weekly_Qty],MOD(ROW()-2,20)+1)</f>
        <v>2900</v>
      </c>
      <c r="E990">
        <f t="shared" si="120"/>
        <v>1.2</v>
      </c>
      <c r="F990">
        <v>1.01</v>
      </c>
      <c r="G990">
        <f t="shared" si="121"/>
        <v>3515</v>
      </c>
      <c r="H990">
        <v>1.04</v>
      </c>
      <c r="I990">
        <f t="shared" si="122"/>
        <v>3619</v>
      </c>
      <c r="J990" t="str">
        <f t="shared" si="123"/>
        <v>Normal</v>
      </c>
      <c r="K990">
        <f t="shared" si="124"/>
        <v>3515</v>
      </c>
      <c r="L990">
        <f t="shared" si="125"/>
        <v>-104</v>
      </c>
      <c r="M990" s="2">
        <f t="shared" si="126"/>
        <v>-2.8737220226581928E-2</v>
      </c>
      <c r="N990">
        <f t="shared" si="127"/>
        <v>104</v>
      </c>
    </row>
    <row r="991" spans="1:14">
      <c r="A991" s="1" cm="1">
        <f t="array" ref="A991">INDEX(tblWeeks[Week_Start],INT((ROW()-2)/20)+1)</f>
        <v>46370</v>
      </c>
      <c r="B991" t="str" cm="1">
        <f t="array" ref="B991">INDEX(tblDemandAssumptions[Customer_ID],MOD(ROW()-2,20)+1)</f>
        <v>C002</v>
      </c>
      <c r="C991" t="str" cm="1">
        <f t="array" ref="C991">INDEX(tblDemandAssumptions[Product_ID],MOD(ROW()-2,20)+1)</f>
        <v>P005</v>
      </c>
      <c r="D991" cm="1">
        <f t="array" ref="D991">INDEX(tblDemandAssumptions[Baseline_Weekly_Qty],MOD(ROW()-2,20)+1)</f>
        <v>2200</v>
      </c>
      <c r="E991">
        <f t="shared" si="120"/>
        <v>1.2</v>
      </c>
      <c r="F991">
        <v>0.95</v>
      </c>
      <c r="G991">
        <f t="shared" si="121"/>
        <v>2508</v>
      </c>
      <c r="H991">
        <v>0.96</v>
      </c>
      <c r="I991">
        <f t="shared" si="122"/>
        <v>2534</v>
      </c>
      <c r="J991" t="str">
        <f t="shared" si="123"/>
        <v>Normal</v>
      </c>
      <c r="K991">
        <f t="shared" si="124"/>
        <v>2508</v>
      </c>
      <c r="L991">
        <f t="shared" si="125"/>
        <v>-26</v>
      </c>
      <c r="M991" s="2">
        <f t="shared" si="126"/>
        <v>-1.0260457774269928E-2</v>
      </c>
      <c r="N991">
        <f t="shared" si="127"/>
        <v>26</v>
      </c>
    </row>
    <row r="992" spans="1:14">
      <c r="A992" s="1" cm="1">
        <f t="array" ref="A992">INDEX(tblWeeks[Week_Start],INT((ROW()-2)/20)+1)</f>
        <v>46370</v>
      </c>
      <c r="B992" t="str" cm="1">
        <f t="array" ref="B992">INDEX(tblDemandAssumptions[Customer_ID],MOD(ROW()-2,20)+1)</f>
        <v>C003</v>
      </c>
      <c r="C992" t="str" cm="1">
        <f t="array" ref="C992">INDEX(tblDemandAssumptions[Product_ID],MOD(ROW()-2,20)+1)</f>
        <v>P001</v>
      </c>
      <c r="D992" cm="1">
        <f t="array" ref="D992">INDEX(tblDemandAssumptions[Baseline_Weekly_Qty],MOD(ROW()-2,20)+1)</f>
        <v>3000</v>
      </c>
      <c r="E992">
        <f t="shared" si="120"/>
        <v>1.2</v>
      </c>
      <c r="F992">
        <v>0.97</v>
      </c>
      <c r="G992">
        <f t="shared" si="121"/>
        <v>3492</v>
      </c>
      <c r="H992">
        <v>0.99</v>
      </c>
      <c r="I992">
        <f t="shared" si="122"/>
        <v>3564</v>
      </c>
      <c r="J992" t="str">
        <f t="shared" si="123"/>
        <v>Normal</v>
      </c>
      <c r="K992">
        <f t="shared" si="124"/>
        <v>3492</v>
      </c>
      <c r="L992">
        <f t="shared" si="125"/>
        <v>-72</v>
      </c>
      <c r="M992" s="2">
        <f t="shared" si="126"/>
        <v>-2.0202020202020204E-2</v>
      </c>
      <c r="N992">
        <f t="shared" si="127"/>
        <v>72</v>
      </c>
    </row>
    <row r="993" spans="1:14">
      <c r="A993" s="1" cm="1">
        <f t="array" ref="A993">INDEX(tblWeeks[Week_Start],INT((ROW()-2)/20)+1)</f>
        <v>46370</v>
      </c>
      <c r="B993" t="str" cm="1">
        <f t="array" ref="B993">INDEX(tblDemandAssumptions[Customer_ID],MOD(ROW()-2,20)+1)</f>
        <v>C003</v>
      </c>
      <c r="C993" t="str" cm="1">
        <f t="array" ref="C993">INDEX(tblDemandAssumptions[Product_ID],MOD(ROW()-2,20)+1)</f>
        <v>P002</v>
      </c>
      <c r="D993" cm="1">
        <f t="array" ref="D993">INDEX(tblDemandAssumptions[Baseline_Weekly_Qty],MOD(ROW()-2,20)+1)</f>
        <v>2700</v>
      </c>
      <c r="E993">
        <f t="shared" si="120"/>
        <v>1.2</v>
      </c>
      <c r="F993">
        <v>1.03</v>
      </c>
      <c r="G993">
        <f t="shared" si="121"/>
        <v>3337</v>
      </c>
      <c r="H993">
        <v>0.97</v>
      </c>
      <c r="I993">
        <f t="shared" si="122"/>
        <v>3143</v>
      </c>
      <c r="J993" t="str">
        <f t="shared" si="123"/>
        <v>Normal</v>
      </c>
      <c r="K993">
        <f t="shared" si="124"/>
        <v>3337</v>
      </c>
      <c r="L993">
        <f t="shared" si="125"/>
        <v>194</v>
      </c>
      <c r="M993" s="2">
        <f t="shared" si="126"/>
        <v>6.172446706967865E-2</v>
      </c>
      <c r="N993">
        <f t="shared" si="127"/>
        <v>194</v>
      </c>
    </row>
    <row r="994" spans="1:14">
      <c r="A994" s="1" cm="1">
        <f t="array" ref="A994">INDEX(tblWeeks[Week_Start],INT((ROW()-2)/20)+1)</f>
        <v>46370</v>
      </c>
      <c r="B994" t="str" cm="1">
        <f t="array" ref="B994">INDEX(tblDemandAssumptions[Customer_ID],MOD(ROW()-2,20)+1)</f>
        <v>C003</v>
      </c>
      <c r="C994" t="str" cm="1">
        <f t="array" ref="C994">INDEX(tblDemandAssumptions[Product_ID],MOD(ROW()-2,20)+1)</f>
        <v>P003</v>
      </c>
      <c r="D994" cm="1">
        <f t="array" ref="D994">INDEX(tblDemandAssumptions[Baseline_Weekly_Qty],MOD(ROW()-2,20)+1)</f>
        <v>2800</v>
      </c>
      <c r="E994">
        <f t="shared" si="120"/>
        <v>1.2</v>
      </c>
      <c r="F994">
        <v>1.03</v>
      </c>
      <c r="G994">
        <f t="shared" si="121"/>
        <v>3461</v>
      </c>
      <c r="H994">
        <v>0.97</v>
      </c>
      <c r="I994">
        <f t="shared" si="122"/>
        <v>3259</v>
      </c>
      <c r="J994" t="str">
        <f t="shared" si="123"/>
        <v>Normal</v>
      </c>
      <c r="K994">
        <f t="shared" si="124"/>
        <v>3461</v>
      </c>
      <c r="L994">
        <f t="shared" si="125"/>
        <v>202</v>
      </c>
      <c r="M994" s="2">
        <f t="shared" si="126"/>
        <v>6.1982203129794418E-2</v>
      </c>
      <c r="N994">
        <f t="shared" si="127"/>
        <v>202</v>
      </c>
    </row>
    <row r="995" spans="1:14">
      <c r="A995" s="1" cm="1">
        <f t="array" ref="A995">INDEX(tblWeeks[Week_Start],INT((ROW()-2)/20)+1)</f>
        <v>46370</v>
      </c>
      <c r="B995" t="str" cm="1">
        <f t="array" ref="B995">INDEX(tblDemandAssumptions[Customer_ID],MOD(ROW()-2,20)+1)</f>
        <v>C003</v>
      </c>
      <c r="C995" t="str" cm="1">
        <f t="array" ref="C995">INDEX(tblDemandAssumptions[Product_ID],MOD(ROW()-2,20)+1)</f>
        <v>P004</v>
      </c>
      <c r="D995" cm="1">
        <f t="array" ref="D995">INDEX(tblDemandAssumptions[Baseline_Weekly_Qty],MOD(ROW()-2,20)+1)</f>
        <v>2400</v>
      </c>
      <c r="E995">
        <f t="shared" si="120"/>
        <v>1.2</v>
      </c>
      <c r="F995">
        <v>0.96</v>
      </c>
      <c r="G995">
        <f t="shared" si="121"/>
        <v>2765</v>
      </c>
      <c r="H995">
        <v>1.04</v>
      </c>
      <c r="I995">
        <f t="shared" si="122"/>
        <v>2995</v>
      </c>
      <c r="J995" t="str">
        <f t="shared" si="123"/>
        <v>Normal</v>
      </c>
      <c r="K995">
        <f t="shared" si="124"/>
        <v>2765</v>
      </c>
      <c r="L995">
        <f t="shared" si="125"/>
        <v>-230</v>
      </c>
      <c r="M995" s="2">
        <f t="shared" si="126"/>
        <v>-7.6794657762938229E-2</v>
      </c>
      <c r="N995">
        <f t="shared" si="127"/>
        <v>230</v>
      </c>
    </row>
    <row r="996" spans="1:14">
      <c r="A996" s="1" cm="1">
        <f t="array" ref="A996">INDEX(tblWeeks[Week_Start],INT((ROW()-2)/20)+1)</f>
        <v>46370</v>
      </c>
      <c r="B996" t="str" cm="1">
        <f t="array" ref="B996">INDEX(tblDemandAssumptions[Customer_ID],MOD(ROW()-2,20)+1)</f>
        <v>C003</v>
      </c>
      <c r="C996" t="str" cm="1">
        <f t="array" ref="C996">INDEX(tblDemandAssumptions[Product_ID],MOD(ROW()-2,20)+1)</f>
        <v>P005</v>
      </c>
      <c r="D996" cm="1">
        <f t="array" ref="D996">INDEX(tblDemandAssumptions[Baseline_Weekly_Qty],MOD(ROW()-2,20)+1)</f>
        <v>1900</v>
      </c>
      <c r="E996">
        <f t="shared" si="120"/>
        <v>1.2</v>
      </c>
      <c r="F996">
        <v>1.04</v>
      </c>
      <c r="G996">
        <f t="shared" si="121"/>
        <v>2371</v>
      </c>
      <c r="H996">
        <v>1.03</v>
      </c>
      <c r="I996">
        <f t="shared" si="122"/>
        <v>2348</v>
      </c>
      <c r="J996" t="str">
        <f t="shared" si="123"/>
        <v>Normal</v>
      </c>
      <c r="K996">
        <f t="shared" si="124"/>
        <v>2371</v>
      </c>
      <c r="L996">
        <f t="shared" si="125"/>
        <v>23</v>
      </c>
      <c r="M996" s="2">
        <f t="shared" si="126"/>
        <v>9.7955706984667809E-3</v>
      </c>
      <c r="N996">
        <f t="shared" si="127"/>
        <v>23</v>
      </c>
    </row>
    <row r="997" spans="1:14">
      <c r="A997" s="1" cm="1">
        <f t="array" ref="A997">INDEX(tblWeeks[Week_Start],INT((ROW()-2)/20)+1)</f>
        <v>46370</v>
      </c>
      <c r="B997" t="str" cm="1">
        <f t="array" ref="B997">INDEX(tblDemandAssumptions[Customer_ID],MOD(ROW()-2,20)+1)</f>
        <v>C004</v>
      </c>
      <c r="C997" t="str" cm="1">
        <f t="array" ref="C997">INDEX(tblDemandAssumptions[Product_ID],MOD(ROW()-2,20)+1)</f>
        <v>P001</v>
      </c>
      <c r="D997" cm="1">
        <f t="array" ref="D997">INDEX(tblDemandAssumptions[Baseline_Weekly_Qty],MOD(ROW()-2,20)+1)</f>
        <v>2700</v>
      </c>
      <c r="E997">
        <f t="shared" si="120"/>
        <v>1.2</v>
      </c>
      <c r="F997">
        <v>0.99</v>
      </c>
      <c r="G997">
        <f t="shared" si="121"/>
        <v>3208</v>
      </c>
      <c r="H997">
        <v>1.02</v>
      </c>
      <c r="I997">
        <f t="shared" si="122"/>
        <v>3305</v>
      </c>
      <c r="J997" t="str">
        <f t="shared" si="123"/>
        <v>Normal</v>
      </c>
      <c r="K997">
        <f t="shared" si="124"/>
        <v>3208</v>
      </c>
      <c r="L997">
        <f t="shared" si="125"/>
        <v>-97</v>
      </c>
      <c r="M997" s="2">
        <f t="shared" si="126"/>
        <v>-2.9349470499243569E-2</v>
      </c>
      <c r="N997">
        <f t="shared" si="127"/>
        <v>97</v>
      </c>
    </row>
    <row r="998" spans="1:14">
      <c r="A998" s="1" cm="1">
        <f t="array" ref="A998">INDEX(tblWeeks[Week_Start],INT((ROW()-2)/20)+1)</f>
        <v>46370</v>
      </c>
      <c r="B998" t="str" cm="1">
        <f t="array" ref="B998">INDEX(tblDemandAssumptions[Customer_ID],MOD(ROW()-2,20)+1)</f>
        <v>C004</v>
      </c>
      <c r="C998" t="str" cm="1">
        <f t="array" ref="C998">INDEX(tblDemandAssumptions[Product_ID],MOD(ROW()-2,20)+1)</f>
        <v>P002</v>
      </c>
      <c r="D998" cm="1">
        <f t="array" ref="D998">INDEX(tblDemandAssumptions[Baseline_Weekly_Qty],MOD(ROW()-2,20)+1)</f>
        <v>2400</v>
      </c>
      <c r="E998">
        <f t="shared" si="120"/>
        <v>1.2</v>
      </c>
      <c r="F998">
        <v>1.03</v>
      </c>
      <c r="G998">
        <f t="shared" si="121"/>
        <v>2966</v>
      </c>
      <c r="H998">
        <v>1.02</v>
      </c>
      <c r="I998">
        <f t="shared" si="122"/>
        <v>2938</v>
      </c>
      <c r="J998" t="str">
        <f t="shared" si="123"/>
        <v>Normal</v>
      </c>
      <c r="K998">
        <f t="shared" si="124"/>
        <v>2966</v>
      </c>
      <c r="L998">
        <f t="shared" si="125"/>
        <v>28</v>
      </c>
      <c r="M998" s="2">
        <f t="shared" si="126"/>
        <v>9.5302927161334244E-3</v>
      </c>
      <c r="N998">
        <f t="shared" si="127"/>
        <v>28</v>
      </c>
    </row>
    <row r="999" spans="1:14">
      <c r="A999" s="1" cm="1">
        <f t="array" ref="A999">INDEX(tblWeeks[Week_Start],INT((ROW()-2)/20)+1)</f>
        <v>46370</v>
      </c>
      <c r="B999" t="str" cm="1">
        <f t="array" ref="B999">INDEX(tblDemandAssumptions[Customer_ID],MOD(ROW()-2,20)+1)</f>
        <v>C004</v>
      </c>
      <c r="C999" t="str" cm="1">
        <f t="array" ref="C999">INDEX(tblDemandAssumptions[Product_ID],MOD(ROW()-2,20)+1)</f>
        <v>P003</v>
      </c>
      <c r="D999" cm="1">
        <f t="array" ref="D999">INDEX(tblDemandAssumptions[Baseline_Weekly_Qty],MOD(ROW()-2,20)+1)</f>
        <v>2100</v>
      </c>
      <c r="E999">
        <f t="shared" si="120"/>
        <v>1.2</v>
      </c>
      <c r="F999">
        <v>0.97</v>
      </c>
      <c r="G999">
        <f t="shared" si="121"/>
        <v>2444</v>
      </c>
      <c r="H999">
        <v>0.99</v>
      </c>
      <c r="I999">
        <f t="shared" si="122"/>
        <v>2495</v>
      </c>
      <c r="J999" t="str">
        <f t="shared" si="123"/>
        <v>Normal</v>
      </c>
      <c r="K999">
        <f t="shared" si="124"/>
        <v>2444</v>
      </c>
      <c r="L999">
        <f t="shared" si="125"/>
        <v>-51</v>
      </c>
      <c r="M999" s="2">
        <f t="shared" si="126"/>
        <v>-2.0440881763527055E-2</v>
      </c>
      <c r="N999">
        <f t="shared" si="127"/>
        <v>51</v>
      </c>
    </row>
    <row r="1000" spans="1:14">
      <c r="A1000" s="1" cm="1">
        <f t="array" ref="A1000">INDEX(tblWeeks[Week_Start],INT((ROW()-2)/20)+1)</f>
        <v>46370</v>
      </c>
      <c r="B1000" t="str" cm="1">
        <f t="array" ref="B1000">INDEX(tblDemandAssumptions[Customer_ID],MOD(ROW()-2,20)+1)</f>
        <v>C004</v>
      </c>
      <c r="C1000" t="str" cm="1">
        <f t="array" ref="C1000">INDEX(tblDemandAssumptions[Product_ID],MOD(ROW()-2,20)+1)</f>
        <v>P004</v>
      </c>
      <c r="D1000" cm="1">
        <f t="array" ref="D1000">INDEX(tblDemandAssumptions[Baseline_Weekly_Qty],MOD(ROW()-2,20)+1)</f>
        <v>2600</v>
      </c>
      <c r="E1000">
        <f t="shared" si="120"/>
        <v>1.2</v>
      </c>
      <c r="F1000">
        <v>1.03</v>
      </c>
      <c r="G1000">
        <f t="shared" si="121"/>
        <v>3214</v>
      </c>
      <c r="H1000">
        <v>0.96</v>
      </c>
      <c r="I1000">
        <f t="shared" si="122"/>
        <v>2995</v>
      </c>
      <c r="J1000" t="str">
        <f t="shared" si="123"/>
        <v>Normal</v>
      </c>
      <c r="K1000">
        <f t="shared" si="124"/>
        <v>3214</v>
      </c>
      <c r="L1000">
        <f t="shared" si="125"/>
        <v>219</v>
      </c>
      <c r="M1000" s="2">
        <f t="shared" si="126"/>
        <v>7.3121869782971624E-2</v>
      </c>
      <c r="N1000">
        <f t="shared" si="127"/>
        <v>219</v>
      </c>
    </row>
    <row r="1001" spans="1:14">
      <c r="A1001" s="1" cm="1">
        <f t="array" ref="A1001">INDEX(tblWeeks[Week_Start],INT((ROW()-2)/20)+1)</f>
        <v>46370</v>
      </c>
      <c r="B1001" t="str" cm="1">
        <f t="array" ref="B1001">INDEX(tblDemandAssumptions[Customer_ID],MOD(ROW()-2,20)+1)</f>
        <v>C004</v>
      </c>
      <c r="C1001" t="str" cm="1">
        <f t="array" ref="C1001">INDEX(tblDemandAssumptions[Product_ID],MOD(ROW()-2,20)+1)</f>
        <v>P005</v>
      </c>
      <c r="D1001" cm="1">
        <f t="array" ref="D1001">INDEX(tblDemandAssumptions[Baseline_Weekly_Qty],MOD(ROW()-2,20)+1)</f>
        <v>1800</v>
      </c>
      <c r="E1001">
        <f t="shared" si="120"/>
        <v>1.2</v>
      </c>
      <c r="F1001">
        <v>0.99</v>
      </c>
      <c r="G1001">
        <f t="shared" si="121"/>
        <v>2138</v>
      </c>
      <c r="H1001">
        <v>0.98</v>
      </c>
      <c r="I1001">
        <f t="shared" si="122"/>
        <v>2117</v>
      </c>
      <c r="J1001" t="str">
        <f t="shared" si="123"/>
        <v>Normal</v>
      </c>
      <c r="K1001">
        <f t="shared" si="124"/>
        <v>2138</v>
      </c>
      <c r="L1001">
        <f t="shared" si="125"/>
        <v>21</v>
      </c>
      <c r="M1001" s="2">
        <f t="shared" si="126"/>
        <v>9.9196976854038742E-3</v>
      </c>
      <c r="N1001">
        <f t="shared" si="127"/>
        <v>21</v>
      </c>
    </row>
    <row r="1002" spans="1:14">
      <c r="A1002" s="1" cm="1">
        <f t="array" ref="A1002">INDEX(tblWeeks[Week_Start],INT((ROW()-2)/20)+1)</f>
        <v>46377</v>
      </c>
      <c r="B1002" t="str" cm="1">
        <f t="array" ref="B1002">INDEX(tblDemandAssumptions[Customer_ID],MOD(ROW()-2,20)+1)</f>
        <v>C001</v>
      </c>
      <c r="C1002" t="str" cm="1">
        <f t="array" ref="C1002">INDEX(tblDemandAssumptions[Product_ID],MOD(ROW()-2,20)+1)</f>
        <v>P001</v>
      </c>
      <c r="D1002" cm="1">
        <f t="array" ref="D1002">INDEX(tblDemandAssumptions[Baseline_Weekly_Qty],MOD(ROW()-2,20)+1)</f>
        <v>5200</v>
      </c>
      <c r="E1002">
        <f t="shared" si="120"/>
        <v>1.2</v>
      </c>
      <c r="F1002">
        <v>1.05</v>
      </c>
      <c r="G1002">
        <f t="shared" si="121"/>
        <v>6552</v>
      </c>
      <c r="H1002">
        <v>1.01</v>
      </c>
      <c r="I1002">
        <f t="shared" si="122"/>
        <v>6302</v>
      </c>
      <c r="J1002" t="str">
        <f t="shared" si="123"/>
        <v>Normal</v>
      </c>
      <c r="K1002">
        <f t="shared" si="124"/>
        <v>6552</v>
      </c>
      <c r="L1002">
        <f t="shared" si="125"/>
        <v>250</v>
      </c>
      <c r="M1002" s="2">
        <f t="shared" si="126"/>
        <v>3.9669946048873375E-2</v>
      </c>
      <c r="N1002">
        <f t="shared" si="127"/>
        <v>250</v>
      </c>
    </row>
    <row r="1003" spans="1:14">
      <c r="A1003" s="1" cm="1">
        <f t="array" ref="A1003">INDEX(tblWeeks[Week_Start],INT((ROW()-2)/20)+1)</f>
        <v>46377</v>
      </c>
      <c r="B1003" t="str" cm="1">
        <f t="array" ref="B1003">INDEX(tblDemandAssumptions[Customer_ID],MOD(ROW()-2,20)+1)</f>
        <v>C001</v>
      </c>
      <c r="C1003" t="str" cm="1">
        <f t="array" ref="C1003">INDEX(tblDemandAssumptions[Product_ID],MOD(ROW()-2,20)+1)</f>
        <v>P002</v>
      </c>
      <c r="D1003" cm="1">
        <f t="array" ref="D1003">INDEX(tblDemandAssumptions[Baseline_Weekly_Qty],MOD(ROW()-2,20)+1)</f>
        <v>4100</v>
      </c>
      <c r="E1003">
        <f t="shared" si="120"/>
        <v>1.2</v>
      </c>
      <c r="F1003">
        <v>0.99</v>
      </c>
      <c r="G1003">
        <f t="shared" si="121"/>
        <v>4871</v>
      </c>
      <c r="H1003">
        <v>0.99</v>
      </c>
      <c r="I1003">
        <f t="shared" si="122"/>
        <v>4871</v>
      </c>
      <c r="J1003" t="str">
        <f t="shared" si="123"/>
        <v>Normal</v>
      </c>
      <c r="K1003">
        <f t="shared" si="124"/>
        <v>4871</v>
      </c>
      <c r="L1003">
        <f t="shared" si="125"/>
        <v>0</v>
      </c>
      <c r="M1003" s="2">
        <f t="shared" si="126"/>
        <v>0</v>
      </c>
      <c r="N1003">
        <f t="shared" si="127"/>
        <v>0</v>
      </c>
    </row>
    <row r="1004" spans="1:14">
      <c r="A1004" s="1" cm="1">
        <f t="array" ref="A1004">INDEX(tblWeeks[Week_Start],INT((ROW()-2)/20)+1)</f>
        <v>46377</v>
      </c>
      <c r="B1004" t="str" cm="1">
        <f t="array" ref="B1004">INDEX(tblDemandAssumptions[Customer_ID],MOD(ROW()-2,20)+1)</f>
        <v>C001</v>
      </c>
      <c r="C1004" t="str" cm="1">
        <f t="array" ref="C1004">INDEX(tblDemandAssumptions[Product_ID],MOD(ROW()-2,20)+1)</f>
        <v>P003</v>
      </c>
      <c r="D1004" cm="1">
        <f t="array" ref="D1004">INDEX(tblDemandAssumptions[Baseline_Weekly_Qty],MOD(ROW()-2,20)+1)</f>
        <v>3300</v>
      </c>
      <c r="E1004">
        <f t="shared" si="120"/>
        <v>1.2</v>
      </c>
      <c r="F1004">
        <v>0.95</v>
      </c>
      <c r="G1004">
        <f t="shared" si="121"/>
        <v>3762</v>
      </c>
      <c r="H1004">
        <v>1.04</v>
      </c>
      <c r="I1004">
        <f t="shared" si="122"/>
        <v>4118</v>
      </c>
      <c r="J1004" t="str">
        <f t="shared" si="123"/>
        <v>Normal</v>
      </c>
      <c r="K1004">
        <f t="shared" si="124"/>
        <v>3762</v>
      </c>
      <c r="L1004">
        <f t="shared" si="125"/>
        <v>-356</v>
      </c>
      <c r="M1004" s="2">
        <f t="shared" si="126"/>
        <v>-8.6449732880038849E-2</v>
      </c>
      <c r="N1004">
        <f t="shared" si="127"/>
        <v>356</v>
      </c>
    </row>
    <row r="1005" spans="1:14">
      <c r="A1005" s="1" cm="1">
        <f t="array" ref="A1005">INDEX(tblWeeks[Week_Start],INT((ROW()-2)/20)+1)</f>
        <v>46377</v>
      </c>
      <c r="B1005" t="str" cm="1">
        <f t="array" ref="B1005">INDEX(tblDemandAssumptions[Customer_ID],MOD(ROW()-2,20)+1)</f>
        <v>C001</v>
      </c>
      <c r="C1005" t="str" cm="1">
        <f t="array" ref="C1005">INDEX(tblDemandAssumptions[Product_ID],MOD(ROW()-2,20)+1)</f>
        <v>P004</v>
      </c>
      <c r="D1005" cm="1">
        <f t="array" ref="D1005">INDEX(tblDemandAssumptions[Baseline_Weekly_Qty],MOD(ROW()-2,20)+1)</f>
        <v>3600</v>
      </c>
      <c r="E1005">
        <f t="shared" si="120"/>
        <v>1.2</v>
      </c>
      <c r="F1005">
        <v>0.98</v>
      </c>
      <c r="G1005">
        <f t="shared" si="121"/>
        <v>4234</v>
      </c>
      <c r="H1005">
        <v>0.96</v>
      </c>
      <c r="I1005">
        <f t="shared" si="122"/>
        <v>4147</v>
      </c>
      <c r="J1005" t="str">
        <f t="shared" si="123"/>
        <v>Normal</v>
      </c>
      <c r="K1005">
        <f t="shared" si="124"/>
        <v>4234</v>
      </c>
      <c r="L1005">
        <f t="shared" si="125"/>
        <v>87</v>
      </c>
      <c r="M1005" s="2">
        <f t="shared" si="126"/>
        <v>2.097902097902098E-2</v>
      </c>
      <c r="N1005">
        <f t="shared" si="127"/>
        <v>87</v>
      </c>
    </row>
    <row r="1006" spans="1:14">
      <c r="A1006" s="1" cm="1">
        <f t="array" ref="A1006">INDEX(tblWeeks[Week_Start],INT((ROW()-2)/20)+1)</f>
        <v>46377</v>
      </c>
      <c r="B1006" t="str" cm="1">
        <f t="array" ref="B1006">INDEX(tblDemandAssumptions[Customer_ID],MOD(ROW()-2,20)+1)</f>
        <v>C001</v>
      </c>
      <c r="C1006" t="str" cm="1">
        <f t="array" ref="C1006">INDEX(tblDemandAssumptions[Product_ID],MOD(ROW()-2,20)+1)</f>
        <v>P005</v>
      </c>
      <c r="D1006" cm="1">
        <f t="array" ref="D1006">INDEX(tblDemandAssumptions[Baseline_Weekly_Qty],MOD(ROW()-2,20)+1)</f>
        <v>2800</v>
      </c>
      <c r="E1006">
        <f t="shared" si="120"/>
        <v>1.2</v>
      </c>
      <c r="F1006">
        <v>0.98</v>
      </c>
      <c r="G1006">
        <f t="shared" si="121"/>
        <v>3293</v>
      </c>
      <c r="H1006">
        <v>0.96</v>
      </c>
      <c r="I1006">
        <f t="shared" si="122"/>
        <v>3226</v>
      </c>
      <c r="J1006" t="str">
        <f t="shared" si="123"/>
        <v>Normal</v>
      </c>
      <c r="K1006">
        <f t="shared" si="124"/>
        <v>3293</v>
      </c>
      <c r="L1006">
        <f t="shared" si="125"/>
        <v>67</v>
      </c>
      <c r="M1006" s="2">
        <f t="shared" si="126"/>
        <v>2.0768753874767513E-2</v>
      </c>
      <c r="N1006">
        <f t="shared" si="127"/>
        <v>67</v>
      </c>
    </row>
    <row r="1007" spans="1:14">
      <c r="A1007" s="1" cm="1">
        <f t="array" ref="A1007">INDEX(tblWeeks[Week_Start],INT((ROW()-2)/20)+1)</f>
        <v>46377</v>
      </c>
      <c r="B1007" t="str" cm="1">
        <f t="array" ref="B1007">INDEX(tblDemandAssumptions[Customer_ID],MOD(ROW()-2,20)+1)</f>
        <v>C002</v>
      </c>
      <c r="C1007" t="str" cm="1">
        <f t="array" ref="C1007">INDEX(tblDemandAssumptions[Product_ID],MOD(ROW()-2,20)+1)</f>
        <v>P001</v>
      </c>
      <c r="D1007" cm="1">
        <f t="array" ref="D1007">INDEX(tblDemandAssumptions[Baseline_Weekly_Qty],MOD(ROW()-2,20)+1)</f>
        <v>3400</v>
      </c>
      <c r="E1007">
        <f t="shared" si="120"/>
        <v>1.2</v>
      </c>
      <c r="F1007">
        <v>0.96</v>
      </c>
      <c r="G1007">
        <f t="shared" si="121"/>
        <v>3917</v>
      </c>
      <c r="H1007">
        <v>1.02</v>
      </c>
      <c r="I1007">
        <f t="shared" si="122"/>
        <v>4162</v>
      </c>
      <c r="J1007" t="str">
        <f t="shared" si="123"/>
        <v>Normal</v>
      </c>
      <c r="K1007">
        <f t="shared" si="124"/>
        <v>3917</v>
      </c>
      <c r="L1007">
        <f t="shared" si="125"/>
        <v>-245</v>
      </c>
      <c r="M1007" s="2">
        <f t="shared" si="126"/>
        <v>-5.8865929841422394E-2</v>
      </c>
      <c r="N1007">
        <f t="shared" si="127"/>
        <v>245</v>
      </c>
    </row>
    <row r="1008" spans="1:14">
      <c r="A1008" s="1" cm="1">
        <f t="array" ref="A1008">INDEX(tblWeeks[Week_Start],INT((ROW()-2)/20)+1)</f>
        <v>46377</v>
      </c>
      <c r="B1008" t="str" cm="1">
        <f t="array" ref="B1008">INDEX(tblDemandAssumptions[Customer_ID],MOD(ROW()-2,20)+1)</f>
        <v>C002</v>
      </c>
      <c r="C1008" t="str" cm="1">
        <f t="array" ref="C1008">INDEX(tblDemandAssumptions[Product_ID],MOD(ROW()-2,20)+1)</f>
        <v>P002</v>
      </c>
      <c r="D1008" cm="1">
        <f t="array" ref="D1008">INDEX(tblDemandAssumptions[Baseline_Weekly_Qty],MOD(ROW()-2,20)+1)</f>
        <v>3200</v>
      </c>
      <c r="E1008">
        <f t="shared" si="120"/>
        <v>1.2</v>
      </c>
      <c r="F1008">
        <v>0.95</v>
      </c>
      <c r="G1008">
        <f t="shared" si="121"/>
        <v>3648</v>
      </c>
      <c r="H1008">
        <v>1.03</v>
      </c>
      <c r="I1008">
        <f t="shared" si="122"/>
        <v>3955</v>
      </c>
      <c r="J1008" t="str">
        <f t="shared" si="123"/>
        <v>Normal</v>
      </c>
      <c r="K1008">
        <f t="shared" si="124"/>
        <v>3648</v>
      </c>
      <c r="L1008">
        <f t="shared" si="125"/>
        <v>-307</v>
      </c>
      <c r="M1008" s="2">
        <f t="shared" si="126"/>
        <v>-7.7623261694058157E-2</v>
      </c>
      <c r="N1008">
        <f t="shared" si="127"/>
        <v>307</v>
      </c>
    </row>
    <row r="1009" spans="1:14">
      <c r="A1009" s="1" cm="1">
        <f t="array" ref="A1009">INDEX(tblWeeks[Week_Start],INT((ROW()-2)/20)+1)</f>
        <v>46377</v>
      </c>
      <c r="B1009" t="str" cm="1">
        <f t="array" ref="B1009">INDEX(tblDemandAssumptions[Customer_ID],MOD(ROW()-2,20)+1)</f>
        <v>C002</v>
      </c>
      <c r="C1009" t="str" cm="1">
        <f t="array" ref="C1009">INDEX(tblDemandAssumptions[Product_ID],MOD(ROW()-2,20)+1)</f>
        <v>P003</v>
      </c>
      <c r="D1009" cm="1">
        <f t="array" ref="D1009">INDEX(tblDemandAssumptions[Baseline_Weekly_Qty],MOD(ROW()-2,20)+1)</f>
        <v>2600</v>
      </c>
      <c r="E1009">
        <f t="shared" si="120"/>
        <v>1.2</v>
      </c>
      <c r="F1009">
        <v>0.99</v>
      </c>
      <c r="G1009">
        <f t="shared" si="121"/>
        <v>3089</v>
      </c>
      <c r="H1009">
        <v>1.03</v>
      </c>
      <c r="I1009">
        <f t="shared" si="122"/>
        <v>3214</v>
      </c>
      <c r="J1009" t="str">
        <f t="shared" si="123"/>
        <v>Normal</v>
      </c>
      <c r="K1009">
        <f t="shared" si="124"/>
        <v>3089</v>
      </c>
      <c r="L1009">
        <f t="shared" si="125"/>
        <v>-125</v>
      </c>
      <c r="M1009" s="2">
        <f t="shared" si="126"/>
        <v>-3.8892345986309897E-2</v>
      </c>
      <c r="N1009">
        <f t="shared" si="127"/>
        <v>125</v>
      </c>
    </row>
    <row r="1010" spans="1:14">
      <c r="A1010" s="1" cm="1">
        <f t="array" ref="A1010">INDEX(tblWeeks[Week_Start],INT((ROW()-2)/20)+1)</f>
        <v>46377</v>
      </c>
      <c r="B1010" t="str" cm="1">
        <f t="array" ref="B1010">INDEX(tblDemandAssumptions[Customer_ID],MOD(ROW()-2,20)+1)</f>
        <v>C002</v>
      </c>
      <c r="C1010" t="str" cm="1">
        <f t="array" ref="C1010">INDEX(tblDemandAssumptions[Product_ID],MOD(ROW()-2,20)+1)</f>
        <v>P004</v>
      </c>
      <c r="D1010" cm="1">
        <f t="array" ref="D1010">INDEX(tblDemandAssumptions[Baseline_Weekly_Qty],MOD(ROW()-2,20)+1)</f>
        <v>2900</v>
      </c>
      <c r="E1010">
        <f t="shared" si="120"/>
        <v>1.2</v>
      </c>
      <c r="F1010">
        <v>1.03</v>
      </c>
      <c r="G1010">
        <f t="shared" si="121"/>
        <v>3584</v>
      </c>
      <c r="H1010">
        <v>1.02</v>
      </c>
      <c r="I1010">
        <f t="shared" si="122"/>
        <v>3550</v>
      </c>
      <c r="J1010" t="str">
        <f t="shared" si="123"/>
        <v>Normal</v>
      </c>
      <c r="K1010">
        <f t="shared" si="124"/>
        <v>3584</v>
      </c>
      <c r="L1010">
        <f t="shared" si="125"/>
        <v>34</v>
      </c>
      <c r="M1010" s="2">
        <f t="shared" si="126"/>
        <v>9.5774647887323944E-3</v>
      </c>
      <c r="N1010">
        <f t="shared" si="127"/>
        <v>34</v>
      </c>
    </row>
    <row r="1011" spans="1:14">
      <c r="A1011" s="1" cm="1">
        <f t="array" ref="A1011">INDEX(tblWeeks[Week_Start],INT((ROW()-2)/20)+1)</f>
        <v>46377</v>
      </c>
      <c r="B1011" t="str" cm="1">
        <f t="array" ref="B1011">INDEX(tblDemandAssumptions[Customer_ID],MOD(ROW()-2,20)+1)</f>
        <v>C002</v>
      </c>
      <c r="C1011" t="str" cm="1">
        <f t="array" ref="C1011">INDEX(tblDemandAssumptions[Product_ID],MOD(ROW()-2,20)+1)</f>
        <v>P005</v>
      </c>
      <c r="D1011" cm="1">
        <f t="array" ref="D1011">INDEX(tblDemandAssumptions[Baseline_Weekly_Qty],MOD(ROW()-2,20)+1)</f>
        <v>2200</v>
      </c>
      <c r="E1011">
        <f t="shared" si="120"/>
        <v>1.2</v>
      </c>
      <c r="F1011">
        <v>1.01</v>
      </c>
      <c r="G1011">
        <f t="shared" si="121"/>
        <v>2666</v>
      </c>
      <c r="H1011">
        <v>1</v>
      </c>
      <c r="I1011">
        <f t="shared" si="122"/>
        <v>2640</v>
      </c>
      <c r="J1011" t="str">
        <f t="shared" si="123"/>
        <v>Normal</v>
      </c>
      <c r="K1011">
        <f t="shared" si="124"/>
        <v>2666</v>
      </c>
      <c r="L1011">
        <f t="shared" si="125"/>
        <v>26</v>
      </c>
      <c r="M1011" s="2">
        <f t="shared" si="126"/>
        <v>9.8484848484848477E-3</v>
      </c>
      <c r="N1011">
        <f t="shared" si="127"/>
        <v>26</v>
      </c>
    </row>
    <row r="1012" spans="1:14">
      <c r="A1012" s="1" cm="1">
        <f t="array" ref="A1012">INDEX(tblWeeks[Week_Start],INT((ROW()-2)/20)+1)</f>
        <v>46377</v>
      </c>
      <c r="B1012" t="str" cm="1">
        <f t="array" ref="B1012">INDEX(tblDemandAssumptions[Customer_ID],MOD(ROW()-2,20)+1)</f>
        <v>C003</v>
      </c>
      <c r="C1012" t="str" cm="1">
        <f t="array" ref="C1012">INDEX(tblDemandAssumptions[Product_ID],MOD(ROW()-2,20)+1)</f>
        <v>P001</v>
      </c>
      <c r="D1012" cm="1">
        <f t="array" ref="D1012">INDEX(tblDemandAssumptions[Baseline_Weekly_Qty],MOD(ROW()-2,20)+1)</f>
        <v>3000</v>
      </c>
      <c r="E1012">
        <f t="shared" si="120"/>
        <v>1.2</v>
      </c>
      <c r="F1012">
        <v>1</v>
      </c>
      <c r="G1012">
        <f t="shared" si="121"/>
        <v>3600</v>
      </c>
      <c r="H1012">
        <v>1.01</v>
      </c>
      <c r="I1012">
        <f t="shared" si="122"/>
        <v>3636</v>
      </c>
      <c r="J1012" t="str">
        <f t="shared" si="123"/>
        <v>Normal</v>
      </c>
      <c r="K1012">
        <f t="shared" si="124"/>
        <v>3600</v>
      </c>
      <c r="L1012">
        <f t="shared" si="125"/>
        <v>-36</v>
      </c>
      <c r="M1012" s="2">
        <f t="shared" si="126"/>
        <v>-9.9009900990099011E-3</v>
      </c>
      <c r="N1012">
        <f t="shared" si="127"/>
        <v>36</v>
      </c>
    </row>
    <row r="1013" spans="1:14">
      <c r="A1013" s="1" cm="1">
        <f t="array" ref="A1013">INDEX(tblWeeks[Week_Start],INT((ROW()-2)/20)+1)</f>
        <v>46377</v>
      </c>
      <c r="B1013" t="str" cm="1">
        <f t="array" ref="B1013">INDEX(tblDemandAssumptions[Customer_ID],MOD(ROW()-2,20)+1)</f>
        <v>C003</v>
      </c>
      <c r="C1013" t="str" cm="1">
        <f t="array" ref="C1013">INDEX(tblDemandAssumptions[Product_ID],MOD(ROW()-2,20)+1)</f>
        <v>P002</v>
      </c>
      <c r="D1013" cm="1">
        <f t="array" ref="D1013">INDEX(tblDemandAssumptions[Baseline_Weekly_Qty],MOD(ROW()-2,20)+1)</f>
        <v>2700</v>
      </c>
      <c r="E1013">
        <f t="shared" si="120"/>
        <v>1.2</v>
      </c>
      <c r="F1013">
        <v>1</v>
      </c>
      <c r="G1013">
        <f t="shared" si="121"/>
        <v>3240</v>
      </c>
      <c r="H1013">
        <v>1.01</v>
      </c>
      <c r="I1013">
        <f t="shared" si="122"/>
        <v>3272</v>
      </c>
      <c r="J1013" t="str">
        <f t="shared" si="123"/>
        <v>Normal</v>
      </c>
      <c r="K1013">
        <f t="shared" si="124"/>
        <v>3240</v>
      </c>
      <c r="L1013">
        <f t="shared" si="125"/>
        <v>-32</v>
      </c>
      <c r="M1013" s="2">
        <f t="shared" si="126"/>
        <v>-9.7799511002444987E-3</v>
      </c>
      <c r="N1013">
        <f t="shared" si="127"/>
        <v>32</v>
      </c>
    </row>
    <row r="1014" spans="1:14">
      <c r="A1014" s="1" cm="1">
        <f t="array" ref="A1014">INDEX(tblWeeks[Week_Start],INT((ROW()-2)/20)+1)</f>
        <v>46377</v>
      </c>
      <c r="B1014" t="str" cm="1">
        <f t="array" ref="B1014">INDEX(tblDemandAssumptions[Customer_ID],MOD(ROW()-2,20)+1)</f>
        <v>C003</v>
      </c>
      <c r="C1014" t="str" cm="1">
        <f t="array" ref="C1014">INDEX(tblDemandAssumptions[Product_ID],MOD(ROW()-2,20)+1)</f>
        <v>P003</v>
      </c>
      <c r="D1014" cm="1">
        <f t="array" ref="D1014">INDEX(tblDemandAssumptions[Baseline_Weekly_Qty],MOD(ROW()-2,20)+1)</f>
        <v>2800</v>
      </c>
      <c r="E1014">
        <f t="shared" si="120"/>
        <v>1.2</v>
      </c>
      <c r="F1014">
        <v>1.04</v>
      </c>
      <c r="G1014">
        <f t="shared" si="121"/>
        <v>3494</v>
      </c>
      <c r="H1014">
        <v>0.96</v>
      </c>
      <c r="I1014">
        <f t="shared" si="122"/>
        <v>3226</v>
      </c>
      <c r="J1014" t="str">
        <f t="shared" si="123"/>
        <v>Normal</v>
      </c>
      <c r="K1014">
        <f t="shared" si="124"/>
        <v>3494</v>
      </c>
      <c r="L1014">
        <f t="shared" si="125"/>
        <v>268</v>
      </c>
      <c r="M1014" s="2">
        <f t="shared" si="126"/>
        <v>8.3075015499070051E-2</v>
      </c>
      <c r="N1014">
        <f t="shared" si="127"/>
        <v>268</v>
      </c>
    </row>
    <row r="1015" spans="1:14">
      <c r="A1015" s="1" cm="1">
        <f t="array" ref="A1015">INDEX(tblWeeks[Week_Start],INT((ROW()-2)/20)+1)</f>
        <v>46377</v>
      </c>
      <c r="B1015" t="str" cm="1">
        <f t="array" ref="B1015">INDEX(tblDemandAssumptions[Customer_ID],MOD(ROW()-2,20)+1)</f>
        <v>C003</v>
      </c>
      <c r="C1015" t="str" cm="1">
        <f t="array" ref="C1015">INDEX(tblDemandAssumptions[Product_ID],MOD(ROW()-2,20)+1)</f>
        <v>P004</v>
      </c>
      <c r="D1015" cm="1">
        <f t="array" ref="D1015">INDEX(tblDemandAssumptions[Baseline_Weekly_Qty],MOD(ROW()-2,20)+1)</f>
        <v>2400</v>
      </c>
      <c r="E1015">
        <f t="shared" si="120"/>
        <v>1.2</v>
      </c>
      <c r="F1015">
        <v>1</v>
      </c>
      <c r="G1015">
        <f t="shared" si="121"/>
        <v>2880</v>
      </c>
      <c r="H1015">
        <v>1.03</v>
      </c>
      <c r="I1015">
        <f t="shared" si="122"/>
        <v>2966</v>
      </c>
      <c r="J1015" t="str">
        <f t="shared" si="123"/>
        <v>Normal</v>
      </c>
      <c r="K1015">
        <f t="shared" si="124"/>
        <v>2880</v>
      </c>
      <c r="L1015">
        <f t="shared" si="125"/>
        <v>-86</v>
      </c>
      <c r="M1015" s="2">
        <f t="shared" si="126"/>
        <v>-2.8995279838165879E-2</v>
      </c>
      <c r="N1015">
        <f t="shared" si="127"/>
        <v>86</v>
      </c>
    </row>
    <row r="1016" spans="1:14">
      <c r="A1016" s="1" cm="1">
        <f t="array" ref="A1016">INDEX(tblWeeks[Week_Start],INT((ROW()-2)/20)+1)</f>
        <v>46377</v>
      </c>
      <c r="B1016" t="str" cm="1">
        <f t="array" ref="B1016">INDEX(tblDemandAssumptions[Customer_ID],MOD(ROW()-2,20)+1)</f>
        <v>C003</v>
      </c>
      <c r="C1016" t="str" cm="1">
        <f t="array" ref="C1016">INDEX(tblDemandAssumptions[Product_ID],MOD(ROW()-2,20)+1)</f>
        <v>P005</v>
      </c>
      <c r="D1016" cm="1">
        <f t="array" ref="D1016">INDEX(tblDemandAssumptions[Baseline_Weekly_Qty],MOD(ROW()-2,20)+1)</f>
        <v>1900</v>
      </c>
      <c r="E1016">
        <f t="shared" si="120"/>
        <v>1.2</v>
      </c>
      <c r="F1016">
        <v>0.99</v>
      </c>
      <c r="G1016">
        <f t="shared" si="121"/>
        <v>2257</v>
      </c>
      <c r="H1016">
        <v>0.98</v>
      </c>
      <c r="I1016">
        <f t="shared" si="122"/>
        <v>2234</v>
      </c>
      <c r="J1016" t="str">
        <f t="shared" si="123"/>
        <v>Normal</v>
      </c>
      <c r="K1016">
        <f t="shared" si="124"/>
        <v>2257</v>
      </c>
      <c r="L1016">
        <f t="shared" si="125"/>
        <v>23</v>
      </c>
      <c r="M1016" s="2">
        <f t="shared" si="126"/>
        <v>1.0295434198746643E-2</v>
      </c>
      <c r="N1016">
        <f t="shared" si="127"/>
        <v>23</v>
      </c>
    </row>
    <row r="1017" spans="1:14">
      <c r="A1017" s="1" cm="1">
        <f t="array" ref="A1017">INDEX(tblWeeks[Week_Start],INT((ROW()-2)/20)+1)</f>
        <v>46377</v>
      </c>
      <c r="B1017" t="str" cm="1">
        <f t="array" ref="B1017">INDEX(tblDemandAssumptions[Customer_ID],MOD(ROW()-2,20)+1)</f>
        <v>C004</v>
      </c>
      <c r="C1017" t="str" cm="1">
        <f t="array" ref="C1017">INDEX(tblDemandAssumptions[Product_ID],MOD(ROW()-2,20)+1)</f>
        <v>P001</v>
      </c>
      <c r="D1017" cm="1">
        <f t="array" ref="D1017">INDEX(tblDemandAssumptions[Baseline_Weekly_Qty],MOD(ROW()-2,20)+1)</f>
        <v>2700</v>
      </c>
      <c r="E1017">
        <f t="shared" si="120"/>
        <v>1.2</v>
      </c>
      <c r="F1017">
        <v>1</v>
      </c>
      <c r="G1017">
        <f t="shared" si="121"/>
        <v>3240</v>
      </c>
      <c r="H1017">
        <v>1</v>
      </c>
      <c r="I1017">
        <f t="shared" si="122"/>
        <v>3240</v>
      </c>
      <c r="J1017" t="str">
        <f t="shared" si="123"/>
        <v>Normal</v>
      </c>
      <c r="K1017">
        <f t="shared" si="124"/>
        <v>3240</v>
      </c>
      <c r="L1017">
        <f t="shared" si="125"/>
        <v>0</v>
      </c>
      <c r="M1017" s="2">
        <f t="shared" si="126"/>
        <v>0</v>
      </c>
      <c r="N1017">
        <f t="shared" si="127"/>
        <v>0</v>
      </c>
    </row>
    <row r="1018" spans="1:14">
      <c r="A1018" s="1" cm="1">
        <f t="array" ref="A1018">INDEX(tblWeeks[Week_Start],INT((ROW()-2)/20)+1)</f>
        <v>46377</v>
      </c>
      <c r="B1018" t="str" cm="1">
        <f t="array" ref="B1018">INDEX(tblDemandAssumptions[Customer_ID],MOD(ROW()-2,20)+1)</f>
        <v>C004</v>
      </c>
      <c r="C1018" t="str" cm="1">
        <f t="array" ref="C1018">INDEX(tblDemandAssumptions[Product_ID],MOD(ROW()-2,20)+1)</f>
        <v>P002</v>
      </c>
      <c r="D1018" cm="1">
        <f t="array" ref="D1018">INDEX(tblDemandAssumptions[Baseline_Weekly_Qty],MOD(ROW()-2,20)+1)</f>
        <v>2400</v>
      </c>
      <c r="E1018">
        <f t="shared" si="120"/>
        <v>1.2</v>
      </c>
      <c r="F1018">
        <v>1.01</v>
      </c>
      <c r="G1018">
        <f t="shared" si="121"/>
        <v>2909</v>
      </c>
      <c r="H1018">
        <v>1.03</v>
      </c>
      <c r="I1018">
        <f t="shared" si="122"/>
        <v>2966</v>
      </c>
      <c r="J1018" t="str">
        <f t="shared" si="123"/>
        <v>Normal</v>
      </c>
      <c r="K1018">
        <f t="shared" si="124"/>
        <v>2909</v>
      </c>
      <c r="L1018">
        <f t="shared" si="125"/>
        <v>-57</v>
      </c>
      <c r="M1018" s="2">
        <f t="shared" si="126"/>
        <v>-1.9217801753202968E-2</v>
      </c>
      <c r="N1018">
        <f t="shared" si="127"/>
        <v>57</v>
      </c>
    </row>
    <row r="1019" spans="1:14">
      <c r="A1019" s="1" cm="1">
        <f t="array" ref="A1019">INDEX(tblWeeks[Week_Start],INT((ROW()-2)/20)+1)</f>
        <v>46377</v>
      </c>
      <c r="B1019" t="str" cm="1">
        <f t="array" ref="B1019">INDEX(tblDemandAssumptions[Customer_ID],MOD(ROW()-2,20)+1)</f>
        <v>C004</v>
      </c>
      <c r="C1019" t="str" cm="1">
        <f t="array" ref="C1019">INDEX(tblDemandAssumptions[Product_ID],MOD(ROW()-2,20)+1)</f>
        <v>P003</v>
      </c>
      <c r="D1019" cm="1">
        <f t="array" ref="D1019">INDEX(tblDemandAssumptions[Baseline_Weekly_Qty],MOD(ROW()-2,20)+1)</f>
        <v>2100</v>
      </c>
      <c r="E1019">
        <f t="shared" si="120"/>
        <v>1.2</v>
      </c>
      <c r="F1019">
        <v>0.99</v>
      </c>
      <c r="G1019">
        <f t="shared" si="121"/>
        <v>2495</v>
      </c>
      <c r="H1019">
        <v>0.98</v>
      </c>
      <c r="I1019">
        <f t="shared" si="122"/>
        <v>2470</v>
      </c>
      <c r="J1019" t="str">
        <f t="shared" si="123"/>
        <v>Normal</v>
      </c>
      <c r="K1019">
        <f t="shared" si="124"/>
        <v>2495</v>
      </c>
      <c r="L1019">
        <f t="shared" si="125"/>
        <v>25</v>
      </c>
      <c r="M1019" s="2">
        <f t="shared" si="126"/>
        <v>1.0121457489878543E-2</v>
      </c>
      <c r="N1019">
        <f t="shared" si="127"/>
        <v>25</v>
      </c>
    </row>
    <row r="1020" spans="1:14">
      <c r="A1020" s="1" cm="1">
        <f t="array" ref="A1020">INDEX(tblWeeks[Week_Start],INT((ROW()-2)/20)+1)</f>
        <v>46377</v>
      </c>
      <c r="B1020" t="str" cm="1">
        <f t="array" ref="B1020">INDEX(tblDemandAssumptions[Customer_ID],MOD(ROW()-2,20)+1)</f>
        <v>C004</v>
      </c>
      <c r="C1020" t="str" cm="1">
        <f t="array" ref="C1020">INDEX(tblDemandAssumptions[Product_ID],MOD(ROW()-2,20)+1)</f>
        <v>P004</v>
      </c>
      <c r="D1020" cm="1">
        <f t="array" ref="D1020">INDEX(tblDemandAssumptions[Baseline_Weekly_Qty],MOD(ROW()-2,20)+1)</f>
        <v>2600</v>
      </c>
      <c r="E1020">
        <f t="shared" si="120"/>
        <v>1.2</v>
      </c>
      <c r="F1020">
        <v>0.97</v>
      </c>
      <c r="G1020">
        <f t="shared" si="121"/>
        <v>3026</v>
      </c>
      <c r="H1020">
        <v>1.01</v>
      </c>
      <c r="I1020">
        <f t="shared" si="122"/>
        <v>3151</v>
      </c>
      <c r="J1020" t="str">
        <f t="shared" si="123"/>
        <v>Normal</v>
      </c>
      <c r="K1020">
        <f t="shared" si="124"/>
        <v>3026</v>
      </c>
      <c r="L1020">
        <f t="shared" si="125"/>
        <v>-125</v>
      </c>
      <c r="M1020" s="2">
        <f t="shared" si="126"/>
        <v>-3.9669946048873375E-2</v>
      </c>
      <c r="N1020">
        <f t="shared" si="127"/>
        <v>125</v>
      </c>
    </row>
    <row r="1021" spans="1:14">
      <c r="A1021" s="1" cm="1">
        <f t="array" ref="A1021">INDEX(tblWeeks[Week_Start],INT((ROW()-2)/20)+1)</f>
        <v>46377</v>
      </c>
      <c r="B1021" t="str" cm="1">
        <f t="array" ref="B1021">INDEX(tblDemandAssumptions[Customer_ID],MOD(ROW()-2,20)+1)</f>
        <v>C004</v>
      </c>
      <c r="C1021" t="str" cm="1">
        <f t="array" ref="C1021">INDEX(tblDemandAssumptions[Product_ID],MOD(ROW()-2,20)+1)</f>
        <v>P005</v>
      </c>
      <c r="D1021" cm="1">
        <f t="array" ref="D1021">INDEX(tblDemandAssumptions[Baseline_Weekly_Qty],MOD(ROW()-2,20)+1)</f>
        <v>1800</v>
      </c>
      <c r="E1021">
        <f t="shared" si="120"/>
        <v>1.2</v>
      </c>
      <c r="F1021">
        <v>1.01</v>
      </c>
      <c r="G1021">
        <f t="shared" si="121"/>
        <v>2182</v>
      </c>
      <c r="H1021">
        <v>0.97</v>
      </c>
      <c r="I1021">
        <f t="shared" si="122"/>
        <v>2095</v>
      </c>
      <c r="J1021" t="str">
        <f t="shared" si="123"/>
        <v>Normal</v>
      </c>
      <c r="K1021">
        <f t="shared" si="124"/>
        <v>2182</v>
      </c>
      <c r="L1021">
        <f t="shared" si="125"/>
        <v>87</v>
      </c>
      <c r="M1021" s="2">
        <f t="shared" si="126"/>
        <v>4.1527446300715989E-2</v>
      </c>
      <c r="N1021">
        <f t="shared" si="127"/>
        <v>87</v>
      </c>
    </row>
    <row r="1022" spans="1:14">
      <c r="A1022" s="1" cm="1">
        <f t="array" ref="A1022">INDEX(tblWeeks[Week_Start],INT((ROW()-2)/20)+1)</f>
        <v>46384</v>
      </c>
      <c r="B1022" t="str" cm="1">
        <f t="array" ref="B1022">INDEX(tblDemandAssumptions[Customer_ID],MOD(ROW()-2,20)+1)</f>
        <v>C001</v>
      </c>
      <c r="C1022" t="str" cm="1">
        <f t="array" ref="C1022">INDEX(tblDemandAssumptions[Product_ID],MOD(ROW()-2,20)+1)</f>
        <v>P001</v>
      </c>
      <c r="D1022" cm="1">
        <f t="array" ref="D1022">INDEX(tblDemandAssumptions[Baseline_Weekly_Qty],MOD(ROW()-2,20)+1)</f>
        <v>5200</v>
      </c>
      <c r="E1022">
        <f t="shared" si="120"/>
        <v>1.2</v>
      </c>
      <c r="F1022">
        <v>1.01</v>
      </c>
      <c r="G1022">
        <f t="shared" si="121"/>
        <v>6302</v>
      </c>
      <c r="H1022">
        <v>0.98</v>
      </c>
      <c r="I1022">
        <f t="shared" si="122"/>
        <v>6115</v>
      </c>
      <c r="J1022" t="str">
        <f t="shared" si="123"/>
        <v>Normal</v>
      </c>
      <c r="K1022">
        <f t="shared" si="124"/>
        <v>6302</v>
      </c>
      <c r="L1022">
        <f t="shared" si="125"/>
        <v>187</v>
      </c>
      <c r="M1022" s="2">
        <f t="shared" si="126"/>
        <v>3.0580539656582174E-2</v>
      </c>
      <c r="N1022">
        <f t="shared" si="127"/>
        <v>187</v>
      </c>
    </row>
    <row r="1023" spans="1:14">
      <c r="A1023" s="1" cm="1">
        <f t="array" ref="A1023">INDEX(tblWeeks[Week_Start],INT((ROW()-2)/20)+1)</f>
        <v>46384</v>
      </c>
      <c r="B1023" t="str" cm="1">
        <f t="array" ref="B1023">INDEX(tblDemandAssumptions[Customer_ID],MOD(ROW()-2,20)+1)</f>
        <v>C001</v>
      </c>
      <c r="C1023" t="str" cm="1">
        <f t="array" ref="C1023">INDEX(tblDemandAssumptions[Product_ID],MOD(ROW()-2,20)+1)</f>
        <v>P002</v>
      </c>
      <c r="D1023" cm="1">
        <f t="array" ref="D1023">INDEX(tblDemandAssumptions[Baseline_Weekly_Qty],MOD(ROW()-2,20)+1)</f>
        <v>4100</v>
      </c>
      <c r="E1023">
        <f t="shared" si="120"/>
        <v>1.2</v>
      </c>
      <c r="F1023">
        <v>1.02</v>
      </c>
      <c r="G1023">
        <f t="shared" si="121"/>
        <v>5018</v>
      </c>
      <c r="H1023">
        <v>1.02</v>
      </c>
      <c r="I1023">
        <f t="shared" si="122"/>
        <v>5018</v>
      </c>
      <c r="J1023" t="str">
        <f t="shared" si="123"/>
        <v>Normal</v>
      </c>
      <c r="K1023">
        <f t="shared" si="124"/>
        <v>5018</v>
      </c>
      <c r="L1023">
        <f t="shared" si="125"/>
        <v>0</v>
      </c>
      <c r="M1023" s="2">
        <f t="shared" si="126"/>
        <v>0</v>
      </c>
      <c r="N1023">
        <f t="shared" si="127"/>
        <v>0</v>
      </c>
    </row>
    <row r="1024" spans="1:14">
      <c r="A1024" s="1" cm="1">
        <f t="array" ref="A1024">INDEX(tblWeeks[Week_Start],INT((ROW()-2)/20)+1)</f>
        <v>46384</v>
      </c>
      <c r="B1024" t="str" cm="1">
        <f t="array" ref="B1024">INDEX(tblDemandAssumptions[Customer_ID],MOD(ROW()-2,20)+1)</f>
        <v>C001</v>
      </c>
      <c r="C1024" t="str" cm="1">
        <f t="array" ref="C1024">INDEX(tblDemandAssumptions[Product_ID],MOD(ROW()-2,20)+1)</f>
        <v>P003</v>
      </c>
      <c r="D1024" cm="1">
        <f t="array" ref="D1024">INDEX(tblDemandAssumptions[Baseline_Weekly_Qty],MOD(ROW()-2,20)+1)</f>
        <v>3300</v>
      </c>
      <c r="E1024">
        <f t="shared" si="120"/>
        <v>1.2</v>
      </c>
      <c r="F1024">
        <v>0.99</v>
      </c>
      <c r="G1024">
        <f t="shared" si="121"/>
        <v>3920</v>
      </c>
      <c r="H1024">
        <v>1.01</v>
      </c>
      <c r="I1024">
        <f t="shared" si="122"/>
        <v>4000</v>
      </c>
      <c r="J1024" t="str">
        <f t="shared" si="123"/>
        <v>Normal</v>
      </c>
      <c r="K1024">
        <f t="shared" si="124"/>
        <v>3920</v>
      </c>
      <c r="L1024">
        <f t="shared" si="125"/>
        <v>-80</v>
      </c>
      <c r="M1024" s="2">
        <f t="shared" si="126"/>
        <v>-0.02</v>
      </c>
      <c r="N1024">
        <f t="shared" si="127"/>
        <v>80</v>
      </c>
    </row>
    <row r="1025" spans="1:14">
      <c r="A1025" s="1" cm="1">
        <f t="array" ref="A1025">INDEX(tblWeeks[Week_Start],INT((ROW()-2)/20)+1)</f>
        <v>46384</v>
      </c>
      <c r="B1025" t="str" cm="1">
        <f t="array" ref="B1025">INDEX(tblDemandAssumptions[Customer_ID],MOD(ROW()-2,20)+1)</f>
        <v>C001</v>
      </c>
      <c r="C1025" t="str" cm="1">
        <f t="array" ref="C1025">INDEX(tblDemandAssumptions[Product_ID],MOD(ROW()-2,20)+1)</f>
        <v>P004</v>
      </c>
      <c r="D1025" cm="1">
        <f t="array" ref="D1025">INDEX(tblDemandAssumptions[Baseline_Weekly_Qty],MOD(ROW()-2,20)+1)</f>
        <v>3600</v>
      </c>
      <c r="E1025">
        <f t="shared" si="120"/>
        <v>1.2</v>
      </c>
      <c r="F1025">
        <v>1.03</v>
      </c>
      <c r="G1025">
        <f t="shared" si="121"/>
        <v>4450</v>
      </c>
      <c r="H1025">
        <v>0.98</v>
      </c>
      <c r="I1025">
        <f t="shared" si="122"/>
        <v>4234</v>
      </c>
      <c r="J1025" t="str">
        <f t="shared" si="123"/>
        <v>Normal</v>
      </c>
      <c r="K1025">
        <f t="shared" si="124"/>
        <v>4450</v>
      </c>
      <c r="L1025">
        <f t="shared" si="125"/>
        <v>216</v>
      </c>
      <c r="M1025" s="2">
        <f t="shared" si="126"/>
        <v>5.1015588096362779E-2</v>
      </c>
      <c r="N1025">
        <f t="shared" si="127"/>
        <v>216</v>
      </c>
    </row>
    <row r="1026" spans="1:14">
      <c r="A1026" s="1" cm="1">
        <f t="array" ref="A1026">INDEX(tblWeeks[Week_Start],INT((ROW()-2)/20)+1)</f>
        <v>46384</v>
      </c>
      <c r="B1026" t="str" cm="1">
        <f t="array" ref="B1026">INDEX(tblDemandAssumptions[Customer_ID],MOD(ROW()-2,20)+1)</f>
        <v>C001</v>
      </c>
      <c r="C1026" t="str" cm="1">
        <f t="array" ref="C1026">INDEX(tblDemandAssumptions[Product_ID],MOD(ROW()-2,20)+1)</f>
        <v>P005</v>
      </c>
      <c r="D1026" cm="1">
        <f t="array" ref="D1026">INDEX(tblDemandAssumptions[Baseline_Weekly_Qty],MOD(ROW()-2,20)+1)</f>
        <v>2800</v>
      </c>
      <c r="E1026">
        <f t="shared" ref="E1026:E1041" si="128">IF(MONTH(A1026)&lt;=2,0.95,IF(MONTH(A1026)&lt;=4,1,IF(MONTH(A1026)&lt;=6,1.05,IF(MONTH(A1026)&lt;=8,1.1,IF(MONTH(A1026)&lt;=10,1,IF(MONTH(A1026)=11,1.05,1.2))))))</f>
        <v>1.2</v>
      </c>
      <c r="F1026">
        <v>1.02</v>
      </c>
      <c r="G1026">
        <f t="shared" ref="G1026:G1041" si="129">ROUND(D1026*E1026*F1026,0)</f>
        <v>3427</v>
      </c>
      <c r="H1026">
        <v>0.99</v>
      </c>
      <c r="I1026">
        <f t="shared" ref="I1026:I1041" si="130">ROUND(D1026*E1026*H1026,0)</f>
        <v>3326</v>
      </c>
      <c r="J1026" t="str">
        <f t="shared" ref="J1026:J1041" si="131">IF(AND(A1026=DATE(2026,3,16),B1026="C001",C1026="P001"),"Promotion_Demand_Spike",IF(AND(A1026=DATE(2026,6,8),B1026="C002",C1026="P004"),"Under_Forecast",IF(AND(A1026=DATE(2026,7,20),B1026="C003",C1026="P003"),"Over_Forecast","Normal")))</f>
        <v>Normal</v>
      </c>
      <c r="K1026">
        <f t="shared" ref="K1026:K1041" si="132">IF(J1026="Promotion_Demand_Spike",ROUND(G1026*1.35,0),IF(J1026="Under_Forecast",ROUND(I1026*1.25,0),IF(J1026="Over_Forecast",ROUND(I1026*0.72,0),G1026)))</f>
        <v>3427</v>
      </c>
      <c r="L1026">
        <f t="shared" ref="L1026:L1041" si="133">K1026-I1026</f>
        <v>101</v>
      </c>
      <c r="M1026" s="2">
        <f t="shared" ref="M1026:M1041" si="134">IF(I1026=0,0,L1026/I1026)</f>
        <v>3.0366806975345762E-2</v>
      </c>
      <c r="N1026">
        <f t="shared" ref="N1026:N1041" si="135">ABS(L1026)</f>
        <v>101</v>
      </c>
    </row>
    <row r="1027" spans="1:14">
      <c r="A1027" s="1" cm="1">
        <f t="array" ref="A1027">INDEX(tblWeeks[Week_Start],INT((ROW()-2)/20)+1)</f>
        <v>46384</v>
      </c>
      <c r="B1027" t="str" cm="1">
        <f t="array" ref="B1027">INDEX(tblDemandAssumptions[Customer_ID],MOD(ROW()-2,20)+1)</f>
        <v>C002</v>
      </c>
      <c r="C1027" t="str" cm="1">
        <f t="array" ref="C1027">INDEX(tblDemandAssumptions[Product_ID],MOD(ROW()-2,20)+1)</f>
        <v>P001</v>
      </c>
      <c r="D1027" cm="1">
        <f t="array" ref="D1027">INDEX(tblDemandAssumptions[Baseline_Weekly_Qty],MOD(ROW()-2,20)+1)</f>
        <v>3400</v>
      </c>
      <c r="E1027">
        <f t="shared" si="128"/>
        <v>1.2</v>
      </c>
      <c r="F1027">
        <v>1.05</v>
      </c>
      <c r="G1027">
        <f t="shared" si="129"/>
        <v>4284</v>
      </c>
      <c r="H1027">
        <v>1.02</v>
      </c>
      <c r="I1027">
        <f t="shared" si="130"/>
        <v>4162</v>
      </c>
      <c r="J1027" t="str">
        <f t="shared" si="131"/>
        <v>Normal</v>
      </c>
      <c r="K1027">
        <f t="shared" si="132"/>
        <v>4284</v>
      </c>
      <c r="L1027">
        <f t="shared" si="133"/>
        <v>122</v>
      </c>
      <c r="M1027" s="2">
        <f t="shared" si="134"/>
        <v>2.9312830370014416E-2</v>
      </c>
      <c r="N1027">
        <f t="shared" si="135"/>
        <v>122</v>
      </c>
    </row>
    <row r="1028" spans="1:14">
      <c r="A1028" s="1" cm="1">
        <f t="array" ref="A1028">INDEX(tblWeeks[Week_Start],INT((ROW()-2)/20)+1)</f>
        <v>46384</v>
      </c>
      <c r="B1028" t="str" cm="1">
        <f t="array" ref="B1028">INDEX(tblDemandAssumptions[Customer_ID],MOD(ROW()-2,20)+1)</f>
        <v>C002</v>
      </c>
      <c r="C1028" t="str" cm="1">
        <f t="array" ref="C1028">INDEX(tblDemandAssumptions[Product_ID],MOD(ROW()-2,20)+1)</f>
        <v>P002</v>
      </c>
      <c r="D1028" cm="1">
        <f t="array" ref="D1028">INDEX(tblDemandAssumptions[Baseline_Weekly_Qty],MOD(ROW()-2,20)+1)</f>
        <v>3200</v>
      </c>
      <c r="E1028">
        <f t="shared" si="128"/>
        <v>1.2</v>
      </c>
      <c r="F1028">
        <v>0.97</v>
      </c>
      <c r="G1028">
        <f t="shared" si="129"/>
        <v>3725</v>
      </c>
      <c r="H1028">
        <v>0.98</v>
      </c>
      <c r="I1028">
        <f t="shared" si="130"/>
        <v>3763</v>
      </c>
      <c r="J1028" t="str">
        <f t="shared" si="131"/>
        <v>Normal</v>
      </c>
      <c r="K1028">
        <f t="shared" si="132"/>
        <v>3725</v>
      </c>
      <c r="L1028">
        <f t="shared" si="133"/>
        <v>-38</v>
      </c>
      <c r="M1028" s="2">
        <f t="shared" si="134"/>
        <v>-1.0098325803879883E-2</v>
      </c>
      <c r="N1028">
        <f t="shared" si="135"/>
        <v>38</v>
      </c>
    </row>
    <row r="1029" spans="1:14">
      <c r="A1029" s="1" cm="1">
        <f t="array" ref="A1029">INDEX(tblWeeks[Week_Start],INT((ROW()-2)/20)+1)</f>
        <v>46384</v>
      </c>
      <c r="B1029" t="str" cm="1">
        <f t="array" ref="B1029">INDEX(tblDemandAssumptions[Customer_ID],MOD(ROW()-2,20)+1)</f>
        <v>C002</v>
      </c>
      <c r="C1029" t="str" cm="1">
        <f t="array" ref="C1029">INDEX(tblDemandAssumptions[Product_ID],MOD(ROW()-2,20)+1)</f>
        <v>P003</v>
      </c>
      <c r="D1029" cm="1">
        <f t="array" ref="D1029">INDEX(tblDemandAssumptions[Baseline_Weekly_Qty],MOD(ROW()-2,20)+1)</f>
        <v>2600</v>
      </c>
      <c r="E1029">
        <f t="shared" si="128"/>
        <v>1.2</v>
      </c>
      <c r="F1029">
        <v>1</v>
      </c>
      <c r="G1029">
        <f t="shared" si="129"/>
        <v>3120</v>
      </c>
      <c r="H1029">
        <v>0.97</v>
      </c>
      <c r="I1029">
        <f t="shared" si="130"/>
        <v>3026</v>
      </c>
      <c r="J1029" t="str">
        <f t="shared" si="131"/>
        <v>Normal</v>
      </c>
      <c r="K1029">
        <f t="shared" si="132"/>
        <v>3120</v>
      </c>
      <c r="L1029">
        <f t="shared" si="133"/>
        <v>94</v>
      </c>
      <c r="M1029" s="2">
        <f t="shared" si="134"/>
        <v>3.1064111037673495E-2</v>
      </c>
      <c r="N1029">
        <f t="shared" si="135"/>
        <v>94</v>
      </c>
    </row>
    <row r="1030" spans="1:14">
      <c r="A1030" s="1" cm="1">
        <f t="array" ref="A1030">INDEX(tblWeeks[Week_Start],INT((ROW()-2)/20)+1)</f>
        <v>46384</v>
      </c>
      <c r="B1030" t="str" cm="1">
        <f t="array" ref="B1030">INDEX(tblDemandAssumptions[Customer_ID],MOD(ROW()-2,20)+1)</f>
        <v>C002</v>
      </c>
      <c r="C1030" t="str" cm="1">
        <f t="array" ref="C1030">INDEX(tblDemandAssumptions[Product_ID],MOD(ROW()-2,20)+1)</f>
        <v>P004</v>
      </c>
      <c r="D1030" cm="1">
        <f t="array" ref="D1030">INDEX(tblDemandAssumptions[Baseline_Weekly_Qty],MOD(ROW()-2,20)+1)</f>
        <v>2900</v>
      </c>
      <c r="E1030">
        <f t="shared" si="128"/>
        <v>1.2</v>
      </c>
      <c r="F1030">
        <v>1.01</v>
      </c>
      <c r="G1030">
        <f t="shared" si="129"/>
        <v>3515</v>
      </c>
      <c r="H1030">
        <v>1</v>
      </c>
      <c r="I1030">
        <f t="shared" si="130"/>
        <v>3480</v>
      </c>
      <c r="J1030" t="str">
        <f t="shared" si="131"/>
        <v>Normal</v>
      </c>
      <c r="K1030">
        <f t="shared" si="132"/>
        <v>3515</v>
      </c>
      <c r="L1030">
        <f t="shared" si="133"/>
        <v>35</v>
      </c>
      <c r="M1030" s="2">
        <f t="shared" si="134"/>
        <v>1.0057471264367816E-2</v>
      </c>
      <c r="N1030">
        <f t="shared" si="135"/>
        <v>35</v>
      </c>
    </row>
    <row r="1031" spans="1:14">
      <c r="A1031" s="1" cm="1">
        <f t="array" ref="A1031">INDEX(tblWeeks[Week_Start],INT((ROW()-2)/20)+1)</f>
        <v>46384</v>
      </c>
      <c r="B1031" t="str" cm="1">
        <f t="array" ref="B1031">INDEX(tblDemandAssumptions[Customer_ID],MOD(ROW()-2,20)+1)</f>
        <v>C002</v>
      </c>
      <c r="C1031" t="str" cm="1">
        <f t="array" ref="C1031">INDEX(tblDemandAssumptions[Product_ID],MOD(ROW()-2,20)+1)</f>
        <v>P005</v>
      </c>
      <c r="D1031" cm="1">
        <f t="array" ref="D1031">INDEX(tblDemandAssumptions[Baseline_Weekly_Qty],MOD(ROW()-2,20)+1)</f>
        <v>2200</v>
      </c>
      <c r="E1031">
        <f t="shared" si="128"/>
        <v>1.2</v>
      </c>
      <c r="F1031">
        <v>1.05</v>
      </c>
      <c r="G1031">
        <f t="shared" si="129"/>
        <v>2772</v>
      </c>
      <c r="H1031">
        <v>1.02</v>
      </c>
      <c r="I1031">
        <f t="shared" si="130"/>
        <v>2693</v>
      </c>
      <c r="J1031" t="str">
        <f t="shared" si="131"/>
        <v>Normal</v>
      </c>
      <c r="K1031">
        <f t="shared" si="132"/>
        <v>2772</v>
      </c>
      <c r="L1031">
        <f t="shared" si="133"/>
        <v>79</v>
      </c>
      <c r="M1031" s="2">
        <f t="shared" si="134"/>
        <v>2.9335313776457483E-2</v>
      </c>
      <c r="N1031">
        <f t="shared" si="135"/>
        <v>79</v>
      </c>
    </row>
    <row r="1032" spans="1:14">
      <c r="A1032" s="1" cm="1">
        <f t="array" ref="A1032">INDEX(tblWeeks[Week_Start],INT((ROW()-2)/20)+1)</f>
        <v>46384</v>
      </c>
      <c r="B1032" t="str" cm="1">
        <f t="array" ref="B1032">INDEX(tblDemandAssumptions[Customer_ID],MOD(ROW()-2,20)+1)</f>
        <v>C003</v>
      </c>
      <c r="C1032" t="str" cm="1">
        <f t="array" ref="C1032">INDEX(tblDemandAssumptions[Product_ID],MOD(ROW()-2,20)+1)</f>
        <v>P001</v>
      </c>
      <c r="D1032" cm="1">
        <f t="array" ref="D1032">INDEX(tblDemandAssumptions[Baseline_Weekly_Qty],MOD(ROW()-2,20)+1)</f>
        <v>3000</v>
      </c>
      <c r="E1032">
        <f t="shared" si="128"/>
        <v>1.2</v>
      </c>
      <c r="F1032">
        <v>0.95</v>
      </c>
      <c r="G1032">
        <f t="shared" si="129"/>
        <v>3420</v>
      </c>
      <c r="H1032">
        <v>0.96</v>
      </c>
      <c r="I1032">
        <f t="shared" si="130"/>
        <v>3456</v>
      </c>
      <c r="J1032" t="str">
        <f t="shared" si="131"/>
        <v>Normal</v>
      </c>
      <c r="K1032">
        <f t="shared" si="132"/>
        <v>3420</v>
      </c>
      <c r="L1032">
        <f t="shared" si="133"/>
        <v>-36</v>
      </c>
      <c r="M1032" s="2">
        <f t="shared" si="134"/>
        <v>-1.0416666666666666E-2</v>
      </c>
      <c r="N1032">
        <f t="shared" si="135"/>
        <v>36</v>
      </c>
    </row>
    <row r="1033" spans="1:14">
      <c r="A1033" s="1" cm="1">
        <f t="array" ref="A1033">INDEX(tblWeeks[Week_Start],INT((ROW()-2)/20)+1)</f>
        <v>46384</v>
      </c>
      <c r="B1033" t="str" cm="1">
        <f t="array" ref="B1033">INDEX(tblDemandAssumptions[Customer_ID],MOD(ROW()-2,20)+1)</f>
        <v>C003</v>
      </c>
      <c r="C1033" t="str" cm="1">
        <f t="array" ref="C1033">INDEX(tblDemandAssumptions[Product_ID],MOD(ROW()-2,20)+1)</f>
        <v>P002</v>
      </c>
      <c r="D1033" cm="1">
        <f t="array" ref="D1033">INDEX(tblDemandAssumptions[Baseline_Weekly_Qty],MOD(ROW()-2,20)+1)</f>
        <v>2700</v>
      </c>
      <c r="E1033">
        <f t="shared" si="128"/>
        <v>1.2</v>
      </c>
      <c r="F1033">
        <v>1.04</v>
      </c>
      <c r="G1033">
        <f t="shared" si="129"/>
        <v>3370</v>
      </c>
      <c r="H1033">
        <v>0.96</v>
      </c>
      <c r="I1033">
        <f t="shared" si="130"/>
        <v>3110</v>
      </c>
      <c r="J1033" t="str">
        <f t="shared" si="131"/>
        <v>Normal</v>
      </c>
      <c r="K1033">
        <f t="shared" si="132"/>
        <v>3370</v>
      </c>
      <c r="L1033">
        <f t="shared" si="133"/>
        <v>260</v>
      </c>
      <c r="M1033" s="2">
        <f t="shared" si="134"/>
        <v>8.3601286173633438E-2</v>
      </c>
      <c r="N1033">
        <f t="shared" si="135"/>
        <v>260</v>
      </c>
    </row>
    <row r="1034" spans="1:14">
      <c r="A1034" s="1" cm="1">
        <f t="array" ref="A1034">INDEX(tblWeeks[Week_Start],INT((ROW()-2)/20)+1)</f>
        <v>46384</v>
      </c>
      <c r="B1034" t="str" cm="1">
        <f t="array" ref="B1034">INDEX(tblDemandAssumptions[Customer_ID],MOD(ROW()-2,20)+1)</f>
        <v>C003</v>
      </c>
      <c r="C1034" t="str" cm="1">
        <f t="array" ref="C1034">INDEX(tblDemandAssumptions[Product_ID],MOD(ROW()-2,20)+1)</f>
        <v>P003</v>
      </c>
      <c r="D1034" cm="1">
        <f t="array" ref="D1034">INDEX(tblDemandAssumptions[Baseline_Weekly_Qty],MOD(ROW()-2,20)+1)</f>
        <v>2800</v>
      </c>
      <c r="E1034">
        <f t="shared" si="128"/>
        <v>1.2</v>
      </c>
      <c r="F1034">
        <v>1.04</v>
      </c>
      <c r="G1034">
        <f t="shared" si="129"/>
        <v>3494</v>
      </c>
      <c r="H1034">
        <v>1.01</v>
      </c>
      <c r="I1034">
        <f t="shared" si="130"/>
        <v>3394</v>
      </c>
      <c r="J1034" t="str">
        <f t="shared" si="131"/>
        <v>Normal</v>
      </c>
      <c r="K1034">
        <f t="shared" si="132"/>
        <v>3494</v>
      </c>
      <c r="L1034">
        <f t="shared" si="133"/>
        <v>100</v>
      </c>
      <c r="M1034" s="2">
        <f t="shared" si="134"/>
        <v>2.9463759575721862E-2</v>
      </c>
      <c r="N1034">
        <f t="shared" si="135"/>
        <v>100</v>
      </c>
    </row>
    <row r="1035" spans="1:14">
      <c r="A1035" s="1" cm="1">
        <f t="array" ref="A1035">INDEX(tblWeeks[Week_Start],INT((ROW()-2)/20)+1)</f>
        <v>46384</v>
      </c>
      <c r="B1035" t="str" cm="1">
        <f t="array" ref="B1035">INDEX(tblDemandAssumptions[Customer_ID],MOD(ROW()-2,20)+1)</f>
        <v>C003</v>
      </c>
      <c r="C1035" t="str" cm="1">
        <f t="array" ref="C1035">INDEX(tblDemandAssumptions[Product_ID],MOD(ROW()-2,20)+1)</f>
        <v>P004</v>
      </c>
      <c r="D1035" cm="1">
        <f t="array" ref="D1035">INDEX(tblDemandAssumptions[Baseline_Weekly_Qty],MOD(ROW()-2,20)+1)</f>
        <v>2400</v>
      </c>
      <c r="E1035">
        <f t="shared" si="128"/>
        <v>1.2</v>
      </c>
      <c r="F1035">
        <v>1.04</v>
      </c>
      <c r="G1035">
        <f t="shared" si="129"/>
        <v>2995</v>
      </c>
      <c r="H1035">
        <v>1.04</v>
      </c>
      <c r="I1035">
        <f t="shared" si="130"/>
        <v>2995</v>
      </c>
      <c r="J1035" t="str">
        <f t="shared" si="131"/>
        <v>Normal</v>
      </c>
      <c r="K1035">
        <f t="shared" si="132"/>
        <v>2995</v>
      </c>
      <c r="L1035">
        <f t="shared" si="133"/>
        <v>0</v>
      </c>
      <c r="M1035" s="2">
        <f t="shared" si="134"/>
        <v>0</v>
      </c>
      <c r="N1035">
        <f t="shared" si="135"/>
        <v>0</v>
      </c>
    </row>
    <row r="1036" spans="1:14">
      <c r="A1036" s="1" cm="1">
        <f t="array" ref="A1036">INDEX(tblWeeks[Week_Start],INT((ROW()-2)/20)+1)</f>
        <v>46384</v>
      </c>
      <c r="B1036" t="str" cm="1">
        <f t="array" ref="B1036">INDEX(tblDemandAssumptions[Customer_ID],MOD(ROW()-2,20)+1)</f>
        <v>C003</v>
      </c>
      <c r="C1036" t="str" cm="1">
        <f t="array" ref="C1036">INDEX(tblDemandAssumptions[Product_ID],MOD(ROW()-2,20)+1)</f>
        <v>P005</v>
      </c>
      <c r="D1036" cm="1">
        <f t="array" ref="D1036">INDEX(tblDemandAssumptions[Baseline_Weekly_Qty],MOD(ROW()-2,20)+1)</f>
        <v>1900</v>
      </c>
      <c r="E1036">
        <f t="shared" si="128"/>
        <v>1.2</v>
      </c>
      <c r="F1036">
        <v>1</v>
      </c>
      <c r="G1036">
        <f t="shared" si="129"/>
        <v>2280</v>
      </c>
      <c r="H1036">
        <v>0.98</v>
      </c>
      <c r="I1036">
        <f t="shared" si="130"/>
        <v>2234</v>
      </c>
      <c r="J1036" t="str">
        <f t="shared" si="131"/>
        <v>Normal</v>
      </c>
      <c r="K1036">
        <f t="shared" si="132"/>
        <v>2280</v>
      </c>
      <c r="L1036">
        <f t="shared" si="133"/>
        <v>46</v>
      </c>
      <c r="M1036" s="2">
        <f t="shared" si="134"/>
        <v>2.0590868397493287E-2</v>
      </c>
      <c r="N1036">
        <f t="shared" si="135"/>
        <v>46</v>
      </c>
    </row>
    <row r="1037" spans="1:14">
      <c r="A1037" s="1" cm="1">
        <f t="array" ref="A1037">INDEX(tblWeeks[Week_Start],INT((ROW()-2)/20)+1)</f>
        <v>46384</v>
      </c>
      <c r="B1037" t="str" cm="1">
        <f t="array" ref="B1037">INDEX(tblDemandAssumptions[Customer_ID],MOD(ROW()-2,20)+1)</f>
        <v>C004</v>
      </c>
      <c r="C1037" t="str" cm="1">
        <f t="array" ref="C1037">INDEX(tblDemandAssumptions[Product_ID],MOD(ROW()-2,20)+1)</f>
        <v>P001</v>
      </c>
      <c r="D1037" cm="1">
        <f t="array" ref="D1037">INDEX(tblDemandAssumptions[Baseline_Weekly_Qty],MOD(ROW()-2,20)+1)</f>
        <v>2700</v>
      </c>
      <c r="E1037">
        <f t="shared" si="128"/>
        <v>1.2</v>
      </c>
      <c r="F1037">
        <v>0.99</v>
      </c>
      <c r="G1037">
        <f t="shared" si="129"/>
        <v>3208</v>
      </c>
      <c r="H1037">
        <v>1.04</v>
      </c>
      <c r="I1037">
        <f t="shared" si="130"/>
        <v>3370</v>
      </c>
      <c r="J1037" t="str">
        <f t="shared" si="131"/>
        <v>Normal</v>
      </c>
      <c r="K1037">
        <f t="shared" si="132"/>
        <v>3208</v>
      </c>
      <c r="L1037">
        <f t="shared" si="133"/>
        <v>-162</v>
      </c>
      <c r="M1037" s="2">
        <f t="shared" si="134"/>
        <v>-4.8071216617210685E-2</v>
      </c>
      <c r="N1037">
        <f t="shared" si="135"/>
        <v>162</v>
      </c>
    </row>
    <row r="1038" spans="1:14">
      <c r="A1038" s="1" cm="1">
        <f t="array" ref="A1038">INDEX(tblWeeks[Week_Start],INT((ROW()-2)/20)+1)</f>
        <v>46384</v>
      </c>
      <c r="B1038" t="str" cm="1">
        <f t="array" ref="B1038">INDEX(tblDemandAssumptions[Customer_ID],MOD(ROW()-2,20)+1)</f>
        <v>C004</v>
      </c>
      <c r="C1038" t="str" cm="1">
        <f t="array" ref="C1038">INDEX(tblDemandAssumptions[Product_ID],MOD(ROW()-2,20)+1)</f>
        <v>P002</v>
      </c>
      <c r="D1038" cm="1">
        <f t="array" ref="D1038">INDEX(tblDemandAssumptions[Baseline_Weekly_Qty],MOD(ROW()-2,20)+1)</f>
        <v>2400</v>
      </c>
      <c r="E1038">
        <f t="shared" si="128"/>
        <v>1.2</v>
      </c>
      <c r="F1038">
        <v>0.98</v>
      </c>
      <c r="G1038">
        <f t="shared" si="129"/>
        <v>2822</v>
      </c>
      <c r="H1038">
        <v>1.01</v>
      </c>
      <c r="I1038">
        <f t="shared" si="130"/>
        <v>2909</v>
      </c>
      <c r="J1038" t="str">
        <f t="shared" si="131"/>
        <v>Normal</v>
      </c>
      <c r="K1038">
        <f t="shared" si="132"/>
        <v>2822</v>
      </c>
      <c r="L1038">
        <f t="shared" si="133"/>
        <v>-87</v>
      </c>
      <c r="M1038" s="2">
        <f t="shared" si="134"/>
        <v>-2.9907184599518737E-2</v>
      </c>
      <c r="N1038">
        <f t="shared" si="135"/>
        <v>87</v>
      </c>
    </row>
    <row r="1039" spans="1:14">
      <c r="A1039" s="1" cm="1">
        <f t="array" ref="A1039">INDEX(tblWeeks[Week_Start],INT((ROW()-2)/20)+1)</f>
        <v>46384</v>
      </c>
      <c r="B1039" t="str" cm="1">
        <f t="array" ref="B1039">INDEX(tblDemandAssumptions[Customer_ID],MOD(ROW()-2,20)+1)</f>
        <v>C004</v>
      </c>
      <c r="C1039" t="str" cm="1">
        <f t="array" ref="C1039">INDEX(tblDemandAssumptions[Product_ID],MOD(ROW()-2,20)+1)</f>
        <v>P003</v>
      </c>
      <c r="D1039" cm="1">
        <f t="array" ref="D1039">INDEX(tblDemandAssumptions[Baseline_Weekly_Qty],MOD(ROW()-2,20)+1)</f>
        <v>2100</v>
      </c>
      <c r="E1039">
        <f t="shared" si="128"/>
        <v>1.2</v>
      </c>
      <c r="F1039">
        <v>0.95</v>
      </c>
      <c r="G1039">
        <f t="shared" si="129"/>
        <v>2394</v>
      </c>
      <c r="H1039">
        <v>1.04</v>
      </c>
      <c r="I1039">
        <f t="shared" si="130"/>
        <v>2621</v>
      </c>
      <c r="J1039" t="str">
        <f t="shared" si="131"/>
        <v>Normal</v>
      </c>
      <c r="K1039">
        <f t="shared" si="132"/>
        <v>2394</v>
      </c>
      <c r="L1039">
        <f t="shared" si="133"/>
        <v>-227</v>
      </c>
      <c r="M1039" s="2">
        <f t="shared" si="134"/>
        <v>-8.6608164822586806E-2</v>
      </c>
      <c r="N1039">
        <f t="shared" si="135"/>
        <v>227</v>
      </c>
    </row>
    <row r="1040" spans="1:14">
      <c r="A1040" s="1" cm="1">
        <f t="array" ref="A1040">INDEX(tblWeeks[Week_Start],INT((ROW()-2)/20)+1)</f>
        <v>46384</v>
      </c>
      <c r="B1040" t="str" cm="1">
        <f t="array" ref="B1040">INDEX(tblDemandAssumptions[Customer_ID],MOD(ROW()-2,20)+1)</f>
        <v>C004</v>
      </c>
      <c r="C1040" t="str" cm="1">
        <f t="array" ref="C1040">INDEX(tblDemandAssumptions[Product_ID],MOD(ROW()-2,20)+1)</f>
        <v>P004</v>
      </c>
      <c r="D1040" cm="1">
        <f t="array" ref="D1040">INDEX(tblDemandAssumptions[Baseline_Weekly_Qty],MOD(ROW()-2,20)+1)</f>
        <v>2600</v>
      </c>
      <c r="E1040">
        <f t="shared" si="128"/>
        <v>1.2</v>
      </c>
      <c r="F1040">
        <v>0.95</v>
      </c>
      <c r="G1040">
        <f t="shared" si="129"/>
        <v>2964</v>
      </c>
      <c r="H1040">
        <v>1.01</v>
      </c>
      <c r="I1040">
        <f t="shared" si="130"/>
        <v>3151</v>
      </c>
      <c r="J1040" t="str">
        <f t="shared" si="131"/>
        <v>Normal</v>
      </c>
      <c r="K1040">
        <f t="shared" si="132"/>
        <v>2964</v>
      </c>
      <c r="L1040">
        <f t="shared" si="133"/>
        <v>-187</v>
      </c>
      <c r="M1040" s="2">
        <f t="shared" si="134"/>
        <v>-5.9346239289114568E-2</v>
      </c>
      <c r="N1040">
        <f t="shared" si="135"/>
        <v>187</v>
      </c>
    </row>
    <row r="1041" spans="1:14">
      <c r="A1041" s="1" cm="1">
        <f t="array" ref="A1041">INDEX(tblWeeks[Week_Start],INT((ROW()-2)/20)+1)</f>
        <v>46384</v>
      </c>
      <c r="B1041" t="str" cm="1">
        <f t="array" ref="B1041">INDEX(tblDemandAssumptions[Customer_ID],MOD(ROW()-2,20)+1)</f>
        <v>C004</v>
      </c>
      <c r="C1041" t="str" cm="1">
        <f t="array" ref="C1041">INDEX(tblDemandAssumptions[Product_ID],MOD(ROW()-2,20)+1)</f>
        <v>P005</v>
      </c>
      <c r="D1041" cm="1">
        <f t="array" ref="D1041">INDEX(tblDemandAssumptions[Baseline_Weekly_Qty],MOD(ROW()-2,20)+1)</f>
        <v>1800</v>
      </c>
      <c r="E1041">
        <f t="shared" si="128"/>
        <v>1.2</v>
      </c>
      <c r="F1041">
        <v>0.99</v>
      </c>
      <c r="G1041">
        <f t="shared" si="129"/>
        <v>2138</v>
      </c>
      <c r="H1041">
        <v>1</v>
      </c>
      <c r="I1041">
        <f t="shared" si="130"/>
        <v>2160</v>
      </c>
      <c r="J1041" t="str">
        <f t="shared" si="131"/>
        <v>Normal</v>
      </c>
      <c r="K1041">
        <f t="shared" si="132"/>
        <v>2138</v>
      </c>
      <c r="L1041">
        <f t="shared" si="133"/>
        <v>-22</v>
      </c>
      <c r="M1041" s="2">
        <f t="shared" si="134"/>
        <v>-1.0185185185185186E-2</v>
      </c>
      <c r="N1041">
        <f t="shared" si="135"/>
        <v>22</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65371-33DE-4F5A-9CBD-54D506FF3BE3}">
  <dimension ref="A1:D261"/>
  <sheetViews>
    <sheetView workbookViewId="0">
      <selection activeCell="J11" sqref="J11"/>
    </sheetView>
  </sheetViews>
  <sheetFormatPr defaultRowHeight="13.8"/>
  <cols>
    <col min="1" max="1" width="15.5546875" style="5" customWidth="1"/>
    <col min="2" max="2" width="13.33203125" style="5" customWidth="1"/>
    <col min="3" max="3" width="21.33203125" style="5" bestFit="1" customWidth="1"/>
    <col min="4" max="4" width="18.5546875" style="5" bestFit="1" customWidth="1"/>
    <col min="5" max="16384" width="8.88671875" style="5"/>
  </cols>
  <sheetData>
    <row r="1" spans="1:4" ht="14.4">
      <c r="A1" t="s">
        <v>68</v>
      </c>
      <c r="B1" t="s">
        <v>24</v>
      </c>
      <c r="C1" t="s">
        <v>105</v>
      </c>
      <c r="D1" t="s">
        <v>70</v>
      </c>
    </row>
    <row r="2" spans="1:4" ht="14.4">
      <c r="A2">
        <v>46027</v>
      </c>
      <c r="B2" t="s">
        <v>0</v>
      </c>
      <c r="C2">
        <f>SUMIFS(Demand_Base!I:I,Demand_Base!A:A,A2,Demand_Base!C:C,B2)</f>
        <v>13524</v>
      </c>
      <c r="D2">
        <f>SUMIFS(Demand_Base!K:K,Demand_Base!A:A,A2,Demand_Base!C:C,B2)</f>
        <v>13543</v>
      </c>
    </row>
    <row r="3" spans="1:4" ht="14.4">
      <c r="A3">
        <v>46027</v>
      </c>
      <c r="B3" t="s">
        <v>2</v>
      </c>
      <c r="C3">
        <f>SUMIFS(Demand_Base!I:I,Demand_Base!A:A,A3,Demand_Base!C:C,B3)</f>
        <v>11534</v>
      </c>
      <c r="D3">
        <f>SUMIFS(Demand_Base!K:K,Demand_Base!A:A,A3,Demand_Base!C:C,B3)</f>
        <v>12020</v>
      </c>
    </row>
    <row r="4" spans="1:4" ht="14.4">
      <c r="A4">
        <v>46027</v>
      </c>
      <c r="B4" t="s">
        <v>4</v>
      </c>
      <c r="C4">
        <f>SUMIFS(Demand_Base!I:I,Demand_Base!A:A,A4,Demand_Base!C:C,B4)</f>
        <v>10437</v>
      </c>
      <c r="D4">
        <f>SUMIFS(Demand_Base!K:K,Demand_Base!A:A,A4,Demand_Base!C:C,B4)</f>
        <v>10111</v>
      </c>
    </row>
    <row r="5" spans="1:4" ht="14.4">
      <c r="A5">
        <v>46027</v>
      </c>
      <c r="B5" t="s">
        <v>6</v>
      </c>
      <c r="C5">
        <f>SUMIFS(Demand_Base!I:I,Demand_Base!A:A,A5,Demand_Base!C:C,B5)</f>
        <v>10816</v>
      </c>
      <c r="D5">
        <f>SUMIFS(Demand_Base!K:K,Demand_Base!A:A,A5,Demand_Base!C:C,B5)</f>
        <v>10655</v>
      </c>
    </row>
    <row r="6" spans="1:4" ht="14.4">
      <c r="A6">
        <v>46027</v>
      </c>
      <c r="B6" t="s">
        <v>8</v>
      </c>
      <c r="C6">
        <f>SUMIFS(Demand_Base!I:I,Demand_Base!A:A,A6,Demand_Base!C:C,B6)</f>
        <v>8345</v>
      </c>
      <c r="D6">
        <f>SUMIFS(Demand_Base!K:K,Demand_Base!A:A,A6,Demand_Base!C:C,B6)</f>
        <v>8159</v>
      </c>
    </row>
    <row r="7" spans="1:4" ht="14.4">
      <c r="A7">
        <v>46034</v>
      </c>
      <c r="B7" t="s">
        <v>0</v>
      </c>
      <c r="C7">
        <f>SUMIFS(Demand_Base!I:I,Demand_Base!A:A,A7,Demand_Base!C:C,B7)</f>
        <v>13653</v>
      </c>
      <c r="D7">
        <f>SUMIFS(Demand_Base!K:K,Demand_Base!A:A,A7,Demand_Base!C:C,B7)</f>
        <v>13623</v>
      </c>
    </row>
    <row r="8" spans="1:4" ht="14.4">
      <c r="A8">
        <v>46034</v>
      </c>
      <c r="B8" t="s">
        <v>2</v>
      </c>
      <c r="C8">
        <f>SUMIFS(Demand_Base!I:I,Demand_Base!A:A,A8,Demand_Base!C:C,B8)</f>
        <v>11939</v>
      </c>
      <c r="D8">
        <f>SUMIFS(Demand_Base!K:K,Demand_Base!A:A,A8,Demand_Base!C:C,B8)</f>
        <v>11767</v>
      </c>
    </row>
    <row r="9" spans="1:4" ht="14.4">
      <c r="A9">
        <v>46034</v>
      </c>
      <c r="B9" t="s">
        <v>4</v>
      </c>
      <c r="C9">
        <f>SUMIFS(Demand_Base!I:I,Demand_Base!A:A,A9,Demand_Base!C:C,B9)</f>
        <v>10548</v>
      </c>
      <c r="D9">
        <f>SUMIFS(Demand_Base!K:K,Demand_Base!A:A,A9,Demand_Base!C:C,B9)</f>
        <v>10325</v>
      </c>
    </row>
    <row r="10" spans="1:4" ht="14.4">
      <c r="A10">
        <v>46034</v>
      </c>
      <c r="B10" t="s">
        <v>6</v>
      </c>
      <c r="C10">
        <f>SUMIFS(Demand_Base!I:I,Demand_Base!A:A,A10,Demand_Base!C:C,B10)</f>
        <v>11145</v>
      </c>
      <c r="D10">
        <f>SUMIFS(Demand_Base!K:K,Demand_Base!A:A,A10,Demand_Base!C:C,B10)</f>
        <v>10718</v>
      </c>
    </row>
    <row r="11" spans="1:4" ht="14.4">
      <c r="A11">
        <v>46034</v>
      </c>
      <c r="B11" t="s">
        <v>8</v>
      </c>
      <c r="C11">
        <f>SUMIFS(Demand_Base!I:I,Demand_Base!A:A,A11,Demand_Base!C:C,B11)</f>
        <v>8222</v>
      </c>
      <c r="D11">
        <f>SUMIFS(Demand_Base!K:K,Demand_Base!A:A,A11,Demand_Base!C:C,B11)</f>
        <v>8176</v>
      </c>
    </row>
    <row r="12" spans="1:4" ht="14.4">
      <c r="A12">
        <v>46041</v>
      </c>
      <c r="B12" t="s">
        <v>0</v>
      </c>
      <c r="C12">
        <f>SUMIFS(Demand_Base!I:I,Demand_Base!A:A,A12,Demand_Base!C:C,B12)</f>
        <v>13660</v>
      </c>
      <c r="D12">
        <f>SUMIFS(Demand_Base!K:K,Demand_Base!A:A,A12,Demand_Base!C:C,B12)</f>
        <v>13704</v>
      </c>
    </row>
    <row r="13" spans="1:4" ht="14.4">
      <c r="A13">
        <v>46041</v>
      </c>
      <c r="B13" t="s">
        <v>2</v>
      </c>
      <c r="C13">
        <f>SUMIFS(Demand_Base!I:I,Demand_Base!A:A,A13,Demand_Base!C:C,B13)</f>
        <v>11631</v>
      </c>
      <c r="D13">
        <f>SUMIFS(Demand_Base!K:K,Demand_Base!A:A,A13,Demand_Base!C:C,B13)</f>
        <v>11540</v>
      </c>
    </row>
    <row r="14" spans="1:4" ht="14.4">
      <c r="A14">
        <v>46041</v>
      </c>
      <c r="B14" t="s">
        <v>4</v>
      </c>
      <c r="C14">
        <f>SUMIFS(Demand_Base!I:I,Demand_Base!A:A,A14,Demand_Base!C:C,B14)</f>
        <v>10118</v>
      </c>
      <c r="D14">
        <f>SUMIFS(Demand_Base!K:K,Demand_Base!A:A,A14,Demand_Base!C:C,B14)</f>
        <v>10363</v>
      </c>
    </row>
    <row r="15" spans="1:4" ht="14.4">
      <c r="A15">
        <v>46041</v>
      </c>
      <c r="B15" t="s">
        <v>6</v>
      </c>
      <c r="C15">
        <f>SUMIFS(Demand_Base!I:I,Demand_Base!A:A,A15,Demand_Base!C:C,B15)</f>
        <v>11100</v>
      </c>
      <c r="D15">
        <f>SUMIFS(Demand_Base!K:K,Demand_Base!A:A,A15,Demand_Base!C:C,B15)</f>
        <v>11084</v>
      </c>
    </row>
    <row r="16" spans="1:4" ht="14.4">
      <c r="A16">
        <v>46041</v>
      </c>
      <c r="B16" t="s">
        <v>8</v>
      </c>
      <c r="C16">
        <f>SUMIFS(Demand_Base!I:I,Demand_Base!A:A,A16,Demand_Base!C:C,B16)</f>
        <v>8296</v>
      </c>
      <c r="D16">
        <f>SUMIFS(Demand_Base!K:K,Demand_Base!A:A,A16,Demand_Base!C:C,B16)</f>
        <v>8329</v>
      </c>
    </row>
    <row r="17" spans="1:4" ht="14.4">
      <c r="A17">
        <v>46048</v>
      </c>
      <c r="B17" t="s">
        <v>0</v>
      </c>
      <c r="C17">
        <f>SUMIFS(Demand_Base!I:I,Demand_Base!A:A,A17,Demand_Base!C:C,B17)</f>
        <v>13750</v>
      </c>
      <c r="D17">
        <f>SUMIFS(Demand_Base!K:K,Demand_Base!A:A,A17,Demand_Base!C:C,B17)</f>
        <v>13490</v>
      </c>
    </row>
    <row r="18" spans="1:4" ht="14.4">
      <c r="A18">
        <v>46048</v>
      </c>
      <c r="B18" t="s">
        <v>2</v>
      </c>
      <c r="C18">
        <f>SUMIFS(Demand_Base!I:I,Demand_Base!A:A,A18,Demand_Base!C:C,B18)</f>
        <v>11715</v>
      </c>
      <c r="D18">
        <f>SUMIFS(Demand_Base!K:K,Demand_Base!A:A,A18,Demand_Base!C:C,B18)</f>
        <v>12120</v>
      </c>
    </row>
    <row r="19" spans="1:4" ht="14.4">
      <c r="A19">
        <v>46048</v>
      </c>
      <c r="B19" t="s">
        <v>4</v>
      </c>
      <c r="C19">
        <f>SUMIFS(Demand_Base!I:I,Demand_Base!A:A,A19,Demand_Base!C:C,B19)</f>
        <v>10328</v>
      </c>
      <c r="D19">
        <f>SUMIFS(Demand_Base!K:K,Demand_Base!A:A,A19,Demand_Base!C:C,B19)</f>
        <v>10284</v>
      </c>
    </row>
    <row r="20" spans="1:4" ht="14.4">
      <c r="A20">
        <v>46048</v>
      </c>
      <c r="B20" t="s">
        <v>6</v>
      </c>
      <c r="C20">
        <f>SUMIFS(Demand_Base!I:I,Demand_Base!A:A,A20,Demand_Base!C:C,B20)</f>
        <v>10942</v>
      </c>
      <c r="D20">
        <f>SUMIFS(Demand_Base!K:K,Demand_Base!A:A,A20,Demand_Base!C:C,B20)</f>
        <v>10827</v>
      </c>
    </row>
    <row r="21" spans="1:4" ht="14.4">
      <c r="A21">
        <v>46048</v>
      </c>
      <c r="B21" t="s">
        <v>8</v>
      </c>
      <c r="C21">
        <f>SUMIFS(Demand_Base!I:I,Demand_Base!A:A,A21,Demand_Base!C:C,B21)</f>
        <v>8128</v>
      </c>
      <c r="D21">
        <f>SUMIFS(Demand_Base!K:K,Demand_Base!A:A,A21,Demand_Base!C:C,B21)</f>
        <v>8401</v>
      </c>
    </row>
    <row r="22" spans="1:4" ht="14.4">
      <c r="A22">
        <v>46055</v>
      </c>
      <c r="B22" t="s">
        <v>0</v>
      </c>
      <c r="C22">
        <f>SUMIFS(Demand_Base!I:I,Demand_Base!A:A,A22,Demand_Base!C:C,B22)</f>
        <v>13767</v>
      </c>
      <c r="D22">
        <f>SUMIFS(Demand_Base!K:K,Demand_Base!A:A,A22,Demand_Base!C:C,B22)</f>
        <v>13516</v>
      </c>
    </row>
    <row r="23" spans="1:4" ht="14.4">
      <c r="A23">
        <v>46055</v>
      </c>
      <c r="B23" t="s">
        <v>2</v>
      </c>
      <c r="C23">
        <f>SUMIFS(Demand_Base!I:I,Demand_Base!A:A,A23,Demand_Base!C:C,B23)</f>
        <v>11718</v>
      </c>
      <c r="D23">
        <f>SUMIFS(Demand_Base!K:K,Demand_Base!A:A,A23,Demand_Base!C:C,B23)</f>
        <v>12031</v>
      </c>
    </row>
    <row r="24" spans="1:4" ht="14.4">
      <c r="A24">
        <v>46055</v>
      </c>
      <c r="B24" t="s">
        <v>4</v>
      </c>
      <c r="C24">
        <f>SUMIFS(Demand_Base!I:I,Demand_Base!A:A,A24,Demand_Base!C:C,B24)</f>
        <v>10295</v>
      </c>
      <c r="D24">
        <f>SUMIFS(Demand_Base!K:K,Demand_Base!A:A,A24,Demand_Base!C:C,B24)</f>
        <v>10398</v>
      </c>
    </row>
    <row r="25" spans="1:4" ht="14.4">
      <c r="A25">
        <v>46055</v>
      </c>
      <c r="B25" t="s">
        <v>6</v>
      </c>
      <c r="C25">
        <f>SUMIFS(Demand_Base!I:I,Demand_Base!A:A,A25,Demand_Base!C:C,B25)</f>
        <v>10989</v>
      </c>
      <c r="D25">
        <f>SUMIFS(Demand_Base!K:K,Demand_Base!A:A,A25,Demand_Base!C:C,B25)</f>
        <v>10948</v>
      </c>
    </row>
    <row r="26" spans="1:4" ht="14.4">
      <c r="A26">
        <v>46055</v>
      </c>
      <c r="B26" t="s">
        <v>8</v>
      </c>
      <c r="C26">
        <f>SUMIFS(Demand_Base!I:I,Demand_Base!A:A,A26,Demand_Base!C:C,B26)</f>
        <v>8491</v>
      </c>
      <c r="D26">
        <f>SUMIFS(Demand_Base!K:K,Demand_Base!A:A,A26,Demand_Base!C:C,B26)</f>
        <v>8333</v>
      </c>
    </row>
    <row r="27" spans="1:4" ht="14.4">
      <c r="A27">
        <v>46062</v>
      </c>
      <c r="B27" t="s">
        <v>0</v>
      </c>
      <c r="C27">
        <f>SUMIFS(Demand_Base!I:I,Demand_Base!A:A,A27,Demand_Base!C:C,B27)</f>
        <v>13426</v>
      </c>
      <c r="D27">
        <f>SUMIFS(Demand_Base!K:K,Demand_Base!A:A,A27,Demand_Base!C:C,B27)</f>
        <v>13537</v>
      </c>
    </row>
    <row r="28" spans="1:4" ht="14.4">
      <c r="A28">
        <v>46062</v>
      </c>
      <c r="B28" t="s">
        <v>2</v>
      </c>
      <c r="C28">
        <f>SUMIFS(Demand_Base!I:I,Demand_Base!A:A,A28,Demand_Base!C:C,B28)</f>
        <v>11743</v>
      </c>
      <c r="D28">
        <f>SUMIFS(Demand_Base!K:K,Demand_Base!A:A,A28,Demand_Base!C:C,B28)</f>
        <v>12055</v>
      </c>
    </row>
    <row r="29" spans="1:4" ht="14.4">
      <c r="A29">
        <v>46062</v>
      </c>
      <c r="B29" t="s">
        <v>4</v>
      </c>
      <c r="C29">
        <f>SUMIFS(Demand_Base!I:I,Demand_Base!A:A,A29,Demand_Base!C:C,B29)</f>
        <v>10278</v>
      </c>
      <c r="D29">
        <f>SUMIFS(Demand_Base!K:K,Demand_Base!A:A,A29,Demand_Base!C:C,B29)</f>
        <v>10259</v>
      </c>
    </row>
    <row r="30" spans="1:4" ht="14.4">
      <c r="A30">
        <v>46062</v>
      </c>
      <c r="B30" t="s">
        <v>6</v>
      </c>
      <c r="C30">
        <f>SUMIFS(Demand_Base!I:I,Demand_Base!A:A,A30,Demand_Base!C:C,B30)</f>
        <v>10874</v>
      </c>
      <c r="D30">
        <f>SUMIFS(Demand_Base!K:K,Demand_Base!A:A,A30,Demand_Base!C:C,B30)</f>
        <v>11052</v>
      </c>
    </row>
    <row r="31" spans="1:4" ht="14.4">
      <c r="A31">
        <v>46062</v>
      </c>
      <c r="B31" t="s">
        <v>8</v>
      </c>
      <c r="C31">
        <f>SUMIFS(Demand_Base!I:I,Demand_Base!A:A,A31,Demand_Base!C:C,B31)</f>
        <v>8398</v>
      </c>
      <c r="D31">
        <f>SUMIFS(Demand_Base!K:K,Demand_Base!A:A,A31,Demand_Base!C:C,B31)</f>
        <v>8288</v>
      </c>
    </row>
    <row r="32" spans="1:4" ht="14.4">
      <c r="A32">
        <v>46069</v>
      </c>
      <c r="B32" t="s">
        <v>0</v>
      </c>
      <c r="C32">
        <f>SUMIFS(Demand_Base!I:I,Demand_Base!A:A,A32,Demand_Base!C:C,B32)</f>
        <v>13445</v>
      </c>
      <c r="D32">
        <f>SUMIFS(Demand_Base!K:K,Demand_Base!A:A,A32,Demand_Base!C:C,B32)</f>
        <v>13573</v>
      </c>
    </row>
    <row r="33" spans="1:4" ht="14.4">
      <c r="A33">
        <v>46069</v>
      </c>
      <c r="B33" t="s">
        <v>2</v>
      </c>
      <c r="C33">
        <f>SUMIFS(Demand_Base!I:I,Demand_Base!A:A,A33,Demand_Base!C:C,B33)</f>
        <v>11707</v>
      </c>
      <c r="D33">
        <f>SUMIFS(Demand_Base!K:K,Demand_Base!A:A,A33,Demand_Base!C:C,B33)</f>
        <v>11493</v>
      </c>
    </row>
    <row r="34" spans="1:4" ht="14.4">
      <c r="A34">
        <v>46069</v>
      </c>
      <c r="B34" t="s">
        <v>4</v>
      </c>
      <c r="C34">
        <f>SUMIFS(Demand_Base!I:I,Demand_Base!A:A,A34,Demand_Base!C:C,B34)</f>
        <v>10409</v>
      </c>
      <c r="D34">
        <f>SUMIFS(Demand_Base!K:K,Demand_Base!A:A,A34,Demand_Base!C:C,B34)</f>
        <v>9953</v>
      </c>
    </row>
    <row r="35" spans="1:4" ht="14.4">
      <c r="A35">
        <v>46069</v>
      </c>
      <c r="B35" t="s">
        <v>6</v>
      </c>
      <c r="C35">
        <f>SUMIFS(Demand_Base!I:I,Demand_Base!A:A,A35,Demand_Base!C:C,B35)</f>
        <v>10782</v>
      </c>
      <c r="D35">
        <f>SUMIFS(Demand_Base!K:K,Demand_Base!A:A,A35,Demand_Base!C:C,B35)</f>
        <v>11090</v>
      </c>
    </row>
    <row r="36" spans="1:4" ht="14.4">
      <c r="A36">
        <v>46069</v>
      </c>
      <c r="B36" t="s">
        <v>8</v>
      </c>
      <c r="C36">
        <f>SUMIFS(Demand_Base!I:I,Demand_Base!A:A,A36,Demand_Base!C:C,B36)</f>
        <v>8081</v>
      </c>
      <c r="D36">
        <f>SUMIFS(Demand_Base!K:K,Demand_Base!A:A,A36,Demand_Base!C:C,B36)</f>
        <v>8365</v>
      </c>
    </row>
    <row r="37" spans="1:4" ht="14.4">
      <c r="A37">
        <v>46076</v>
      </c>
      <c r="B37" t="s">
        <v>0</v>
      </c>
      <c r="C37">
        <f>SUMIFS(Demand_Base!I:I,Demand_Base!A:A,A37,Demand_Base!C:C,B37)</f>
        <v>13622</v>
      </c>
      <c r="D37">
        <f>SUMIFS(Demand_Base!K:K,Demand_Base!A:A,A37,Demand_Base!C:C,B37)</f>
        <v>13253</v>
      </c>
    </row>
    <row r="38" spans="1:4" ht="14.4">
      <c r="A38">
        <v>46076</v>
      </c>
      <c r="B38" t="s">
        <v>2</v>
      </c>
      <c r="C38">
        <f>SUMIFS(Demand_Base!I:I,Demand_Base!A:A,A38,Demand_Base!C:C,B38)</f>
        <v>11739</v>
      </c>
      <c r="D38">
        <f>SUMIFS(Demand_Base!K:K,Demand_Base!A:A,A38,Demand_Base!C:C,B38)</f>
        <v>11845</v>
      </c>
    </row>
    <row r="39" spans="1:4" ht="14.4">
      <c r="A39">
        <v>46076</v>
      </c>
      <c r="B39" t="s">
        <v>4</v>
      </c>
      <c r="C39">
        <f>SUMIFS(Demand_Base!I:I,Demand_Base!A:A,A39,Demand_Base!C:C,B39)</f>
        <v>10099</v>
      </c>
      <c r="D39">
        <f>SUMIFS(Demand_Base!K:K,Demand_Base!A:A,A39,Demand_Base!C:C,B39)</f>
        <v>10193</v>
      </c>
    </row>
    <row r="40" spans="1:4" ht="14.4">
      <c r="A40">
        <v>46076</v>
      </c>
      <c r="B40" t="s">
        <v>6</v>
      </c>
      <c r="C40">
        <f>SUMIFS(Demand_Base!I:I,Demand_Base!A:A,A40,Demand_Base!C:C,B40)</f>
        <v>10926</v>
      </c>
      <c r="D40">
        <f>SUMIFS(Demand_Base!K:K,Demand_Base!A:A,A40,Demand_Base!C:C,B40)</f>
        <v>10636</v>
      </c>
    </row>
    <row r="41" spans="1:4" ht="14.4">
      <c r="A41">
        <v>46076</v>
      </c>
      <c r="B41" t="s">
        <v>8</v>
      </c>
      <c r="C41">
        <f>SUMIFS(Demand_Base!I:I,Demand_Base!A:A,A41,Demand_Base!C:C,B41)</f>
        <v>8227</v>
      </c>
      <c r="D41">
        <f>SUMIFS(Demand_Base!K:K,Demand_Base!A:A,A41,Demand_Base!C:C,B41)</f>
        <v>8304</v>
      </c>
    </row>
    <row r="42" spans="1:4" ht="14.4">
      <c r="A42">
        <v>46083</v>
      </c>
      <c r="B42" t="s">
        <v>0</v>
      </c>
      <c r="C42">
        <f>SUMIFS(Demand_Base!I:I,Demand_Base!A:A,A42,Demand_Base!C:C,B42)</f>
        <v>14356</v>
      </c>
      <c r="D42">
        <f>SUMIFS(Demand_Base!K:K,Demand_Base!A:A,A42,Demand_Base!C:C,B42)</f>
        <v>14401</v>
      </c>
    </row>
    <row r="43" spans="1:4" ht="14.4">
      <c r="A43">
        <v>46083</v>
      </c>
      <c r="B43" t="s">
        <v>2</v>
      </c>
      <c r="C43">
        <f>SUMIFS(Demand_Base!I:I,Demand_Base!A:A,A43,Demand_Base!C:C,B43)</f>
        <v>12333</v>
      </c>
      <c r="D43">
        <f>SUMIFS(Demand_Base!K:K,Demand_Base!A:A,A43,Demand_Base!C:C,B43)</f>
        <v>12515</v>
      </c>
    </row>
    <row r="44" spans="1:4" ht="14.4">
      <c r="A44">
        <v>46083</v>
      </c>
      <c r="B44" t="s">
        <v>4</v>
      </c>
      <c r="C44">
        <f>SUMIFS(Demand_Base!I:I,Demand_Base!A:A,A44,Demand_Base!C:C,B44)</f>
        <v>10870</v>
      </c>
      <c r="D44">
        <f>SUMIFS(Demand_Base!K:K,Demand_Base!A:A,A44,Demand_Base!C:C,B44)</f>
        <v>10827</v>
      </c>
    </row>
    <row r="45" spans="1:4" ht="14.4">
      <c r="A45">
        <v>46083</v>
      </c>
      <c r="B45" t="s">
        <v>6</v>
      </c>
      <c r="C45">
        <f>SUMIFS(Demand_Base!I:I,Demand_Base!A:A,A45,Demand_Base!C:C,B45)</f>
        <v>11792</v>
      </c>
      <c r="D45">
        <f>SUMIFS(Demand_Base!K:K,Demand_Base!A:A,A45,Demand_Base!C:C,B45)</f>
        <v>11698</v>
      </c>
    </row>
    <row r="46" spans="1:4" ht="14.4">
      <c r="A46">
        <v>46083</v>
      </c>
      <c r="B46" t="s">
        <v>8</v>
      </c>
      <c r="C46">
        <f>SUMIFS(Demand_Base!I:I,Demand_Base!A:A,A46,Demand_Base!C:C,B46)</f>
        <v>8776</v>
      </c>
      <c r="D46">
        <f>SUMIFS(Demand_Base!K:K,Demand_Base!A:A,A46,Demand_Base!C:C,B46)</f>
        <v>8850</v>
      </c>
    </row>
    <row r="47" spans="1:4" ht="14.4">
      <c r="A47">
        <v>46090</v>
      </c>
      <c r="B47" t="s">
        <v>0</v>
      </c>
      <c r="C47">
        <f>SUMIFS(Demand_Base!I:I,Demand_Base!A:A,A47,Demand_Base!C:C,B47)</f>
        <v>14425</v>
      </c>
      <c r="D47">
        <f>SUMIFS(Demand_Base!K:K,Demand_Base!A:A,A47,Demand_Base!C:C,B47)</f>
        <v>14270</v>
      </c>
    </row>
    <row r="48" spans="1:4" ht="14.4">
      <c r="A48">
        <v>46090</v>
      </c>
      <c r="B48" t="s">
        <v>2</v>
      </c>
      <c r="C48">
        <f>SUMIFS(Demand_Base!I:I,Demand_Base!A:A,A48,Demand_Base!C:C,B48)</f>
        <v>12367</v>
      </c>
      <c r="D48">
        <f>SUMIFS(Demand_Base!K:K,Demand_Base!A:A,A48,Demand_Base!C:C,B48)</f>
        <v>12406</v>
      </c>
    </row>
    <row r="49" spans="1:4" ht="14.4">
      <c r="A49">
        <v>46090</v>
      </c>
      <c r="B49" t="s">
        <v>4</v>
      </c>
      <c r="C49">
        <f>SUMIFS(Demand_Base!I:I,Demand_Base!A:A,A49,Demand_Base!C:C,B49)</f>
        <v>11082</v>
      </c>
      <c r="D49">
        <f>SUMIFS(Demand_Base!K:K,Demand_Base!A:A,A49,Demand_Base!C:C,B49)</f>
        <v>11176</v>
      </c>
    </row>
    <row r="50" spans="1:4" ht="14.4">
      <c r="A50">
        <v>46090</v>
      </c>
      <c r="B50" t="s">
        <v>6</v>
      </c>
      <c r="C50">
        <f>SUMIFS(Demand_Base!I:I,Demand_Base!A:A,A50,Demand_Base!C:C,B50)</f>
        <v>11658</v>
      </c>
      <c r="D50">
        <f>SUMIFS(Demand_Base!K:K,Demand_Base!A:A,A50,Demand_Base!C:C,B50)</f>
        <v>11201</v>
      </c>
    </row>
    <row r="51" spans="1:4" ht="14.4">
      <c r="A51">
        <v>46090</v>
      </c>
      <c r="B51" t="s">
        <v>8</v>
      </c>
      <c r="C51">
        <f>SUMIFS(Demand_Base!I:I,Demand_Base!A:A,A51,Demand_Base!C:C,B51)</f>
        <v>8647</v>
      </c>
      <c r="D51">
        <f>SUMIFS(Demand_Base!K:K,Demand_Base!A:A,A51,Demand_Base!C:C,B51)</f>
        <v>8613</v>
      </c>
    </row>
    <row r="52" spans="1:4" ht="14.4">
      <c r="A52">
        <v>46097</v>
      </c>
      <c r="B52" t="s">
        <v>0</v>
      </c>
      <c r="C52">
        <f>SUMIFS(Demand_Base!I:I,Demand_Base!A:A,A52,Demand_Base!C:C,B52)</f>
        <v>14484</v>
      </c>
      <c r="D52">
        <f>SUMIFS(Demand_Base!K:K,Demand_Base!A:A,A52,Demand_Base!C:C,B52)</f>
        <v>16211</v>
      </c>
    </row>
    <row r="53" spans="1:4" ht="14.4">
      <c r="A53">
        <v>46097</v>
      </c>
      <c r="B53" t="s">
        <v>2</v>
      </c>
      <c r="C53">
        <f>SUMIFS(Demand_Base!I:I,Demand_Base!A:A,A53,Demand_Base!C:C,B53)</f>
        <v>12313</v>
      </c>
      <c r="D53">
        <f>SUMIFS(Demand_Base!K:K,Demand_Base!A:A,A53,Demand_Base!C:C,B53)</f>
        <v>12397</v>
      </c>
    </row>
    <row r="54" spans="1:4" ht="14.4">
      <c r="A54">
        <v>46097</v>
      </c>
      <c r="B54" t="s">
        <v>4</v>
      </c>
      <c r="C54">
        <f>SUMIFS(Demand_Base!I:I,Demand_Base!A:A,A54,Demand_Base!C:C,B54)</f>
        <v>10841</v>
      </c>
      <c r="D54">
        <f>SUMIFS(Demand_Base!K:K,Demand_Base!A:A,A54,Demand_Base!C:C,B54)</f>
        <v>10953</v>
      </c>
    </row>
    <row r="55" spans="1:4" ht="14.4">
      <c r="A55">
        <v>46097</v>
      </c>
      <c r="B55" t="s">
        <v>6</v>
      </c>
      <c r="C55">
        <f>SUMIFS(Demand_Base!I:I,Demand_Base!A:A,A55,Demand_Base!C:C,B55)</f>
        <v>11529</v>
      </c>
      <c r="D55">
        <f>SUMIFS(Demand_Base!K:K,Demand_Base!A:A,A55,Demand_Base!C:C,B55)</f>
        <v>11633</v>
      </c>
    </row>
    <row r="56" spans="1:4" ht="14.4">
      <c r="A56">
        <v>46097</v>
      </c>
      <c r="B56" t="s">
        <v>8</v>
      </c>
      <c r="C56">
        <f>SUMIFS(Demand_Base!I:I,Demand_Base!A:A,A56,Demand_Base!C:C,B56)</f>
        <v>8880</v>
      </c>
      <c r="D56">
        <f>SUMIFS(Demand_Base!K:K,Demand_Base!A:A,A56,Demand_Base!C:C,B56)</f>
        <v>8760</v>
      </c>
    </row>
    <row r="57" spans="1:4" ht="14.4">
      <c r="A57">
        <v>46104</v>
      </c>
      <c r="B57" t="s">
        <v>0</v>
      </c>
      <c r="C57">
        <f>SUMIFS(Demand_Base!I:I,Demand_Base!A:A,A57,Demand_Base!C:C,B57)</f>
        <v>14388</v>
      </c>
      <c r="D57">
        <f>SUMIFS(Demand_Base!K:K,Demand_Base!A:A,A57,Demand_Base!C:C,B57)</f>
        <v>14003</v>
      </c>
    </row>
    <row r="58" spans="1:4" ht="14.4">
      <c r="A58">
        <v>46104</v>
      </c>
      <c r="B58" t="s">
        <v>2</v>
      </c>
      <c r="C58">
        <f>SUMIFS(Demand_Base!I:I,Demand_Base!A:A,A58,Demand_Base!C:C,B58)</f>
        <v>12337</v>
      </c>
      <c r="D58">
        <f>SUMIFS(Demand_Base!K:K,Demand_Base!A:A,A58,Demand_Base!C:C,B58)</f>
        <v>12334</v>
      </c>
    </row>
    <row r="59" spans="1:4" ht="14.4">
      <c r="A59">
        <v>46104</v>
      </c>
      <c r="B59" t="s">
        <v>4</v>
      </c>
      <c r="C59">
        <f>SUMIFS(Demand_Base!I:I,Demand_Base!A:A,A59,Demand_Base!C:C,B59)</f>
        <v>10770</v>
      </c>
      <c r="D59">
        <f>SUMIFS(Demand_Base!K:K,Demand_Base!A:A,A59,Demand_Base!C:C,B59)</f>
        <v>10956</v>
      </c>
    </row>
    <row r="60" spans="1:4" ht="14.4">
      <c r="A60">
        <v>46104</v>
      </c>
      <c r="B60" t="s">
        <v>6</v>
      </c>
      <c r="C60">
        <f>SUMIFS(Demand_Base!I:I,Demand_Base!A:A,A60,Demand_Base!C:C,B60)</f>
        <v>11368</v>
      </c>
      <c r="D60">
        <f>SUMIFS(Demand_Base!K:K,Demand_Base!A:A,A60,Demand_Base!C:C,B60)</f>
        <v>11543</v>
      </c>
    </row>
    <row r="61" spans="1:4" ht="14.4">
      <c r="A61">
        <v>46104</v>
      </c>
      <c r="B61" t="s">
        <v>8</v>
      </c>
      <c r="C61">
        <f>SUMIFS(Demand_Base!I:I,Demand_Base!A:A,A61,Demand_Base!C:C,B61)</f>
        <v>8844</v>
      </c>
      <c r="D61">
        <f>SUMIFS(Demand_Base!K:K,Demand_Base!A:A,A61,Demand_Base!C:C,B61)</f>
        <v>8572</v>
      </c>
    </row>
    <row r="62" spans="1:4" ht="14.4">
      <c r="A62">
        <v>46111</v>
      </c>
      <c r="B62" t="s">
        <v>0</v>
      </c>
      <c r="C62">
        <f>SUMIFS(Demand_Base!I:I,Demand_Base!A:A,A62,Demand_Base!C:C,B62)</f>
        <v>13984</v>
      </c>
      <c r="D62">
        <f>SUMIFS(Demand_Base!K:K,Demand_Base!A:A,A62,Demand_Base!C:C,B62)</f>
        <v>14612</v>
      </c>
    </row>
    <row r="63" spans="1:4" ht="14.4">
      <c r="A63">
        <v>46111</v>
      </c>
      <c r="B63" t="s">
        <v>2</v>
      </c>
      <c r="C63">
        <f>SUMIFS(Demand_Base!I:I,Demand_Base!A:A,A63,Demand_Base!C:C,B63)</f>
        <v>12368</v>
      </c>
      <c r="D63">
        <f>SUMIFS(Demand_Base!K:K,Demand_Base!A:A,A63,Demand_Base!C:C,B63)</f>
        <v>12571</v>
      </c>
    </row>
    <row r="64" spans="1:4" ht="14.4">
      <c r="A64">
        <v>46111</v>
      </c>
      <c r="B64" t="s">
        <v>4</v>
      </c>
      <c r="C64">
        <f>SUMIFS(Demand_Base!I:I,Demand_Base!A:A,A64,Demand_Base!C:C,B64)</f>
        <v>10957</v>
      </c>
      <c r="D64">
        <f>SUMIFS(Demand_Base!K:K,Demand_Base!A:A,A64,Demand_Base!C:C,B64)</f>
        <v>10434</v>
      </c>
    </row>
    <row r="65" spans="1:4" ht="14.4">
      <c r="A65">
        <v>46111</v>
      </c>
      <c r="B65" t="s">
        <v>6</v>
      </c>
      <c r="C65">
        <f>SUMIFS(Demand_Base!I:I,Demand_Base!A:A,A65,Demand_Base!C:C,B65)</f>
        <v>11373</v>
      </c>
      <c r="D65">
        <f>SUMIFS(Demand_Base!K:K,Demand_Base!A:A,A65,Demand_Base!C:C,B65)</f>
        <v>11644</v>
      </c>
    </row>
    <row r="66" spans="1:4" ht="14.4">
      <c r="A66">
        <v>46111</v>
      </c>
      <c r="B66" t="s">
        <v>8</v>
      </c>
      <c r="C66">
        <f>SUMIFS(Demand_Base!I:I,Demand_Base!A:A,A66,Demand_Base!C:C,B66)</f>
        <v>8531</v>
      </c>
      <c r="D66">
        <f>SUMIFS(Demand_Base!K:K,Demand_Base!A:A,A66,Demand_Base!C:C,B66)</f>
        <v>8788</v>
      </c>
    </row>
    <row r="67" spans="1:4" ht="14.4">
      <c r="A67">
        <v>46118</v>
      </c>
      <c r="B67" t="s">
        <v>0</v>
      </c>
      <c r="C67">
        <f>SUMIFS(Demand_Base!I:I,Demand_Base!A:A,A67,Demand_Base!C:C,B67)</f>
        <v>14533</v>
      </c>
      <c r="D67">
        <f>SUMIFS(Demand_Base!K:K,Demand_Base!A:A,A67,Demand_Base!C:C,B67)</f>
        <v>13886</v>
      </c>
    </row>
    <row r="68" spans="1:4" ht="14.4">
      <c r="A68">
        <v>46118</v>
      </c>
      <c r="B68" t="s">
        <v>2</v>
      </c>
      <c r="C68">
        <f>SUMIFS(Demand_Base!I:I,Demand_Base!A:A,A68,Demand_Base!C:C,B68)</f>
        <v>12599</v>
      </c>
      <c r="D68">
        <f>SUMIFS(Demand_Base!K:K,Demand_Base!A:A,A68,Demand_Base!C:C,B68)</f>
        <v>12306</v>
      </c>
    </row>
    <row r="69" spans="1:4" ht="14.4">
      <c r="A69">
        <v>46118</v>
      </c>
      <c r="B69" t="s">
        <v>4</v>
      </c>
      <c r="C69">
        <f>SUMIFS(Demand_Base!I:I,Demand_Base!A:A,A69,Demand_Base!C:C,B69)</f>
        <v>10980</v>
      </c>
      <c r="D69">
        <f>SUMIFS(Demand_Base!K:K,Demand_Base!A:A,A69,Demand_Base!C:C,B69)</f>
        <v>10802</v>
      </c>
    </row>
    <row r="70" spans="1:4" ht="14.4">
      <c r="A70">
        <v>46118</v>
      </c>
      <c r="B70" t="s">
        <v>6</v>
      </c>
      <c r="C70">
        <f>SUMIFS(Demand_Base!I:I,Demand_Base!A:A,A70,Demand_Base!C:C,B70)</f>
        <v>11471</v>
      </c>
      <c r="D70">
        <f>SUMIFS(Demand_Base!K:K,Demand_Base!A:A,A70,Demand_Base!C:C,B70)</f>
        <v>11424</v>
      </c>
    </row>
    <row r="71" spans="1:4" ht="14.4">
      <c r="A71">
        <v>46118</v>
      </c>
      <c r="B71" t="s">
        <v>8</v>
      </c>
      <c r="C71">
        <f>SUMIFS(Demand_Base!I:I,Demand_Base!A:A,A71,Demand_Base!C:C,B71)</f>
        <v>8745</v>
      </c>
      <c r="D71">
        <f>SUMIFS(Demand_Base!K:K,Demand_Base!A:A,A71,Demand_Base!C:C,B71)</f>
        <v>8698</v>
      </c>
    </row>
    <row r="72" spans="1:4" ht="14.4">
      <c r="A72">
        <v>46125</v>
      </c>
      <c r="B72" t="s">
        <v>0</v>
      </c>
      <c r="C72">
        <f>SUMIFS(Demand_Base!I:I,Demand_Base!A:A,A72,Demand_Base!C:C,B72)</f>
        <v>14363</v>
      </c>
      <c r="D72">
        <f>SUMIFS(Demand_Base!K:K,Demand_Base!A:A,A72,Demand_Base!C:C,B72)</f>
        <v>14458</v>
      </c>
    </row>
    <row r="73" spans="1:4" ht="14.4">
      <c r="A73">
        <v>46125</v>
      </c>
      <c r="B73" t="s">
        <v>2</v>
      </c>
      <c r="C73">
        <f>SUMIFS(Demand_Base!I:I,Demand_Base!A:A,A73,Demand_Base!C:C,B73)</f>
        <v>12234</v>
      </c>
      <c r="D73">
        <f>SUMIFS(Demand_Base!K:K,Demand_Base!A:A,A73,Demand_Base!C:C,B73)</f>
        <v>12600</v>
      </c>
    </row>
    <row r="74" spans="1:4" ht="14.4">
      <c r="A74">
        <v>46125</v>
      </c>
      <c r="B74" t="s">
        <v>4</v>
      </c>
      <c r="C74">
        <f>SUMIFS(Demand_Base!I:I,Demand_Base!A:A,A74,Demand_Base!C:C,B74)</f>
        <v>10698</v>
      </c>
      <c r="D74">
        <f>SUMIFS(Demand_Base!K:K,Demand_Base!A:A,A74,Demand_Base!C:C,B74)</f>
        <v>10761</v>
      </c>
    </row>
    <row r="75" spans="1:4" ht="14.4">
      <c r="A75">
        <v>46125</v>
      </c>
      <c r="B75" t="s">
        <v>6</v>
      </c>
      <c r="C75">
        <f>SUMIFS(Demand_Base!I:I,Demand_Base!A:A,A75,Demand_Base!C:C,B75)</f>
        <v>11232</v>
      </c>
      <c r="D75">
        <f>SUMIFS(Demand_Base!K:K,Demand_Base!A:A,A75,Demand_Base!C:C,B75)</f>
        <v>11503</v>
      </c>
    </row>
    <row r="76" spans="1:4" ht="14.4">
      <c r="A76">
        <v>46125</v>
      </c>
      <c r="B76" t="s">
        <v>8</v>
      </c>
      <c r="C76">
        <f>SUMIFS(Demand_Base!I:I,Demand_Base!A:A,A76,Demand_Base!C:C,B76)</f>
        <v>8555</v>
      </c>
      <c r="D76">
        <f>SUMIFS(Demand_Base!K:K,Demand_Base!A:A,A76,Demand_Base!C:C,B76)</f>
        <v>8475</v>
      </c>
    </row>
    <row r="77" spans="1:4" ht="14.4">
      <c r="A77">
        <v>46132</v>
      </c>
      <c r="B77" t="s">
        <v>0</v>
      </c>
      <c r="C77">
        <f>SUMIFS(Demand_Base!I:I,Demand_Base!A:A,A77,Demand_Base!C:C,B77)</f>
        <v>14626</v>
      </c>
      <c r="D77">
        <f>SUMIFS(Demand_Base!K:K,Demand_Base!A:A,A77,Demand_Base!C:C,B77)</f>
        <v>14162</v>
      </c>
    </row>
    <row r="78" spans="1:4" ht="14.4">
      <c r="A78">
        <v>46132</v>
      </c>
      <c r="B78" t="s">
        <v>2</v>
      </c>
      <c r="C78">
        <f>SUMIFS(Demand_Base!I:I,Demand_Base!A:A,A78,Demand_Base!C:C,B78)</f>
        <v>12419</v>
      </c>
      <c r="D78">
        <f>SUMIFS(Demand_Base!K:K,Demand_Base!A:A,A78,Demand_Base!C:C,B78)</f>
        <v>12457</v>
      </c>
    </row>
    <row r="79" spans="1:4" ht="14.4">
      <c r="A79">
        <v>46132</v>
      </c>
      <c r="B79" t="s">
        <v>4</v>
      </c>
      <c r="C79">
        <f>SUMIFS(Demand_Base!I:I,Demand_Base!A:A,A79,Demand_Base!C:C,B79)</f>
        <v>11180</v>
      </c>
      <c r="D79">
        <f>SUMIFS(Demand_Base!K:K,Demand_Base!A:A,A79,Demand_Base!C:C,B79)</f>
        <v>10925</v>
      </c>
    </row>
    <row r="80" spans="1:4" ht="14.4">
      <c r="A80">
        <v>46132</v>
      </c>
      <c r="B80" t="s">
        <v>6</v>
      </c>
      <c r="C80">
        <f>SUMIFS(Demand_Base!I:I,Demand_Base!A:A,A80,Demand_Base!C:C,B80)</f>
        <v>11477</v>
      </c>
      <c r="D80">
        <f>SUMIFS(Demand_Base!K:K,Demand_Base!A:A,A80,Demand_Base!C:C,B80)</f>
        <v>11722</v>
      </c>
    </row>
    <row r="81" spans="1:4" ht="14.4">
      <c r="A81">
        <v>46132</v>
      </c>
      <c r="B81" t="s">
        <v>8</v>
      </c>
      <c r="C81">
        <f>SUMIFS(Demand_Base!I:I,Demand_Base!A:A,A81,Demand_Base!C:C,B81)</f>
        <v>8844</v>
      </c>
      <c r="D81">
        <f>SUMIFS(Demand_Base!K:K,Demand_Base!A:A,A81,Demand_Base!C:C,B81)</f>
        <v>8589</v>
      </c>
    </row>
    <row r="82" spans="1:4" ht="14.4">
      <c r="A82">
        <v>46139</v>
      </c>
      <c r="B82" t="s">
        <v>0</v>
      </c>
      <c r="C82">
        <f>SUMIFS(Demand_Base!I:I,Demand_Base!A:A,A82,Demand_Base!C:C,B82)</f>
        <v>14334</v>
      </c>
      <c r="D82">
        <f>SUMIFS(Demand_Base!K:K,Demand_Base!A:A,A82,Demand_Base!C:C,B82)</f>
        <v>14540</v>
      </c>
    </row>
    <row r="83" spans="1:4" ht="14.4">
      <c r="A83">
        <v>46139</v>
      </c>
      <c r="B83" t="s">
        <v>2</v>
      </c>
      <c r="C83">
        <f>SUMIFS(Demand_Base!I:I,Demand_Base!A:A,A83,Demand_Base!C:C,B83)</f>
        <v>12353</v>
      </c>
      <c r="D83">
        <f>SUMIFS(Demand_Base!K:K,Demand_Base!A:A,A83,Demand_Base!C:C,B83)</f>
        <v>12464</v>
      </c>
    </row>
    <row r="84" spans="1:4" ht="14.4">
      <c r="A84">
        <v>46139</v>
      </c>
      <c r="B84" t="s">
        <v>4</v>
      </c>
      <c r="C84">
        <f>SUMIFS(Demand_Base!I:I,Demand_Base!A:A,A84,Demand_Base!C:C,B84)</f>
        <v>10727</v>
      </c>
      <c r="D84">
        <f>SUMIFS(Demand_Base!K:K,Demand_Base!A:A,A84,Demand_Base!C:C,B84)</f>
        <v>11100</v>
      </c>
    </row>
    <row r="85" spans="1:4" ht="14.4">
      <c r="A85">
        <v>46139</v>
      </c>
      <c r="B85" t="s">
        <v>6</v>
      </c>
      <c r="C85">
        <f>SUMIFS(Demand_Base!I:I,Demand_Base!A:A,A85,Demand_Base!C:C,B85)</f>
        <v>11643</v>
      </c>
      <c r="D85">
        <f>SUMIFS(Demand_Base!K:K,Demand_Base!A:A,A85,Demand_Base!C:C,B85)</f>
        <v>11674</v>
      </c>
    </row>
    <row r="86" spans="1:4" ht="14.4">
      <c r="A86">
        <v>46139</v>
      </c>
      <c r="B86" t="s">
        <v>8</v>
      </c>
      <c r="C86">
        <f>SUMIFS(Demand_Base!I:I,Demand_Base!A:A,A86,Demand_Base!C:C,B86)</f>
        <v>8785</v>
      </c>
      <c r="D86">
        <f>SUMIFS(Demand_Base!K:K,Demand_Base!A:A,A86,Demand_Base!C:C,B86)</f>
        <v>8649</v>
      </c>
    </row>
    <row r="87" spans="1:4" ht="14.4">
      <c r="A87">
        <v>46146</v>
      </c>
      <c r="B87" t="s">
        <v>0</v>
      </c>
      <c r="C87">
        <f>SUMIFS(Demand_Base!I:I,Demand_Base!A:A,A87,Demand_Base!C:C,B87)</f>
        <v>15128</v>
      </c>
      <c r="D87">
        <f>SUMIFS(Demand_Base!K:K,Demand_Base!A:A,A87,Demand_Base!C:C,B87)</f>
        <v>15075</v>
      </c>
    </row>
    <row r="88" spans="1:4" ht="14.4">
      <c r="A88">
        <v>46146</v>
      </c>
      <c r="B88" t="s">
        <v>2</v>
      </c>
      <c r="C88">
        <f>SUMIFS(Demand_Base!I:I,Demand_Base!A:A,A88,Demand_Base!C:C,B88)</f>
        <v>12830</v>
      </c>
      <c r="D88">
        <f>SUMIFS(Demand_Base!K:K,Demand_Base!A:A,A88,Demand_Base!C:C,B88)</f>
        <v>13121</v>
      </c>
    </row>
    <row r="89" spans="1:4" ht="14.4">
      <c r="A89">
        <v>46146</v>
      </c>
      <c r="B89" t="s">
        <v>4</v>
      </c>
      <c r="C89">
        <f>SUMIFS(Demand_Base!I:I,Demand_Base!A:A,A89,Demand_Base!C:C,B89)</f>
        <v>11164</v>
      </c>
      <c r="D89">
        <f>SUMIFS(Demand_Base!K:K,Demand_Base!A:A,A89,Demand_Base!C:C,B89)</f>
        <v>11189</v>
      </c>
    </row>
    <row r="90" spans="1:4" ht="14.4">
      <c r="A90">
        <v>46146</v>
      </c>
      <c r="B90" t="s">
        <v>6</v>
      </c>
      <c r="C90">
        <f>SUMIFS(Demand_Base!I:I,Demand_Base!A:A,A90,Demand_Base!C:C,B90)</f>
        <v>12223</v>
      </c>
      <c r="D90">
        <f>SUMIFS(Demand_Base!K:K,Demand_Base!A:A,A90,Demand_Base!C:C,B90)</f>
        <v>12313</v>
      </c>
    </row>
    <row r="91" spans="1:4" ht="14.4">
      <c r="A91">
        <v>46146</v>
      </c>
      <c r="B91" t="s">
        <v>8</v>
      </c>
      <c r="C91">
        <f>SUMIFS(Demand_Base!I:I,Demand_Base!A:A,A91,Demand_Base!C:C,B91)</f>
        <v>9179</v>
      </c>
      <c r="D91">
        <f>SUMIFS(Demand_Base!K:K,Demand_Base!A:A,A91,Demand_Base!C:C,B91)</f>
        <v>9351</v>
      </c>
    </row>
    <row r="92" spans="1:4" ht="14.4">
      <c r="A92">
        <v>46153</v>
      </c>
      <c r="B92" t="s">
        <v>0</v>
      </c>
      <c r="C92">
        <f>SUMIFS(Demand_Base!I:I,Demand_Base!A:A,A92,Demand_Base!C:C,B92)</f>
        <v>14653</v>
      </c>
      <c r="D92">
        <f>SUMIFS(Demand_Base!K:K,Demand_Base!A:A,A92,Demand_Base!C:C,B92)</f>
        <v>15232</v>
      </c>
    </row>
    <row r="93" spans="1:4" ht="14.4">
      <c r="A93">
        <v>46153</v>
      </c>
      <c r="B93" t="s">
        <v>2</v>
      </c>
      <c r="C93">
        <f>SUMIFS(Demand_Base!I:I,Demand_Base!A:A,A93,Demand_Base!C:C,B93)</f>
        <v>13073</v>
      </c>
      <c r="D93">
        <f>SUMIFS(Demand_Base!K:K,Demand_Base!A:A,A93,Demand_Base!C:C,B93)</f>
        <v>12851</v>
      </c>
    </row>
    <row r="94" spans="1:4" ht="14.4">
      <c r="A94">
        <v>46153</v>
      </c>
      <c r="B94" t="s">
        <v>4</v>
      </c>
      <c r="C94">
        <f>SUMIFS(Demand_Base!I:I,Demand_Base!A:A,A94,Demand_Base!C:C,B94)</f>
        <v>11258</v>
      </c>
      <c r="D94">
        <f>SUMIFS(Demand_Base!K:K,Demand_Base!A:A,A94,Demand_Base!C:C,B94)</f>
        <v>11605</v>
      </c>
    </row>
    <row r="95" spans="1:4" ht="14.4">
      <c r="A95">
        <v>46153</v>
      </c>
      <c r="B95" t="s">
        <v>6</v>
      </c>
      <c r="C95">
        <f>SUMIFS(Demand_Base!I:I,Demand_Base!A:A,A95,Demand_Base!C:C,B95)</f>
        <v>12222</v>
      </c>
      <c r="D95">
        <f>SUMIFS(Demand_Base!K:K,Demand_Base!A:A,A95,Demand_Base!C:C,B95)</f>
        <v>11837</v>
      </c>
    </row>
    <row r="96" spans="1:4" ht="14.4">
      <c r="A96">
        <v>46153</v>
      </c>
      <c r="B96" t="s">
        <v>8</v>
      </c>
      <c r="C96">
        <f>SUMIFS(Demand_Base!I:I,Demand_Base!A:A,A96,Demand_Base!C:C,B96)</f>
        <v>8940</v>
      </c>
      <c r="D96">
        <f>SUMIFS(Demand_Base!K:K,Demand_Base!A:A,A96,Demand_Base!C:C,B96)</f>
        <v>9028</v>
      </c>
    </row>
    <row r="97" spans="1:4" ht="14.4">
      <c r="A97">
        <v>46160</v>
      </c>
      <c r="B97" t="s">
        <v>0</v>
      </c>
      <c r="C97">
        <f>SUMIFS(Demand_Base!I:I,Demand_Base!A:A,A97,Demand_Base!C:C,B97)</f>
        <v>15088</v>
      </c>
      <c r="D97">
        <f>SUMIFS(Demand_Base!K:K,Demand_Base!A:A,A97,Demand_Base!C:C,B97)</f>
        <v>15046</v>
      </c>
    </row>
    <row r="98" spans="1:4" ht="14.4">
      <c r="A98">
        <v>46160</v>
      </c>
      <c r="B98" t="s">
        <v>2</v>
      </c>
      <c r="C98">
        <f>SUMIFS(Demand_Base!I:I,Demand_Base!A:A,A98,Demand_Base!C:C,B98)</f>
        <v>13207</v>
      </c>
      <c r="D98">
        <f>SUMIFS(Demand_Base!K:K,Demand_Base!A:A,A98,Demand_Base!C:C,B98)</f>
        <v>13270</v>
      </c>
    </row>
    <row r="99" spans="1:4" ht="14.4">
      <c r="A99">
        <v>46160</v>
      </c>
      <c r="B99" t="s">
        <v>4</v>
      </c>
      <c r="C99">
        <f>SUMIFS(Demand_Base!I:I,Demand_Base!A:A,A99,Demand_Base!C:C,B99)</f>
        <v>11523</v>
      </c>
      <c r="D99">
        <f>SUMIFS(Demand_Base!K:K,Demand_Base!A:A,A99,Demand_Base!C:C,B99)</f>
        <v>11432</v>
      </c>
    </row>
    <row r="100" spans="1:4" ht="14.4">
      <c r="A100">
        <v>46160</v>
      </c>
      <c r="B100" t="s">
        <v>6</v>
      </c>
      <c r="C100">
        <f>SUMIFS(Demand_Base!I:I,Demand_Base!A:A,A100,Demand_Base!C:C,B100)</f>
        <v>12094</v>
      </c>
      <c r="D100">
        <f>SUMIFS(Demand_Base!K:K,Demand_Base!A:A,A100,Demand_Base!C:C,B100)</f>
        <v>12165</v>
      </c>
    </row>
    <row r="101" spans="1:4" ht="14.4">
      <c r="A101">
        <v>46160</v>
      </c>
      <c r="B101" t="s">
        <v>8</v>
      </c>
      <c r="C101">
        <f>SUMIFS(Demand_Base!I:I,Demand_Base!A:A,A101,Demand_Base!C:C,B101)</f>
        <v>9039</v>
      </c>
      <c r="D101">
        <f>SUMIFS(Demand_Base!K:K,Demand_Base!A:A,A101,Demand_Base!C:C,B101)</f>
        <v>9005</v>
      </c>
    </row>
    <row r="102" spans="1:4" ht="14.4">
      <c r="A102">
        <v>46167</v>
      </c>
      <c r="B102" t="s">
        <v>0</v>
      </c>
      <c r="C102">
        <f>SUMIFS(Demand_Base!I:I,Demand_Base!A:A,A102,Demand_Base!C:C,B102)</f>
        <v>15026</v>
      </c>
      <c r="D102">
        <f>SUMIFS(Demand_Base!K:K,Demand_Base!A:A,A102,Demand_Base!C:C,B102)</f>
        <v>14993</v>
      </c>
    </row>
    <row r="103" spans="1:4" ht="14.4">
      <c r="A103">
        <v>46167</v>
      </c>
      <c r="B103" t="s">
        <v>2</v>
      </c>
      <c r="C103">
        <f>SUMIFS(Demand_Base!I:I,Demand_Base!A:A,A103,Demand_Base!C:C,B103)</f>
        <v>13130</v>
      </c>
      <c r="D103">
        <f>SUMIFS(Demand_Base!K:K,Demand_Base!A:A,A103,Demand_Base!C:C,B103)</f>
        <v>13023</v>
      </c>
    </row>
    <row r="104" spans="1:4" ht="14.4">
      <c r="A104">
        <v>46167</v>
      </c>
      <c r="B104" t="s">
        <v>4</v>
      </c>
      <c r="C104">
        <f>SUMIFS(Demand_Base!I:I,Demand_Base!A:A,A104,Demand_Base!C:C,B104)</f>
        <v>11382</v>
      </c>
      <c r="D104">
        <f>SUMIFS(Demand_Base!K:K,Demand_Base!A:A,A104,Demand_Base!C:C,B104)</f>
        <v>11612</v>
      </c>
    </row>
    <row r="105" spans="1:4" ht="14.4">
      <c r="A105">
        <v>46167</v>
      </c>
      <c r="B105" t="s">
        <v>6</v>
      </c>
      <c r="C105">
        <f>SUMIFS(Demand_Base!I:I,Demand_Base!A:A,A105,Demand_Base!C:C,B105)</f>
        <v>12059</v>
      </c>
      <c r="D105">
        <f>SUMIFS(Demand_Base!K:K,Demand_Base!A:A,A105,Demand_Base!C:C,B105)</f>
        <v>12042</v>
      </c>
    </row>
    <row r="106" spans="1:4" ht="14.4">
      <c r="A106">
        <v>46167</v>
      </c>
      <c r="B106" t="s">
        <v>8</v>
      </c>
      <c r="C106">
        <f>SUMIFS(Demand_Base!I:I,Demand_Base!A:A,A106,Demand_Base!C:C,B106)</f>
        <v>8952</v>
      </c>
      <c r="D106">
        <f>SUMIFS(Demand_Base!K:K,Demand_Base!A:A,A106,Demand_Base!C:C,B106)</f>
        <v>9003</v>
      </c>
    </row>
    <row r="107" spans="1:4" ht="14.4">
      <c r="A107">
        <v>46174</v>
      </c>
      <c r="B107" t="s">
        <v>0</v>
      </c>
      <c r="C107">
        <f>SUMIFS(Demand_Base!I:I,Demand_Base!A:A,A107,Demand_Base!C:C,B107)</f>
        <v>15091</v>
      </c>
      <c r="D107">
        <f>SUMIFS(Demand_Base!K:K,Demand_Base!A:A,A107,Demand_Base!C:C,B107)</f>
        <v>14699</v>
      </c>
    </row>
    <row r="108" spans="1:4" ht="14.4">
      <c r="A108">
        <v>46174</v>
      </c>
      <c r="B108" t="s">
        <v>2</v>
      </c>
      <c r="C108">
        <f>SUMIFS(Demand_Base!I:I,Demand_Base!A:A,A108,Demand_Base!C:C,B108)</f>
        <v>13309</v>
      </c>
      <c r="D108">
        <f>SUMIFS(Demand_Base!K:K,Demand_Base!A:A,A108,Demand_Base!C:C,B108)</f>
        <v>12495</v>
      </c>
    </row>
    <row r="109" spans="1:4" ht="14.4">
      <c r="A109">
        <v>46174</v>
      </c>
      <c r="B109" t="s">
        <v>4</v>
      </c>
      <c r="C109">
        <f>SUMIFS(Demand_Base!I:I,Demand_Base!A:A,A109,Demand_Base!C:C,B109)</f>
        <v>11261</v>
      </c>
      <c r="D109">
        <f>SUMIFS(Demand_Base!K:K,Demand_Base!A:A,A109,Demand_Base!C:C,B109)</f>
        <v>11317</v>
      </c>
    </row>
    <row r="110" spans="1:4" ht="14.4">
      <c r="A110">
        <v>46174</v>
      </c>
      <c r="B110" t="s">
        <v>6</v>
      </c>
      <c r="C110">
        <f>SUMIFS(Demand_Base!I:I,Demand_Base!A:A,A110,Demand_Base!C:C,B110)</f>
        <v>12347</v>
      </c>
      <c r="D110">
        <f>SUMIFS(Demand_Base!K:K,Demand_Base!A:A,A110,Demand_Base!C:C,B110)</f>
        <v>12384</v>
      </c>
    </row>
    <row r="111" spans="1:4" ht="14.4">
      <c r="A111">
        <v>46174</v>
      </c>
      <c r="B111" t="s">
        <v>8</v>
      </c>
      <c r="C111">
        <f>SUMIFS(Demand_Base!I:I,Demand_Base!A:A,A111,Demand_Base!C:C,B111)</f>
        <v>9080</v>
      </c>
      <c r="D111">
        <f>SUMIFS(Demand_Base!K:K,Demand_Base!A:A,A111,Demand_Base!C:C,B111)</f>
        <v>8961</v>
      </c>
    </row>
    <row r="112" spans="1:4" ht="14.4">
      <c r="A112">
        <v>46181</v>
      </c>
      <c r="B112" t="s">
        <v>0</v>
      </c>
      <c r="C112">
        <f>SUMIFS(Demand_Base!I:I,Demand_Base!A:A,A112,Demand_Base!C:C,B112)</f>
        <v>15083</v>
      </c>
      <c r="D112">
        <f>SUMIFS(Demand_Base!K:K,Demand_Base!A:A,A112,Demand_Base!C:C,B112)</f>
        <v>14981</v>
      </c>
    </row>
    <row r="113" spans="1:4" ht="14.4">
      <c r="A113">
        <v>46181</v>
      </c>
      <c r="B113" t="s">
        <v>2</v>
      </c>
      <c r="C113">
        <f>SUMIFS(Demand_Base!I:I,Demand_Base!A:A,A113,Demand_Base!C:C,B113)</f>
        <v>12696</v>
      </c>
      <c r="D113">
        <f>SUMIFS(Demand_Base!K:K,Demand_Base!A:A,A113,Demand_Base!C:C,B113)</f>
        <v>12976</v>
      </c>
    </row>
    <row r="114" spans="1:4" ht="14.4">
      <c r="A114">
        <v>46181</v>
      </c>
      <c r="B114" t="s">
        <v>4</v>
      </c>
      <c r="C114">
        <f>SUMIFS(Demand_Base!I:I,Demand_Base!A:A,A114,Demand_Base!C:C,B114)</f>
        <v>11342</v>
      </c>
      <c r="D114">
        <f>SUMIFS(Demand_Base!K:K,Demand_Base!A:A,A114,Demand_Base!C:C,B114)</f>
        <v>11157</v>
      </c>
    </row>
    <row r="115" spans="1:4" ht="14.4">
      <c r="A115">
        <v>46181</v>
      </c>
      <c r="B115" t="s">
        <v>6</v>
      </c>
      <c r="C115">
        <f>SUMIFS(Demand_Base!I:I,Demand_Base!A:A,A115,Demand_Base!C:C,B115)</f>
        <v>12174</v>
      </c>
      <c r="D115">
        <f>SUMIFS(Demand_Base!K:K,Demand_Base!A:A,A115,Demand_Base!C:C,B115)</f>
        <v>12825</v>
      </c>
    </row>
    <row r="116" spans="1:4" ht="14.4">
      <c r="A116">
        <v>46181</v>
      </c>
      <c r="B116" t="s">
        <v>8</v>
      </c>
      <c r="C116">
        <f>SUMIFS(Demand_Base!I:I,Demand_Base!A:A,A116,Demand_Base!C:C,B116)</f>
        <v>9246</v>
      </c>
      <c r="D116">
        <f>SUMIFS(Demand_Base!K:K,Demand_Base!A:A,A116,Demand_Base!C:C,B116)</f>
        <v>9033</v>
      </c>
    </row>
    <row r="117" spans="1:4" ht="14.4">
      <c r="A117">
        <v>46188</v>
      </c>
      <c r="B117" t="s">
        <v>0</v>
      </c>
      <c r="C117">
        <f>SUMIFS(Demand_Base!I:I,Demand_Base!A:A,A117,Demand_Base!C:C,B117)</f>
        <v>14994</v>
      </c>
      <c r="D117">
        <f>SUMIFS(Demand_Base!K:K,Demand_Base!A:A,A117,Demand_Base!C:C,B117)</f>
        <v>14793</v>
      </c>
    </row>
    <row r="118" spans="1:4" ht="14.4">
      <c r="A118">
        <v>46188</v>
      </c>
      <c r="B118" t="s">
        <v>2</v>
      </c>
      <c r="C118">
        <f>SUMIFS(Demand_Base!I:I,Demand_Base!A:A,A118,Demand_Base!C:C,B118)</f>
        <v>12886</v>
      </c>
      <c r="D118">
        <f>SUMIFS(Demand_Base!K:K,Demand_Base!A:A,A118,Demand_Base!C:C,B118)</f>
        <v>12823</v>
      </c>
    </row>
    <row r="119" spans="1:4" ht="14.4">
      <c r="A119">
        <v>46188</v>
      </c>
      <c r="B119" t="s">
        <v>4</v>
      </c>
      <c r="C119">
        <f>SUMIFS(Demand_Base!I:I,Demand_Base!A:A,A119,Demand_Base!C:C,B119)</f>
        <v>11172</v>
      </c>
      <c r="D119">
        <f>SUMIFS(Demand_Base!K:K,Demand_Base!A:A,A119,Demand_Base!C:C,B119)</f>
        <v>11104</v>
      </c>
    </row>
    <row r="120" spans="1:4" ht="14.4">
      <c r="A120">
        <v>46188</v>
      </c>
      <c r="B120" t="s">
        <v>6</v>
      </c>
      <c r="C120">
        <f>SUMIFS(Demand_Base!I:I,Demand_Base!A:A,A120,Demand_Base!C:C,B120)</f>
        <v>12205</v>
      </c>
      <c r="D120">
        <f>SUMIFS(Demand_Base!K:K,Demand_Base!A:A,A120,Demand_Base!C:C,B120)</f>
        <v>12233</v>
      </c>
    </row>
    <row r="121" spans="1:4" ht="14.4">
      <c r="A121">
        <v>46188</v>
      </c>
      <c r="B121" t="s">
        <v>8</v>
      </c>
      <c r="C121">
        <f>SUMIFS(Demand_Base!I:I,Demand_Base!A:A,A121,Demand_Base!C:C,B121)</f>
        <v>9156</v>
      </c>
      <c r="D121">
        <f>SUMIFS(Demand_Base!K:K,Demand_Base!A:A,A121,Demand_Base!C:C,B121)</f>
        <v>8959</v>
      </c>
    </row>
    <row r="122" spans="1:4" ht="14.4">
      <c r="A122">
        <v>46195</v>
      </c>
      <c r="B122" t="s">
        <v>0</v>
      </c>
      <c r="C122">
        <f>SUMIFS(Demand_Base!I:I,Demand_Base!A:A,A122,Demand_Base!C:C,B122)</f>
        <v>15341</v>
      </c>
      <c r="D122">
        <f>SUMIFS(Demand_Base!K:K,Demand_Base!A:A,A122,Demand_Base!C:C,B122)</f>
        <v>15193</v>
      </c>
    </row>
    <row r="123" spans="1:4" ht="14.4">
      <c r="A123">
        <v>46195</v>
      </c>
      <c r="B123" t="s">
        <v>2</v>
      </c>
      <c r="C123">
        <f>SUMIFS(Demand_Base!I:I,Demand_Base!A:A,A123,Demand_Base!C:C,B123)</f>
        <v>13112</v>
      </c>
      <c r="D123">
        <f>SUMIFS(Demand_Base!K:K,Demand_Base!A:A,A123,Demand_Base!C:C,B123)</f>
        <v>13302</v>
      </c>
    </row>
    <row r="124" spans="1:4" ht="14.4">
      <c r="A124">
        <v>46195</v>
      </c>
      <c r="B124" t="s">
        <v>4</v>
      </c>
      <c r="C124">
        <f>SUMIFS(Demand_Base!I:I,Demand_Base!A:A,A124,Demand_Base!C:C,B124)</f>
        <v>11529</v>
      </c>
      <c r="D124">
        <f>SUMIFS(Demand_Base!K:K,Demand_Base!A:A,A124,Demand_Base!C:C,B124)</f>
        <v>11315</v>
      </c>
    </row>
    <row r="125" spans="1:4" ht="14.4">
      <c r="A125">
        <v>46195</v>
      </c>
      <c r="B125" t="s">
        <v>6</v>
      </c>
      <c r="C125">
        <f>SUMIFS(Demand_Base!I:I,Demand_Base!A:A,A125,Demand_Base!C:C,B125)</f>
        <v>12148</v>
      </c>
      <c r="D125">
        <f>SUMIFS(Demand_Base!K:K,Demand_Base!A:A,A125,Demand_Base!C:C,B125)</f>
        <v>12487</v>
      </c>
    </row>
    <row r="126" spans="1:4" ht="14.4">
      <c r="A126">
        <v>46195</v>
      </c>
      <c r="B126" t="s">
        <v>8</v>
      </c>
      <c r="C126">
        <f>SUMIFS(Demand_Base!I:I,Demand_Base!A:A,A126,Demand_Base!C:C,B126)</f>
        <v>9242</v>
      </c>
      <c r="D126">
        <f>SUMIFS(Demand_Base!K:K,Demand_Base!A:A,A126,Demand_Base!C:C,B126)</f>
        <v>9010</v>
      </c>
    </row>
    <row r="127" spans="1:4" ht="14.4">
      <c r="A127">
        <v>46202</v>
      </c>
      <c r="B127" t="s">
        <v>0</v>
      </c>
      <c r="C127">
        <f>SUMIFS(Demand_Base!I:I,Demand_Base!A:A,A127,Demand_Base!C:C,B127)</f>
        <v>15411</v>
      </c>
      <c r="D127">
        <f>SUMIFS(Demand_Base!K:K,Demand_Base!A:A,A127,Demand_Base!C:C,B127)</f>
        <v>15081</v>
      </c>
    </row>
    <row r="128" spans="1:4" ht="14.4">
      <c r="A128">
        <v>46202</v>
      </c>
      <c r="B128" t="s">
        <v>2</v>
      </c>
      <c r="C128">
        <f>SUMIFS(Demand_Base!I:I,Demand_Base!A:A,A128,Demand_Base!C:C,B128)</f>
        <v>12870</v>
      </c>
      <c r="D128">
        <f>SUMIFS(Demand_Base!K:K,Demand_Base!A:A,A128,Demand_Base!C:C,B128)</f>
        <v>13241</v>
      </c>
    </row>
    <row r="129" spans="1:4" ht="14.4">
      <c r="A129">
        <v>46202</v>
      </c>
      <c r="B129" t="s">
        <v>4</v>
      </c>
      <c r="C129">
        <f>SUMIFS(Demand_Base!I:I,Demand_Base!A:A,A129,Demand_Base!C:C,B129)</f>
        <v>11279</v>
      </c>
      <c r="D129">
        <f>SUMIFS(Demand_Base!K:K,Demand_Base!A:A,A129,Demand_Base!C:C,B129)</f>
        <v>11474</v>
      </c>
    </row>
    <row r="130" spans="1:4" ht="14.4">
      <c r="A130">
        <v>46202</v>
      </c>
      <c r="B130" t="s">
        <v>6</v>
      </c>
      <c r="C130">
        <f>SUMIFS(Demand_Base!I:I,Demand_Base!A:A,A130,Demand_Base!C:C,B130)</f>
        <v>11838</v>
      </c>
      <c r="D130">
        <f>SUMIFS(Demand_Base!K:K,Demand_Base!A:A,A130,Demand_Base!C:C,B130)</f>
        <v>12158</v>
      </c>
    </row>
    <row r="131" spans="1:4" ht="14.4">
      <c r="A131">
        <v>46202</v>
      </c>
      <c r="B131" t="s">
        <v>8</v>
      </c>
      <c r="C131">
        <f>SUMIFS(Demand_Base!I:I,Demand_Base!A:A,A131,Demand_Base!C:C,B131)</f>
        <v>9112</v>
      </c>
      <c r="D131">
        <f>SUMIFS(Demand_Base!K:K,Demand_Base!A:A,A131,Demand_Base!C:C,B131)</f>
        <v>9368</v>
      </c>
    </row>
    <row r="132" spans="1:4" ht="14.4">
      <c r="A132">
        <v>46209</v>
      </c>
      <c r="B132" t="s">
        <v>0</v>
      </c>
      <c r="C132">
        <f>SUMIFS(Demand_Base!I:I,Demand_Base!A:A,A132,Demand_Base!C:C,B132)</f>
        <v>16225</v>
      </c>
      <c r="D132">
        <f>SUMIFS(Demand_Base!K:K,Demand_Base!A:A,A132,Demand_Base!C:C,B132)</f>
        <v>15469</v>
      </c>
    </row>
    <row r="133" spans="1:4" ht="14.4">
      <c r="A133">
        <v>46209</v>
      </c>
      <c r="B133" t="s">
        <v>2</v>
      </c>
      <c r="C133">
        <f>SUMIFS(Demand_Base!I:I,Demand_Base!A:A,A133,Demand_Base!C:C,B133)</f>
        <v>13695</v>
      </c>
      <c r="D133">
        <f>SUMIFS(Demand_Base!K:K,Demand_Base!A:A,A133,Demand_Base!C:C,B133)</f>
        <v>13773</v>
      </c>
    </row>
    <row r="134" spans="1:4" ht="14.4">
      <c r="A134">
        <v>46209</v>
      </c>
      <c r="B134" t="s">
        <v>4</v>
      </c>
      <c r="C134">
        <f>SUMIFS(Demand_Base!I:I,Demand_Base!A:A,A134,Demand_Base!C:C,B134)</f>
        <v>11891</v>
      </c>
      <c r="D134">
        <f>SUMIFS(Demand_Base!K:K,Demand_Base!A:A,A134,Demand_Base!C:C,B134)</f>
        <v>11678</v>
      </c>
    </row>
    <row r="135" spans="1:4" ht="14.4">
      <c r="A135">
        <v>46209</v>
      </c>
      <c r="B135" t="s">
        <v>6</v>
      </c>
      <c r="C135">
        <f>SUMIFS(Demand_Base!I:I,Demand_Base!A:A,A135,Demand_Base!C:C,B135)</f>
        <v>12681</v>
      </c>
      <c r="D135">
        <f>SUMIFS(Demand_Base!K:K,Demand_Base!A:A,A135,Demand_Base!C:C,B135)</f>
        <v>12507</v>
      </c>
    </row>
    <row r="136" spans="1:4" ht="14.4">
      <c r="A136">
        <v>46209</v>
      </c>
      <c r="B136" t="s">
        <v>8</v>
      </c>
      <c r="C136">
        <f>SUMIFS(Demand_Base!I:I,Demand_Base!A:A,A136,Demand_Base!C:C,B136)</f>
        <v>9449</v>
      </c>
      <c r="D136">
        <f>SUMIFS(Demand_Base!K:K,Demand_Base!A:A,A136,Demand_Base!C:C,B136)</f>
        <v>9675</v>
      </c>
    </row>
    <row r="137" spans="1:4" ht="14.4">
      <c r="A137">
        <v>46216</v>
      </c>
      <c r="B137" t="s">
        <v>0</v>
      </c>
      <c r="C137">
        <f>SUMIFS(Demand_Base!I:I,Demand_Base!A:A,A137,Demand_Base!C:C,B137)</f>
        <v>15858</v>
      </c>
      <c r="D137">
        <f>SUMIFS(Demand_Base!K:K,Demand_Base!A:A,A137,Demand_Base!C:C,B137)</f>
        <v>15600</v>
      </c>
    </row>
    <row r="138" spans="1:4" ht="14.4">
      <c r="A138">
        <v>46216</v>
      </c>
      <c r="B138" t="s">
        <v>2</v>
      </c>
      <c r="C138">
        <f>SUMIFS(Demand_Base!I:I,Demand_Base!A:A,A138,Demand_Base!C:C,B138)</f>
        <v>13818</v>
      </c>
      <c r="D138">
        <f>SUMIFS(Demand_Base!K:K,Demand_Base!A:A,A138,Demand_Base!C:C,B138)</f>
        <v>13668</v>
      </c>
    </row>
    <row r="139" spans="1:4" ht="14.4">
      <c r="A139">
        <v>46216</v>
      </c>
      <c r="B139" t="s">
        <v>4</v>
      </c>
      <c r="C139">
        <f>SUMIFS(Demand_Base!I:I,Demand_Base!A:A,A139,Demand_Base!C:C,B139)</f>
        <v>11735</v>
      </c>
      <c r="D139">
        <f>SUMIFS(Demand_Base!K:K,Demand_Base!A:A,A139,Demand_Base!C:C,B139)</f>
        <v>12105</v>
      </c>
    </row>
    <row r="140" spans="1:4" ht="14.4">
      <c r="A140">
        <v>46216</v>
      </c>
      <c r="B140" t="s">
        <v>6</v>
      </c>
      <c r="C140">
        <f>SUMIFS(Demand_Base!I:I,Demand_Base!A:A,A140,Demand_Base!C:C,B140)</f>
        <v>12993</v>
      </c>
      <c r="D140">
        <f>SUMIFS(Demand_Base!K:K,Demand_Base!A:A,A140,Demand_Base!C:C,B140)</f>
        <v>12281</v>
      </c>
    </row>
    <row r="141" spans="1:4" ht="14.4">
      <c r="A141">
        <v>46216</v>
      </c>
      <c r="B141" t="s">
        <v>8</v>
      </c>
      <c r="C141">
        <f>SUMIFS(Demand_Base!I:I,Demand_Base!A:A,A141,Demand_Base!C:C,B141)</f>
        <v>9813</v>
      </c>
      <c r="D141">
        <f>SUMIFS(Demand_Base!K:K,Demand_Base!A:A,A141,Demand_Base!C:C,B141)</f>
        <v>9717</v>
      </c>
    </row>
    <row r="142" spans="1:4" ht="14.4">
      <c r="A142">
        <v>46223</v>
      </c>
      <c r="B142" t="s">
        <v>0</v>
      </c>
      <c r="C142">
        <f>SUMIFS(Demand_Base!I:I,Demand_Base!A:A,A142,Demand_Base!C:C,B142)</f>
        <v>15724</v>
      </c>
      <c r="D142">
        <f>SUMIFS(Demand_Base!K:K,Demand_Base!A:A,A142,Demand_Base!C:C,B142)</f>
        <v>15675</v>
      </c>
    </row>
    <row r="143" spans="1:4" ht="14.4">
      <c r="A143">
        <v>46223</v>
      </c>
      <c r="B143" t="s">
        <v>2</v>
      </c>
      <c r="C143">
        <f>SUMIFS(Demand_Base!I:I,Demand_Base!A:A,A143,Demand_Base!C:C,B143)</f>
        <v>13623</v>
      </c>
      <c r="D143">
        <f>SUMIFS(Demand_Base!K:K,Demand_Base!A:A,A143,Demand_Base!C:C,B143)</f>
        <v>13698</v>
      </c>
    </row>
    <row r="144" spans="1:4" ht="14.4">
      <c r="A144">
        <v>46223</v>
      </c>
      <c r="B144" t="s">
        <v>4</v>
      </c>
      <c r="C144">
        <f>SUMIFS(Demand_Base!I:I,Demand_Base!A:A,A144,Demand_Base!C:C,B144)</f>
        <v>11912</v>
      </c>
      <c r="D144">
        <f>SUMIFS(Demand_Base!K:K,Demand_Base!A:A,A144,Demand_Base!C:C,B144)</f>
        <v>11270</v>
      </c>
    </row>
    <row r="145" spans="1:4" ht="14.4">
      <c r="A145">
        <v>46223</v>
      </c>
      <c r="B145" t="s">
        <v>6</v>
      </c>
      <c r="C145">
        <f>SUMIFS(Demand_Base!I:I,Demand_Base!A:A,A145,Demand_Base!C:C,B145)</f>
        <v>12530</v>
      </c>
      <c r="D145">
        <f>SUMIFS(Demand_Base!K:K,Demand_Base!A:A,A145,Demand_Base!C:C,B145)</f>
        <v>12592</v>
      </c>
    </row>
    <row r="146" spans="1:4" ht="14.4">
      <c r="A146">
        <v>46223</v>
      </c>
      <c r="B146" t="s">
        <v>8</v>
      </c>
      <c r="C146">
        <f>SUMIFS(Demand_Base!I:I,Demand_Base!A:A,A146,Demand_Base!C:C,B146)</f>
        <v>9597</v>
      </c>
      <c r="D146">
        <f>SUMIFS(Demand_Base!K:K,Demand_Base!A:A,A146,Demand_Base!C:C,B146)</f>
        <v>9633</v>
      </c>
    </row>
    <row r="147" spans="1:4" ht="14.4">
      <c r="A147">
        <v>46230</v>
      </c>
      <c r="B147" t="s">
        <v>0</v>
      </c>
      <c r="C147">
        <f>SUMIFS(Demand_Base!I:I,Demand_Base!A:A,A147,Demand_Base!C:C,B147)</f>
        <v>15898</v>
      </c>
      <c r="D147">
        <f>SUMIFS(Demand_Base!K:K,Demand_Base!A:A,A147,Demand_Base!C:C,B147)</f>
        <v>15856</v>
      </c>
    </row>
    <row r="148" spans="1:4" ht="14.4">
      <c r="A148">
        <v>46230</v>
      </c>
      <c r="B148" t="s">
        <v>2</v>
      </c>
      <c r="C148">
        <f>SUMIFS(Demand_Base!I:I,Demand_Base!A:A,A148,Demand_Base!C:C,B148)</f>
        <v>13571</v>
      </c>
      <c r="D148">
        <f>SUMIFS(Demand_Base!K:K,Demand_Base!A:A,A148,Demand_Base!C:C,B148)</f>
        <v>13872</v>
      </c>
    </row>
    <row r="149" spans="1:4" ht="14.4">
      <c r="A149">
        <v>46230</v>
      </c>
      <c r="B149" t="s">
        <v>4</v>
      </c>
      <c r="C149">
        <f>SUMIFS(Demand_Base!I:I,Demand_Base!A:A,A149,Demand_Base!C:C,B149)</f>
        <v>12136</v>
      </c>
      <c r="D149">
        <f>SUMIFS(Demand_Base!K:K,Demand_Base!A:A,A149,Demand_Base!C:C,B149)</f>
        <v>11977</v>
      </c>
    </row>
    <row r="150" spans="1:4" ht="14.4">
      <c r="A150">
        <v>46230</v>
      </c>
      <c r="B150" t="s">
        <v>6</v>
      </c>
      <c r="C150">
        <f>SUMIFS(Demand_Base!I:I,Demand_Base!A:A,A150,Demand_Base!C:C,B150)</f>
        <v>12734</v>
      </c>
      <c r="D150">
        <f>SUMIFS(Demand_Base!K:K,Demand_Base!A:A,A150,Demand_Base!C:C,B150)</f>
        <v>12262</v>
      </c>
    </row>
    <row r="151" spans="1:4" ht="14.4">
      <c r="A151">
        <v>46230</v>
      </c>
      <c r="B151" t="s">
        <v>8</v>
      </c>
      <c r="C151">
        <f>SUMIFS(Demand_Base!I:I,Demand_Base!A:A,A151,Demand_Base!C:C,B151)</f>
        <v>9716</v>
      </c>
      <c r="D151">
        <f>SUMIFS(Demand_Base!K:K,Demand_Base!A:A,A151,Demand_Base!C:C,B151)</f>
        <v>9523</v>
      </c>
    </row>
    <row r="152" spans="1:4" ht="14.4">
      <c r="A152">
        <v>46237</v>
      </c>
      <c r="B152" t="s">
        <v>0</v>
      </c>
      <c r="C152">
        <f>SUMIFS(Demand_Base!I:I,Demand_Base!A:A,A152,Demand_Base!C:C,B152)</f>
        <v>15605</v>
      </c>
      <c r="D152">
        <f>SUMIFS(Demand_Base!K:K,Demand_Base!A:A,A152,Demand_Base!C:C,B152)</f>
        <v>15685</v>
      </c>
    </row>
    <row r="153" spans="1:4" ht="14.4">
      <c r="A153">
        <v>46237</v>
      </c>
      <c r="B153" t="s">
        <v>2</v>
      </c>
      <c r="C153">
        <f>SUMIFS(Demand_Base!I:I,Demand_Base!A:A,A153,Demand_Base!C:C,B153)</f>
        <v>13805</v>
      </c>
      <c r="D153">
        <f>SUMIFS(Demand_Base!K:K,Demand_Base!A:A,A153,Demand_Base!C:C,B153)</f>
        <v>13606</v>
      </c>
    </row>
    <row r="154" spans="1:4" ht="14.4">
      <c r="A154">
        <v>46237</v>
      </c>
      <c r="B154" t="s">
        <v>4</v>
      </c>
      <c r="C154">
        <f>SUMIFS(Demand_Base!I:I,Demand_Base!A:A,A154,Demand_Base!C:C,B154)</f>
        <v>11884</v>
      </c>
      <c r="D154">
        <f>SUMIFS(Demand_Base!K:K,Demand_Base!A:A,A154,Demand_Base!C:C,B154)</f>
        <v>11993</v>
      </c>
    </row>
    <row r="155" spans="1:4" ht="14.4">
      <c r="A155">
        <v>46237</v>
      </c>
      <c r="B155" t="s">
        <v>6</v>
      </c>
      <c r="C155">
        <f>SUMIFS(Demand_Base!I:I,Demand_Base!A:A,A155,Demand_Base!C:C,B155)</f>
        <v>12965</v>
      </c>
      <c r="D155">
        <f>SUMIFS(Demand_Base!K:K,Demand_Base!A:A,A155,Demand_Base!C:C,B155)</f>
        <v>12656</v>
      </c>
    </row>
    <row r="156" spans="1:4" ht="14.4">
      <c r="A156">
        <v>46237</v>
      </c>
      <c r="B156" t="s">
        <v>8</v>
      </c>
      <c r="C156">
        <f>SUMIFS(Demand_Base!I:I,Demand_Base!A:A,A156,Demand_Base!C:C,B156)</f>
        <v>9701</v>
      </c>
      <c r="D156">
        <f>SUMIFS(Demand_Base!K:K,Demand_Base!A:A,A156,Demand_Base!C:C,B156)</f>
        <v>9537</v>
      </c>
    </row>
    <row r="157" spans="1:4" ht="14.4">
      <c r="A157">
        <v>46244</v>
      </c>
      <c r="B157" t="s">
        <v>0</v>
      </c>
      <c r="C157">
        <f>SUMIFS(Demand_Base!I:I,Demand_Base!A:A,A157,Demand_Base!C:C,B157)</f>
        <v>15780</v>
      </c>
      <c r="D157">
        <f>SUMIFS(Demand_Base!K:K,Demand_Base!A:A,A157,Demand_Base!C:C,B157)</f>
        <v>15745</v>
      </c>
    </row>
    <row r="158" spans="1:4" ht="14.4">
      <c r="A158">
        <v>46244</v>
      </c>
      <c r="B158" t="s">
        <v>2</v>
      </c>
      <c r="C158">
        <f>SUMIFS(Demand_Base!I:I,Demand_Base!A:A,A158,Demand_Base!C:C,B158)</f>
        <v>13672</v>
      </c>
      <c r="D158">
        <f>SUMIFS(Demand_Base!K:K,Demand_Base!A:A,A158,Demand_Base!C:C,B158)</f>
        <v>13642</v>
      </c>
    </row>
    <row r="159" spans="1:4" ht="14.4">
      <c r="A159">
        <v>46244</v>
      </c>
      <c r="B159" t="s">
        <v>4</v>
      </c>
      <c r="C159">
        <f>SUMIFS(Demand_Base!I:I,Demand_Base!A:A,A159,Demand_Base!C:C,B159)</f>
        <v>12071</v>
      </c>
      <c r="D159">
        <f>SUMIFS(Demand_Base!K:K,Demand_Base!A:A,A159,Demand_Base!C:C,B159)</f>
        <v>11515</v>
      </c>
    </row>
    <row r="160" spans="1:4" ht="14.4">
      <c r="A160">
        <v>46244</v>
      </c>
      <c r="B160" t="s">
        <v>6</v>
      </c>
      <c r="C160">
        <f>SUMIFS(Demand_Base!I:I,Demand_Base!A:A,A160,Demand_Base!C:C,B160)</f>
        <v>12877</v>
      </c>
      <c r="D160">
        <f>SUMIFS(Demand_Base!K:K,Demand_Base!A:A,A160,Demand_Base!C:C,B160)</f>
        <v>12840</v>
      </c>
    </row>
    <row r="161" spans="1:4" ht="14.4">
      <c r="A161">
        <v>46244</v>
      </c>
      <c r="B161" t="s">
        <v>8</v>
      </c>
      <c r="C161">
        <f>SUMIFS(Demand_Base!I:I,Demand_Base!A:A,A161,Demand_Base!C:C,B161)</f>
        <v>9449</v>
      </c>
      <c r="D161">
        <f>SUMIFS(Demand_Base!K:K,Demand_Base!A:A,A161,Demand_Base!C:C,B161)</f>
        <v>9779</v>
      </c>
    </row>
    <row r="162" spans="1:4" ht="14.4">
      <c r="A162">
        <v>46251</v>
      </c>
      <c r="B162" t="s">
        <v>0</v>
      </c>
      <c r="C162">
        <f>SUMIFS(Demand_Base!I:I,Demand_Base!A:A,A162,Demand_Base!C:C,B162)</f>
        <v>15535</v>
      </c>
      <c r="D162">
        <f>SUMIFS(Demand_Base!K:K,Demand_Base!A:A,A162,Demand_Base!C:C,B162)</f>
        <v>16005</v>
      </c>
    </row>
    <row r="163" spans="1:4" ht="14.4">
      <c r="A163">
        <v>46251</v>
      </c>
      <c r="B163" t="s">
        <v>2</v>
      </c>
      <c r="C163">
        <f>SUMIFS(Demand_Base!I:I,Demand_Base!A:A,A163,Demand_Base!C:C,B163)</f>
        <v>13656</v>
      </c>
      <c r="D163">
        <f>SUMIFS(Demand_Base!K:K,Demand_Base!A:A,A163,Demand_Base!C:C,B163)</f>
        <v>13419</v>
      </c>
    </row>
    <row r="164" spans="1:4" ht="14.4">
      <c r="A164">
        <v>46251</v>
      </c>
      <c r="B164" t="s">
        <v>4</v>
      </c>
      <c r="C164">
        <f>SUMIFS(Demand_Base!I:I,Demand_Base!A:A,A164,Demand_Base!C:C,B164)</f>
        <v>11974</v>
      </c>
      <c r="D164">
        <f>SUMIFS(Demand_Base!K:K,Demand_Base!A:A,A164,Demand_Base!C:C,B164)</f>
        <v>11689</v>
      </c>
    </row>
    <row r="165" spans="1:4" ht="14.4">
      <c r="A165">
        <v>46251</v>
      </c>
      <c r="B165" t="s">
        <v>6</v>
      </c>
      <c r="C165">
        <f>SUMIFS(Demand_Base!I:I,Demand_Base!A:A,A165,Demand_Base!C:C,B165)</f>
        <v>12369</v>
      </c>
      <c r="D165">
        <f>SUMIFS(Demand_Base!K:K,Demand_Base!A:A,A165,Demand_Base!C:C,B165)</f>
        <v>12647</v>
      </c>
    </row>
    <row r="166" spans="1:4" ht="14.4">
      <c r="A166">
        <v>46251</v>
      </c>
      <c r="B166" t="s">
        <v>8</v>
      </c>
      <c r="C166">
        <f>SUMIFS(Demand_Base!I:I,Demand_Base!A:A,A166,Demand_Base!C:C,B166)</f>
        <v>9444</v>
      </c>
      <c r="D166">
        <f>SUMIFS(Demand_Base!K:K,Demand_Base!A:A,A166,Demand_Base!C:C,B166)</f>
        <v>9620</v>
      </c>
    </row>
    <row r="167" spans="1:4" ht="14.4">
      <c r="A167">
        <v>46258</v>
      </c>
      <c r="B167" t="s">
        <v>0</v>
      </c>
      <c r="C167">
        <f>SUMIFS(Demand_Base!I:I,Demand_Base!A:A,A167,Demand_Base!C:C,B167)</f>
        <v>16003</v>
      </c>
      <c r="D167">
        <f>SUMIFS(Demand_Base!K:K,Demand_Base!A:A,A167,Demand_Base!C:C,B167)</f>
        <v>15783</v>
      </c>
    </row>
    <row r="168" spans="1:4" ht="14.4">
      <c r="A168">
        <v>46258</v>
      </c>
      <c r="B168" t="s">
        <v>2</v>
      </c>
      <c r="C168">
        <f>SUMIFS(Demand_Base!I:I,Demand_Base!A:A,A168,Demand_Base!C:C,B168)</f>
        <v>13539</v>
      </c>
      <c r="D168">
        <f>SUMIFS(Demand_Base!K:K,Demand_Base!A:A,A168,Demand_Base!C:C,B168)</f>
        <v>13173</v>
      </c>
    </row>
    <row r="169" spans="1:4" ht="14.4">
      <c r="A169">
        <v>46258</v>
      </c>
      <c r="B169" t="s">
        <v>4</v>
      </c>
      <c r="C169">
        <f>SUMIFS(Demand_Base!I:I,Demand_Base!A:A,A169,Demand_Base!C:C,B169)</f>
        <v>11546</v>
      </c>
      <c r="D169">
        <f>SUMIFS(Demand_Base!K:K,Demand_Base!A:A,A169,Demand_Base!C:C,B169)</f>
        <v>11715</v>
      </c>
    </row>
    <row r="170" spans="1:4" ht="14.4">
      <c r="A170">
        <v>46258</v>
      </c>
      <c r="B170" t="s">
        <v>6</v>
      </c>
      <c r="C170">
        <f>SUMIFS(Demand_Base!I:I,Demand_Base!A:A,A170,Demand_Base!C:C,B170)</f>
        <v>12288</v>
      </c>
      <c r="D170">
        <f>SUMIFS(Demand_Base!K:K,Demand_Base!A:A,A170,Demand_Base!C:C,B170)</f>
        <v>12530</v>
      </c>
    </row>
    <row r="171" spans="1:4" ht="14.4">
      <c r="A171">
        <v>46258</v>
      </c>
      <c r="B171" t="s">
        <v>8</v>
      </c>
      <c r="C171">
        <f>SUMIFS(Demand_Base!I:I,Demand_Base!A:A,A171,Demand_Base!C:C,B171)</f>
        <v>9441</v>
      </c>
      <c r="D171">
        <f>SUMIFS(Demand_Base!K:K,Demand_Base!A:A,A171,Demand_Base!C:C,B171)</f>
        <v>9763</v>
      </c>
    </row>
    <row r="172" spans="1:4" ht="14.4">
      <c r="A172">
        <v>46265</v>
      </c>
      <c r="B172" t="s">
        <v>0</v>
      </c>
      <c r="C172">
        <f>SUMIFS(Demand_Base!I:I,Demand_Base!A:A,A172,Demand_Base!C:C,B172)</f>
        <v>15429</v>
      </c>
      <c r="D172">
        <f>SUMIFS(Demand_Base!K:K,Demand_Base!A:A,A172,Demand_Base!C:C,B172)</f>
        <v>15499</v>
      </c>
    </row>
    <row r="173" spans="1:4" ht="14.4">
      <c r="A173">
        <v>46265</v>
      </c>
      <c r="B173" t="s">
        <v>2</v>
      </c>
      <c r="C173">
        <f>SUMIFS(Demand_Base!I:I,Demand_Base!A:A,A173,Demand_Base!C:C,B173)</f>
        <v>13530</v>
      </c>
      <c r="D173">
        <f>SUMIFS(Demand_Base!K:K,Demand_Base!A:A,A173,Demand_Base!C:C,B173)</f>
        <v>13335</v>
      </c>
    </row>
    <row r="174" spans="1:4" ht="14.4">
      <c r="A174">
        <v>46265</v>
      </c>
      <c r="B174" t="s">
        <v>4</v>
      </c>
      <c r="C174">
        <f>SUMIFS(Demand_Base!I:I,Demand_Base!A:A,A174,Demand_Base!C:C,B174)</f>
        <v>11790</v>
      </c>
      <c r="D174">
        <f>SUMIFS(Demand_Base!K:K,Demand_Base!A:A,A174,Demand_Base!C:C,B174)</f>
        <v>11676</v>
      </c>
    </row>
    <row r="175" spans="1:4" ht="14.4">
      <c r="A175">
        <v>46265</v>
      </c>
      <c r="B175" t="s">
        <v>6</v>
      </c>
      <c r="C175">
        <f>SUMIFS(Demand_Base!I:I,Demand_Base!A:A,A175,Demand_Base!C:C,B175)</f>
        <v>12466</v>
      </c>
      <c r="D175">
        <f>SUMIFS(Demand_Base!K:K,Demand_Base!A:A,A175,Demand_Base!C:C,B175)</f>
        <v>12732</v>
      </c>
    </row>
    <row r="176" spans="1:4" ht="14.4">
      <c r="A176">
        <v>46265</v>
      </c>
      <c r="B176" t="s">
        <v>8</v>
      </c>
      <c r="C176">
        <f>SUMIFS(Demand_Base!I:I,Demand_Base!A:A,A176,Demand_Base!C:C,B176)</f>
        <v>9649</v>
      </c>
      <c r="D176">
        <f>SUMIFS(Demand_Base!K:K,Demand_Base!A:A,A176,Demand_Base!C:C,B176)</f>
        <v>9655</v>
      </c>
    </row>
    <row r="177" spans="1:4" ht="14.4">
      <c r="A177">
        <v>46272</v>
      </c>
      <c r="B177" t="s">
        <v>0</v>
      </c>
      <c r="C177">
        <f>SUMIFS(Demand_Base!I:I,Demand_Base!A:A,A177,Demand_Base!C:C,B177)</f>
        <v>14104</v>
      </c>
      <c r="D177">
        <f>SUMIFS(Demand_Base!K:K,Demand_Base!A:A,A177,Demand_Base!C:C,B177)</f>
        <v>14579</v>
      </c>
    </row>
    <row r="178" spans="1:4" ht="14.4">
      <c r="A178">
        <v>46272</v>
      </c>
      <c r="B178" t="s">
        <v>2</v>
      </c>
      <c r="C178">
        <f>SUMIFS(Demand_Base!I:I,Demand_Base!A:A,A178,Demand_Base!C:C,B178)</f>
        <v>12472</v>
      </c>
      <c r="D178">
        <f>SUMIFS(Demand_Base!K:K,Demand_Base!A:A,A178,Demand_Base!C:C,B178)</f>
        <v>12338</v>
      </c>
    </row>
    <row r="179" spans="1:4" ht="14.4">
      <c r="A179">
        <v>46272</v>
      </c>
      <c r="B179" t="s">
        <v>4</v>
      </c>
      <c r="C179">
        <f>SUMIFS(Demand_Base!I:I,Demand_Base!A:A,A179,Demand_Base!C:C,B179)</f>
        <v>10861</v>
      </c>
      <c r="D179">
        <f>SUMIFS(Demand_Base!K:K,Demand_Base!A:A,A179,Demand_Base!C:C,B179)</f>
        <v>10890</v>
      </c>
    </row>
    <row r="180" spans="1:4" ht="14.4">
      <c r="A180">
        <v>46272</v>
      </c>
      <c r="B180" t="s">
        <v>6</v>
      </c>
      <c r="C180">
        <f>SUMIFS(Demand_Base!I:I,Demand_Base!A:A,A180,Demand_Base!C:C,B180)</f>
        <v>11445</v>
      </c>
      <c r="D180">
        <f>SUMIFS(Demand_Base!K:K,Demand_Base!A:A,A180,Demand_Base!C:C,B180)</f>
        <v>11561</v>
      </c>
    </row>
    <row r="181" spans="1:4" ht="14.4">
      <c r="A181">
        <v>46272</v>
      </c>
      <c r="B181" t="s">
        <v>8</v>
      </c>
      <c r="C181">
        <f>SUMIFS(Demand_Base!I:I,Demand_Base!A:A,A181,Demand_Base!C:C,B181)</f>
        <v>8614</v>
      </c>
      <c r="D181">
        <f>SUMIFS(Demand_Base!K:K,Demand_Base!A:A,A181,Demand_Base!C:C,B181)</f>
        <v>8743</v>
      </c>
    </row>
    <row r="182" spans="1:4" ht="14.4">
      <c r="A182">
        <v>46279</v>
      </c>
      <c r="B182" t="s">
        <v>0</v>
      </c>
      <c r="C182">
        <f>SUMIFS(Demand_Base!I:I,Demand_Base!A:A,A182,Demand_Base!C:C,B182)</f>
        <v>14256</v>
      </c>
      <c r="D182">
        <f>SUMIFS(Demand_Base!K:K,Demand_Base!A:A,A182,Demand_Base!C:C,B182)</f>
        <v>13959</v>
      </c>
    </row>
    <row r="183" spans="1:4" ht="14.4">
      <c r="A183">
        <v>46279</v>
      </c>
      <c r="B183" t="s">
        <v>2</v>
      </c>
      <c r="C183">
        <f>SUMIFS(Demand_Base!I:I,Demand_Base!A:A,A183,Demand_Base!C:C,B183)</f>
        <v>12139</v>
      </c>
      <c r="D183">
        <f>SUMIFS(Demand_Base!K:K,Demand_Base!A:A,A183,Demand_Base!C:C,B183)</f>
        <v>12544</v>
      </c>
    </row>
    <row r="184" spans="1:4" ht="14.4">
      <c r="A184">
        <v>46279</v>
      </c>
      <c r="B184" t="s">
        <v>4</v>
      </c>
      <c r="C184">
        <f>SUMIFS(Demand_Base!I:I,Demand_Base!A:A,A184,Demand_Base!C:C,B184)</f>
        <v>10649</v>
      </c>
      <c r="D184">
        <f>SUMIFS(Demand_Base!K:K,Demand_Base!A:A,A184,Demand_Base!C:C,B184)</f>
        <v>10792</v>
      </c>
    </row>
    <row r="185" spans="1:4" ht="14.4">
      <c r="A185">
        <v>46279</v>
      </c>
      <c r="B185" t="s">
        <v>6</v>
      </c>
      <c r="C185">
        <f>SUMIFS(Demand_Base!I:I,Demand_Base!A:A,A185,Demand_Base!C:C,B185)</f>
        <v>11551</v>
      </c>
      <c r="D185">
        <f>SUMIFS(Demand_Base!K:K,Demand_Base!A:A,A185,Demand_Base!C:C,B185)</f>
        <v>11178</v>
      </c>
    </row>
    <row r="186" spans="1:4" ht="14.4">
      <c r="A186">
        <v>46279</v>
      </c>
      <c r="B186" t="s">
        <v>8</v>
      </c>
      <c r="C186">
        <f>SUMIFS(Demand_Base!I:I,Demand_Base!A:A,A186,Demand_Base!C:C,B186)</f>
        <v>8759</v>
      </c>
      <c r="D186">
        <f>SUMIFS(Demand_Base!K:K,Demand_Base!A:A,A186,Demand_Base!C:C,B186)</f>
        <v>8631</v>
      </c>
    </row>
    <row r="187" spans="1:4" ht="14.4">
      <c r="A187">
        <v>46286</v>
      </c>
      <c r="B187" t="s">
        <v>0</v>
      </c>
      <c r="C187">
        <f>SUMIFS(Demand_Base!I:I,Demand_Base!A:A,A187,Demand_Base!C:C,B187)</f>
        <v>14377</v>
      </c>
      <c r="D187">
        <f>SUMIFS(Demand_Base!K:K,Demand_Base!A:A,A187,Demand_Base!C:C,B187)</f>
        <v>14157</v>
      </c>
    </row>
    <row r="188" spans="1:4" ht="14.4">
      <c r="A188">
        <v>46286</v>
      </c>
      <c r="B188" t="s">
        <v>2</v>
      </c>
      <c r="C188">
        <f>SUMIFS(Demand_Base!I:I,Demand_Base!A:A,A188,Demand_Base!C:C,B188)</f>
        <v>12361</v>
      </c>
      <c r="D188">
        <f>SUMIFS(Demand_Base!K:K,Demand_Base!A:A,A188,Demand_Base!C:C,B188)</f>
        <v>12620</v>
      </c>
    </row>
    <row r="189" spans="1:4" ht="14.4">
      <c r="A189">
        <v>46286</v>
      </c>
      <c r="B189" t="s">
        <v>4</v>
      </c>
      <c r="C189">
        <f>SUMIFS(Demand_Base!I:I,Demand_Base!A:A,A189,Demand_Base!C:C,B189)</f>
        <v>10805</v>
      </c>
      <c r="D189">
        <f>SUMIFS(Demand_Base!K:K,Demand_Base!A:A,A189,Demand_Base!C:C,B189)</f>
        <v>11152</v>
      </c>
    </row>
    <row r="190" spans="1:4" ht="14.4">
      <c r="A190">
        <v>46286</v>
      </c>
      <c r="B190" t="s">
        <v>6</v>
      </c>
      <c r="C190">
        <f>SUMIFS(Demand_Base!I:I,Demand_Base!A:A,A190,Demand_Base!C:C,B190)</f>
        <v>11799</v>
      </c>
      <c r="D190">
        <f>SUMIFS(Demand_Base!K:K,Demand_Base!A:A,A190,Demand_Base!C:C,B190)</f>
        <v>11704</v>
      </c>
    </row>
    <row r="191" spans="1:4" ht="14.4">
      <c r="A191">
        <v>46286</v>
      </c>
      <c r="B191" t="s">
        <v>8</v>
      </c>
      <c r="C191">
        <f>SUMIFS(Demand_Base!I:I,Demand_Base!A:A,A191,Demand_Base!C:C,B191)</f>
        <v>8584</v>
      </c>
      <c r="D191">
        <f>SUMIFS(Demand_Base!K:K,Demand_Base!A:A,A191,Demand_Base!C:C,B191)</f>
        <v>8639</v>
      </c>
    </row>
    <row r="192" spans="1:4" ht="14.4">
      <c r="A192">
        <v>46293</v>
      </c>
      <c r="B192" t="s">
        <v>0</v>
      </c>
      <c r="C192">
        <f>SUMIFS(Demand_Base!I:I,Demand_Base!A:A,A192,Demand_Base!C:C,B192)</f>
        <v>14626</v>
      </c>
      <c r="D192">
        <f>SUMIFS(Demand_Base!K:K,Demand_Base!A:A,A192,Demand_Base!C:C,B192)</f>
        <v>14409</v>
      </c>
    </row>
    <row r="193" spans="1:4" ht="14.4">
      <c r="A193">
        <v>46293</v>
      </c>
      <c r="B193" t="s">
        <v>2</v>
      </c>
      <c r="C193">
        <f>SUMIFS(Demand_Base!I:I,Demand_Base!A:A,A193,Demand_Base!C:C,B193)</f>
        <v>12477</v>
      </c>
      <c r="D193">
        <f>SUMIFS(Demand_Base!K:K,Demand_Base!A:A,A193,Demand_Base!C:C,B193)</f>
        <v>12612</v>
      </c>
    </row>
    <row r="194" spans="1:4" ht="14.4">
      <c r="A194">
        <v>46293</v>
      </c>
      <c r="B194" t="s">
        <v>4</v>
      </c>
      <c r="C194">
        <f>SUMIFS(Demand_Base!I:I,Demand_Base!A:A,A194,Demand_Base!C:C,B194)</f>
        <v>10774</v>
      </c>
      <c r="D194">
        <f>SUMIFS(Demand_Base!K:K,Demand_Base!A:A,A194,Demand_Base!C:C,B194)</f>
        <v>10728</v>
      </c>
    </row>
    <row r="195" spans="1:4" ht="14.4">
      <c r="A195">
        <v>46293</v>
      </c>
      <c r="B195" t="s">
        <v>6</v>
      </c>
      <c r="C195">
        <f>SUMIFS(Demand_Base!I:I,Demand_Base!A:A,A195,Demand_Base!C:C,B195)</f>
        <v>11460</v>
      </c>
      <c r="D195">
        <f>SUMIFS(Demand_Base!K:K,Demand_Base!A:A,A195,Demand_Base!C:C,B195)</f>
        <v>11433</v>
      </c>
    </row>
    <row r="196" spans="1:4" ht="14.4">
      <c r="A196">
        <v>46293</v>
      </c>
      <c r="B196" t="s">
        <v>8</v>
      </c>
      <c r="C196">
        <f>SUMIFS(Demand_Base!I:I,Demand_Base!A:A,A196,Demand_Base!C:C,B196)</f>
        <v>8768</v>
      </c>
      <c r="D196">
        <f>SUMIFS(Demand_Base!K:K,Demand_Base!A:A,A196,Demand_Base!C:C,B196)</f>
        <v>8693</v>
      </c>
    </row>
    <row r="197" spans="1:4" ht="14.4">
      <c r="A197">
        <v>46300</v>
      </c>
      <c r="B197" t="s">
        <v>0</v>
      </c>
      <c r="C197">
        <f>SUMIFS(Demand_Base!I:I,Demand_Base!A:A,A197,Demand_Base!C:C,B197)</f>
        <v>14476</v>
      </c>
      <c r="D197">
        <f>SUMIFS(Demand_Base!K:K,Demand_Base!A:A,A197,Demand_Base!C:C,B197)</f>
        <v>14680</v>
      </c>
    </row>
    <row r="198" spans="1:4" ht="14.4">
      <c r="A198">
        <v>46300</v>
      </c>
      <c r="B198" t="s">
        <v>2</v>
      </c>
      <c r="C198">
        <f>SUMIFS(Demand_Base!I:I,Demand_Base!A:A,A198,Demand_Base!C:C,B198)</f>
        <v>12362</v>
      </c>
      <c r="D198">
        <f>SUMIFS(Demand_Base!K:K,Demand_Base!A:A,A198,Demand_Base!C:C,B198)</f>
        <v>12460</v>
      </c>
    </row>
    <row r="199" spans="1:4" ht="14.4">
      <c r="A199">
        <v>46300</v>
      </c>
      <c r="B199" t="s">
        <v>4</v>
      </c>
      <c r="C199">
        <f>SUMIFS(Demand_Base!I:I,Demand_Base!A:A,A199,Demand_Base!C:C,B199)</f>
        <v>10714</v>
      </c>
      <c r="D199">
        <f>SUMIFS(Demand_Base!K:K,Demand_Base!A:A,A199,Demand_Base!C:C,B199)</f>
        <v>10627</v>
      </c>
    </row>
    <row r="200" spans="1:4" ht="14.4">
      <c r="A200">
        <v>46300</v>
      </c>
      <c r="B200" t="s">
        <v>6</v>
      </c>
      <c r="C200">
        <f>SUMIFS(Demand_Base!I:I,Demand_Base!A:A,A200,Demand_Base!C:C,B200)</f>
        <v>11338</v>
      </c>
      <c r="D200">
        <f>SUMIFS(Demand_Base!K:K,Demand_Base!A:A,A200,Demand_Base!C:C,B200)</f>
        <v>11905</v>
      </c>
    </row>
    <row r="201" spans="1:4" ht="14.4">
      <c r="A201">
        <v>46300</v>
      </c>
      <c r="B201" t="s">
        <v>8</v>
      </c>
      <c r="C201">
        <f>SUMIFS(Demand_Base!I:I,Demand_Base!A:A,A201,Demand_Base!C:C,B201)</f>
        <v>8797</v>
      </c>
      <c r="D201">
        <f>SUMIFS(Demand_Base!K:K,Demand_Base!A:A,A201,Demand_Base!C:C,B201)</f>
        <v>8565</v>
      </c>
    </row>
    <row r="202" spans="1:4" ht="14.4">
      <c r="A202">
        <v>46307</v>
      </c>
      <c r="B202" t="s">
        <v>0</v>
      </c>
      <c r="C202">
        <f>SUMIFS(Demand_Base!I:I,Demand_Base!A:A,A202,Demand_Base!C:C,B202)</f>
        <v>14448</v>
      </c>
      <c r="D202">
        <f>SUMIFS(Demand_Base!K:K,Demand_Base!A:A,A202,Demand_Base!C:C,B202)</f>
        <v>14351</v>
      </c>
    </row>
    <row r="203" spans="1:4" ht="14.4">
      <c r="A203">
        <v>46307</v>
      </c>
      <c r="B203" t="s">
        <v>2</v>
      </c>
      <c r="C203">
        <f>SUMIFS(Demand_Base!I:I,Demand_Base!A:A,A203,Demand_Base!C:C,B203)</f>
        <v>12694</v>
      </c>
      <c r="D203">
        <f>SUMIFS(Demand_Base!K:K,Demand_Base!A:A,A203,Demand_Base!C:C,B203)</f>
        <v>12359</v>
      </c>
    </row>
    <row r="204" spans="1:4" ht="14.4">
      <c r="A204">
        <v>46307</v>
      </c>
      <c r="B204" t="s">
        <v>4</v>
      </c>
      <c r="C204">
        <f>SUMIFS(Demand_Base!I:I,Demand_Base!A:A,A204,Demand_Base!C:C,B204)</f>
        <v>10795</v>
      </c>
      <c r="D204">
        <f>SUMIFS(Demand_Base!K:K,Demand_Base!A:A,A204,Demand_Base!C:C,B204)</f>
        <v>10604</v>
      </c>
    </row>
    <row r="205" spans="1:4" ht="14.4">
      <c r="A205">
        <v>46307</v>
      </c>
      <c r="B205" t="s">
        <v>6</v>
      </c>
      <c r="C205">
        <f>SUMIFS(Demand_Base!I:I,Demand_Base!A:A,A205,Demand_Base!C:C,B205)</f>
        <v>11435</v>
      </c>
      <c r="D205">
        <f>SUMIFS(Demand_Base!K:K,Demand_Base!A:A,A205,Demand_Base!C:C,B205)</f>
        <v>11225</v>
      </c>
    </row>
    <row r="206" spans="1:4" ht="14.4">
      <c r="A206">
        <v>46307</v>
      </c>
      <c r="B206" t="s">
        <v>8</v>
      </c>
      <c r="C206">
        <f>SUMIFS(Demand_Base!I:I,Demand_Base!A:A,A206,Demand_Base!C:C,B206)</f>
        <v>8645</v>
      </c>
      <c r="D206">
        <f>SUMIFS(Demand_Base!K:K,Demand_Base!A:A,A206,Demand_Base!C:C,B206)</f>
        <v>8498</v>
      </c>
    </row>
    <row r="207" spans="1:4" ht="14.4">
      <c r="A207">
        <v>46314</v>
      </c>
      <c r="B207" t="s">
        <v>0</v>
      </c>
      <c r="C207">
        <f>SUMIFS(Demand_Base!I:I,Demand_Base!A:A,A207,Demand_Base!C:C,B207)</f>
        <v>14283</v>
      </c>
      <c r="D207">
        <f>SUMIFS(Demand_Base!K:K,Demand_Base!A:A,A207,Demand_Base!C:C,B207)</f>
        <v>14226</v>
      </c>
    </row>
    <row r="208" spans="1:4" ht="14.4">
      <c r="A208">
        <v>46314</v>
      </c>
      <c r="B208" t="s">
        <v>2</v>
      </c>
      <c r="C208">
        <f>SUMIFS(Demand_Base!I:I,Demand_Base!A:A,A208,Demand_Base!C:C,B208)</f>
        <v>12425</v>
      </c>
      <c r="D208">
        <f>SUMIFS(Demand_Base!K:K,Demand_Base!A:A,A208,Demand_Base!C:C,B208)</f>
        <v>12334</v>
      </c>
    </row>
    <row r="209" spans="1:4" ht="14.4">
      <c r="A209">
        <v>46314</v>
      </c>
      <c r="B209" t="s">
        <v>4</v>
      </c>
      <c r="C209">
        <f>SUMIFS(Demand_Base!I:I,Demand_Base!A:A,A209,Demand_Base!C:C,B209)</f>
        <v>10871</v>
      </c>
      <c r="D209">
        <f>SUMIFS(Demand_Base!K:K,Demand_Base!A:A,A209,Demand_Base!C:C,B209)</f>
        <v>10375</v>
      </c>
    </row>
    <row r="210" spans="1:4" ht="14.4">
      <c r="A210">
        <v>46314</v>
      </c>
      <c r="B210" t="s">
        <v>6</v>
      </c>
      <c r="C210">
        <f>SUMIFS(Demand_Base!I:I,Demand_Base!A:A,A210,Demand_Base!C:C,B210)</f>
        <v>11345</v>
      </c>
      <c r="D210">
        <f>SUMIFS(Demand_Base!K:K,Demand_Base!A:A,A210,Demand_Base!C:C,B210)</f>
        <v>11528</v>
      </c>
    </row>
    <row r="211" spans="1:4" ht="14.4">
      <c r="A211">
        <v>46314</v>
      </c>
      <c r="B211" t="s">
        <v>8</v>
      </c>
      <c r="C211">
        <f>SUMIFS(Demand_Base!I:I,Demand_Base!A:A,A211,Demand_Base!C:C,B211)</f>
        <v>8627</v>
      </c>
      <c r="D211">
        <f>SUMIFS(Demand_Base!K:K,Demand_Base!A:A,A211,Demand_Base!C:C,B211)</f>
        <v>8773</v>
      </c>
    </row>
    <row r="212" spans="1:4" ht="14.4">
      <c r="A212">
        <v>46321</v>
      </c>
      <c r="B212" t="s">
        <v>0</v>
      </c>
      <c r="C212">
        <f>SUMIFS(Demand_Base!I:I,Demand_Base!A:A,A212,Demand_Base!C:C,B212)</f>
        <v>14464</v>
      </c>
      <c r="D212">
        <f>SUMIFS(Demand_Base!K:K,Demand_Base!A:A,A212,Demand_Base!C:C,B212)</f>
        <v>14050</v>
      </c>
    </row>
    <row r="213" spans="1:4" ht="14.4">
      <c r="A213">
        <v>46321</v>
      </c>
      <c r="B213" t="s">
        <v>2</v>
      </c>
      <c r="C213">
        <f>SUMIFS(Demand_Base!I:I,Demand_Base!A:A,A213,Demand_Base!C:C,B213)</f>
        <v>12528</v>
      </c>
      <c r="D213">
        <f>SUMIFS(Demand_Base!K:K,Demand_Base!A:A,A213,Demand_Base!C:C,B213)</f>
        <v>12440</v>
      </c>
    </row>
    <row r="214" spans="1:4" ht="14.4">
      <c r="A214">
        <v>46321</v>
      </c>
      <c r="B214" t="s">
        <v>4</v>
      </c>
      <c r="C214">
        <f>SUMIFS(Demand_Base!I:I,Demand_Base!A:A,A214,Demand_Base!C:C,B214)</f>
        <v>10500</v>
      </c>
      <c r="D214">
        <f>SUMIFS(Demand_Base!K:K,Demand_Base!A:A,A214,Demand_Base!C:C,B214)</f>
        <v>10772</v>
      </c>
    </row>
    <row r="215" spans="1:4" ht="14.4">
      <c r="A215">
        <v>46321</v>
      </c>
      <c r="B215" t="s">
        <v>6</v>
      </c>
      <c r="C215">
        <f>SUMIFS(Demand_Base!I:I,Demand_Base!A:A,A215,Demand_Base!C:C,B215)</f>
        <v>11556</v>
      </c>
      <c r="D215">
        <f>SUMIFS(Demand_Base!K:K,Demand_Base!A:A,A215,Demand_Base!C:C,B215)</f>
        <v>11555</v>
      </c>
    </row>
    <row r="216" spans="1:4" ht="14.4">
      <c r="A216">
        <v>46321</v>
      </c>
      <c r="B216" t="s">
        <v>8</v>
      </c>
      <c r="C216">
        <f>SUMIFS(Demand_Base!I:I,Demand_Base!A:A,A216,Demand_Base!C:C,B216)</f>
        <v>8778</v>
      </c>
      <c r="D216">
        <f>SUMIFS(Demand_Base!K:K,Demand_Base!A:A,A216,Demand_Base!C:C,B216)</f>
        <v>8700</v>
      </c>
    </row>
    <row r="217" spans="1:4" ht="14.4">
      <c r="A217">
        <v>46328</v>
      </c>
      <c r="B217" t="s">
        <v>0</v>
      </c>
      <c r="C217">
        <f>SUMIFS(Demand_Base!I:I,Demand_Base!A:A,A217,Demand_Base!C:C,B217)</f>
        <v>15166</v>
      </c>
      <c r="D217">
        <f>SUMIFS(Demand_Base!K:K,Demand_Base!A:A,A217,Demand_Base!C:C,B217)</f>
        <v>15330</v>
      </c>
    </row>
    <row r="218" spans="1:4" ht="14.4">
      <c r="A218">
        <v>46328</v>
      </c>
      <c r="B218" t="s">
        <v>2</v>
      </c>
      <c r="C218">
        <f>SUMIFS(Demand_Base!I:I,Demand_Base!A:A,A218,Demand_Base!C:C,B218)</f>
        <v>12886</v>
      </c>
      <c r="D218">
        <f>SUMIFS(Demand_Base!K:K,Demand_Base!A:A,A218,Demand_Base!C:C,B218)</f>
        <v>12764</v>
      </c>
    </row>
    <row r="219" spans="1:4" ht="14.4">
      <c r="A219">
        <v>46328</v>
      </c>
      <c r="B219" t="s">
        <v>4</v>
      </c>
      <c r="C219">
        <f>SUMIFS(Demand_Base!I:I,Demand_Base!A:A,A219,Demand_Base!C:C,B219)</f>
        <v>11641</v>
      </c>
      <c r="D219">
        <f>SUMIFS(Demand_Base!K:K,Demand_Base!A:A,A219,Demand_Base!C:C,B219)</f>
        <v>11278</v>
      </c>
    </row>
    <row r="220" spans="1:4" ht="14.4">
      <c r="A220">
        <v>46328</v>
      </c>
      <c r="B220" t="s">
        <v>6</v>
      </c>
      <c r="C220">
        <f>SUMIFS(Demand_Base!I:I,Demand_Base!A:A,A220,Demand_Base!C:C,B220)</f>
        <v>12151</v>
      </c>
      <c r="D220">
        <f>SUMIFS(Demand_Base!K:K,Demand_Base!A:A,A220,Demand_Base!C:C,B220)</f>
        <v>12220</v>
      </c>
    </row>
    <row r="221" spans="1:4" ht="14.4">
      <c r="A221">
        <v>46328</v>
      </c>
      <c r="B221" t="s">
        <v>8</v>
      </c>
      <c r="C221">
        <f>SUMIFS(Demand_Base!I:I,Demand_Base!A:A,A221,Demand_Base!C:C,B221)</f>
        <v>9248</v>
      </c>
      <c r="D221">
        <f>SUMIFS(Demand_Base!K:K,Demand_Base!A:A,A221,Demand_Base!C:C,B221)</f>
        <v>9283</v>
      </c>
    </row>
    <row r="222" spans="1:4" ht="14.4">
      <c r="A222">
        <v>46335</v>
      </c>
      <c r="B222" t="s">
        <v>0</v>
      </c>
      <c r="C222">
        <f>SUMIFS(Demand_Base!I:I,Demand_Base!A:A,A222,Demand_Base!C:C,B222)</f>
        <v>15056</v>
      </c>
      <c r="D222">
        <f>SUMIFS(Demand_Base!K:K,Demand_Base!A:A,A222,Demand_Base!C:C,B222)</f>
        <v>14359</v>
      </c>
    </row>
    <row r="223" spans="1:4" ht="14.4">
      <c r="A223">
        <v>46335</v>
      </c>
      <c r="B223" t="s">
        <v>2</v>
      </c>
      <c r="C223">
        <f>SUMIFS(Demand_Base!I:I,Demand_Base!A:A,A223,Demand_Base!C:C,B223)</f>
        <v>13113</v>
      </c>
      <c r="D223">
        <f>SUMIFS(Demand_Base!K:K,Demand_Base!A:A,A223,Demand_Base!C:C,B223)</f>
        <v>13109</v>
      </c>
    </row>
    <row r="224" spans="1:4" ht="14.4">
      <c r="A224">
        <v>46335</v>
      </c>
      <c r="B224" t="s">
        <v>4</v>
      </c>
      <c r="C224">
        <f>SUMIFS(Demand_Base!I:I,Demand_Base!A:A,A224,Demand_Base!C:C,B224)</f>
        <v>11262</v>
      </c>
      <c r="D224">
        <f>SUMIFS(Demand_Base!K:K,Demand_Base!A:A,A224,Demand_Base!C:C,B224)</f>
        <v>11603</v>
      </c>
    </row>
    <row r="225" spans="1:4" ht="14.4">
      <c r="A225">
        <v>46335</v>
      </c>
      <c r="B225" t="s">
        <v>6</v>
      </c>
      <c r="C225">
        <f>SUMIFS(Demand_Base!I:I,Demand_Base!A:A,A225,Demand_Base!C:C,B225)</f>
        <v>12115</v>
      </c>
      <c r="D225">
        <f>SUMIFS(Demand_Base!K:K,Demand_Base!A:A,A225,Demand_Base!C:C,B225)</f>
        <v>12013</v>
      </c>
    </row>
    <row r="226" spans="1:4" ht="14.4">
      <c r="A226">
        <v>46335</v>
      </c>
      <c r="B226" t="s">
        <v>8</v>
      </c>
      <c r="C226">
        <f>SUMIFS(Demand_Base!I:I,Demand_Base!A:A,A226,Demand_Base!C:C,B226)</f>
        <v>8912</v>
      </c>
      <c r="D226">
        <f>SUMIFS(Demand_Base!K:K,Demand_Base!A:A,A226,Demand_Base!C:C,B226)</f>
        <v>9083</v>
      </c>
    </row>
    <row r="227" spans="1:4" ht="14.4">
      <c r="A227">
        <v>46342</v>
      </c>
      <c r="B227" t="s">
        <v>0</v>
      </c>
      <c r="C227">
        <f>SUMIFS(Demand_Base!I:I,Demand_Base!A:A,A227,Demand_Base!C:C,B227)</f>
        <v>14960</v>
      </c>
      <c r="D227">
        <f>SUMIFS(Demand_Base!K:K,Demand_Base!A:A,A227,Demand_Base!C:C,B227)</f>
        <v>15257</v>
      </c>
    </row>
    <row r="228" spans="1:4" ht="14.4">
      <c r="A228">
        <v>46342</v>
      </c>
      <c r="B228" t="s">
        <v>2</v>
      </c>
      <c r="C228">
        <f>SUMIFS(Demand_Base!I:I,Demand_Base!A:A,A228,Demand_Base!C:C,B228)</f>
        <v>12756</v>
      </c>
      <c r="D228">
        <f>SUMIFS(Demand_Base!K:K,Demand_Base!A:A,A228,Demand_Base!C:C,B228)</f>
        <v>13077</v>
      </c>
    </row>
    <row r="229" spans="1:4" ht="14.4">
      <c r="A229">
        <v>46342</v>
      </c>
      <c r="B229" t="s">
        <v>4</v>
      </c>
      <c r="C229">
        <f>SUMIFS(Demand_Base!I:I,Demand_Base!A:A,A229,Demand_Base!C:C,B229)</f>
        <v>11447</v>
      </c>
      <c r="D229">
        <f>SUMIFS(Demand_Base!K:K,Demand_Base!A:A,A229,Demand_Base!C:C,B229)</f>
        <v>11603</v>
      </c>
    </row>
    <row r="230" spans="1:4" ht="14.4">
      <c r="A230">
        <v>46342</v>
      </c>
      <c r="B230" t="s">
        <v>6</v>
      </c>
      <c r="C230">
        <f>SUMIFS(Demand_Base!I:I,Demand_Base!A:A,A230,Demand_Base!C:C,B230)</f>
        <v>11847</v>
      </c>
      <c r="D230">
        <f>SUMIFS(Demand_Base!K:K,Demand_Base!A:A,A230,Demand_Base!C:C,B230)</f>
        <v>12276</v>
      </c>
    </row>
    <row r="231" spans="1:4" ht="14.4">
      <c r="A231">
        <v>46342</v>
      </c>
      <c r="B231" t="s">
        <v>8</v>
      </c>
      <c r="C231">
        <f>SUMIFS(Demand_Base!I:I,Demand_Base!A:A,A231,Demand_Base!C:C,B231)</f>
        <v>9057</v>
      </c>
      <c r="D231">
        <f>SUMIFS(Demand_Base!K:K,Demand_Base!A:A,A231,Demand_Base!C:C,B231)</f>
        <v>9103</v>
      </c>
    </row>
    <row r="232" spans="1:4" ht="14.4">
      <c r="A232">
        <v>46349</v>
      </c>
      <c r="B232" t="s">
        <v>0</v>
      </c>
      <c r="C232">
        <f>SUMIFS(Demand_Base!I:I,Demand_Base!A:A,A232,Demand_Base!C:C,B232)</f>
        <v>15159</v>
      </c>
      <c r="D232">
        <f>SUMIFS(Demand_Base!K:K,Demand_Base!A:A,A232,Demand_Base!C:C,B232)</f>
        <v>15042</v>
      </c>
    </row>
    <row r="233" spans="1:4" ht="14.4">
      <c r="A233">
        <v>46349</v>
      </c>
      <c r="B233" t="s">
        <v>2</v>
      </c>
      <c r="C233">
        <f>SUMIFS(Demand_Base!I:I,Demand_Base!A:A,A233,Demand_Base!C:C,B233)</f>
        <v>12901</v>
      </c>
      <c r="D233">
        <f>SUMIFS(Demand_Base!K:K,Demand_Base!A:A,A233,Demand_Base!C:C,B233)</f>
        <v>12710</v>
      </c>
    </row>
    <row r="234" spans="1:4" ht="14.4">
      <c r="A234">
        <v>46349</v>
      </c>
      <c r="B234" t="s">
        <v>4</v>
      </c>
      <c r="C234">
        <f>SUMIFS(Demand_Base!I:I,Demand_Base!A:A,A234,Demand_Base!C:C,B234)</f>
        <v>11258</v>
      </c>
      <c r="D234">
        <f>SUMIFS(Demand_Base!K:K,Demand_Base!A:A,A234,Demand_Base!C:C,B234)</f>
        <v>11289</v>
      </c>
    </row>
    <row r="235" spans="1:4" ht="14.4">
      <c r="A235">
        <v>46349</v>
      </c>
      <c r="B235" t="s">
        <v>6</v>
      </c>
      <c r="C235">
        <f>SUMIFS(Demand_Base!I:I,Demand_Base!A:A,A235,Demand_Base!C:C,B235)</f>
        <v>11941</v>
      </c>
      <c r="D235">
        <f>SUMIFS(Demand_Base!K:K,Demand_Base!A:A,A235,Demand_Base!C:C,B235)</f>
        <v>12183</v>
      </c>
    </row>
    <row r="236" spans="1:4" ht="14.4">
      <c r="A236">
        <v>46349</v>
      </c>
      <c r="B236" t="s">
        <v>8</v>
      </c>
      <c r="C236">
        <f>SUMIFS(Demand_Base!I:I,Demand_Base!A:A,A236,Demand_Base!C:C,B236)</f>
        <v>9162</v>
      </c>
      <c r="D236">
        <f>SUMIFS(Demand_Base!K:K,Demand_Base!A:A,A236,Demand_Base!C:C,B236)</f>
        <v>9269</v>
      </c>
    </row>
    <row r="237" spans="1:4" ht="14.4">
      <c r="A237">
        <v>46356</v>
      </c>
      <c r="B237" t="s">
        <v>0</v>
      </c>
      <c r="C237">
        <f>SUMIFS(Demand_Base!I:I,Demand_Base!A:A,A237,Demand_Base!C:C,B237)</f>
        <v>15074</v>
      </c>
      <c r="D237">
        <f>SUMIFS(Demand_Base!K:K,Demand_Base!A:A,A237,Demand_Base!C:C,B237)</f>
        <v>15181</v>
      </c>
    </row>
    <row r="238" spans="1:4" ht="14.4">
      <c r="A238">
        <v>46356</v>
      </c>
      <c r="B238" t="s">
        <v>2</v>
      </c>
      <c r="C238">
        <f>SUMIFS(Demand_Base!I:I,Demand_Base!A:A,A238,Demand_Base!C:C,B238)</f>
        <v>12909</v>
      </c>
      <c r="D238">
        <f>SUMIFS(Demand_Base!K:K,Demand_Base!A:A,A238,Demand_Base!C:C,B238)</f>
        <v>13088</v>
      </c>
    </row>
    <row r="239" spans="1:4" ht="14.4">
      <c r="A239">
        <v>46356</v>
      </c>
      <c r="B239" t="s">
        <v>4</v>
      </c>
      <c r="C239">
        <f>SUMIFS(Demand_Base!I:I,Demand_Base!A:A,A239,Demand_Base!C:C,B239)</f>
        <v>11439</v>
      </c>
      <c r="D239">
        <f>SUMIFS(Demand_Base!K:K,Demand_Base!A:A,A239,Demand_Base!C:C,B239)</f>
        <v>11223</v>
      </c>
    </row>
    <row r="240" spans="1:4" ht="14.4">
      <c r="A240">
        <v>46356</v>
      </c>
      <c r="B240" t="s">
        <v>6</v>
      </c>
      <c r="C240">
        <f>SUMIFS(Demand_Base!I:I,Demand_Base!A:A,A240,Demand_Base!C:C,B240)</f>
        <v>12041</v>
      </c>
      <c r="D240">
        <f>SUMIFS(Demand_Base!K:K,Demand_Base!A:A,A240,Demand_Base!C:C,B240)</f>
        <v>12161</v>
      </c>
    </row>
    <row r="241" spans="1:4" ht="14.4">
      <c r="A241">
        <v>46356</v>
      </c>
      <c r="B241" t="s">
        <v>8</v>
      </c>
      <c r="C241">
        <f>SUMIFS(Demand_Base!I:I,Demand_Base!A:A,A241,Demand_Base!C:C,B241)</f>
        <v>9199</v>
      </c>
      <c r="D241">
        <f>SUMIFS(Demand_Base!K:K,Demand_Base!A:A,A241,Demand_Base!C:C,B241)</f>
        <v>9371</v>
      </c>
    </row>
    <row r="242" spans="1:4" ht="14.4">
      <c r="A242">
        <v>46363</v>
      </c>
      <c r="B242" t="s">
        <v>0</v>
      </c>
      <c r="C242">
        <f>SUMIFS(Demand_Base!I:I,Demand_Base!A:A,A242,Demand_Base!C:C,B242)</f>
        <v>17245</v>
      </c>
      <c r="D242">
        <f>SUMIFS(Demand_Base!K:K,Demand_Base!A:A,A242,Demand_Base!C:C,B242)</f>
        <v>16879</v>
      </c>
    </row>
    <row r="243" spans="1:4" ht="14.4">
      <c r="A243">
        <v>46363</v>
      </c>
      <c r="B243" t="s">
        <v>2</v>
      </c>
      <c r="C243">
        <f>SUMIFS(Demand_Base!I:I,Demand_Base!A:A,A243,Demand_Base!C:C,B243)</f>
        <v>15000</v>
      </c>
      <c r="D243">
        <f>SUMIFS(Demand_Base!K:K,Demand_Base!A:A,A243,Demand_Base!C:C,B243)</f>
        <v>14765</v>
      </c>
    </row>
    <row r="244" spans="1:4" ht="14.4">
      <c r="A244">
        <v>46363</v>
      </c>
      <c r="B244" t="s">
        <v>4</v>
      </c>
      <c r="C244">
        <f>SUMIFS(Demand_Base!I:I,Demand_Base!A:A,A244,Demand_Base!C:C,B244)</f>
        <v>12826</v>
      </c>
      <c r="D244">
        <f>SUMIFS(Demand_Base!K:K,Demand_Base!A:A,A244,Demand_Base!C:C,B244)</f>
        <v>13311</v>
      </c>
    </row>
    <row r="245" spans="1:4" ht="14.4">
      <c r="A245">
        <v>46363</v>
      </c>
      <c r="B245" t="s">
        <v>6</v>
      </c>
      <c r="C245">
        <f>SUMIFS(Demand_Base!I:I,Demand_Base!A:A,A245,Demand_Base!C:C,B245)</f>
        <v>13596</v>
      </c>
      <c r="D245">
        <f>SUMIFS(Demand_Base!K:K,Demand_Base!A:A,A245,Demand_Base!C:C,B245)</f>
        <v>13899</v>
      </c>
    </row>
    <row r="246" spans="1:4" ht="14.4">
      <c r="A246">
        <v>46363</v>
      </c>
      <c r="B246" t="s">
        <v>8</v>
      </c>
      <c r="C246">
        <f>SUMIFS(Demand_Base!I:I,Demand_Base!A:A,A246,Demand_Base!C:C,B246)</f>
        <v>10480</v>
      </c>
      <c r="D246">
        <f>SUMIFS(Demand_Base!K:K,Demand_Base!A:A,A246,Demand_Base!C:C,B246)</f>
        <v>10341</v>
      </c>
    </row>
    <row r="247" spans="1:4" ht="14.4">
      <c r="A247">
        <v>46370</v>
      </c>
      <c r="B247" t="s">
        <v>0</v>
      </c>
      <c r="C247">
        <f>SUMIFS(Demand_Base!I:I,Demand_Base!A:A,A247,Demand_Base!C:C,B247)</f>
        <v>17398</v>
      </c>
      <c r="D247">
        <f>SUMIFS(Demand_Base!K:K,Demand_Base!A:A,A247,Demand_Base!C:C,B247)</f>
        <v>16941</v>
      </c>
    </row>
    <row r="248" spans="1:4" ht="14.4">
      <c r="A248">
        <v>46370</v>
      </c>
      <c r="B248" t="s">
        <v>2</v>
      </c>
      <c r="C248">
        <f>SUMIFS(Demand_Base!I:I,Demand_Base!A:A,A248,Demand_Base!C:C,B248)</f>
        <v>14682</v>
      </c>
      <c r="D248">
        <f>SUMIFS(Demand_Base!K:K,Demand_Base!A:A,A248,Demand_Base!C:C,B248)</f>
        <v>14723</v>
      </c>
    </row>
    <row r="249" spans="1:4" ht="14.4">
      <c r="A249">
        <v>46370</v>
      </c>
      <c r="B249" t="s">
        <v>4</v>
      </c>
      <c r="C249">
        <f>SUMIFS(Demand_Base!I:I,Demand_Base!A:A,A249,Demand_Base!C:C,B249)</f>
        <v>12732</v>
      </c>
      <c r="D249">
        <f>SUMIFS(Demand_Base!K:K,Demand_Base!A:A,A249,Demand_Base!C:C,B249)</f>
        <v>12781</v>
      </c>
    </row>
    <row r="250" spans="1:4" ht="14.4">
      <c r="A250">
        <v>46370</v>
      </c>
      <c r="B250" t="s">
        <v>6</v>
      </c>
      <c r="C250">
        <f>SUMIFS(Demand_Base!I:I,Demand_Base!A:A,A250,Demand_Base!C:C,B250)</f>
        <v>14102</v>
      </c>
      <c r="D250">
        <f>SUMIFS(Demand_Base!K:K,Demand_Base!A:A,A250,Demand_Base!C:C,B250)</f>
        <v>13987</v>
      </c>
    </row>
    <row r="251" spans="1:4" ht="14.4">
      <c r="A251">
        <v>46370</v>
      </c>
      <c r="B251" t="s">
        <v>8</v>
      </c>
      <c r="C251">
        <f>SUMIFS(Demand_Base!I:I,Demand_Base!A:A,A251,Demand_Base!C:C,B251)</f>
        <v>10258</v>
      </c>
      <c r="D251">
        <f>SUMIFS(Demand_Base!K:K,Demand_Base!A:A,A251,Demand_Base!C:C,B251)</f>
        <v>10343</v>
      </c>
    </row>
    <row r="252" spans="1:4" ht="14.4">
      <c r="A252">
        <v>46377</v>
      </c>
      <c r="B252" t="s">
        <v>0</v>
      </c>
      <c r="C252">
        <f>SUMIFS(Demand_Base!I:I,Demand_Base!A:A,A252,Demand_Base!C:C,B252)</f>
        <v>17340</v>
      </c>
      <c r="D252">
        <f>SUMIFS(Demand_Base!K:K,Demand_Base!A:A,A252,Demand_Base!C:C,B252)</f>
        <v>17309</v>
      </c>
    </row>
    <row r="253" spans="1:4" ht="14.4">
      <c r="A253">
        <v>46377</v>
      </c>
      <c r="B253" t="s">
        <v>2</v>
      </c>
      <c r="C253">
        <f>SUMIFS(Demand_Base!I:I,Demand_Base!A:A,A253,Demand_Base!C:C,B253)</f>
        <v>15064</v>
      </c>
      <c r="D253">
        <f>SUMIFS(Demand_Base!K:K,Demand_Base!A:A,A253,Demand_Base!C:C,B253)</f>
        <v>14668</v>
      </c>
    </row>
    <row r="254" spans="1:4" ht="14.4">
      <c r="A254">
        <v>46377</v>
      </c>
      <c r="B254" t="s">
        <v>4</v>
      </c>
      <c r="C254">
        <f>SUMIFS(Demand_Base!I:I,Demand_Base!A:A,A254,Demand_Base!C:C,B254)</f>
        <v>13028</v>
      </c>
      <c r="D254">
        <f>SUMIFS(Demand_Base!K:K,Demand_Base!A:A,A254,Demand_Base!C:C,B254)</f>
        <v>12840</v>
      </c>
    </row>
    <row r="255" spans="1:4" ht="14.4">
      <c r="A255">
        <v>46377</v>
      </c>
      <c r="B255" t="s">
        <v>6</v>
      </c>
      <c r="C255">
        <f>SUMIFS(Demand_Base!I:I,Demand_Base!A:A,A255,Demand_Base!C:C,B255)</f>
        <v>13814</v>
      </c>
      <c r="D255">
        <f>SUMIFS(Demand_Base!K:K,Demand_Base!A:A,A255,Demand_Base!C:C,B255)</f>
        <v>13724</v>
      </c>
    </row>
    <row r="256" spans="1:4" ht="14.4">
      <c r="A256">
        <v>46377</v>
      </c>
      <c r="B256" t="s">
        <v>8</v>
      </c>
      <c r="C256">
        <f>SUMIFS(Demand_Base!I:I,Demand_Base!A:A,A256,Demand_Base!C:C,B256)</f>
        <v>10195</v>
      </c>
      <c r="D256">
        <f>SUMIFS(Demand_Base!K:K,Demand_Base!A:A,A256,Demand_Base!C:C,B256)</f>
        <v>10398</v>
      </c>
    </row>
    <row r="257" spans="1:4" ht="14.4">
      <c r="A257">
        <v>46384</v>
      </c>
      <c r="B257" t="s">
        <v>0</v>
      </c>
      <c r="C257">
        <f>SUMIFS(Demand_Base!I:I,Demand_Base!A:A,A257,Demand_Base!C:C,B257)</f>
        <v>17103</v>
      </c>
      <c r="D257">
        <f>SUMIFS(Demand_Base!K:K,Demand_Base!A:A,A257,Demand_Base!C:C,B257)</f>
        <v>17214</v>
      </c>
    </row>
    <row r="258" spans="1:4" ht="14.4">
      <c r="A258">
        <v>46384</v>
      </c>
      <c r="B258" t="s">
        <v>2</v>
      </c>
      <c r="C258">
        <f>SUMIFS(Demand_Base!I:I,Demand_Base!A:A,A258,Demand_Base!C:C,B258)</f>
        <v>14800</v>
      </c>
      <c r="D258">
        <f>SUMIFS(Demand_Base!K:K,Demand_Base!A:A,A258,Demand_Base!C:C,B258)</f>
        <v>14935</v>
      </c>
    </row>
    <row r="259" spans="1:4" ht="14.4">
      <c r="A259">
        <v>46384</v>
      </c>
      <c r="B259" t="s">
        <v>4</v>
      </c>
      <c r="C259">
        <f>SUMIFS(Demand_Base!I:I,Demand_Base!A:A,A259,Demand_Base!C:C,B259)</f>
        <v>13041</v>
      </c>
      <c r="D259">
        <f>SUMIFS(Demand_Base!K:K,Demand_Base!A:A,A259,Demand_Base!C:C,B259)</f>
        <v>12928</v>
      </c>
    </row>
    <row r="260" spans="1:4" ht="14.4">
      <c r="A260">
        <v>46384</v>
      </c>
      <c r="B260" t="s">
        <v>6</v>
      </c>
      <c r="C260">
        <f>SUMIFS(Demand_Base!I:I,Demand_Base!A:A,A260,Demand_Base!C:C,B260)</f>
        <v>13860</v>
      </c>
      <c r="D260">
        <f>SUMIFS(Demand_Base!K:K,Demand_Base!A:A,A260,Demand_Base!C:C,B260)</f>
        <v>13924</v>
      </c>
    </row>
    <row r="261" spans="1:4" ht="14.4">
      <c r="A261">
        <v>46384</v>
      </c>
      <c r="B261" t="s">
        <v>8</v>
      </c>
      <c r="C261">
        <f>SUMIFS(Demand_Base!I:I,Demand_Base!A:A,A261,Demand_Base!C:C,B261)</f>
        <v>10413</v>
      </c>
      <c r="D261">
        <f>SUMIFS(Demand_Base!K:K,Demand_Base!A:A,A261,Demand_Base!C:C,B261)</f>
        <v>10617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5FCD-CFDC-40CF-BDDF-6152FD6DCC5A}">
  <dimension ref="A1:T273"/>
  <sheetViews>
    <sheetView topLeftCell="P1" workbookViewId="0">
      <selection activeCell="P235" sqref="P235"/>
    </sheetView>
  </sheetViews>
  <sheetFormatPr defaultRowHeight="14.4"/>
  <cols>
    <col min="1" max="1" width="20.88671875" bestFit="1" customWidth="1"/>
    <col min="2" max="2" width="12.33203125" customWidth="1"/>
    <col min="3" max="3" width="23.44140625" customWidth="1"/>
    <col min="4" max="4" width="15.21875" customWidth="1"/>
    <col min="5" max="5" width="22.33203125" customWidth="1"/>
    <col min="6" max="6" width="23.88671875" bestFit="1" customWidth="1"/>
    <col min="7" max="7" width="21.44140625" bestFit="1" customWidth="1"/>
    <col min="8" max="8" width="28.88671875" bestFit="1" customWidth="1"/>
    <col min="9" max="9" width="24.77734375" bestFit="1" customWidth="1"/>
    <col min="10" max="10" width="24.33203125" bestFit="1" customWidth="1"/>
    <col min="11" max="11" width="31.109375" bestFit="1" customWidth="1"/>
    <col min="12" max="12" width="23.109375" bestFit="1" customWidth="1"/>
    <col min="13" max="13" width="27.6640625" bestFit="1" customWidth="1"/>
    <col min="14" max="14" width="14.77734375" bestFit="1" customWidth="1"/>
    <col min="15" max="15" width="21.44140625" bestFit="1" customWidth="1"/>
    <col min="16" max="16" width="21.109375" bestFit="1" customWidth="1"/>
    <col min="17" max="17" width="25.88671875" style="2" bestFit="1" customWidth="1"/>
    <col min="19" max="19" width="18.88671875" bestFit="1" customWidth="1"/>
    <col min="20" max="20" width="22.21875" bestFit="1" customWidth="1"/>
  </cols>
  <sheetData>
    <row r="1" spans="1:20">
      <c r="A1" t="s">
        <v>68</v>
      </c>
      <c r="B1" t="s">
        <v>24</v>
      </c>
      <c r="C1" t="s">
        <v>107</v>
      </c>
      <c r="D1" t="s">
        <v>73</v>
      </c>
      <c r="E1" t="s">
        <v>108</v>
      </c>
      <c r="F1" t="s">
        <v>106</v>
      </c>
      <c r="G1" t="s">
        <v>109</v>
      </c>
      <c r="H1" t="s">
        <v>110</v>
      </c>
      <c r="I1" t="s">
        <v>74</v>
      </c>
      <c r="J1" t="s">
        <v>111</v>
      </c>
      <c r="K1" t="s">
        <v>112</v>
      </c>
      <c r="L1" t="s">
        <v>75</v>
      </c>
      <c r="M1" t="s">
        <v>113</v>
      </c>
      <c r="N1" t="s">
        <v>114</v>
      </c>
      <c r="O1" t="s">
        <v>115</v>
      </c>
      <c r="P1" t="s">
        <v>116</v>
      </c>
      <c r="Q1" s="2" t="s">
        <v>117</v>
      </c>
      <c r="R1" t="s">
        <v>32</v>
      </c>
      <c r="S1" t="s">
        <v>204</v>
      </c>
      <c r="T1" t="s">
        <v>205</v>
      </c>
    </row>
    <row r="2" spans="1:20">
      <c r="A2" s="1">
        <f>Weekly_Product_Demand!A2</f>
        <v>46027</v>
      </c>
      <c r="B2" t="str">
        <f>Weekly_Product_Demand!B2</f>
        <v>P001</v>
      </c>
      <c r="C2">
        <v>7200</v>
      </c>
      <c r="D2">
        <v>200</v>
      </c>
      <c r="E2">
        <f>C2-D2</f>
        <v>7000</v>
      </c>
      <c r="F2">
        <f>SUMIFS(Weekly_Product_Demand!$D:$D,Weekly_Product_Demand!$A:$A,A2,Weekly_Product_Demand!$B:$B,B2)</f>
        <v>13543</v>
      </c>
      <c r="G2">
        <f t="shared" ref="G2:G65" si="0">ROUND(F2/7*2,0)</f>
        <v>3869</v>
      </c>
      <c r="H2">
        <f t="shared" ref="H2:H65" si="1">MAX(0,F2+G2-E2)</f>
        <v>10412</v>
      </c>
      <c r="I2">
        <f t="shared" ref="I2:I65" si="2">CEILING(H2,100)</f>
        <v>10500</v>
      </c>
      <c r="J2">
        <f t="shared" ref="J2:J65" si="3">E2+I2-F2</f>
        <v>3957</v>
      </c>
      <c r="K2">
        <v>0.97</v>
      </c>
      <c r="L2">
        <f t="shared" ref="L2:L65" si="4">ROUND(I2*K2,0)</f>
        <v>10185</v>
      </c>
      <c r="M2">
        <f t="shared" ref="M2:M65" si="5">E2+L2-F2</f>
        <v>3642</v>
      </c>
      <c r="N2">
        <f>MAX(0,-M2)</f>
        <v>0</v>
      </c>
      <c r="O2">
        <f t="shared" ref="O2:O65" si="6">MAX(0,M2)</f>
        <v>3642</v>
      </c>
      <c r="P2">
        <f t="shared" ref="P2:P65" si="7">L2-I2</f>
        <v>-315</v>
      </c>
      <c r="Q2" s="2">
        <f t="shared" ref="Q2:Q65" si="8">IF(I2=0,0,L2/I2)</f>
        <v>0.97</v>
      </c>
      <c r="R2" t="str">
        <f>_xlfn.XLOOKUP(B2,Product_Line_Map!$A$2:$A$6,Product_Line_Map!$B$2:$B$6,"")</f>
        <v>L01</v>
      </c>
      <c r="S2" s="24">
        <f t="shared" ref="S2:S65" si="9">IF(F2=0,0,O2/(F2/7))</f>
        <v>1.8824484973787197</v>
      </c>
      <c r="T2" t="str">
        <f t="shared" ref="T2:T65" si="10">IF(N2&gt;0,"STOCKOUT",IF(S2&lt;1,"CRITICAL LOW COVER",IF(S2&lt;2,"LOW COVER","OK")))</f>
        <v>LOW COVER</v>
      </c>
    </row>
    <row r="3" spans="1:20">
      <c r="A3" s="1">
        <f>Weekly_Product_Demand!A3</f>
        <v>46027</v>
      </c>
      <c r="B3" t="str">
        <f>Weekly_Product_Demand!B3</f>
        <v>P002</v>
      </c>
      <c r="C3">
        <v>6100</v>
      </c>
      <c r="D3">
        <v>100</v>
      </c>
      <c r="E3">
        <f t="shared" ref="E3:E5" si="11">C3-D3</f>
        <v>6000</v>
      </c>
      <c r="F3">
        <f>SUMIFS(Weekly_Product_Demand!$D:$D,Weekly_Product_Demand!$A:$A,A3,Weekly_Product_Demand!$B:$B,B3)</f>
        <v>12020</v>
      </c>
      <c r="G3">
        <f t="shared" si="0"/>
        <v>3434</v>
      </c>
      <c r="H3">
        <f t="shared" si="1"/>
        <v>9454</v>
      </c>
      <c r="I3">
        <f t="shared" si="2"/>
        <v>9500</v>
      </c>
      <c r="J3">
        <f t="shared" si="3"/>
        <v>3480</v>
      </c>
      <c r="K3">
        <v>1</v>
      </c>
      <c r="L3">
        <f t="shared" si="4"/>
        <v>9500</v>
      </c>
      <c r="M3">
        <f t="shared" si="5"/>
        <v>3480</v>
      </c>
      <c r="N3">
        <f t="shared" ref="N3:N65" si="12">MAX(0,-M3)</f>
        <v>0</v>
      </c>
      <c r="O3">
        <f t="shared" si="6"/>
        <v>3480</v>
      </c>
      <c r="P3">
        <f t="shared" si="7"/>
        <v>0</v>
      </c>
      <c r="Q3" s="2">
        <f t="shared" si="8"/>
        <v>1</v>
      </c>
      <c r="R3" t="str">
        <f>_xlfn.XLOOKUP(B3,Product_Line_Map!$A$2:$A$6,Product_Line_Map!$B$2:$B$6,"")</f>
        <v>L02</v>
      </c>
      <c r="S3" s="24">
        <f t="shared" si="9"/>
        <v>2.0266222961730449</v>
      </c>
      <c r="T3" t="str">
        <f t="shared" si="10"/>
        <v>OK</v>
      </c>
    </row>
    <row r="4" spans="1:20">
      <c r="A4" s="1">
        <f>Weekly_Product_Demand!A4</f>
        <v>46027</v>
      </c>
      <c r="B4" t="str">
        <f>Weekly_Product_Demand!B4</f>
        <v>P003</v>
      </c>
      <c r="C4">
        <v>4800</v>
      </c>
      <c r="D4">
        <v>0</v>
      </c>
      <c r="E4">
        <f t="shared" si="11"/>
        <v>4800</v>
      </c>
      <c r="F4">
        <f>SUMIFS(Weekly_Product_Demand!$D:$D,Weekly_Product_Demand!$A:$A,A4,Weekly_Product_Demand!$B:$B,B4)</f>
        <v>10111</v>
      </c>
      <c r="G4">
        <f t="shared" si="0"/>
        <v>2889</v>
      </c>
      <c r="H4">
        <f t="shared" si="1"/>
        <v>8200</v>
      </c>
      <c r="I4">
        <f t="shared" si="2"/>
        <v>8200</v>
      </c>
      <c r="J4">
        <f t="shared" si="3"/>
        <v>2889</v>
      </c>
      <c r="K4">
        <v>0.97</v>
      </c>
      <c r="L4">
        <f t="shared" si="4"/>
        <v>7954</v>
      </c>
      <c r="M4">
        <f t="shared" si="5"/>
        <v>2643</v>
      </c>
      <c r="N4">
        <f t="shared" si="12"/>
        <v>0</v>
      </c>
      <c r="O4">
        <f t="shared" si="6"/>
        <v>2643</v>
      </c>
      <c r="P4">
        <f t="shared" si="7"/>
        <v>-246</v>
      </c>
      <c r="Q4" s="2">
        <f t="shared" si="8"/>
        <v>0.97</v>
      </c>
      <c r="R4" t="str">
        <f>_xlfn.XLOOKUP(B4,Product_Line_Map!$A$2:$A$6,Product_Line_Map!$B$2:$B$6,"")</f>
        <v>L03</v>
      </c>
      <c r="S4" s="24">
        <f t="shared" si="9"/>
        <v>1.8297893383443775</v>
      </c>
      <c r="T4" t="str">
        <f t="shared" si="10"/>
        <v>LOW COVER</v>
      </c>
    </row>
    <row r="5" spans="1:20">
      <c r="A5" s="1">
        <f>Weekly_Product_Demand!A5</f>
        <v>46027</v>
      </c>
      <c r="B5" t="str">
        <f>Weekly_Product_Demand!B5</f>
        <v>P004</v>
      </c>
      <c r="C5">
        <v>5200</v>
      </c>
      <c r="D5">
        <v>300</v>
      </c>
      <c r="E5">
        <f t="shared" si="11"/>
        <v>4900</v>
      </c>
      <c r="F5">
        <f>SUMIFS(Weekly_Product_Demand!$D:$D,Weekly_Product_Demand!$A:$A,A5,Weekly_Product_Demand!$B:$B,B5)</f>
        <v>10655</v>
      </c>
      <c r="G5">
        <f t="shared" si="0"/>
        <v>3044</v>
      </c>
      <c r="H5">
        <f t="shared" si="1"/>
        <v>8799</v>
      </c>
      <c r="I5">
        <f t="shared" si="2"/>
        <v>8800</v>
      </c>
      <c r="J5">
        <f t="shared" si="3"/>
        <v>3045</v>
      </c>
      <c r="K5">
        <v>1</v>
      </c>
      <c r="L5">
        <f t="shared" si="4"/>
        <v>8800</v>
      </c>
      <c r="M5">
        <f t="shared" si="5"/>
        <v>3045</v>
      </c>
      <c r="N5">
        <f t="shared" si="12"/>
        <v>0</v>
      </c>
      <c r="O5">
        <f t="shared" si="6"/>
        <v>3045</v>
      </c>
      <c r="P5">
        <f t="shared" si="7"/>
        <v>0</v>
      </c>
      <c r="Q5" s="2">
        <f t="shared" si="8"/>
        <v>1</v>
      </c>
      <c r="R5" t="str">
        <f>_xlfn.XLOOKUP(B5,Product_Line_Map!$A$2:$A$6,Product_Line_Map!$B$2:$B$6,"")</f>
        <v>L02</v>
      </c>
      <c r="S5" s="24">
        <f t="shared" si="9"/>
        <v>2.0004692632566869</v>
      </c>
      <c r="T5" t="str">
        <f t="shared" si="10"/>
        <v>OK</v>
      </c>
    </row>
    <row r="6" spans="1:20">
      <c r="A6" s="1">
        <f>Weekly_Product_Demand!A6</f>
        <v>46027</v>
      </c>
      <c r="B6" t="str">
        <f>Weekly_Product_Demand!B6</f>
        <v>P005</v>
      </c>
      <c r="C6">
        <v>3900</v>
      </c>
      <c r="D6">
        <v>100</v>
      </c>
      <c r="E6">
        <f>C6-D6</f>
        <v>3800</v>
      </c>
      <c r="F6">
        <f>SUMIFS(Weekly_Product_Demand!$D:$D,Weekly_Product_Demand!$A:$A,A6,Weekly_Product_Demand!$B:$B,B6)</f>
        <v>8159</v>
      </c>
      <c r="G6">
        <f t="shared" si="0"/>
        <v>2331</v>
      </c>
      <c r="H6">
        <f t="shared" si="1"/>
        <v>6690</v>
      </c>
      <c r="I6">
        <f t="shared" si="2"/>
        <v>6700</v>
      </c>
      <c r="J6">
        <f t="shared" si="3"/>
        <v>2341</v>
      </c>
      <c r="K6">
        <v>0.99</v>
      </c>
      <c r="L6">
        <f t="shared" si="4"/>
        <v>6633</v>
      </c>
      <c r="M6">
        <f t="shared" si="5"/>
        <v>2274</v>
      </c>
      <c r="N6">
        <f t="shared" si="12"/>
        <v>0</v>
      </c>
      <c r="O6">
        <f t="shared" si="6"/>
        <v>2274</v>
      </c>
      <c r="P6">
        <f t="shared" si="7"/>
        <v>-67</v>
      </c>
      <c r="Q6" s="2">
        <f t="shared" si="8"/>
        <v>0.99</v>
      </c>
      <c r="R6" t="str">
        <f>_xlfn.XLOOKUP(B6,Product_Line_Map!$A$2:$A$6,Product_Line_Map!$B$2:$B$6,"")</f>
        <v>L03</v>
      </c>
      <c r="S6" s="24">
        <f t="shared" si="9"/>
        <v>1.9509743841157003</v>
      </c>
      <c r="T6" t="str">
        <f t="shared" si="10"/>
        <v>LOW COVER</v>
      </c>
    </row>
    <row r="7" spans="1:20">
      <c r="A7" s="1">
        <f>Weekly_Product_Demand!A7</f>
        <v>46034</v>
      </c>
      <c r="B7" t="str">
        <f>Weekly_Product_Demand!B7</f>
        <v>P001</v>
      </c>
      <c r="C7">
        <f>O2</f>
        <v>3642</v>
      </c>
      <c r="D7">
        <f>0</f>
        <v>0</v>
      </c>
      <c r="E7">
        <f t="shared" ref="E7:E70" si="13">C7-D7</f>
        <v>3642</v>
      </c>
      <c r="F7">
        <f>SUMIFS(Weekly_Product_Demand!$D:$D,Weekly_Product_Demand!$A:$A,A7,Weekly_Product_Demand!$B:$B,B7)</f>
        <v>13623</v>
      </c>
      <c r="G7">
        <f t="shared" si="0"/>
        <v>3892</v>
      </c>
      <c r="H7">
        <f t="shared" si="1"/>
        <v>13873</v>
      </c>
      <c r="I7">
        <f t="shared" si="2"/>
        <v>13900</v>
      </c>
      <c r="J7">
        <f t="shared" si="3"/>
        <v>3919</v>
      </c>
      <c r="K7">
        <v>1</v>
      </c>
      <c r="L7">
        <f t="shared" si="4"/>
        <v>13900</v>
      </c>
      <c r="M7">
        <f t="shared" si="5"/>
        <v>3919</v>
      </c>
      <c r="N7">
        <f t="shared" si="12"/>
        <v>0</v>
      </c>
      <c r="O7">
        <f t="shared" si="6"/>
        <v>3919</v>
      </c>
      <c r="P7">
        <f t="shared" si="7"/>
        <v>0</v>
      </c>
      <c r="Q7" s="2">
        <f t="shared" si="8"/>
        <v>1</v>
      </c>
      <c r="R7" t="str">
        <f>_xlfn.XLOOKUP(B7,Product_Line_Map!$A$2:$A$6,Product_Line_Map!$B$2:$B$6,"")</f>
        <v>L01</v>
      </c>
      <c r="S7" s="24">
        <f t="shared" si="9"/>
        <v>2.0137267855832048</v>
      </c>
      <c r="T7" t="str">
        <f t="shared" si="10"/>
        <v>OK</v>
      </c>
    </row>
    <row r="8" spans="1:20">
      <c r="A8" s="1">
        <f>Weekly_Product_Demand!A8</f>
        <v>46034</v>
      </c>
      <c r="B8" t="str">
        <f>Weekly_Product_Demand!B8</f>
        <v>P002</v>
      </c>
      <c r="C8">
        <f t="shared" ref="C8:C71" si="14">O3</f>
        <v>3480</v>
      </c>
      <c r="D8">
        <f>0</f>
        <v>0</v>
      </c>
      <c r="E8">
        <f t="shared" si="13"/>
        <v>3480</v>
      </c>
      <c r="F8">
        <f>SUMIFS(Weekly_Product_Demand!$D:$D,Weekly_Product_Demand!$A:$A,A8,Weekly_Product_Demand!$B:$B,B8)</f>
        <v>11767</v>
      </c>
      <c r="G8">
        <f t="shared" si="0"/>
        <v>3362</v>
      </c>
      <c r="H8">
        <f t="shared" si="1"/>
        <v>11649</v>
      </c>
      <c r="I8">
        <f t="shared" si="2"/>
        <v>11700</v>
      </c>
      <c r="J8">
        <f t="shared" si="3"/>
        <v>3413</v>
      </c>
      <c r="K8">
        <v>0.97</v>
      </c>
      <c r="L8">
        <f t="shared" si="4"/>
        <v>11349</v>
      </c>
      <c r="M8">
        <f t="shared" si="5"/>
        <v>3062</v>
      </c>
      <c r="N8">
        <f t="shared" si="12"/>
        <v>0</v>
      </c>
      <c r="O8">
        <f t="shared" si="6"/>
        <v>3062</v>
      </c>
      <c r="P8">
        <f t="shared" si="7"/>
        <v>-351</v>
      </c>
      <c r="Q8" s="2">
        <f t="shared" si="8"/>
        <v>0.97</v>
      </c>
      <c r="R8" t="str">
        <f>_xlfn.XLOOKUP(B8,Product_Line_Map!$A$2:$A$6,Product_Line_Map!$B$2:$B$6,"")</f>
        <v>L02</v>
      </c>
      <c r="S8" s="24">
        <f t="shared" si="9"/>
        <v>1.8215348007138608</v>
      </c>
      <c r="T8" t="str">
        <f t="shared" si="10"/>
        <v>LOW COVER</v>
      </c>
    </row>
    <row r="9" spans="1:20">
      <c r="A9" s="1">
        <f>Weekly_Product_Demand!A9</f>
        <v>46034</v>
      </c>
      <c r="B9" t="str">
        <f>Weekly_Product_Demand!B9</f>
        <v>P003</v>
      </c>
      <c r="C9">
        <f t="shared" si="14"/>
        <v>2643</v>
      </c>
      <c r="D9">
        <f>0</f>
        <v>0</v>
      </c>
      <c r="E9">
        <f t="shared" si="13"/>
        <v>2643</v>
      </c>
      <c r="F9">
        <f>SUMIFS(Weekly_Product_Demand!$D:$D,Weekly_Product_Demand!$A:$A,A9,Weekly_Product_Demand!$B:$B,B9)</f>
        <v>10325</v>
      </c>
      <c r="G9">
        <f t="shared" si="0"/>
        <v>2950</v>
      </c>
      <c r="H9">
        <f t="shared" si="1"/>
        <v>10632</v>
      </c>
      <c r="I9">
        <f t="shared" si="2"/>
        <v>10700</v>
      </c>
      <c r="J9">
        <f t="shared" si="3"/>
        <v>3018</v>
      </c>
      <c r="K9">
        <v>1.01</v>
      </c>
      <c r="L9">
        <f t="shared" si="4"/>
        <v>10807</v>
      </c>
      <c r="M9">
        <f t="shared" si="5"/>
        <v>3125</v>
      </c>
      <c r="N9">
        <f t="shared" si="12"/>
        <v>0</v>
      </c>
      <c r="O9">
        <f t="shared" si="6"/>
        <v>3125</v>
      </c>
      <c r="P9">
        <f t="shared" si="7"/>
        <v>107</v>
      </c>
      <c r="Q9" s="2">
        <f t="shared" si="8"/>
        <v>1.01</v>
      </c>
      <c r="R9" t="str">
        <f>_xlfn.XLOOKUP(B9,Product_Line_Map!$A$2:$A$6,Product_Line_Map!$B$2:$B$6,"")</f>
        <v>L03</v>
      </c>
      <c r="S9" s="24">
        <f t="shared" si="9"/>
        <v>2.1186440677966103</v>
      </c>
      <c r="T9" t="str">
        <f t="shared" si="10"/>
        <v>OK</v>
      </c>
    </row>
    <row r="10" spans="1:20">
      <c r="A10" s="1">
        <f>Weekly_Product_Demand!A10</f>
        <v>46034</v>
      </c>
      <c r="B10" t="str">
        <f>Weekly_Product_Demand!B10</f>
        <v>P004</v>
      </c>
      <c r="C10">
        <f t="shared" si="14"/>
        <v>3045</v>
      </c>
      <c r="D10">
        <f>0</f>
        <v>0</v>
      </c>
      <c r="E10">
        <f t="shared" si="13"/>
        <v>3045</v>
      </c>
      <c r="F10">
        <f>SUMIFS(Weekly_Product_Demand!$D:$D,Weekly_Product_Demand!$A:$A,A10,Weekly_Product_Demand!$B:$B,B10)</f>
        <v>10718</v>
      </c>
      <c r="G10">
        <f t="shared" si="0"/>
        <v>3062</v>
      </c>
      <c r="H10">
        <f t="shared" si="1"/>
        <v>10735</v>
      </c>
      <c r="I10">
        <f t="shared" si="2"/>
        <v>10800</v>
      </c>
      <c r="J10">
        <f t="shared" si="3"/>
        <v>3127</v>
      </c>
      <c r="K10">
        <v>0.97</v>
      </c>
      <c r="L10">
        <f t="shared" si="4"/>
        <v>10476</v>
      </c>
      <c r="M10">
        <f t="shared" si="5"/>
        <v>2803</v>
      </c>
      <c r="N10">
        <f t="shared" si="12"/>
        <v>0</v>
      </c>
      <c r="O10">
        <f t="shared" si="6"/>
        <v>2803</v>
      </c>
      <c r="P10">
        <f t="shared" si="7"/>
        <v>-324</v>
      </c>
      <c r="Q10" s="2">
        <f t="shared" si="8"/>
        <v>0.97</v>
      </c>
      <c r="R10" t="str">
        <f>_xlfn.XLOOKUP(B10,Product_Line_Map!$A$2:$A$6,Product_Line_Map!$B$2:$B$6,"")</f>
        <v>L02</v>
      </c>
      <c r="S10" s="24">
        <f t="shared" si="9"/>
        <v>1.8306587049822729</v>
      </c>
      <c r="T10" t="str">
        <f t="shared" si="10"/>
        <v>LOW COVER</v>
      </c>
    </row>
    <row r="11" spans="1:20">
      <c r="A11" s="1">
        <f>Weekly_Product_Demand!A11</f>
        <v>46034</v>
      </c>
      <c r="B11" t="str">
        <f>Weekly_Product_Demand!B11</f>
        <v>P005</v>
      </c>
      <c r="C11">
        <f t="shared" si="14"/>
        <v>2274</v>
      </c>
      <c r="D11">
        <f>0</f>
        <v>0</v>
      </c>
      <c r="E11">
        <f t="shared" si="13"/>
        <v>2274</v>
      </c>
      <c r="F11">
        <f>SUMIFS(Weekly_Product_Demand!$D:$D,Weekly_Product_Demand!$A:$A,A11,Weekly_Product_Demand!$B:$B,B11)</f>
        <v>8176</v>
      </c>
      <c r="G11">
        <f t="shared" si="0"/>
        <v>2336</v>
      </c>
      <c r="H11">
        <f t="shared" si="1"/>
        <v>8238</v>
      </c>
      <c r="I11">
        <f t="shared" si="2"/>
        <v>8300</v>
      </c>
      <c r="J11">
        <f t="shared" si="3"/>
        <v>2398</v>
      </c>
      <c r="K11">
        <v>1.02</v>
      </c>
      <c r="L11">
        <f t="shared" si="4"/>
        <v>8466</v>
      </c>
      <c r="M11">
        <f t="shared" si="5"/>
        <v>2564</v>
      </c>
      <c r="N11">
        <f t="shared" si="12"/>
        <v>0</v>
      </c>
      <c r="O11">
        <f t="shared" si="6"/>
        <v>2564</v>
      </c>
      <c r="P11">
        <f t="shared" si="7"/>
        <v>166</v>
      </c>
      <c r="Q11" s="2">
        <f t="shared" si="8"/>
        <v>1.02</v>
      </c>
      <c r="R11" t="str">
        <f>_xlfn.XLOOKUP(B11,Product_Line_Map!$A$2:$A$6,Product_Line_Map!$B$2:$B$6,"")</f>
        <v>L03</v>
      </c>
      <c r="S11" s="24">
        <f t="shared" si="9"/>
        <v>2.1952054794520546</v>
      </c>
      <c r="T11" t="str">
        <f t="shared" si="10"/>
        <v>OK</v>
      </c>
    </row>
    <row r="12" spans="1:20">
      <c r="A12" s="1">
        <f>Weekly_Product_Demand!A12</f>
        <v>46041</v>
      </c>
      <c r="B12" t="str">
        <f>Weekly_Product_Demand!B12</f>
        <v>P001</v>
      </c>
      <c r="C12">
        <f t="shared" si="14"/>
        <v>3919</v>
      </c>
      <c r="D12">
        <f>0</f>
        <v>0</v>
      </c>
      <c r="E12">
        <f t="shared" si="13"/>
        <v>3919</v>
      </c>
      <c r="F12">
        <f>SUMIFS(Weekly_Product_Demand!$D:$D,Weekly_Product_Demand!$A:$A,A12,Weekly_Product_Demand!$B:$B,B12)</f>
        <v>13704</v>
      </c>
      <c r="G12">
        <f t="shared" si="0"/>
        <v>3915</v>
      </c>
      <c r="H12">
        <f t="shared" si="1"/>
        <v>13700</v>
      </c>
      <c r="I12">
        <f t="shared" si="2"/>
        <v>13700</v>
      </c>
      <c r="J12">
        <f t="shared" si="3"/>
        <v>3915</v>
      </c>
      <c r="K12">
        <v>1.01</v>
      </c>
      <c r="L12">
        <f t="shared" si="4"/>
        <v>13837</v>
      </c>
      <c r="M12">
        <f t="shared" si="5"/>
        <v>4052</v>
      </c>
      <c r="N12">
        <f t="shared" si="12"/>
        <v>0</v>
      </c>
      <c r="O12">
        <f t="shared" si="6"/>
        <v>4052</v>
      </c>
      <c r="P12">
        <f t="shared" si="7"/>
        <v>137</v>
      </c>
      <c r="Q12" s="2">
        <f t="shared" si="8"/>
        <v>1.01</v>
      </c>
      <c r="R12" t="str">
        <f>_xlfn.XLOOKUP(B12,Product_Line_Map!$A$2:$A$6,Product_Line_Map!$B$2:$B$6,"")</f>
        <v>L01</v>
      </c>
      <c r="S12" s="24">
        <f t="shared" si="9"/>
        <v>2.069760653823701</v>
      </c>
      <c r="T12" t="str">
        <f t="shared" si="10"/>
        <v>OK</v>
      </c>
    </row>
    <row r="13" spans="1:20">
      <c r="A13" s="1">
        <f>Weekly_Product_Demand!A13</f>
        <v>46041</v>
      </c>
      <c r="B13" t="str">
        <f>Weekly_Product_Demand!B13</f>
        <v>P002</v>
      </c>
      <c r="C13">
        <f t="shared" si="14"/>
        <v>3062</v>
      </c>
      <c r="D13">
        <f>0</f>
        <v>0</v>
      </c>
      <c r="E13">
        <f t="shared" si="13"/>
        <v>3062</v>
      </c>
      <c r="F13">
        <f>SUMIFS(Weekly_Product_Demand!$D:$D,Weekly_Product_Demand!$A:$A,A13,Weekly_Product_Demand!$B:$B,B13)</f>
        <v>11540</v>
      </c>
      <c r="G13">
        <f t="shared" si="0"/>
        <v>3297</v>
      </c>
      <c r="H13">
        <f t="shared" si="1"/>
        <v>11775</v>
      </c>
      <c r="I13">
        <f t="shared" si="2"/>
        <v>11800</v>
      </c>
      <c r="J13">
        <f t="shared" si="3"/>
        <v>3322</v>
      </c>
      <c r="K13">
        <v>1.02</v>
      </c>
      <c r="L13">
        <f t="shared" si="4"/>
        <v>12036</v>
      </c>
      <c r="M13">
        <f t="shared" si="5"/>
        <v>3558</v>
      </c>
      <c r="N13">
        <f t="shared" si="12"/>
        <v>0</v>
      </c>
      <c r="O13">
        <f t="shared" si="6"/>
        <v>3558</v>
      </c>
      <c r="P13">
        <f t="shared" si="7"/>
        <v>236</v>
      </c>
      <c r="Q13" s="2">
        <f t="shared" si="8"/>
        <v>1.02</v>
      </c>
      <c r="R13" t="str">
        <f>_xlfn.XLOOKUP(B13,Product_Line_Map!$A$2:$A$6,Product_Line_Map!$B$2:$B$6,"")</f>
        <v>L02</v>
      </c>
      <c r="S13" s="24">
        <f t="shared" si="9"/>
        <v>2.1582322357019064</v>
      </c>
      <c r="T13" t="str">
        <f t="shared" si="10"/>
        <v>OK</v>
      </c>
    </row>
    <row r="14" spans="1:20">
      <c r="A14" s="1">
        <f>Weekly_Product_Demand!A14</f>
        <v>46041</v>
      </c>
      <c r="B14" t="str">
        <f>Weekly_Product_Demand!B14</f>
        <v>P003</v>
      </c>
      <c r="C14">
        <f t="shared" si="14"/>
        <v>3125</v>
      </c>
      <c r="D14">
        <f>0</f>
        <v>0</v>
      </c>
      <c r="E14">
        <f t="shared" si="13"/>
        <v>3125</v>
      </c>
      <c r="F14">
        <f>SUMIFS(Weekly_Product_Demand!$D:$D,Weekly_Product_Demand!$A:$A,A14,Weekly_Product_Demand!$B:$B,B14)</f>
        <v>10363</v>
      </c>
      <c r="G14">
        <f t="shared" si="0"/>
        <v>2961</v>
      </c>
      <c r="H14">
        <f t="shared" si="1"/>
        <v>10199</v>
      </c>
      <c r="I14">
        <f t="shared" si="2"/>
        <v>10200</v>
      </c>
      <c r="J14">
        <f t="shared" si="3"/>
        <v>2962</v>
      </c>
      <c r="K14">
        <v>0.99</v>
      </c>
      <c r="L14">
        <f t="shared" si="4"/>
        <v>10098</v>
      </c>
      <c r="M14">
        <f t="shared" si="5"/>
        <v>2860</v>
      </c>
      <c r="N14">
        <f t="shared" si="12"/>
        <v>0</v>
      </c>
      <c r="O14">
        <f t="shared" si="6"/>
        <v>2860</v>
      </c>
      <c r="P14">
        <f t="shared" si="7"/>
        <v>-102</v>
      </c>
      <c r="Q14" s="2">
        <f t="shared" si="8"/>
        <v>0.99</v>
      </c>
      <c r="R14" t="str">
        <f>_xlfn.XLOOKUP(B14,Product_Line_Map!$A$2:$A$6,Product_Line_Map!$B$2:$B$6,"")</f>
        <v>L03</v>
      </c>
      <c r="S14" s="24">
        <f t="shared" si="9"/>
        <v>1.9318730097462127</v>
      </c>
      <c r="T14" t="str">
        <f t="shared" si="10"/>
        <v>LOW COVER</v>
      </c>
    </row>
    <row r="15" spans="1:20">
      <c r="A15" s="1">
        <f>Weekly_Product_Demand!A15</f>
        <v>46041</v>
      </c>
      <c r="B15" t="str">
        <f>Weekly_Product_Demand!B15</f>
        <v>P004</v>
      </c>
      <c r="C15">
        <f t="shared" si="14"/>
        <v>2803</v>
      </c>
      <c r="D15">
        <f>0</f>
        <v>0</v>
      </c>
      <c r="E15">
        <f t="shared" si="13"/>
        <v>2803</v>
      </c>
      <c r="F15">
        <f>SUMIFS(Weekly_Product_Demand!$D:$D,Weekly_Product_Demand!$A:$A,A15,Weekly_Product_Demand!$B:$B,B15)</f>
        <v>11084</v>
      </c>
      <c r="G15">
        <f t="shared" si="0"/>
        <v>3167</v>
      </c>
      <c r="H15">
        <f t="shared" si="1"/>
        <v>11448</v>
      </c>
      <c r="I15">
        <f t="shared" si="2"/>
        <v>11500</v>
      </c>
      <c r="J15">
        <f t="shared" si="3"/>
        <v>3219</v>
      </c>
      <c r="K15">
        <v>0.99</v>
      </c>
      <c r="L15">
        <f t="shared" si="4"/>
        <v>11385</v>
      </c>
      <c r="M15">
        <f t="shared" si="5"/>
        <v>3104</v>
      </c>
      <c r="N15">
        <f t="shared" si="12"/>
        <v>0</v>
      </c>
      <c r="O15">
        <f t="shared" si="6"/>
        <v>3104</v>
      </c>
      <c r="P15">
        <f t="shared" si="7"/>
        <v>-115</v>
      </c>
      <c r="Q15" s="2">
        <f t="shared" si="8"/>
        <v>0.99</v>
      </c>
      <c r="R15" t="str">
        <f>_xlfn.XLOOKUP(B15,Product_Line_Map!$A$2:$A$6,Product_Line_Map!$B$2:$B$6,"")</f>
        <v>L02</v>
      </c>
      <c r="S15" s="24">
        <f t="shared" si="9"/>
        <v>1.9603031396607724</v>
      </c>
      <c r="T15" t="str">
        <f t="shared" si="10"/>
        <v>LOW COVER</v>
      </c>
    </row>
    <row r="16" spans="1:20">
      <c r="A16" s="1">
        <f>Weekly_Product_Demand!A16</f>
        <v>46041</v>
      </c>
      <c r="B16" t="str">
        <f>Weekly_Product_Demand!B16</f>
        <v>P005</v>
      </c>
      <c r="C16">
        <f t="shared" si="14"/>
        <v>2564</v>
      </c>
      <c r="D16">
        <f>0</f>
        <v>0</v>
      </c>
      <c r="E16">
        <f t="shared" si="13"/>
        <v>2564</v>
      </c>
      <c r="F16">
        <f>SUMIFS(Weekly_Product_Demand!$D:$D,Weekly_Product_Demand!$A:$A,A16,Weekly_Product_Demand!$B:$B,B16)</f>
        <v>8329</v>
      </c>
      <c r="G16">
        <f t="shared" si="0"/>
        <v>2380</v>
      </c>
      <c r="H16">
        <f t="shared" si="1"/>
        <v>8145</v>
      </c>
      <c r="I16">
        <f t="shared" si="2"/>
        <v>8200</v>
      </c>
      <c r="J16">
        <f t="shared" si="3"/>
        <v>2435</v>
      </c>
      <c r="K16">
        <v>0.97</v>
      </c>
      <c r="L16">
        <f t="shared" si="4"/>
        <v>7954</v>
      </c>
      <c r="M16">
        <f t="shared" si="5"/>
        <v>2189</v>
      </c>
      <c r="N16">
        <f t="shared" si="12"/>
        <v>0</v>
      </c>
      <c r="O16">
        <f t="shared" si="6"/>
        <v>2189</v>
      </c>
      <c r="P16">
        <f t="shared" si="7"/>
        <v>-246</v>
      </c>
      <c r="Q16" s="2">
        <f t="shared" si="8"/>
        <v>0.97</v>
      </c>
      <c r="R16" t="str">
        <f>_xlfn.XLOOKUP(B16,Product_Line_Map!$A$2:$A$6,Product_Line_Map!$B$2:$B$6,"")</f>
        <v>L03</v>
      </c>
      <c r="S16" s="24">
        <f t="shared" si="9"/>
        <v>1.8397166526593829</v>
      </c>
      <c r="T16" t="str">
        <f t="shared" si="10"/>
        <v>LOW COVER</v>
      </c>
    </row>
    <row r="17" spans="1:20">
      <c r="A17" s="1">
        <f>Weekly_Product_Demand!A17</f>
        <v>46048</v>
      </c>
      <c r="B17" t="str">
        <f>Weekly_Product_Demand!B17</f>
        <v>P001</v>
      </c>
      <c r="C17">
        <f t="shared" si="14"/>
        <v>4052</v>
      </c>
      <c r="D17">
        <f>0</f>
        <v>0</v>
      </c>
      <c r="E17">
        <f t="shared" si="13"/>
        <v>4052</v>
      </c>
      <c r="F17">
        <f>SUMIFS(Weekly_Product_Demand!$D:$D,Weekly_Product_Demand!$A:$A,A17,Weekly_Product_Demand!$B:$B,B17)</f>
        <v>13490</v>
      </c>
      <c r="G17">
        <f t="shared" si="0"/>
        <v>3854</v>
      </c>
      <c r="H17">
        <f t="shared" si="1"/>
        <v>13292</v>
      </c>
      <c r="I17">
        <f t="shared" si="2"/>
        <v>13300</v>
      </c>
      <c r="J17">
        <f t="shared" si="3"/>
        <v>3862</v>
      </c>
      <c r="K17">
        <v>0.99</v>
      </c>
      <c r="L17">
        <f t="shared" si="4"/>
        <v>13167</v>
      </c>
      <c r="M17">
        <f t="shared" si="5"/>
        <v>3729</v>
      </c>
      <c r="N17">
        <f t="shared" si="12"/>
        <v>0</v>
      </c>
      <c r="O17">
        <f t="shared" si="6"/>
        <v>3729</v>
      </c>
      <c r="P17">
        <f t="shared" si="7"/>
        <v>-133</v>
      </c>
      <c r="Q17" s="2">
        <f t="shared" si="8"/>
        <v>0.99</v>
      </c>
      <c r="R17" t="str">
        <f>_xlfn.XLOOKUP(B17,Product_Line_Map!$A$2:$A$6,Product_Line_Map!$B$2:$B$6,"")</f>
        <v>L01</v>
      </c>
      <c r="S17" s="24">
        <f t="shared" si="9"/>
        <v>1.934988880652335</v>
      </c>
      <c r="T17" t="str">
        <f t="shared" si="10"/>
        <v>LOW COVER</v>
      </c>
    </row>
    <row r="18" spans="1:20">
      <c r="A18" s="1">
        <f>Weekly_Product_Demand!A18</f>
        <v>46048</v>
      </c>
      <c r="B18" t="str">
        <f>Weekly_Product_Demand!B18</f>
        <v>P002</v>
      </c>
      <c r="C18">
        <f t="shared" si="14"/>
        <v>3558</v>
      </c>
      <c r="D18">
        <f>0</f>
        <v>0</v>
      </c>
      <c r="E18">
        <f t="shared" si="13"/>
        <v>3558</v>
      </c>
      <c r="F18">
        <f>SUMIFS(Weekly_Product_Demand!$D:$D,Weekly_Product_Demand!$A:$A,A18,Weekly_Product_Demand!$B:$B,B18)</f>
        <v>12120</v>
      </c>
      <c r="G18">
        <f t="shared" si="0"/>
        <v>3463</v>
      </c>
      <c r="H18">
        <f t="shared" si="1"/>
        <v>12025</v>
      </c>
      <c r="I18">
        <f t="shared" si="2"/>
        <v>12100</v>
      </c>
      <c r="J18">
        <f t="shared" si="3"/>
        <v>3538</v>
      </c>
      <c r="K18">
        <v>1.01</v>
      </c>
      <c r="L18">
        <f t="shared" si="4"/>
        <v>12221</v>
      </c>
      <c r="M18">
        <f t="shared" si="5"/>
        <v>3659</v>
      </c>
      <c r="N18">
        <f t="shared" si="12"/>
        <v>0</v>
      </c>
      <c r="O18">
        <f t="shared" si="6"/>
        <v>3659</v>
      </c>
      <c r="P18">
        <f t="shared" si="7"/>
        <v>121</v>
      </c>
      <c r="Q18" s="2">
        <f t="shared" si="8"/>
        <v>1.01</v>
      </c>
      <c r="R18" t="str">
        <f>_xlfn.XLOOKUP(B18,Product_Line_Map!$A$2:$A$6,Product_Line_Map!$B$2:$B$6,"")</f>
        <v>L02</v>
      </c>
      <c r="S18" s="24">
        <f t="shared" si="9"/>
        <v>2.1132838283828383</v>
      </c>
      <c r="T18" t="str">
        <f t="shared" si="10"/>
        <v>OK</v>
      </c>
    </row>
    <row r="19" spans="1:20">
      <c r="A19" s="1">
        <f>Weekly_Product_Demand!A19</f>
        <v>46048</v>
      </c>
      <c r="B19" t="str">
        <f>Weekly_Product_Demand!B19</f>
        <v>P003</v>
      </c>
      <c r="C19">
        <f t="shared" si="14"/>
        <v>2860</v>
      </c>
      <c r="D19">
        <f>0</f>
        <v>0</v>
      </c>
      <c r="E19">
        <f t="shared" si="13"/>
        <v>2860</v>
      </c>
      <c r="F19">
        <f>SUMIFS(Weekly_Product_Demand!$D:$D,Weekly_Product_Demand!$A:$A,A19,Weekly_Product_Demand!$B:$B,B19)</f>
        <v>10284</v>
      </c>
      <c r="G19">
        <f t="shared" si="0"/>
        <v>2938</v>
      </c>
      <c r="H19">
        <f t="shared" si="1"/>
        <v>10362</v>
      </c>
      <c r="I19">
        <f t="shared" si="2"/>
        <v>10400</v>
      </c>
      <c r="J19">
        <f t="shared" si="3"/>
        <v>2976</v>
      </c>
      <c r="K19">
        <v>1</v>
      </c>
      <c r="L19">
        <f t="shared" si="4"/>
        <v>10400</v>
      </c>
      <c r="M19">
        <f t="shared" si="5"/>
        <v>2976</v>
      </c>
      <c r="N19">
        <f t="shared" si="12"/>
        <v>0</v>
      </c>
      <c r="O19">
        <f t="shared" si="6"/>
        <v>2976</v>
      </c>
      <c r="P19">
        <f t="shared" si="7"/>
        <v>0</v>
      </c>
      <c r="Q19" s="2">
        <f t="shared" si="8"/>
        <v>1</v>
      </c>
      <c r="R19" t="str">
        <f>_xlfn.XLOOKUP(B19,Product_Line_Map!$A$2:$A$6,Product_Line_Map!$B$2:$B$6,"")</f>
        <v>L03</v>
      </c>
      <c r="S19" s="24">
        <f t="shared" si="9"/>
        <v>2.0256709451575263</v>
      </c>
      <c r="T19" t="str">
        <f t="shared" si="10"/>
        <v>OK</v>
      </c>
    </row>
    <row r="20" spans="1:20">
      <c r="A20" s="1">
        <f>Weekly_Product_Demand!A20</f>
        <v>46048</v>
      </c>
      <c r="B20" t="str">
        <f>Weekly_Product_Demand!B20</f>
        <v>P004</v>
      </c>
      <c r="C20">
        <f t="shared" si="14"/>
        <v>3104</v>
      </c>
      <c r="D20">
        <f>0</f>
        <v>0</v>
      </c>
      <c r="E20">
        <f t="shared" si="13"/>
        <v>3104</v>
      </c>
      <c r="F20">
        <f>SUMIFS(Weekly_Product_Demand!$D:$D,Weekly_Product_Demand!$A:$A,A20,Weekly_Product_Demand!$B:$B,B20)</f>
        <v>10827</v>
      </c>
      <c r="G20">
        <f t="shared" si="0"/>
        <v>3093</v>
      </c>
      <c r="H20">
        <f t="shared" si="1"/>
        <v>10816</v>
      </c>
      <c r="I20">
        <f t="shared" si="2"/>
        <v>10900</v>
      </c>
      <c r="J20">
        <f t="shared" si="3"/>
        <v>3177</v>
      </c>
      <c r="K20">
        <v>0.97</v>
      </c>
      <c r="L20">
        <f t="shared" si="4"/>
        <v>10573</v>
      </c>
      <c r="M20">
        <f t="shared" si="5"/>
        <v>2850</v>
      </c>
      <c r="N20">
        <f t="shared" si="12"/>
        <v>0</v>
      </c>
      <c r="O20">
        <f t="shared" si="6"/>
        <v>2850</v>
      </c>
      <c r="P20">
        <f t="shared" si="7"/>
        <v>-327</v>
      </c>
      <c r="Q20" s="2">
        <f t="shared" si="8"/>
        <v>0.97</v>
      </c>
      <c r="R20" t="str">
        <f>_xlfn.XLOOKUP(B20,Product_Line_Map!$A$2:$A$6,Product_Line_Map!$B$2:$B$6,"")</f>
        <v>L02</v>
      </c>
      <c r="S20" s="24">
        <f t="shared" si="9"/>
        <v>1.8426156830146854</v>
      </c>
      <c r="T20" t="str">
        <f t="shared" si="10"/>
        <v>LOW COVER</v>
      </c>
    </row>
    <row r="21" spans="1:20">
      <c r="A21" s="1">
        <f>Weekly_Product_Demand!A21</f>
        <v>46048</v>
      </c>
      <c r="B21" t="str">
        <f>Weekly_Product_Demand!B21</f>
        <v>P005</v>
      </c>
      <c r="C21">
        <f t="shared" si="14"/>
        <v>2189</v>
      </c>
      <c r="D21">
        <f>0</f>
        <v>0</v>
      </c>
      <c r="E21">
        <f t="shared" si="13"/>
        <v>2189</v>
      </c>
      <c r="F21">
        <f>SUMIFS(Weekly_Product_Demand!$D:$D,Weekly_Product_Demand!$A:$A,A21,Weekly_Product_Demand!$B:$B,B21)</f>
        <v>8401</v>
      </c>
      <c r="G21">
        <f t="shared" si="0"/>
        <v>2400</v>
      </c>
      <c r="H21">
        <f t="shared" si="1"/>
        <v>8612</v>
      </c>
      <c r="I21">
        <f t="shared" si="2"/>
        <v>8700</v>
      </c>
      <c r="J21">
        <f t="shared" si="3"/>
        <v>2488</v>
      </c>
      <c r="K21">
        <v>0.97</v>
      </c>
      <c r="L21">
        <f t="shared" si="4"/>
        <v>8439</v>
      </c>
      <c r="M21">
        <f t="shared" si="5"/>
        <v>2227</v>
      </c>
      <c r="N21">
        <f t="shared" si="12"/>
        <v>0</v>
      </c>
      <c r="O21">
        <f t="shared" si="6"/>
        <v>2227</v>
      </c>
      <c r="P21">
        <f t="shared" si="7"/>
        <v>-261</v>
      </c>
      <c r="Q21" s="2">
        <f t="shared" si="8"/>
        <v>0.97</v>
      </c>
      <c r="R21" t="str">
        <f>_xlfn.XLOOKUP(B21,Product_Line_Map!$A$2:$A$6,Product_Line_Map!$B$2:$B$6,"")</f>
        <v>L03</v>
      </c>
      <c r="S21" s="24">
        <f t="shared" si="9"/>
        <v>1.8556124270920129</v>
      </c>
      <c r="T21" t="str">
        <f t="shared" si="10"/>
        <v>LOW COVER</v>
      </c>
    </row>
    <row r="22" spans="1:20">
      <c r="A22" s="1">
        <f>Weekly_Product_Demand!A22</f>
        <v>46055</v>
      </c>
      <c r="B22" t="str">
        <f>Weekly_Product_Demand!B22</f>
        <v>P001</v>
      </c>
      <c r="C22">
        <f t="shared" si="14"/>
        <v>3729</v>
      </c>
      <c r="D22">
        <f>0</f>
        <v>0</v>
      </c>
      <c r="E22">
        <f t="shared" si="13"/>
        <v>3729</v>
      </c>
      <c r="F22">
        <f>SUMIFS(Weekly_Product_Demand!$D:$D,Weekly_Product_Demand!$A:$A,A22,Weekly_Product_Demand!$B:$B,B22)</f>
        <v>13516</v>
      </c>
      <c r="G22">
        <f t="shared" si="0"/>
        <v>3862</v>
      </c>
      <c r="H22">
        <f t="shared" si="1"/>
        <v>13649</v>
      </c>
      <c r="I22">
        <f t="shared" si="2"/>
        <v>13700</v>
      </c>
      <c r="J22">
        <f t="shared" si="3"/>
        <v>3913</v>
      </c>
      <c r="K22">
        <v>0.98</v>
      </c>
      <c r="L22">
        <f t="shared" si="4"/>
        <v>13426</v>
      </c>
      <c r="M22">
        <f t="shared" si="5"/>
        <v>3639</v>
      </c>
      <c r="N22">
        <f t="shared" si="12"/>
        <v>0</v>
      </c>
      <c r="O22">
        <f t="shared" si="6"/>
        <v>3639</v>
      </c>
      <c r="P22">
        <f t="shared" si="7"/>
        <v>-274</v>
      </c>
      <c r="Q22" s="2">
        <f t="shared" si="8"/>
        <v>0.98</v>
      </c>
      <c r="R22" t="str">
        <f>_xlfn.XLOOKUP(B22,Product_Line_Map!$A$2:$A$6,Product_Line_Map!$B$2:$B$6,"")</f>
        <v>L01</v>
      </c>
      <c r="S22" s="24">
        <f t="shared" si="9"/>
        <v>1.8846552234388871</v>
      </c>
      <c r="T22" t="str">
        <f t="shared" si="10"/>
        <v>LOW COVER</v>
      </c>
    </row>
    <row r="23" spans="1:20">
      <c r="A23" s="1">
        <f>Weekly_Product_Demand!A23</f>
        <v>46055</v>
      </c>
      <c r="B23" t="str">
        <f>Weekly_Product_Demand!B23</f>
        <v>P002</v>
      </c>
      <c r="C23">
        <f t="shared" si="14"/>
        <v>3659</v>
      </c>
      <c r="D23">
        <f>0</f>
        <v>0</v>
      </c>
      <c r="E23">
        <f t="shared" si="13"/>
        <v>3659</v>
      </c>
      <c r="F23">
        <f>SUMIFS(Weekly_Product_Demand!$D:$D,Weekly_Product_Demand!$A:$A,A23,Weekly_Product_Demand!$B:$B,B23)</f>
        <v>12031</v>
      </c>
      <c r="G23">
        <f t="shared" si="0"/>
        <v>3437</v>
      </c>
      <c r="H23">
        <f t="shared" si="1"/>
        <v>11809</v>
      </c>
      <c r="I23">
        <f t="shared" si="2"/>
        <v>11900</v>
      </c>
      <c r="J23">
        <f t="shared" si="3"/>
        <v>3528</v>
      </c>
      <c r="K23">
        <v>0.99</v>
      </c>
      <c r="L23">
        <f t="shared" si="4"/>
        <v>11781</v>
      </c>
      <c r="M23">
        <f t="shared" si="5"/>
        <v>3409</v>
      </c>
      <c r="N23">
        <f t="shared" si="12"/>
        <v>0</v>
      </c>
      <c r="O23">
        <f t="shared" si="6"/>
        <v>3409</v>
      </c>
      <c r="P23">
        <f t="shared" si="7"/>
        <v>-119</v>
      </c>
      <c r="Q23" s="2">
        <f t="shared" si="8"/>
        <v>0.99</v>
      </c>
      <c r="R23" t="str">
        <f>_xlfn.XLOOKUP(B23,Product_Line_Map!$A$2:$A$6,Product_Line_Map!$B$2:$B$6,"")</f>
        <v>L02</v>
      </c>
      <c r="S23" s="24">
        <f t="shared" si="9"/>
        <v>1.9834593965588894</v>
      </c>
      <c r="T23" t="str">
        <f t="shared" si="10"/>
        <v>LOW COVER</v>
      </c>
    </row>
    <row r="24" spans="1:20">
      <c r="A24" s="1">
        <f>Weekly_Product_Demand!A24</f>
        <v>46055</v>
      </c>
      <c r="B24" t="str">
        <f>Weekly_Product_Demand!B24</f>
        <v>P003</v>
      </c>
      <c r="C24">
        <f t="shared" si="14"/>
        <v>2976</v>
      </c>
      <c r="D24">
        <f>0</f>
        <v>0</v>
      </c>
      <c r="E24">
        <f t="shared" si="13"/>
        <v>2976</v>
      </c>
      <c r="F24">
        <f>SUMIFS(Weekly_Product_Demand!$D:$D,Weekly_Product_Demand!$A:$A,A24,Weekly_Product_Demand!$B:$B,B24)</f>
        <v>10398</v>
      </c>
      <c r="G24">
        <f t="shared" si="0"/>
        <v>2971</v>
      </c>
      <c r="H24">
        <f t="shared" si="1"/>
        <v>10393</v>
      </c>
      <c r="I24">
        <f t="shared" si="2"/>
        <v>10400</v>
      </c>
      <c r="J24">
        <f t="shared" si="3"/>
        <v>2978</v>
      </c>
      <c r="K24">
        <v>1</v>
      </c>
      <c r="L24">
        <f t="shared" si="4"/>
        <v>10400</v>
      </c>
      <c r="M24">
        <f t="shared" si="5"/>
        <v>2978</v>
      </c>
      <c r="N24">
        <f t="shared" si="12"/>
        <v>0</v>
      </c>
      <c r="O24">
        <f t="shared" si="6"/>
        <v>2978</v>
      </c>
      <c r="P24">
        <f t="shared" si="7"/>
        <v>0</v>
      </c>
      <c r="Q24" s="2">
        <f t="shared" si="8"/>
        <v>1</v>
      </c>
      <c r="R24" t="str">
        <f>_xlfn.XLOOKUP(B24,Product_Line_Map!$A$2:$A$6,Product_Line_Map!$B$2:$B$6,"")</f>
        <v>L03</v>
      </c>
      <c r="S24" s="24">
        <f t="shared" si="9"/>
        <v>2.0048086170417387</v>
      </c>
      <c r="T24" t="str">
        <f t="shared" si="10"/>
        <v>OK</v>
      </c>
    </row>
    <row r="25" spans="1:20">
      <c r="A25" s="1">
        <f>Weekly_Product_Demand!A25</f>
        <v>46055</v>
      </c>
      <c r="B25" t="str">
        <f>Weekly_Product_Demand!B25</f>
        <v>P004</v>
      </c>
      <c r="C25">
        <f t="shared" si="14"/>
        <v>2850</v>
      </c>
      <c r="D25">
        <f>0</f>
        <v>0</v>
      </c>
      <c r="E25">
        <f t="shared" si="13"/>
        <v>2850</v>
      </c>
      <c r="F25">
        <f>SUMIFS(Weekly_Product_Demand!$D:$D,Weekly_Product_Demand!$A:$A,A25,Weekly_Product_Demand!$B:$B,B25)</f>
        <v>10948</v>
      </c>
      <c r="G25">
        <f t="shared" si="0"/>
        <v>3128</v>
      </c>
      <c r="H25">
        <f t="shared" si="1"/>
        <v>11226</v>
      </c>
      <c r="I25">
        <f t="shared" si="2"/>
        <v>11300</v>
      </c>
      <c r="J25">
        <f t="shared" si="3"/>
        <v>3202</v>
      </c>
      <c r="K25">
        <v>1</v>
      </c>
      <c r="L25">
        <f t="shared" si="4"/>
        <v>11300</v>
      </c>
      <c r="M25">
        <f t="shared" si="5"/>
        <v>3202</v>
      </c>
      <c r="N25">
        <f t="shared" si="12"/>
        <v>0</v>
      </c>
      <c r="O25">
        <f t="shared" si="6"/>
        <v>3202</v>
      </c>
      <c r="P25">
        <f t="shared" si="7"/>
        <v>0</v>
      </c>
      <c r="Q25" s="2">
        <f t="shared" si="8"/>
        <v>1</v>
      </c>
      <c r="R25" t="str">
        <f>_xlfn.XLOOKUP(B25,Product_Line_Map!$A$2:$A$6,Product_Line_Map!$B$2:$B$6,"")</f>
        <v>L02</v>
      </c>
      <c r="S25" s="24">
        <f t="shared" si="9"/>
        <v>2.047314578005115</v>
      </c>
      <c r="T25" t="str">
        <f t="shared" si="10"/>
        <v>OK</v>
      </c>
    </row>
    <row r="26" spans="1:20">
      <c r="A26" s="1">
        <f>Weekly_Product_Demand!A26</f>
        <v>46055</v>
      </c>
      <c r="B26" t="str">
        <f>Weekly_Product_Demand!B26</f>
        <v>P005</v>
      </c>
      <c r="C26">
        <f t="shared" si="14"/>
        <v>2227</v>
      </c>
      <c r="D26">
        <f>0</f>
        <v>0</v>
      </c>
      <c r="E26">
        <f t="shared" si="13"/>
        <v>2227</v>
      </c>
      <c r="F26">
        <f>SUMIFS(Weekly_Product_Demand!$D:$D,Weekly_Product_Demand!$A:$A,A26,Weekly_Product_Demand!$B:$B,B26)</f>
        <v>8333</v>
      </c>
      <c r="G26">
        <f t="shared" si="0"/>
        <v>2381</v>
      </c>
      <c r="H26">
        <f t="shared" si="1"/>
        <v>8487</v>
      </c>
      <c r="I26">
        <f t="shared" si="2"/>
        <v>8500</v>
      </c>
      <c r="J26">
        <f t="shared" si="3"/>
        <v>2394</v>
      </c>
      <c r="K26">
        <v>1.02</v>
      </c>
      <c r="L26">
        <f t="shared" si="4"/>
        <v>8670</v>
      </c>
      <c r="M26">
        <f t="shared" si="5"/>
        <v>2564</v>
      </c>
      <c r="N26">
        <f t="shared" si="12"/>
        <v>0</v>
      </c>
      <c r="O26">
        <f t="shared" si="6"/>
        <v>2564</v>
      </c>
      <c r="P26">
        <f t="shared" si="7"/>
        <v>170</v>
      </c>
      <c r="Q26" s="2">
        <f t="shared" si="8"/>
        <v>1.02</v>
      </c>
      <c r="R26" t="str">
        <f>_xlfn.XLOOKUP(B26,Product_Line_Map!$A$2:$A$6,Product_Line_Map!$B$2:$B$6,"")</f>
        <v>L03</v>
      </c>
      <c r="S26" s="24">
        <f t="shared" si="9"/>
        <v>2.1538461538461542</v>
      </c>
      <c r="T26" t="str">
        <f t="shared" si="10"/>
        <v>OK</v>
      </c>
    </row>
    <row r="27" spans="1:20">
      <c r="A27" s="1">
        <f>Weekly_Product_Demand!A27</f>
        <v>46062</v>
      </c>
      <c r="B27" t="str">
        <f>Weekly_Product_Demand!B27</f>
        <v>P001</v>
      </c>
      <c r="C27">
        <f t="shared" si="14"/>
        <v>3639</v>
      </c>
      <c r="D27">
        <f>0</f>
        <v>0</v>
      </c>
      <c r="E27">
        <f t="shared" si="13"/>
        <v>3639</v>
      </c>
      <c r="F27">
        <f>SUMIFS(Weekly_Product_Demand!$D:$D,Weekly_Product_Demand!$A:$A,A27,Weekly_Product_Demand!$B:$B,B27)</f>
        <v>13537</v>
      </c>
      <c r="G27">
        <f t="shared" si="0"/>
        <v>3868</v>
      </c>
      <c r="H27">
        <f t="shared" si="1"/>
        <v>13766</v>
      </c>
      <c r="I27">
        <f t="shared" si="2"/>
        <v>13800</v>
      </c>
      <c r="J27">
        <f t="shared" si="3"/>
        <v>3902</v>
      </c>
      <c r="K27">
        <v>1.02</v>
      </c>
      <c r="L27">
        <f t="shared" si="4"/>
        <v>14076</v>
      </c>
      <c r="M27">
        <f t="shared" si="5"/>
        <v>4178</v>
      </c>
      <c r="N27">
        <f t="shared" si="12"/>
        <v>0</v>
      </c>
      <c r="O27">
        <f t="shared" si="6"/>
        <v>4178</v>
      </c>
      <c r="P27">
        <f t="shared" si="7"/>
        <v>276</v>
      </c>
      <c r="Q27" s="2">
        <f t="shared" si="8"/>
        <v>1.02</v>
      </c>
      <c r="R27" t="str">
        <f>_xlfn.XLOOKUP(B27,Product_Line_Map!$A$2:$A$6,Product_Line_Map!$B$2:$B$6,"")</f>
        <v>L01</v>
      </c>
      <c r="S27" s="24">
        <f t="shared" si="9"/>
        <v>2.1604491393957304</v>
      </c>
      <c r="T27" t="str">
        <f t="shared" si="10"/>
        <v>OK</v>
      </c>
    </row>
    <row r="28" spans="1:20">
      <c r="A28" s="1">
        <f>Weekly_Product_Demand!A28</f>
        <v>46062</v>
      </c>
      <c r="B28" t="str">
        <f>Weekly_Product_Demand!B28</f>
        <v>P002</v>
      </c>
      <c r="C28">
        <f t="shared" si="14"/>
        <v>3409</v>
      </c>
      <c r="D28">
        <f>0</f>
        <v>0</v>
      </c>
      <c r="E28">
        <f t="shared" si="13"/>
        <v>3409</v>
      </c>
      <c r="F28">
        <f>SUMIFS(Weekly_Product_Demand!$D:$D,Weekly_Product_Demand!$A:$A,A28,Weekly_Product_Demand!$B:$B,B28)</f>
        <v>12055</v>
      </c>
      <c r="G28">
        <f t="shared" si="0"/>
        <v>3444</v>
      </c>
      <c r="H28">
        <f t="shared" si="1"/>
        <v>12090</v>
      </c>
      <c r="I28">
        <f t="shared" si="2"/>
        <v>12100</v>
      </c>
      <c r="J28">
        <f t="shared" si="3"/>
        <v>3454</v>
      </c>
      <c r="K28">
        <v>1.02</v>
      </c>
      <c r="L28">
        <f t="shared" si="4"/>
        <v>12342</v>
      </c>
      <c r="M28">
        <f t="shared" si="5"/>
        <v>3696</v>
      </c>
      <c r="N28">
        <f t="shared" si="12"/>
        <v>0</v>
      </c>
      <c r="O28">
        <f t="shared" si="6"/>
        <v>3696</v>
      </c>
      <c r="P28">
        <f t="shared" si="7"/>
        <v>242</v>
      </c>
      <c r="Q28" s="2">
        <f t="shared" si="8"/>
        <v>1.02</v>
      </c>
      <c r="R28" t="str">
        <f>_xlfn.XLOOKUP(B28,Product_Line_Map!$A$2:$A$6,Product_Line_Map!$B$2:$B$6,"")</f>
        <v>L02</v>
      </c>
      <c r="S28" s="24">
        <f t="shared" si="9"/>
        <v>2.1461634176690172</v>
      </c>
      <c r="T28" t="str">
        <f t="shared" si="10"/>
        <v>OK</v>
      </c>
    </row>
    <row r="29" spans="1:20">
      <c r="A29" s="1">
        <f>Weekly_Product_Demand!A29</f>
        <v>46062</v>
      </c>
      <c r="B29" t="str">
        <f>Weekly_Product_Demand!B29</f>
        <v>P003</v>
      </c>
      <c r="C29">
        <f t="shared" si="14"/>
        <v>2978</v>
      </c>
      <c r="D29">
        <f>0</f>
        <v>0</v>
      </c>
      <c r="E29">
        <f t="shared" si="13"/>
        <v>2978</v>
      </c>
      <c r="F29">
        <f>SUMIFS(Weekly_Product_Demand!$D:$D,Weekly_Product_Demand!$A:$A,A29,Weekly_Product_Demand!$B:$B,B29)</f>
        <v>10259</v>
      </c>
      <c r="G29">
        <f t="shared" si="0"/>
        <v>2931</v>
      </c>
      <c r="H29">
        <f t="shared" si="1"/>
        <v>10212</v>
      </c>
      <c r="I29">
        <f t="shared" si="2"/>
        <v>10300</v>
      </c>
      <c r="J29">
        <f t="shared" si="3"/>
        <v>3019</v>
      </c>
      <c r="K29">
        <v>0.97</v>
      </c>
      <c r="L29">
        <f t="shared" si="4"/>
        <v>9991</v>
      </c>
      <c r="M29">
        <f t="shared" si="5"/>
        <v>2710</v>
      </c>
      <c r="N29">
        <f t="shared" si="12"/>
        <v>0</v>
      </c>
      <c r="O29">
        <f t="shared" si="6"/>
        <v>2710</v>
      </c>
      <c r="P29">
        <f t="shared" si="7"/>
        <v>-309</v>
      </c>
      <c r="Q29" s="2">
        <f t="shared" si="8"/>
        <v>0.97</v>
      </c>
      <c r="R29" t="str">
        <f>_xlfn.XLOOKUP(B29,Product_Line_Map!$A$2:$A$6,Product_Line_Map!$B$2:$B$6,"")</f>
        <v>L03</v>
      </c>
      <c r="S29" s="24">
        <f t="shared" si="9"/>
        <v>1.8491081002046983</v>
      </c>
      <c r="T29" t="str">
        <f t="shared" si="10"/>
        <v>LOW COVER</v>
      </c>
    </row>
    <row r="30" spans="1:20">
      <c r="A30" s="1">
        <f>Weekly_Product_Demand!A30</f>
        <v>46062</v>
      </c>
      <c r="B30" t="str">
        <f>Weekly_Product_Demand!B30</f>
        <v>P004</v>
      </c>
      <c r="C30">
        <f t="shared" si="14"/>
        <v>3202</v>
      </c>
      <c r="D30">
        <f>0</f>
        <v>0</v>
      </c>
      <c r="E30">
        <f t="shared" si="13"/>
        <v>3202</v>
      </c>
      <c r="F30">
        <f>SUMIFS(Weekly_Product_Demand!$D:$D,Weekly_Product_Demand!$A:$A,A30,Weekly_Product_Demand!$B:$B,B30)</f>
        <v>11052</v>
      </c>
      <c r="G30">
        <f t="shared" si="0"/>
        <v>3158</v>
      </c>
      <c r="H30">
        <f t="shared" si="1"/>
        <v>11008</v>
      </c>
      <c r="I30">
        <f t="shared" si="2"/>
        <v>11100</v>
      </c>
      <c r="J30">
        <f t="shared" si="3"/>
        <v>3250</v>
      </c>
      <c r="K30">
        <v>0.99</v>
      </c>
      <c r="L30">
        <f t="shared" si="4"/>
        <v>10989</v>
      </c>
      <c r="M30">
        <f t="shared" si="5"/>
        <v>3139</v>
      </c>
      <c r="N30">
        <f t="shared" si="12"/>
        <v>0</v>
      </c>
      <c r="O30">
        <f t="shared" si="6"/>
        <v>3139</v>
      </c>
      <c r="P30">
        <f t="shared" si="7"/>
        <v>-111</v>
      </c>
      <c r="Q30" s="2">
        <f t="shared" si="8"/>
        <v>0.99</v>
      </c>
      <c r="R30" t="str">
        <f>_xlfn.XLOOKUP(B30,Product_Line_Map!$A$2:$A$6,Product_Line_Map!$B$2:$B$6,"")</f>
        <v>L02</v>
      </c>
      <c r="S30" s="24">
        <f t="shared" si="9"/>
        <v>1.9881469417300035</v>
      </c>
      <c r="T30" t="str">
        <f t="shared" si="10"/>
        <v>LOW COVER</v>
      </c>
    </row>
    <row r="31" spans="1:20">
      <c r="A31" s="1">
        <f>Weekly_Product_Demand!A31</f>
        <v>46062</v>
      </c>
      <c r="B31" t="str">
        <f>Weekly_Product_Demand!B31</f>
        <v>P005</v>
      </c>
      <c r="C31">
        <f t="shared" si="14"/>
        <v>2564</v>
      </c>
      <c r="D31">
        <f>0</f>
        <v>0</v>
      </c>
      <c r="E31">
        <f t="shared" si="13"/>
        <v>2564</v>
      </c>
      <c r="F31">
        <f>SUMIFS(Weekly_Product_Demand!$D:$D,Weekly_Product_Demand!$A:$A,A31,Weekly_Product_Demand!$B:$B,B31)</f>
        <v>8288</v>
      </c>
      <c r="G31">
        <f t="shared" si="0"/>
        <v>2368</v>
      </c>
      <c r="H31">
        <f t="shared" si="1"/>
        <v>8092</v>
      </c>
      <c r="I31">
        <f t="shared" si="2"/>
        <v>8100</v>
      </c>
      <c r="J31">
        <f t="shared" si="3"/>
        <v>2376</v>
      </c>
      <c r="K31">
        <v>1.02</v>
      </c>
      <c r="L31">
        <f t="shared" si="4"/>
        <v>8262</v>
      </c>
      <c r="M31">
        <f t="shared" si="5"/>
        <v>2538</v>
      </c>
      <c r="N31">
        <f t="shared" si="12"/>
        <v>0</v>
      </c>
      <c r="O31">
        <f t="shared" si="6"/>
        <v>2538</v>
      </c>
      <c r="P31">
        <f t="shared" si="7"/>
        <v>162</v>
      </c>
      <c r="Q31" s="2">
        <f t="shared" si="8"/>
        <v>1.02</v>
      </c>
      <c r="R31" t="str">
        <f>_xlfn.XLOOKUP(B31,Product_Line_Map!$A$2:$A$6,Product_Line_Map!$B$2:$B$6,"")</f>
        <v>L03</v>
      </c>
      <c r="S31" s="24">
        <f t="shared" si="9"/>
        <v>2.1435810810810811</v>
      </c>
      <c r="T31" t="str">
        <f t="shared" si="10"/>
        <v>OK</v>
      </c>
    </row>
    <row r="32" spans="1:20">
      <c r="A32" s="1">
        <f>Weekly_Product_Demand!A32</f>
        <v>46069</v>
      </c>
      <c r="B32" t="str">
        <f>Weekly_Product_Demand!B32</f>
        <v>P001</v>
      </c>
      <c r="C32">
        <f t="shared" si="14"/>
        <v>4178</v>
      </c>
      <c r="D32">
        <f>0</f>
        <v>0</v>
      </c>
      <c r="E32">
        <f t="shared" si="13"/>
        <v>4178</v>
      </c>
      <c r="F32">
        <f>SUMIFS(Weekly_Product_Demand!$D:$D,Weekly_Product_Demand!$A:$A,A32,Weekly_Product_Demand!$B:$B,B32)</f>
        <v>13573</v>
      </c>
      <c r="G32">
        <f t="shared" si="0"/>
        <v>3878</v>
      </c>
      <c r="H32">
        <f t="shared" si="1"/>
        <v>13273</v>
      </c>
      <c r="I32">
        <f t="shared" si="2"/>
        <v>13300</v>
      </c>
      <c r="J32">
        <f t="shared" si="3"/>
        <v>3905</v>
      </c>
      <c r="K32">
        <v>0.98</v>
      </c>
      <c r="L32">
        <f t="shared" si="4"/>
        <v>13034</v>
      </c>
      <c r="M32">
        <f t="shared" si="5"/>
        <v>3639</v>
      </c>
      <c r="N32">
        <f t="shared" si="12"/>
        <v>0</v>
      </c>
      <c r="O32">
        <f t="shared" si="6"/>
        <v>3639</v>
      </c>
      <c r="P32">
        <f t="shared" si="7"/>
        <v>-266</v>
      </c>
      <c r="Q32" s="2">
        <f t="shared" si="8"/>
        <v>0.98</v>
      </c>
      <c r="R32" t="str">
        <f>_xlfn.XLOOKUP(B32,Product_Line_Map!$A$2:$A$6,Product_Line_Map!$B$2:$B$6,"")</f>
        <v>L01</v>
      </c>
      <c r="S32" s="24">
        <f t="shared" si="9"/>
        <v>1.8767405879319237</v>
      </c>
      <c r="T32" t="str">
        <f t="shared" si="10"/>
        <v>LOW COVER</v>
      </c>
    </row>
    <row r="33" spans="1:20">
      <c r="A33" s="1">
        <f>Weekly_Product_Demand!A33</f>
        <v>46069</v>
      </c>
      <c r="B33" t="str">
        <f>Weekly_Product_Demand!B33</f>
        <v>P002</v>
      </c>
      <c r="C33">
        <f t="shared" si="14"/>
        <v>3696</v>
      </c>
      <c r="D33">
        <f>0</f>
        <v>0</v>
      </c>
      <c r="E33">
        <f t="shared" si="13"/>
        <v>3696</v>
      </c>
      <c r="F33">
        <f>SUMIFS(Weekly_Product_Demand!$D:$D,Weekly_Product_Demand!$A:$A,A33,Weekly_Product_Demand!$B:$B,B33)</f>
        <v>11493</v>
      </c>
      <c r="G33">
        <f t="shared" si="0"/>
        <v>3284</v>
      </c>
      <c r="H33">
        <f t="shared" si="1"/>
        <v>11081</v>
      </c>
      <c r="I33">
        <f t="shared" si="2"/>
        <v>11100</v>
      </c>
      <c r="J33">
        <f t="shared" si="3"/>
        <v>3303</v>
      </c>
      <c r="K33">
        <v>0.98</v>
      </c>
      <c r="L33">
        <f t="shared" si="4"/>
        <v>10878</v>
      </c>
      <c r="M33">
        <f t="shared" si="5"/>
        <v>3081</v>
      </c>
      <c r="N33">
        <f t="shared" si="12"/>
        <v>0</v>
      </c>
      <c r="O33">
        <f t="shared" si="6"/>
        <v>3081</v>
      </c>
      <c r="P33">
        <f t="shared" si="7"/>
        <v>-222</v>
      </c>
      <c r="Q33" s="2">
        <f t="shared" si="8"/>
        <v>0.98</v>
      </c>
      <c r="R33" t="str">
        <f>_xlfn.XLOOKUP(B33,Product_Line_Map!$A$2:$A$6,Product_Line_Map!$B$2:$B$6,"")</f>
        <v>L02</v>
      </c>
      <c r="S33" s="24">
        <f t="shared" si="9"/>
        <v>1.8765335421560949</v>
      </c>
      <c r="T33" t="str">
        <f t="shared" si="10"/>
        <v>LOW COVER</v>
      </c>
    </row>
    <row r="34" spans="1:20">
      <c r="A34" s="1">
        <f>Weekly_Product_Demand!A34</f>
        <v>46069</v>
      </c>
      <c r="B34" t="str">
        <f>Weekly_Product_Demand!B34</f>
        <v>P003</v>
      </c>
      <c r="C34">
        <f t="shared" si="14"/>
        <v>2710</v>
      </c>
      <c r="D34">
        <f>0</f>
        <v>0</v>
      </c>
      <c r="E34">
        <f t="shared" si="13"/>
        <v>2710</v>
      </c>
      <c r="F34">
        <f>SUMIFS(Weekly_Product_Demand!$D:$D,Weekly_Product_Demand!$A:$A,A34,Weekly_Product_Demand!$B:$B,B34)</f>
        <v>9953</v>
      </c>
      <c r="G34">
        <f t="shared" si="0"/>
        <v>2844</v>
      </c>
      <c r="H34">
        <f t="shared" si="1"/>
        <v>10087</v>
      </c>
      <c r="I34">
        <f t="shared" si="2"/>
        <v>10100</v>
      </c>
      <c r="J34">
        <f t="shared" si="3"/>
        <v>2857</v>
      </c>
      <c r="K34">
        <v>1.02</v>
      </c>
      <c r="L34">
        <f t="shared" si="4"/>
        <v>10302</v>
      </c>
      <c r="M34">
        <f t="shared" si="5"/>
        <v>3059</v>
      </c>
      <c r="N34">
        <f t="shared" si="12"/>
        <v>0</v>
      </c>
      <c r="O34">
        <f t="shared" si="6"/>
        <v>3059</v>
      </c>
      <c r="P34">
        <f t="shared" si="7"/>
        <v>202</v>
      </c>
      <c r="Q34" s="2">
        <f t="shared" si="8"/>
        <v>1.02</v>
      </c>
      <c r="R34" t="str">
        <f>_xlfn.XLOOKUP(B34,Product_Line_Map!$A$2:$A$6,Product_Line_Map!$B$2:$B$6,"")</f>
        <v>L03</v>
      </c>
      <c r="S34" s="24">
        <f t="shared" si="9"/>
        <v>2.1514116346830101</v>
      </c>
      <c r="T34" t="str">
        <f t="shared" si="10"/>
        <v>OK</v>
      </c>
    </row>
    <row r="35" spans="1:20">
      <c r="A35" s="1">
        <f>Weekly_Product_Demand!A35</f>
        <v>46069</v>
      </c>
      <c r="B35" t="str">
        <f>Weekly_Product_Demand!B35</f>
        <v>P004</v>
      </c>
      <c r="C35">
        <f t="shared" si="14"/>
        <v>3139</v>
      </c>
      <c r="D35">
        <f>0</f>
        <v>0</v>
      </c>
      <c r="E35">
        <f t="shared" si="13"/>
        <v>3139</v>
      </c>
      <c r="F35">
        <f>SUMIFS(Weekly_Product_Demand!$D:$D,Weekly_Product_Demand!$A:$A,A35,Weekly_Product_Demand!$B:$B,B35)</f>
        <v>11090</v>
      </c>
      <c r="G35">
        <f t="shared" si="0"/>
        <v>3169</v>
      </c>
      <c r="H35">
        <f t="shared" si="1"/>
        <v>11120</v>
      </c>
      <c r="I35">
        <f t="shared" si="2"/>
        <v>11200</v>
      </c>
      <c r="J35">
        <f t="shared" si="3"/>
        <v>3249</v>
      </c>
      <c r="K35">
        <v>1.02</v>
      </c>
      <c r="L35">
        <f t="shared" si="4"/>
        <v>11424</v>
      </c>
      <c r="M35">
        <f t="shared" si="5"/>
        <v>3473</v>
      </c>
      <c r="N35">
        <f t="shared" si="12"/>
        <v>0</v>
      </c>
      <c r="O35">
        <f t="shared" si="6"/>
        <v>3473</v>
      </c>
      <c r="P35">
        <f t="shared" si="7"/>
        <v>224</v>
      </c>
      <c r="Q35" s="2">
        <f t="shared" si="8"/>
        <v>1.02</v>
      </c>
      <c r="R35" t="str">
        <f>_xlfn.XLOOKUP(B35,Product_Line_Map!$A$2:$A$6,Product_Line_Map!$B$2:$B$6,"")</f>
        <v>L02</v>
      </c>
      <c r="S35" s="24">
        <f t="shared" si="9"/>
        <v>2.192155094679892</v>
      </c>
      <c r="T35" t="str">
        <f t="shared" si="10"/>
        <v>OK</v>
      </c>
    </row>
    <row r="36" spans="1:20">
      <c r="A36" s="1">
        <f>Weekly_Product_Demand!A36</f>
        <v>46069</v>
      </c>
      <c r="B36" t="str">
        <f>Weekly_Product_Demand!B36</f>
        <v>P005</v>
      </c>
      <c r="C36">
        <f t="shared" si="14"/>
        <v>2538</v>
      </c>
      <c r="D36">
        <f>0</f>
        <v>0</v>
      </c>
      <c r="E36">
        <f t="shared" si="13"/>
        <v>2538</v>
      </c>
      <c r="F36">
        <f>SUMIFS(Weekly_Product_Demand!$D:$D,Weekly_Product_Demand!$A:$A,A36,Weekly_Product_Demand!$B:$B,B36)</f>
        <v>8365</v>
      </c>
      <c r="G36">
        <f t="shared" si="0"/>
        <v>2390</v>
      </c>
      <c r="H36">
        <f t="shared" si="1"/>
        <v>8217</v>
      </c>
      <c r="I36">
        <f t="shared" si="2"/>
        <v>8300</v>
      </c>
      <c r="J36">
        <f t="shared" si="3"/>
        <v>2473</v>
      </c>
      <c r="K36">
        <v>0.97</v>
      </c>
      <c r="L36">
        <f t="shared" si="4"/>
        <v>8051</v>
      </c>
      <c r="M36">
        <f t="shared" si="5"/>
        <v>2224</v>
      </c>
      <c r="N36">
        <f t="shared" si="12"/>
        <v>0</v>
      </c>
      <c r="O36">
        <f t="shared" si="6"/>
        <v>2224</v>
      </c>
      <c r="P36">
        <f t="shared" si="7"/>
        <v>-249</v>
      </c>
      <c r="Q36" s="2">
        <f t="shared" si="8"/>
        <v>0.97</v>
      </c>
      <c r="R36" t="str">
        <f>_xlfn.XLOOKUP(B36,Product_Line_Map!$A$2:$A$6,Product_Line_Map!$B$2:$B$6,"")</f>
        <v>L03</v>
      </c>
      <c r="S36" s="24">
        <f t="shared" si="9"/>
        <v>1.8610878661087866</v>
      </c>
      <c r="T36" t="str">
        <f t="shared" si="10"/>
        <v>LOW COVER</v>
      </c>
    </row>
    <row r="37" spans="1:20">
      <c r="A37" s="1">
        <f>Weekly_Product_Demand!A37</f>
        <v>46076</v>
      </c>
      <c r="B37" t="str">
        <f>Weekly_Product_Demand!B37</f>
        <v>P001</v>
      </c>
      <c r="C37">
        <f t="shared" si="14"/>
        <v>3639</v>
      </c>
      <c r="D37">
        <f>0</f>
        <v>0</v>
      </c>
      <c r="E37">
        <f t="shared" si="13"/>
        <v>3639</v>
      </c>
      <c r="F37">
        <f>SUMIFS(Weekly_Product_Demand!$D:$D,Weekly_Product_Demand!$A:$A,A37,Weekly_Product_Demand!$B:$B,B37)</f>
        <v>13253</v>
      </c>
      <c r="G37">
        <f t="shared" si="0"/>
        <v>3787</v>
      </c>
      <c r="H37">
        <f t="shared" si="1"/>
        <v>13401</v>
      </c>
      <c r="I37">
        <f t="shared" si="2"/>
        <v>13500</v>
      </c>
      <c r="J37">
        <f t="shared" si="3"/>
        <v>3886</v>
      </c>
      <c r="K37">
        <v>1</v>
      </c>
      <c r="L37">
        <f t="shared" si="4"/>
        <v>13500</v>
      </c>
      <c r="M37">
        <f t="shared" si="5"/>
        <v>3886</v>
      </c>
      <c r="N37">
        <f t="shared" si="12"/>
        <v>0</v>
      </c>
      <c r="O37">
        <f t="shared" si="6"/>
        <v>3886</v>
      </c>
      <c r="P37">
        <f t="shared" si="7"/>
        <v>0</v>
      </c>
      <c r="Q37" s="2">
        <f t="shared" si="8"/>
        <v>1</v>
      </c>
      <c r="R37" t="str">
        <f>_xlfn.XLOOKUP(B37,Product_Line_Map!$A$2:$A$6,Product_Line_Map!$B$2:$B$6,"")</f>
        <v>L01</v>
      </c>
      <c r="S37" s="24">
        <f t="shared" si="9"/>
        <v>2.0525164113785559</v>
      </c>
      <c r="T37" t="str">
        <f t="shared" si="10"/>
        <v>OK</v>
      </c>
    </row>
    <row r="38" spans="1:20">
      <c r="A38" s="1">
        <f>Weekly_Product_Demand!A38</f>
        <v>46076</v>
      </c>
      <c r="B38" t="str">
        <f>Weekly_Product_Demand!B38</f>
        <v>P002</v>
      </c>
      <c r="C38">
        <f t="shared" si="14"/>
        <v>3081</v>
      </c>
      <c r="D38">
        <f>0</f>
        <v>0</v>
      </c>
      <c r="E38">
        <f t="shared" si="13"/>
        <v>3081</v>
      </c>
      <c r="F38">
        <f>SUMIFS(Weekly_Product_Demand!$D:$D,Weekly_Product_Demand!$A:$A,A38,Weekly_Product_Demand!$B:$B,B38)</f>
        <v>11845</v>
      </c>
      <c r="G38">
        <f t="shared" si="0"/>
        <v>3384</v>
      </c>
      <c r="H38">
        <f t="shared" si="1"/>
        <v>12148</v>
      </c>
      <c r="I38">
        <f t="shared" si="2"/>
        <v>12200</v>
      </c>
      <c r="J38">
        <f t="shared" si="3"/>
        <v>3436</v>
      </c>
      <c r="K38">
        <v>0.98</v>
      </c>
      <c r="L38">
        <f t="shared" si="4"/>
        <v>11956</v>
      </c>
      <c r="M38">
        <f t="shared" si="5"/>
        <v>3192</v>
      </c>
      <c r="N38">
        <f t="shared" si="12"/>
        <v>0</v>
      </c>
      <c r="O38">
        <f t="shared" si="6"/>
        <v>3192</v>
      </c>
      <c r="P38">
        <f t="shared" si="7"/>
        <v>-244</v>
      </c>
      <c r="Q38" s="2">
        <f t="shared" si="8"/>
        <v>0.98</v>
      </c>
      <c r="R38" t="str">
        <f>_xlfn.XLOOKUP(B38,Product_Line_Map!$A$2:$A$6,Product_Line_Map!$B$2:$B$6,"")</f>
        <v>L02</v>
      </c>
      <c r="S38" s="24">
        <f t="shared" si="9"/>
        <v>1.8863655550865344</v>
      </c>
      <c r="T38" t="str">
        <f t="shared" si="10"/>
        <v>LOW COVER</v>
      </c>
    </row>
    <row r="39" spans="1:20">
      <c r="A39" s="1">
        <f>Weekly_Product_Demand!A39</f>
        <v>46076</v>
      </c>
      <c r="B39" t="str">
        <f>Weekly_Product_Demand!B39</f>
        <v>P003</v>
      </c>
      <c r="C39">
        <f t="shared" si="14"/>
        <v>3059</v>
      </c>
      <c r="D39">
        <f>0</f>
        <v>0</v>
      </c>
      <c r="E39">
        <f t="shared" si="13"/>
        <v>3059</v>
      </c>
      <c r="F39">
        <f>SUMIFS(Weekly_Product_Demand!$D:$D,Weekly_Product_Demand!$A:$A,A39,Weekly_Product_Demand!$B:$B,B39)</f>
        <v>10193</v>
      </c>
      <c r="G39">
        <f t="shared" si="0"/>
        <v>2912</v>
      </c>
      <c r="H39">
        <f t="shared" si="1"/>
        <v>10046</v>
      </c>
      <c r="I39">
        <f t="shared" si="2"/>
        <v>10100</v>
      </c>
      <c r="J39">
        <f t="shared" si="3"/>
        <v>2966</v>
      </c>
      <c r="K39">
        <v>1</v>
      </c>
      <c r="L39">
        <f t="shared" si="4"/>
        <v>10100</v>
      </c>
      <c r="M39">
        <f t="shared" si="5"/>
        <v>2966</v>
      </c>
      <c r="N39">
        <f t="shared" si="12"/>
        <v>0</v>
      </c>
      <c r="O39">
        <f t="shared" si="6"/>
        <v>2966</v>
      </c>
      <c r="P39">
        <f t="shared" si="7"/>
        <v>0</v>
      </c>
      <c r="Q39" s="2">
        <f t="shared" si="8"/>
        <v>1</v>
      </c>
      <c r="R39" t="str">
        <f>_xlfn.XLOOKUP(B39,Product_Line_Map!$A$2:$A$6,Product_Line_Map!$B$2:$B$6,"")</f>
        <v>L03</v>
      </c>
      <c r="S39" s="24">
        <f t="shared" si="9"/>
        <v>2.0368880604336308</v>
      </c>
      <c r="T39" t="str">
        <f t="shared" si="10"/>
        <v>OK</v>
      </c>
    </row>
    <row r="40" spans="1:20">
      <c r="A40" s="1">
        <f>Weekly_Product_Demand!A40</f>
        <v>46076</v>
      </c>
      <c r="B40" t="str">
        <f>Weekly_Product_Demand!B40</f>
        <v>P004</v>
      </c>
      <c r="C40">
        <f t="shared" si="14"/>
        <v>3473</v>
      </c>
      <c r="D40">
        <f>0</f>
        <v>0</v>
      </c>
      <c r="E40">
        <f t="shared" si="13"/>
        <v>3473</v>
      </c>
      <c r="F40">
        <f>SUMIFS(Weekly_Product_Demand!$D:$D,Weekly_Product_Demand!$A:$A,A40,Weekly_Product_Demand!$B:$B,B40)</f>
        <v>10636</v>
      </c>
      <c r="G40">
        <f t="shared" si="0"/>
        <v>3039</v>
      </c>
      <c r="H40">
        <f t="shared" si="1"/>
        <v>10202</v>
      </c>
      <c r="I40">
        <f t="shared" si="2"/>
        <v>10300</v>
      </c>
      <c r="J40">
        <f t="shared" si="3"/>
        <v>3137</v>
      </c>
      <c r="K40">
        <v>1.02</v>
      </c>
      <c r="L40">
        <f t="shared" si="4"/>
        <v>10506</v>
      </c>
      <c r="M40">
        <f t="shared" si="5"/>
        <v>3343</v>
      </c>
      <c r="N40">
        <f t="shared" si="12"/>
        <v>0</v>
      </c>
      <c r="O40">
        <f t="shared" si="6"/>
        <v>3343</v>
      </c>
      <c r="P40">
        <f t="shared" si="7"/>
        <v>206</v>
      </c>
      <c r="Q40" s="2">
        <f t="shared" si="8"/>
        <v>1.02</v>
      </c>
      <c r="R40" t="str">
        <f>_xlfn.XLOOKUP(B40,Product_Line_Map!$A$2:$A$6,Product_Line_Map!$B$2:$B$6,"")</f>
        <v>L02</v>
      </c>
      <c r="S40" s="24">
        <f t="shared" si="9"/>
        <v>2.2001692365550962</v>
      </c>
      <c r="T40" t="str">
        <f t="shared" si="10"/>
        <v>OK</v>
      </c>
    </row>
    <row r="41" spans="1:20">
      <c r="A41" s="1">
        <f>Weekly_Product_Demand!A41</f>
        <v>46076</v>
      </c>
      <c r="B41" t="str">
        <f>Weekly_Product_Demand!B41</f>
        <v>P005</v>
      </c>
      <c r="C41">
        <f t="shared" si="14"/>
        <v>2224</v>
      </c>
      <c r="D41">
        <f>0</f>
        <v>0</v>
      </c>
      <c r="E41">
        <f t="shared" si="13"/>
        <v>2224</v>
      </c>
      <c r="F41">
        <f>SUMIFS(Weekly_Product_Demand!$D:$D,Weekly_Product_Demand!$A:$A,A41,Weekly_Product_Demand!$B:$B,B41)</f>
        <v>8304</v>
      </c>
      <c r="G41">
        <f t="shared" si="0"/>
        <v>2373</v>
      </c>
      <c r="H41">
        <f t="shared" si="1"/>
        <v>8453</v>
      </c>
      <c r="I41">
        <f t="shared" si="2"/>
        <v>8500</v>
      </c>
      <c r="J41">
        <f t="shared" si="3"/>
        <v>2420</v>
      </c>
      <c r="K41">
        <v>1</v>
      </c>
      <c r="L41">
        <f t="shared" si="4"/>
        <v>8500</v>
      </c>
      <c r="M41">
        <f t="shared" si="5"/>
        <v>2420</v>
      </c>
      <c r="N41">
        <f t="shared" si="12"/>
        <v>0</v>
      </c>
      <c r="O41">
        <f t="shared" si="6"/>
        <v>2420</v>
      </c>
      <c r="P41">
        <f t="shared" si="7"/>
        <v>0</v>
      </c>
      <c r="Q41" s="2">
        <f t="shared" si="8"/>
        <v>1</v>
      </c>
      <c r="R41" t="str">
        <f>_xlfn.XLOOKUP(B41,Product_Line_Map!$A$2:$A$6,Product_Line_Map!$B$2:$B$6,"")</f>
        <v>L03</v>
      </c>
      <c r="S41" s="24">
        <f t="shared" si="9"/>
        <v>2.0399807321772641</v>
      </c>
      <c r="T41" t="str">
        <f t="shared" si="10"/>
        <v>OK</v>
      </c>
    </row>
    <row r="42" spans="1:20">
      <c r="A42" s="1">
        <f>Weekly_Product_Demand!A42</f>
        <v>46083</v>
      </c>
      <c r="B42" t="str">
        <f>Weekly_Product_Demand!B42</f>
        <v>P001</v>
      </c>
      <c r="C42">
        <f t="shared" si="14"/>
        <v>3886</v>
      </c>
      <c r="D42">
        <f>0</f>
        <v>0</v>
      </c>
      <c r="E42">
        <f t="shared" si="13"/>
        <v>3886</v>
      </c>
      <c r="F42">
        <f>SUMIFS(Weekly_Product_Demand!$D:$D,Weekly_Product_Demand!$A:$A,A42,Weekly_Product_Demand!$B:$B,B42)</f>
        <v>14401</v>
      </c>
      <c r="G42">
        <f t="shared" si="0"/>
        <v>4115</v>
      </c>
      <c r="H42">
        <f t="shared" si="1"/>
        <v>14630</v>
      </c>
      <c r="I42">
        <f t="shared" si="2"/>
        <v>14700</v>
      </c>
      <c r="J42">
        <f t="shared" si="3"/>
        <v>4185</v>
      </c>
      <c r="K42">
        <v>0.97</v>
      </c>
      <c r="L42">
        <f t="shared" si="4"/>
        <v>14259</v>
      </c>
      <c r="M42">
        <f t="shared" si="5"/>
        <v>3744</v>
      </c>
      <c r="N42">
        <f t="shared" si="12"/>
        <v>0</v>
      </c>
      <c r="O42">
        <f t="shared" si="6"/>
        <v>3744</v>
      </c>
      <c r="P42">
        <f t="shared" si="7"/>
        <v>-441</v>
      </c>
      <c r="Q42" s="2">
        <f t="shared" si="8"/>
        <v>0.97</v>
      </c>
      <c r="R42" t="str">
        <f>_xlfn.XLOOKUP(B42,Product_Line_Map!$A$2:$A$6,Product_Line_Map!$B$2:$B$6,"")</f>
        <v>L01</v>
      </c>
      <c r="S42" s="24">
        <f t="shared" si="9"/>
        <v>1.8198736198875078</v>
      </c>
      <c r="T42" t="str">
        <f t="shared" si="10"/>
        <v>LOW COVER</v>
      </c>
    </row>
    <row r="43" spans="1:20">
      <c r="A43" s="1">
        <f>Weekly_Product_Demand!A43</f>
        <v>46083</v>
      </c>
      <c r="B43" t="str">
        <f>Weekly_Product_Demand!B43</f>
        <v>P002</v>
      </c>
      <c r="C43">
        <f t="shared" si="14"/>
        <v>3192</v>
      </c>
      <c r="D43">
        <f>0</f>
        <v>0</v>
      </c>
      <c r="E43">
        <f t="shared" si="13"/>
        <v>3192</v>
      </c>
      <c r="F43">
        <f>SUMIFS(Weekly_Product_Demand!$D:$D,Weekly_Product_Demand!$A:$A,A43,Weekly_Product_Demand!$B:$B,B43)</f>
        <v>12515</v>
      </c>
      <c r="G43">
        <f t="shared" si="0"/>
        <v>3576</v>
      </c>
      <c r="H43">
        <f t="shared" si="1"/>
        <v>12899</v>
      </c>
      <c r="I43">
        <f t="shared" si="2"/>
        <v>12900</v>
      </c>
      <c r="J43">
        <f t="shared" si="3"/>
        <v>3577</v>
      </c>
      <c r="K43">
        <v>0.99</v>
      </c>
      <c r="L43">
        <f t="shared" si="4"/>
        <v>12771</v>
      </c>
      <c r="M43">
        <f t="shared" si="5"/>
        <v>3448</v>
      </c>
      <c r="N43">
        <f t="shared" si="12"/>
        <v>0</v>
      </c>
      <c r="O43">
        <f t="shared" si="6"/>
        <v>3448</v>
      </c>
      <c r="P43">
        <f t="shared" si="7"/>
        <v>-129</v>
      </c>
      <c r="Q43" s="2">
        <f t="shared" si="8"/>
        <v>0.99</v>
      </c>
      <c r="R43" t="str">
        <f>_xlfn.XLOOKUP(B43,Product_Line_Map!$A$2:$A$6,Product_Line_Map!$B$2:$B$6,"")</f>
        <v>L02</v>
      </c>
      <c r="S43" s="24">
        <f t="shared" si="9"/>
        <v>1.9285657211346383</v>
      </c>
      <c r="T43" t="str">
        <f t="shared" si="10"/>
        <v>LOW COVER</v>
      </c>
    </row>
    <row r="44" spans="1:20">
      <c r="A44" s="1">
        <f>Weekly_Product_Demand!A44</f>
        <v>46083</v>
      </c>
      <c r="B44" t="str">
        <f>Weekly_Product_Demand!B44</f>
        <v>P003</v>
      </c>
      <c r="C44">
        <f t="shared" si="14"/>
        <v>2966</v>
      </c>
      <c r="D44">
        <f>0</f>
        <v>0</v>
      </c>
      <c r="E44">
        <f t="shared" si="13"/>
        <v>2966</v>
      </c>
      <c r="F44">
        <f>SUMIFS(Weekly_Product_Demand!$D:$D,Weekly_Product_Demand!$A:$A,A44,Weekly_Product_Demand!$B:$B,B44)</f>
        <v>10827</v>
      </c>
      <c r="G44">
        <f t="shared" si="0"/>
        <v>3093</v>
      </c>
      <c r="H44">
        <f t="shared" si="1"/>
        <v>10954</v>
      </c>
      <c r="I44">
        <f t="shared" si="2"/>
        <v>11000</v>
      </c>
      <c r="J44">
        <f t="shared" si="3"/>
        <v>3139</v>
      </c>
      <c r="K44">
        <v>0.99</v>
      </c>
      <c r="L44">
        <f t="shared" si="4"/>
        <v>10890</v>
      </c>
      <c r="M44">
        <f t="shared" si="5"/>
        <v>3029</v>
      </c>
      <c r="N44">
        <f t="shared" si="12"/>
        <v>0</v>
      </c>
      <c r="O44">
        <f t="shared" si="6"/>
        <v>3029</v>
      </c>
      <c r="P44">
        <f t="shared" si="7"/>
        <v>-110</v>
      </c>
      <c r="Q44" s="2">
        <f t="shared" si="8"/>
        <v>0.99</v>
      </c>
      <c r="R44" t="str">
        <f>_xlfn.XLOOKUP(B44,Product_Line_Map!$A$2:$A$6,Product_Line_Map!$B$2:$B$6,"")</f>
        <v>L03</v>
      </c>
      <c r="S44" s="24">
        <f t="shared" si="9"/>
        <v>1.9583448785443798</v>
      </c>
      <c r="T44" t="str">
        <f t="shared" si="10"/>
        <v>LOW COVER</v>
      </c>
    </row>
    <row r="45" spans="1:20">
      <c r="A45" s="1">
        <f>Weekly_Product_Demand!A45</f>
        <v>46083</v>
      </c>
      <c r="B45" t="str">
        <f>Weekly_Product_Demand!B45</f>
        <v>P004</v>
      </c>
      <c r="C45">
        <f t="shared" si="14"/>
        <v>3343</v>
      </c>
      <c r="D45">
        <f>0</f>
        <v>0</v>
      </c>
      <c r="E45">
        <f t="shared" si="13"/>
        <v>3343</v>
      </c>
      <c r="F45">
        <f>SUMIFS(Weekly_Product_Demand!$D:$D,Weekly_Product_Demand!$A:$A,A45,Weekly_Product_Demand!$B:$B,B45)</f>
        <v>11698</v>
      </c>
      <c r="G45">
        <f t="shared" si="0"/>
        <v>3342</v>
      </c>
      <c r="H45">
        <f t="shared" si="1"/>
        <v>11697</v>
      </c>
      <c r="I45">
        <f t="shared" si="2"/>
        <v>11700</v>
      </c>
      <c r="J45">
        <f t="shared" si="3"/>
        <v>3345</v>
      </c>
      <c r="K45">
        <v>1</v>
      </c>
      <c r="L45">
        <f t="shared" si="4"/>
        <v>11700</v>
      </c>
      <c r="M45">
        <f t="shared" si="5"/>
        <v>3345</v>
      </c>
      <c r="N45">
        <f t="shared" si="12"/>
        <v>0</v>
      </c>
      <c r="O45">
        <f t="shared" si="6"/>
        <v>3345</v>
      </c>
      <c r="P45">
        <f t="shared" si="7"/>
        <v>0</v>
      </c>
      <c r="Q45" s="2">
        <f t="shared" si="8"/>
        <v>1</v>
      </c>
      <c r="R45" t="str">
        <f>_xlfn.XLOOKUP(B45,Product_Line_Map!$A$2:$A$6,Product_Line_Map!$B$2:$B$6,"")</f>
        <v>L02</v>
      </c>
      <c r="S45" s="24">
        <f t="shared" si="9"/>
        <v>2.0016242092665415</v>
      </c>
      <c r="T45" t="str">
        <f t="shared" si="10"/>
        <v>OK</v>
      </c>
    </row>
    <row r="46" spans="1:20">
      <c r="A46" s="1">
        <f>Weekly_Product_Demand!A46</f>
        <v>46083</v>
      </c>
      <c r="B46" t="str">
        <f>Weekly_Product_Demand!B46</f>
        <v>P005</v>
      </c>
      <c r="C46">
        <f t="shared" si="14"/>
        <v>2420</v>
      </c>
      <c r="D46">
        <f>0</f>
        <v>0</v>
      </c>
      <c r="E46">
        <f t="shared" si="13"/>
        <v>2420</v>
      </c>
      <c r="F46">
        <f>SUMIFS(Weekly_Product_Demand!$D:$D,Weekly_Product_Demand!$A:$A,A46,Weekly_Product_Demand!$B:$B,B46)</f>
        <v>8850</v>
      </c>
      <c r="G46">
        <f t="shared" si="0"/>
        <v>2529</v>
      </c>
      <c r="H46">
        <f t="shared" si="1"/>
        <v>8959</v>
      </c>
      <c r="I46">
        <f t="shared" si="2"/>
        <v>9000</v>
      </c>
      <c r="J46">
        <f t="shared" si="3"/>
        <v>2570</v>
      </c>
      <c r="K46">
        <v>0.99</v>
      </c>
      <c r="L46">
        <f t="shared" si="4"/>
        <v>8910</v>
      </c>
      <c r="M46">
        <f t="shared" si="5"/>
        <v>2480</v>
      </c>
      <c r="N46">
        <f t="shared" si="12"/>
        <v>0</v>
      </c>
      <c r="O46">
        <f t="shared" si="6"/>
        <v>2480</v>
      </c>
      <c r="P46">
        <f t="shared" si="7"/>
        <v>-90</v>
      </c>
      <c r="Q46" s="2">
        <f t="shared" si="8"/>
        <v>0.99</v>
      </c>
      <c r="R46" t="str">
        <f>_xlfn.XLOOKUP(B46,Product_Line_Map!$A$2:$A$6,Product_Line_Map!$B$2:$B$6,"")</f>
        <v>L03</v>
      </c>
      <c r="S46" s="24">
        <f t="shared" si="9"/>
        <v>1.9615819209039549</v>
      </c>
      <c r="T46" t="str">
        <f t="shared" si="10"/>
        <v>LOW COVER</v>
      </c>
    </row>
    <row r="47" spans="1:20">
      <c r="A47" s="1">
        <f>Weekly_Product_Demand!A47</f>
        <v>46090</v>
      </c>
      <c r="B47" t="str">
        <f>Weekly_Product_Demand!B47</f>
        <v>P001</v>
      </c>
      <c r="C47">
        <f t="shared" si="14"/>
        <v>3744</v>
      </c>
      <c r="D47">
        <f>0</f>
        <v>0</v>
      </c>
      <c r="E47">
        <f t="shared" si="13"/>
        <v>3744</v>
      </c>
      <c r="F47">
        <f>SUMIFS(Weekly_Product_Demand!$D:$D,Weekly_Product_Demand!$A:$A,A47,Weekly_Product_Demand!$B:$B,B47)</f>
        <v>14270</v>
      </c>
      <c r="G47">
        <f t="shared" si="0"/>
        <v>4077</v>
      </c>
      <c r="H47">
        <f t="shared" si="1"/>
        <v>14603</v>
      </c>
      <c r="I47">
        <f t="shared" si="2"/>
        <v>14700</v>
      </c>
      <c r="J47">
        <f t="shared" si="3"/>
        <v>4174</v>
      </c>
      <c r="K47">
        <v>0.99</v>
      </c>
      <c r="L47">
        <f t="shared" si="4"/>
        <v>14553</v>
      </c>
      <c r="M47">
        <f t="shared" si="5"/>
        <v>4027</v>
      </c>
      <c r="N47">
        <f t="shared" si="12"/>
        <v>0</v>
      </c>
      <c r="O47">
        <f t="shared" si="6"/>
        <v>4027</v>
      </c>
      <c r="P47">
        <f t="shared" si="7"/>
        <v>-147</v>
      </c>
      <c r="Q47" s="2">
        <f t="shared" si="8"/>
        <v>0.99</v>
      </c>
      <c r="R47" t="str">
        <f>_xlfn.XLOOKUP(B47,Product_Line_Map!$A$2:$A$6,Product_Line_Map!$B$2:$B$6,"")</f>
        <v>L01</v>
      </c>
      <c r="S47" s="24">
        <f t="shared" si="9"/>
        <v>1.9754029432375613</v>
      </c>
      <c r="T47" t="str">
        <f t="shared" si="10"/>
        <v>LOW COVER</v>
      </c>
    </row>
    <row r="48" spans="1:20">
      <c r="A48" s="1">
        <f>Weekly_Product_Demand!A48</f>
        <v>46090</v>
      </c>
      <c r="B48" t="str">
        <f>Weekly_Product_Demand!B48</f>
        <v>P002</v>
      </c>
      <c r="C48">
        <f t="shared" si="14"/>
        <v>3448</v>
      </c>
      <c r="D48">
        <f>0</f>
        <v>0</v>
      </c>
      <c r="E48">
        <f t="shared" si="13"/>
        <v>3448</v>
      </c>
      <c r="F48">
        <f>SUMIFS(Weekly_Product_Demand!$D:$D,Weekly_Product_Demand!$A:$A,A48,Weekly_Product_Demand!$B:$B,B48)</f>
        <v>12406</v>
      </c>
      <c r="G48">
        <f t="shared" si="0"/>
        <v>3545</v>
      </c>
      <c r="H48">
        <f t="shared" si="1"/>
        <v>12503</v>
      </c>
      <c r="I48">
        <f t="shared" si="2"/>
        <v>12600</v>
      </c>
      <c r="J48">
        <f t="shared" si="3"/>
        <v>3642</v>
      </c>
      <c r="K48">
        <v>1.01</v>
      </c>
      <c r="L48">
        <f t="shared" si="4"/>
        <v>12726</v>
      </c>
      <c r="M48">
        <f t="shared" si="5"/>
        <v>3768</v>
      </c>
      <c r="N48">
        <f t="shared" si="12"/>
        <v>0</v>
      </c>
      <c r="O48">
        <f t="shared" si="6"/>
        <v>3768</v>
      </c>
      <c r="P48">
        <f t="shared" si="7"/>
        <v>126</v>
      </c>
      <c r="Q48" s="2">
        <f t="shared" si="8"/>
        <v>1.01</v>
      </c>
      <c r="R48" t="str">
        <f>_xlfn.XLOOKUP(B48,Product_Line_Map!$A$2:$A$6,Product_Line_Map!$B$2:$B$6,"")</f>
        <v>L02</v>
      </c>
      <c r="S48" s="24">
        <f t="shared" si="9"/>
        <v>2.1260680315976139</v>
      </c>
      <c r="T48" t="str">
        <f t="shared" si="10"/>
        <v>OK</v>
      </c>
    </row>
    <row r="49" spans="1:20">
      <c r="A49" s="1">
        <f>Weekly_Product_Demand!A49</f>
        <v>46090</v>
      </c>
      <c r="B49" t="str">
        <f>Weekly_Product_Demand!B49</f>
        <v>P003</v>
      </c>
      <c r="C49">
        <f t="shared" si="14"/>
        <v>3029</v>
      </c>
      <c r="D49">
        <f>0</f>
        <v>0</v>
      </c>
      <c r="E49">
        <f t="shared" si="13"/>
        <v>3029</v>
      </c>
      <c r="F49">
        <f>SUMIFS(Weekly_Product_Demand!$D:$D,Weekly_Product_Demand!$A:$A,A49,Weekly_Product_Demand!$B:$B,B49)</f>
        <v>11176</v>
      </c>
      <c r="G49">
        <f t="shared" si="0"/>
        <v>3193</v>
      </c>
      <c r="H49">
        <f t="shared" si="1"/>
        <v>11340</v>
      </c>
      <c r="I49">
        <f t="shared" si="2"/>
        <v>11400</v>
      </c>
      <c r="J49">
        <f t="shared" si="3"/>
        <v>3253</v>
      </c>
      <c r="K49">
        <v>0.99</v>
      </c>
      <c r="L49">
        <f t="shared" si="4"/>
        <v>11286</v>
      </c>
      <c r="M49">
        <f t="shared" si="5"/>
        <v>3139</v>
      </c>
      <c r="N49">
        <f t="shared" si="12"/>
        <v>0</v>
      </c>
      <c r="O49">
        <f t="shared" si="6"/>
        <v>3139</v>
      </c>
      <c r="P49">
        <f t="shared" si="7"/>
        <v>-114</v>
      </c>
      <c r="Q49" s="2">
        <f t="shared" si="8"/>
        <v>0.99</v>
      </c>
      <c r="R49" t="str">
        <f>_xlfn.XLOOKUP(B49,Product_Line_Map!$A$2:$A$6,Product_Line_Map!$B$2:$B$6,"")</f>
        <v>L03</v>
      </c>
      <c r="S49" s="24">
        <f t="shared" si="9"/>
        <v>1.9660880458124552</v>
      </c>
      <c r="T49" t="str">
        <f t="shared" si="10"/>
        <v>LOW COVER</v>
      </c>
    </row>
    <row r="50" spans="1:20">
      <c r="A50" s="1">
        <f>Weekly_Product_Demand!A50</f>
        <v>46090</v>
      </c>
      <c r="B50" t="str">
        <f>Weekly_Product_Demand!B50</f>
        <v>P004</v>
      </c>
      <c r="C50">
        <f t="shared" si="14"/>
        <v>3345</v>
      </c>
      <c r="D50">
        <f>0</f>
        <v>0</v>
      </c>
      <c r="E50">
        <f t="shared" si="13"/>
        <v>3345</v>
      </c>
      <c r="F50">
        <f>SUMIFS(Weekly_Product_Demand!$D:$D,Weekly_Product_Demand!$A:$A,A50,Weekly_Product_Demand!$B:$B,B50)</f>
        <v>11201</v>
      </c>
      <c r="G50">
        <f t="shared" si="0"/>
        <v>3200</v>
      </c>
      <c r="H50">
        <f t="shared" si="1"/>
        <v>11056</v>
      </c>
      <c r="I50">
        <f t="shared" si="2"/>
        <v>11100</v>
      </c>
      <c r="J50">
        <f t="shared" si="3"/>
        <v>3244</v>
      </c>
      <c r="K50">
        <v>0.99</v>
      </c>
      <c r="L50">
        <f t="shared" si="4"/>
        <v>10989</v>
      </c>
      <c r="M50">
        <f t="shared" si="5"/>
        <v>3133</v>
      </c>
      <c r="N50">
        <f t="shared" si="12"/>
        <v>0</v>
      </c>
      <c r="O50">
        <f t="shared" si="6"/>
        <v>3133</v>
      </c>
      <c r="P50">
        <f t="shared" si="7"/>
        <v>-111</v>
      </c>
      <c r="Q50" s="2">
        <f t="shared" si="8"/>
        <v>0.99</v>
      </c>
      <c r="R50" t="str">
        <f>_xlfn.XLOOKUP(B50,Product_Line_Map!$A$2:$A$6,Product_Line_Map!$B$2:$B$6,"")</f>
        <v>L02</v>
      </c>
      <c r="S50" s="24">
        <f t="shared" si="9"/>
        <v>1.9579501830193733</v>
      </c>
      <c r="T50" t="str">
        <f t="shared" si="10"/>
        <v>LOW COVER</v>
      </c>
    </row>
    <row r="51" spans="1:20">
      <c r="A51" s="1">
        <f>Weekly_Product_Demand!A51</f>
        <v>46090</v>
      </c>
      <c r="B51" t="str">
        <f>Weekly_Product_Demand!B51</f>
        <v>P005</v>
      </c>
      <c r="C51">
        <f t="shared" si="14"/>
        <v>2480</v>
      </c>
      <c r="D51">
        <f>0</f>
        <v>0</v>
      </c>
      <c r="E51">
        <f t="shared" si="13"/>
        <v>2480</v>
      </c>
      <c r="F51">
        <f>SUMIFS(Weekly_Product_Demand!$D:$D,Weekly_Product_Demand!$A:$A,A51,Weekly_Product_Demand!$B:$B,B51)</f>
        <v>8613</v>
      </c>
      <c r="G51">
        <f t="shared" si="0"/>
        <v>2461</v>
      </c>
      <c r="H51">
        <f t="shared" si="1"/>
        <v>8594</v>
      </c>
      <c r="I51">
        <f t="shared" si="2"/>
        <v>8600</v>
      </c>
      <c r="J51">
        <f t="shared" si="3"/>
        <v>2467</v>
      </c>
      <c r="K51">
        <v>1.01</v>
      </c>
      <c r="L51">
        <f t="shared" si="4"/>
        <v>8686</v>
      </c>
      <c r="M51">
        <f t="shared" si="5"/>
        <v>2553</v>
      </c>
      <c r="N51">
        <f t="shared" si="12"/>
        <v>0</v>
      </c>
      <c r="O51">
        <f t="shared" si="6"/>
        <v>2553</v>
      </c>
      <c r="P51">
        <f t="shared" si="7"/>
        <v>86</v>
      </c>
      <c r="Q51" s="2">
        <f t="shared" si="8"/>
        <v>1.01</v>
      </c>
      <c r="R51" t="str">
        <f>_xlfn.XLOOKUP(B51,Product_Line_Map!$A$2:$A$6,Product_Line_Map!$B$2:$B$6,"")</f>
        <v>L03</v>
      </c>
      <c r="S51" s="24">
        <f t="shared" si="9"/>
        <v>2.0748867990247302</v>
      </c>
      <c r="T51" t="str">
        <f t="shared" si="10"/>
        <v>OK</v>
      </c>
    </row>
    <row r="52" spans="1:20">
      <c r="A52" s="1">
        <f>Weekly_Product_Demand!A52</f>
        <v>46097</v>
      </c>
      <c r="B52" t="str">
        <f>Weekly_Product_Demand!B52</f>
        <v>P001</v>
      </c>
      <c r="C52">
        <f t="shared" si="14"/>
        <v>4027</v>
      </c>
      <c r="D52">
        <f>0</f>
        <v>0</v>
      </c>
      <c r="E52">
        <f t="shared" si="13"/>
        <v>4027</v>
      </c>
      <c r="F52">
        <f>SUMIFS(Weekly_Product_Demand!$D:$D,Weekly_Product_Demand!$A:$A,A52,Weekly_Product_Demand!$B:$B,B52)</f>
        <v>16211</v>
      </c>
      <c r="G52">
        <f t="shared" si="0"/>
        <v>4632</v>
      </c>
      <c r="H52">
        <f t="shared" si="1"/>
        <v>16816</v>
      </c>
      <c r="I52">
        <f t="shared" si="2"/>
        <v>16900</v>
      </c>
      <c r="J52">
        <f t="shared" si="3"/>
        <v>4716</v>
      </c>
      <c r="K52">
        <v>1.02</v>
      </c>
      <c r="L52">
        <f t="shared" si="4"/>
        <v>17238</v>
      </c>
      <c r="M52">
        <f t="shared" si="5"/>
        <v>5054</v>
      </c>
      <c r="N52">
        <f t="shared" si="12"/>
        <v>0</v>
      </c>
      <c r="O52">
        <f t="shared" si="6"/>
        <v>5054</v>
      </c>
      <c r="P52">
        <f t="shared" si="7"/>
        <v>338</v>
      </c>
      <c r="Q52" s="2">
        <f t="shared" si="8"/>
        <v>1.02</v>
      </c>
      <c r="R52" t="str">
        <f>_xlfn.XLOOKUP(B52,Product_Line_Map!$A$2:$A$6,Product_Line_Map!$B$2:$B$6,"")</f>
        <v>L01</v>
      </c>
      <c r="S52" s="24">
        <f t="shared" si="9"/>
        <v>2.1823453210782802</v>
      </c>
      <c r="T52" t="str">
        <f t="shared" si="10"/>
        <v>OK</v>
      </c>
    </row>
    <row r="53" spans="1:20">
      <c r="A53" s="1">
        <f>Weekly_Product_Demand!A53</f>
        <v>46097</v>
      </c>
      <c r="B53" t="str">
        <f>Weekly_Product_Demand!B53</f>
        <v>P002</v>
      </c>
      <c r="C53">
        <f t="shared" si="14"/>
        <v>3768</v>
      </c>
      <c r="D53">
        <f>0</f>
        <v>0</v>
      </c>
      <c r="E53">
        <f t="shared" si="13"/>
        <v>3768</v>
      </c>
      <c r="F53">
        <f>SUMIFS(Weekly_Product_Demand!$D:$D,Weekly_Product_Demand!$A:$A,A53,Weekly_Product_Demand!$B:$B,B53)</f>
        <v>12397</v>
      </c>
      <c r="G53">
        <f t="shared" si="0"/>
        <v>3542</v>
      </c>
      <c r="H53">
        <f t="shared" si="1"/>
        <v>12171</v>
      </c>
      <c r="I53">
        <f t="shared" si="2"/>
        <v>12200</v>
      </c>
      <c r="J53">
        <f t="shared" si="3"/>
        <v>3571</v>
      </c>
      <c r="K53">
        <v>1.02</v>
      </c>
      <c r="L53">
        <f t="shared" si="4"/>
        <v>12444</v>
      </c>
      <c r="M53">
        <f t="shared" si="5"/>
        <v>3815</v>
      </c>
      <c r="N53">
        <f t="shared" si="12"/>
        <v>0</v>
      </c>
      <c r="O53">
        <f t="shared" si="6"/>
        <v>3815</v>
      </c>
      <c r="P53">
        <f t="shared" si="7"/>
        <v>244</v>
      </c>
      <c r="Q53" s="2">
        <f t="shared" si="8"/>
        <v>1.02</v>
      </c>
      <c r="R53" t="str">
        <f>_xlfn.XLOOKUP(B53,Product_Line_Map!$A$2:$A$6,Product_Line_Map!$B$2:$B$6,"")</f>
        <v>L02</v>
      </c>
      <c r="S53" s="24">
        <f t="shared" si="9"/>
        <v>2.1541501976284585</v>
      </c>
      <c r="T53" t="str">
        <f t="shared" si="10"/>
        <v>OK</v>
      </c>
    </row>
    <row r="54" spans="1:20">
      <c r="A54" s="1">
        <f>Weekly_Product_Demand!A54</f>
        <v>46097</v>
      </c>
      <c r="B54" t="str">
        <f>Weekly_Product_Demand!B54</f>
        <v>P003</v>
      </c>
      <c r="C54">
        <f t="shared" si="14"/>
        <v>3139</v>
      </c>
      <c r="D54">
        <f>0</f>
        <v>0</v>
      </c>
      <c r="E54">
        <f t="shared" si="13"/>
        <v>3139</v>
      </c>
      <c r="F54">
        <f>SUMIFS(Weekly_Product_Demand!$D:$D,Weekly_Product_Demand!$A:$A,A54,Weekly_Product_Demand!$B:$B,B54)</f>
        <v>10953</v>
      </c>
      <c r="G54">
        <f t="shared" si="0"/>
        <v>3129</v>
      </c>
      <c r="H54">
        <f t="shared" si="1"/>
        <v>10943</v>
      </c>
      <c r="I54">
        <f t="shared" si="2"/>
        <v>11000</v>
      </c>
      <c r="J54">
        <f t="shared" si="3"/>
        <v>3186</v>
      </c>
      <c r="K54">
        <v>1.02</v>
      </c>
      <c r="L54">
        <f t="shared" si="4"/>
        <v>11220</v>
      </c>
      <c r="M54">
        <f t="shared" si="5"/>
        <v>3406</v>
      </c>
      <c r="N54">
        <f t="shared" si="12"/>
        <v>0</v>
      </c>
      <c r="O54">
        <f t="shared" si="6"/>
        <v>3406</v>
      </c>
      <c r="P54">
        <f t="shared" si="7"/>
        <v>220</v>
      </c>
      <c r="Q54" s="2">
        <f t="shared" si="8"/>
        <v>1.02</v>
      </c>
      <c r="R54" t="str">
        <f>_xlfn.XLOOKUP(B54,Product_Line_Map!$A$2:$A$6,Product_Line_Map!$B$2:$B$6,"")</f>
        <v>L03</v>
      </c>
      <c r="S54" s="24">
        <f t="shared" si="9"/>
        <v>2.1767552268784809</v>
      </c>
      <c r="T54" t="str">
        <f t="shared" si="10"/>
        <v>OK</v>
      </c>
    </row>
    <row r="55" spans="1:20">
      <c r="A55" s="1">
        <f>Weekly_Product_Demand!A55</f>
        <v>46097</v>
      </c>
      <c r="B55" t="str">
        <f>Weekly_Product_Demand!B55</f>
        <v>P004</v>
      </c>
      <c r="C55">
        <f t="shared" si="14"/>
        <v>3133</v>
      </c>
      <c r="D55">
        <f>0</f>
        <v>0</v>
      </c>
      <c r="E55">
        <f t="shared" si="13"/>
        <v>3133</v>
      </c>
      <c r="F55">
        <f>SUMIFS(Weekly_Product_Demand!$D:$D,Weekly_Product_Demand!$A:$A,A55,Weekly_Product_Demand!$B:$B,B55)</f>
        <v>11633</v>
      </c>
      <c r="G55">
        <f t="shared" si="0"/>
        <v>3324</v>
      </c>
      <c r="H55">
        <f t="shared" si="1"/>
        <v>11824</v>
      </c>
      <c r="I55">
        <f t="shared" si="2"/>
        <v>11900</v>
      </c>
      <c r="J55">
        <f t="shared" si="3"/>
        <v>3400</v>
      </c>
      <c r="K55">
        <v>1</v>
      </c>
      <c r="L55">
        <f t="shared" si="4"/>
        <v>11900</v>
      </c>
      <c r="M55">
        <f t="shared" si="5"/>
        <v>3400</v>
      </c>
      <c r="N55">
        <f t="shared" si="12"/>
        <v>0</v>
      </c>
      <c r="O55">
        <f t="shared" si="6"/>
        <v>3400</v>
      </c>
      <c r="P55">
        <f t="shared" si="7"/>
        <v>0</v>
      </c>
      <c r="Q55" s="2">
        <f t="shared" si="8"/>
        <v>1</v>
      </c>
      <c r="R55" t="str">
        <f>_xlfn.XLOOKUP(B55,Product_Line_Map!$A$2:$A$6,Product_Line_Map!$B$2:$B$6,"")</f>
        <v>L02</v>
      </c>
      <c r="S55" s="24">
        <f t="shared" si="9"/>
        <v>2.0459038940943866</v>
      </c>
      <c r="T55" t="str">
        <f t="shared" si="10"/>
        <v>OK</v>
      </c>
    </row>
    <row r="56" spans="1:20">
      <c r="A56" s="1">
        <f>Weekly_Product_Demand!A56</f>
        <v>46097</v>
      </c>
      <c r="B56" t="str">
        <f>Weekly_Product_Demand!B56</f>
        <v>P005</v>
      </c>
      <c r="C56">
        <f t="shared" si="14"/>
        <v>2553</v>
      </c>
      <c r="D56">
        <f>0</f>
        <v>0</v>
      </c>
      <c r="E56">
        <f t="shared" si="13"/>
        <v>2553</v>
      </c>
      <c r="F56">
        <f>SUMIFS(Weekly_Product_Demand!$D:$D,Weekly_Product_Demand!$A:$A,A56,Weekly_Product_Demand!$B:$B,B56)</f>
        <v>8760</v>
      </c>
      <c r="G56">
        <f t="shared" si="0"/>
        <v>2503</v>
      </c>
      <c r="H56">
        <f t="shared" si="1"/>
        <v>8710</v>
      </c>
      <c r="I56">
        <f t="shared" si="2"/>
        <v>8800</v>
      </c>
      <c r="J56">
        <f t="shared" si="3"/>
        <v>2593</v>
      </c>
      <c r="K56">
        <v>0.98</v>
      </c>
      <c r="L56">
        <f t="shared" si="4"/>
        <v>8624</v>
      </c>
      <c r="M56">
        <f t="shared" si="5"/>
        <v>2417</v>
      </c>
      <c r="N56">
        <f t="shared" si="12"/>
        <v>0</v>
      </c>
      <c r="O56">
        <f t="shared" si="6"/>
        <v>2417</v>
      </c>
      <c r="P56">
        <f t="shared" si="7"/>
        <v>-176</v>
      </c>
      <c r="Q56" s="2">
        <f t="shared" si="8"/>
        <v>0.98</v>
      </c>
      <c r="R56" t="str">
        <f>_xlfn.XLOOKUP(B56,Product_Line_Map!$A$2:$A$6,Product_Line_Map!$B$2:$B$6,"")</f>
        <v>L03</v>
      </c>
      <c r="S56" s="24">
        <f t="shared" si="9"/>
        <v>1.931392694063927</v>
      </c>
      <c r="T56" t="str">
        <f t="shared" si="10"/>
        <v>LOW COVER</v>
      </c>
    </row>
    <row r="57" spans="1:20">
      <c r="A57" s="1">
        <f>Weekly_Product_Demand!A57</f>
        <v>46104</v>
      </c>
      <c r="B57" t="str">
        <f>Weekly_Product_Demand!B57</f>
        <v>P001</v>
      </c>
      <c r="C57">
        <f t="shared" si="14"/>
        <v>5054</v>
      </c>
      <c r="D57">
        <f>0</f>
        <v>0</v>
      </c>
      <c r="E57">
        <f t="shared" si="13"/>
        <v>5054</v>
      </c>
      <c r="F57">
        <f>SUMIFS(Weekly_Product_Demand!$D:$D,Weekly_Product_Demand!$A:$A,A57,Weekly_Product_Demand!$B:$B,B57)</f>
        <v>14003</v>
      </c>
      <c r="G57">
        <f t="shared" si="0"/>
        <v>4001</v>
      </c>
      <c r="H57">
        <f t="shared" si="1"/>
        <v>12950</v>
      </c>
      <c r="I57">
        <f t="shared" si="2"/>
        <v>13000</v>
      </c>
      <c r="J57">
        <f t="shared" si="3"/>
        <v>4051</v>
      </c>
      <c r="K57">
        <v>0.97</v>
      </c>
      <c r="L57">
        <f t="shared" si="4"/>
        <v>12610</v>
      </c>
      <c r="M57">
        <f t="shared" si="5"/>
        <v>3661</v>
      </c>
      <c r="N57">
        <f t="shared" si="12"/>
        <v>0</v>
      </c>
      <c r="O57">
        <f t="shared" si="6"/>
        <v>3661</v>
      </c>
      <c r="P57">
        <f t="shared" si="7"/>
        <v>-390</v>
      </c>
      <c r="Q57" s="2">
        <f t="shared" si="8"/>
        <v>0.97</v>
      </c>
      <c r="R57" t="str">
        <f>_xlfn.XLOOKUP(B57,Product_Line_Map!$A$2:$A$6,Product_Line_Map!$B$2:$B$6,"")</f>
        <v>L01</v>
      </c>
      <c r="S57" s="24">
        <f t="shared" si="9"/>
        <v>1.8301078340355639</v>
      </c>
      <c r="T57" t="str">
        <f t="shared" si="10"/>
        <v>LOW COVER</v>
      </c>
    </row>
    <row r="58" spans="1:20">
      <c r="A58" s="1">
        <f>Weekly_Product_Demand!A58</f>
        <v>46104</v>
      </c>
      <c r="B58" t="str">
        <f>Weekly_Product_Demand!B58</f>
        <v>P002</v>
      </c>
      <c r="C58">
        <f t="shared" si="14"/>
        <v>3815</v>
      </c>
      <c r="D58">
        <f>0</f>
        <v>0</v>
      </c>
      <c r="E58">
        <f t="shared" si="13"/>
        <v>3815</v>
      </c>
      <c r="F58">
        <f>SUMIFS(Weekly_Product_Demand!$D:$D,Weekly_Product_Demand!$A:$A,A58,Weekly_Product_Demand!$B:$B,B58)</f>
        <v>12334</v>
      </c>
      <c r="G58">
        <f t="shared" si="0"/>
        <v>3524</v>
      </c>
      <c r="H58">
        <f t="shared" si="1"/>
        <v>12043</v>
      </c>
      <c r="I58">
        <f t="shared" si="2"/>
        <v>12100</v>
      </c>
      <c r="J58">
        <f t="shared" si="3"/>
        <v>3581</v>
      </c>
      <c r="K58">
        <v>0.98</v>
      </c>
      <c r="L58">
        <f t="shared" si="4"/>
        <v>11858</v>
      </c>
      <c r="M58">
        <f t="shared" si="5"/>
        <v>3339</v>
      </c>
      <c r="N58">
        <f t="shared" si="12"/>
        <v>0</v>
      </c>
      <c r="O58">
        <f t="shared" si="6"/>
        <v>3339</v>
      </c>
      <c r="P58">
        <f t="shared" si="7"/>
        <v>-242</v>
      </c>
      <c r="Q58" s="2">
        <f t="shared" si="8"/>
        <v>0.98</v>
      </c>
      <c r="R58" t="str">
        <f>_xlfn.XLOOKUP(B58,Product_Line_Map!$A$2:$A$6,Product_Line_Map!$B$2:$B$6,"")</f>
        <v>L02</v>
      </c>
      <c r="S58" s="24">
        <f t="shared" si="9"/>
        <v>1.8950056753688991</v>
      </c>
      <c r="T58" t="str">
        <f t="shared" si="10"/>
        <v>LOW COVER</v>
      </c>
    </row>
    <row r="59" spans="1:20">
      <c r="A59" s="1">
        <f>Weekly_Product_Demand!A59</f>
        <v>46104</v>
      </c>
      <c r="B59" t="str">
        <f>Weekly_Product_Demand!B59</f>
        <v>P003</v>
      </c>
      <c r="C59">
        <f t="shared" si="14"/>
        <v>3406</v>
      </c>
      <c r="D59">
        <f>0</f>
        <v>0</v>
      </c>
      <c r="E59">
        <f t="shared" si="13"/>
        <v>3406</v>
      </c>
      <c r="F59">
        <f>SUMIFS(Weekly_Product_Demand!$D:$D,Weekly_Product_Demand!$A:$A,A59,Weekly_Product_Demand!$B:$B,B59)</f>
        <v>10956</v>
      </c>
      <c r="G59">
        <f t="shared" si="0"/>
        <v>3130</v>
      </c>
      <c r="H59">
        <f t="shared" si="1"/>
        <v>10680</v>
      </c>
      <c r="I59">
        <f t="shared" si="2"/>
        <v>10700</v>
      </c>
      <c r="J59">
        <f t="shared" si="3"/>
        <v>3150</v>
      </c>
      <c r="K59">
        <v>1.02</v>
      </c>
      <c r="L59">
        <f t="shared" si="4"/>
        <v>10914</v>
      </c>
      <c r="M59">
        <f t="shared" si="5"/>
        <v>3364</v>
      </c>
      <c r="N59">
        <f t="shared" si="12"/>
        <v>0</v>
      </c>
      <c r="O59">
        <f t="shared" si="6"/>
        <v>3364</v>
      </c>
      <c r="P59">
        <f t="shared" si="7"/>
        <v>214</v>
      </c>
      <c r="Q59" s="2">
        <f t="shared" si="8"/>
        <v>1.02</v>
      </c>
      <c r="R59" t="str">
        <f>_xlfn.XLOOKUP(B59,Product_Line_Map!$A$2:$A$6,Product_Line_Map!$B$2:$B$6,"")</f>
        <v>L03</v>
      </c>
      <c r="S59" s="24">
        <f t="shared" si="9"/>
        <v>2.1493245710113182</v>
      </c>
      <c r="T59" t="str">
        <f t="shared" si="10"/>
        <v>OK</v>
      </c>
    </row>
    <row r="60" spans="1:20">
      <c r="A60" s="1">
        <f>Weekly_Product_Demand!A60</f>
        <v>46104</v>
      </c>
      <c r="B60" t="str">
        <f>Weekly_Product_Demand!B60</f>
        <v>P004</v>
      </c>
      <c r="C60">
        <f t="shared" si="14"/>
        <v>3400</v>
      </c>
      <c r="D60">
        <f>0</f>
        <v>0</v>
      </c>
      <c r="E60">
        <f t="shared" si="13"/>
        <v>3400</v>
      </c>
      <c r="F60">
        <f>SUMIFS(Weekly_Product_Demand!$D:$D,Weekly_Product_Demand!$A:$A,A60,Weekly_Product_Demand!$B:$B,B60)</f>
        <v>11543</v>
      </c>
      <c r="G60">
        <f t="shared" si="0"/>
        <v>3298</v>
      </c>
      <c r="H60">
        <f t="shared" si="1"/>
        <v>11441</v>
      </c>
      <c r="I60">
        <f t="shared" si="2"/>
        <v>11500</v>
      </c>
      <c r="J60">
        <f t="shared" si="3"/>
        <v>3357</v>
      </c>
      <c r="K60">
        <v>0.98</v>
      </c>
      <c r="L60">
        <f t="shared" si="4"/>
        <v>11270</v>
      </c>
      <c r="M60">
        <f t="shared" si="5"/>
        <v>3127</v>
      </c>
      <c r="N60">
        <f t="shared" si="12"/>
        <v>0</v>
      </c>
      <c r="O60">
        <f t="shared" si="6"/>
        <v>3127</v>
      </c>
      <c r="P60">
        <f t="shared" si="7"/>
        <v>-230</v>
      </c>
      <c r="Q60" s="2">
        <f t="shared" si="8"/>
        <v>0.98</v>
      </c>
      <c r="R60" t="str">
        <f>_xlfn.XLOOKUP(B60,Product_Line_Map!$A$2:$A$6,Product_Line_Map!$B$2:$B$6,"")</f>
        <v>L02</v>
      </c>
      <c r="S60" s="24">
        <f t="shared" si="9"/>
        <v>1.8963007883565797</v>
      </c>
      <c r="T60" t="str">
        <f t="shared" si="10"/>
        <v>LOW COVER</v>
      </c>
    </row>
    <row r="61" spans="1:20">
      <c r="A61" s="1">
        <f>Weekly_Product_Demand!A61</f>
        <v>46104</v>
      </c>
      <c r="B61" t="str">
        <f>Weekly_Product_Demand!B61</f>
        <v>P005</v>
      </c>
      <c r="C61">
        <f t="shared" si="14"/>
        <v>2417</v>
      </c>
      <c r="D61">
        <f>0</f>
        <v>0</v>
      </c>
      <c r="E61">
        <f t="shared" si="13"/>
        <v>2417</v>
      </c>
      <c r="F61">
        <f>SUMIFS(Weekly_Product_Demand!$D:$D,Weekly_Product_Demand!$A:$A,A61,Weekly_Product_Demand!$B:$B,B61)</f>
        <v>8572</v>
      </c>
      <c r="G61">
        <f t="shared" si="0"/>
        <v>2449</v>
      </c>
      <c r="H61">
        <f t="shared" si="1"/>
        <v>8604</v>
      </c>
      <c r="I61">
        <f t="shared" si="2"/>
        <v>8700</v>
      </c>
      <c r="J61">
        <f t="shared" si="3"/>
        <v>2545</v>
      </c>
      <c r="K61">
        <v>0.99</v>
      </c>
      <c r="L61">
        <f t="shared" si="4"/>
        <v>8613</v>
      </c>
      <c r="M61">
        <f t="shared" si="5"/>
        <v>2458</v>
      </c>
      <c r="N61">
        <f t="shared" si="12"/>
        <v>0</v>
      </c>
      <c r="O61">
        <f t="shared" si="6"/>
        <v>2458</v>
      </c>
      <c r="P61">
        <f t="shared" si="7"/>
        <v>-87</v>
      </c>
      <c r="Q61" s="2">
        <f t="shared" si="8"/>
        <v>0.99</v>
      </c>
      <c r="R61" t="str">
        <f>_xlfn.XLOOKUP(B61,Product_Line_Map!$A$2:$A$6,Product_Line_Map!$B$2:$B$6,"")</f>
        <v>L03</v>
      </c>
      <c r="S61" s="24">
        <f t="shared" si="9"/>
        <v>2.0072328511432569</v>
      </c>
      <c r="T61" t="str">
        <f t="shared" si="10"/>
        <v>OK</v>
      </c>
    </row>
    <row r="62" spans="1:20">
      <c r="A62" s="1">
        <f>Weekly_Product_Demand!A62</f>
        <v>46111</v>
      </c>
      <c r="B62" t="str">
        <f>Weekly_Product_Demand!B62</f>
        <v>P001</v>
      </c>
      <c r="C62">
        <f t="shared" si="14"/>
        <v>3661</v>
      </c>
      <c r="D62">
        <f>0</f>
        <v>0</v>
      </c>
      <c r="E62">
        <f t="shared" si="13"/>
        <v>3661</v>
      </c>
      <c r="F62">
        <f>SUMIFS(Weekly_Product_Demand!$D:$D,Weekly_Product_Demand!$A:$A,A62,Weekly_Product_Demand!$B:$B,B62)</f>
        <v>14612</v>
      </c>
      <c r="G62">
        <f t="shared" si="0"/>
        <v>4175</v>
      </c>
      <c r="H62">
        <f t="shared" si="1"/>
        <v>15126</v>
      </c>
      <c r="I62">
        <f t="shared" si="2"/>
        <v>15200</v>
      </c>
      <c r="J62">
        <f t="shared" si="3"/>
        <v>4249</v>
      </c>
      <c r="K62">
        <v>1</v>
      </c>
      <c r="L62">
        <f t="shared" si="4"/>
        <v>15200</v>
      </c>
      <c r="M62">
        <f t="shared" si="5"/>
        <v>4249</v>
      </c>
      <c r="N62">
        <f t="shared" si="12"/>
        <v>0</v>
      </c>
      <c r="O62">
        <f t="shared" si="6"/>
        <v>4249</v>
      </c>
      <c r="P62">
        <f t="shared" si="7"/>
        <v>0</v>
      </c>
      <c r="Q62" s="2">
        <f t="shared" si="8"/>
        <v>1</v>
      </c>
      <c r="R62" t="str">
        <f>_xlfn.XLOOKUP(B62,Product_Line_Map!$A$2:$A$6,Product_Line_Map!$B$2:$B$6,"")</f>
        <v>L01</v>
      </c>
      <c r="S62" s="24">
        <f t="shared" si="9"/>
        <v>2.0355187517109226</v>
      </c>
      <c r="T62" t="str">
        <f t="shared" si="10"/>
        <v>OK</v>
      </c>
    </row>
    <row r="63" spans="1:20">
      <c r="A63" s="1">
        <f>Weekly_Product_Demand!A63</f>
        <v>46111</v>
      </c>
      <c r="B63" t="str">
        <f>Weekly_Product_Demand!B63</f>
        <v>P002</v>
      </c>
      <c r="C63">
        <f t="shared" si="14"/>
        <v>3339</v>
      </c>
      <c r="D63">
        <f>0</f>
        <v>0</v>
      </c>
      <c r="E63">
        <f t="shared" si="13"/>
        <v>3339</v>
      </c>
      <c r="F63">
        <f>SUMIFS(Weekly_Product_Demand!$D:$D,Weekly_Product_Demand!$A:$A,A63,Weekly_Product_Demand!$B:$B,B63)</f>
        <v>12571</v>
      </c>
      <c r="G63">
        <f t="shared" si="0"/>
        <v>3592</v>
      </c>
      <c r="H63">
        <f t="shared" si="1"/>
        <v>12824</v>
      </c>
      <c r="I63">
        <f t="shared" si="2"/>
        <v>12900</v>
      </c>
      <c r="J63">
        <f t="shared" si="3"/>
        <v>3668</v>
      </c>
      <c r="K63">
        <v>0.97</v>
      </c>
      <c r="L63">
        <f t="shared" si="4"/>
        <v>12513</v>
      </c>
      <c r="M63">
        <f t="shared" si="5"/>
        <v>3281</v>
      </c>
      <c r="N63">
        <f t="shared" si="12"/>
        <v>0</v>
      </c>
      <c r="O63">
        <f t="shared" si="6"/>
        <v>3281</v>
      </c>
      <c r="P63">
        <f t="shared" si="7"/>
        <v>-387</v>
      </c>
      <c r="Q63" s="2">
        <f t="shared" si="8"/>
        <v>0.97</v>
      </c>
      <c r="R63" t="str">
        <f>_xlfn.XLOOKUP(B63,Product_Line_Map!$A$2:$A$6,Product_Line_Map!$B$2:$B$6,"")</f>
        <v>L02</v>
      </c>
      <c r="S63" s="24">
        <f t="shared" si="9"/>
        <v>1.826982738047888</v>
      </c>
      <c r="T63" t="str">
        <f t="shared" si="10"/>
        <v>LOW COVER</v>
      </c>
    </row>
    <row r="64" spans="1:20">
      <c r="A64" s="1">
        <f>Weekly_Product_Demand!A64</f>
        <v>46111</v>
      </c>
      <c r="B64" t="str">
        <f>Weekly_Product_Demand!B64</f>
        <v>P003</v>
      </c>
      <c r="C64">
        <f t="shared" si="14"/>
        <v>3364</v>
      </c>
      <c r="D64">
        <f>0</f>
        <v>0</v>
      </c>
      <c r="E64">
        <f t="shared" si="13"/>
        <v>3364</v>
      </c>
      <c r="F64">
        <f>SUMIFS(Weekly_Product_Demand!$D:$D,Weekly_Product_Demand!$A:$A,A64,Weekly_Product_Demand!$B:$B,B64)</f>
        <v>10434</v>
      </c>
      <c r="G64">
        <f t="shared" si="0"/>
        <v>2981</v>
      </c>
      <c r="H64">
        <f t="shared" si="1"/>
        <v>10051</v>
      </c>
      <c r="I64">
        <f t="shared" si="2"/>
        <v>10100</v>
      </c>
      <c r="J64">
        <f t="shared" si="3"/>
        <v>3030</v>
      </c>
      <c r="K64">
        <v>1.02</v>
      </c>
      <c r="L64">
        <f t="shared" si="4"/>
        <v>10302</v>
      </c>
      <c r="M64">
        <f t="shared" si="5"/>
        <v>3232</v>
      </c>
      <c r="N64">
        <f t="shared" si="12"/>
        <v>0</v>
      </c>
      <c r="O64">
        <f t="shared" si="6"/>
        <v>3232</v>
      </c>
      <c r="P64">
        <f t="shared" si="7"/>
        <v>202</v>
      </c>
      <c r="Q64" s="2">
        <f t="shared" si="8"/>
        <v>1.02</v>
      </c>
      <c r="R64" t="str">
        <f>_xlfn.XLOOKUP(B64,Product_Line_Map!$A$2:$A$6,Product_Line_Map!$B$2:$B$6,"")</f>
        <v>L03</v>
      </c>
      <c r="S64" s="24">
        <f t="shared" si="9"/>
        <v>2.1682959555299979</v>
      </c>
      <c r="T64" t="str">
        <f t="shared" si="10"/>
        <v>OK</v>
      </c>
    </row>
    <row r="65" spans="1:20">
      <c r="A65" s="1">
        <f>Weekly_Product_Demand!A65</f>
        <v>46111</v>
      </c>
      <c r="B65" t="str">
        <f>Weekly_Product_Demand!B65</f>
        <v>P004</v>
      </c>
      <c r="C65">
        <f t="shared" si="14"/>
        <v>3127</v>
      </c>
      <c r="D65">
        <f>0</f>
        <v>0</v>
      </c>
      <c r="E65">
        <f t="shared" si="13"/>
        <v>3127</v>
      </c>
      <c r="F65">
        <f>SUMIFS(Weekly_Product_Demand!$D:$D,Weekly_Product_Demand!$A:$A,A65,Weekly_Product_Demand!$B:$B,B65)</f>
        <v>11644</v>
      </c>
      <c r="G65">
        <f t="shared" si="0"/>
        <v>3327</v>
      </c>
      <c r="H65">
        <f t="shared" si="1"/>
        <v>11844</v>
      </c>
      <c r="I65">
        <f t="shared" si="2"/>
        <v>11900</v>
      </c>
      <c r="J65">
        <f t="shared" si="3"/>
        <v>3383</v>
      </c>
      <c r="K65">
        <v>0.98</v>
      </c>
      <c r="L65">
        <f t="shared" si="4"/>
        <v>11662</v>
      </c>
      <c r="M65">
        <f t="shared" si="5"/>
        <v>3145</v>
      </c>
      <c r="N65">
        <f t="shared" si="12"/>
        <v>0</v>
      </c>
      <c r="O65">
        <f t="shared" si="6"/>
        <v>3145</v>
      </c>
      <c r="P65">
        <f t="shared" si="7"/>
        <v>-238</v>
      </c>
      <c r="Q65" s="2">
        <f t="shared" si="8"/>
        <v>0.98</v>
      </c>
      <c r="R65" t="str">
        <f>_xlfn.XLOOKUP(B65,Product_Line_Map!$A$2:$A$6,Product_Line_Map!$B$2:$B$6,"")</f>
        <v>L02</v>
      </c>
      <c r="S65" s="24">
        <f t="shared" si="9"/>
        <v>1.8906733081415323</v>
      </c>
      <c r="T65" t="str">
        <f t="shared" si="10"/>
        <v>LOW COVER</v>
      </c>
    </row>
    <row r="66" spans="1:20">
      <c r="A66" s="1">
        <f>Weekly_Product_Demand!A66</f>
        <v>46111</v>
      </c>
      <c r="B66" t="str">
        <f>Weekly_Product_Demand!B66</f>
        <v>P005</v>
      </c>
      <c r="C66">
        <f t="shared" si="14"/>
        <v>2458</v>
      </c>
      <c r="D66">
        <f>0</f>
        <v>0</v>
      </c>
      <c r="E66">
        <f t="shared" si="13"/>
        <v>2458</v>
      </c>
      <c r="F66">
        <f>SUMIFS(Weekly_Product_Demand!$D:$D,Weekly_Product_Demand!$A:$A,A66,Weekly_Product_Demand!$B:$B,B66)</f>
        <v>8788</v>
      </c>
      <c r="G66">
        <f t="shared" ref="G66:G129" si="15">ROUND(F66/7*2,0)</f>
        <v>2511</v>
      </c>
      <c r="H66">
        <f t="shared" ref="H66:H129" si="16">MAX(0,F66+G66-E66)</f>
        <v>8841</v>
      </c>
      <c r="I66">
        <f t="shared" ref="I66:I129" si="17">CEILING(H66,100)</f>
        <v>8900</v>
      </c>
      <c r="J66">
        <f t="shared" ref="J66:J129" si="18">E66+I66-F66</f>
        <v>2570</v>
      </c>
      <c r="K66">
        <v>1.02</v>
      </c>
      <c r="L66">
        <f t="shared" ref="L66:L129" si="19">ROUND(I66*K66,0)</f>
        <v>9078</v>
      </c>
      <c r="M66">
        <f t="shared" ref="M66:M129" si="20">E66+L66-F66</f>
        <v>2748</v>
      </c>
      <c r="N66">
        <f t="shared" ref="N66:N129" si="21">MAX(0,-M66)</f>
        <v>0</v>
      </c>
      <c r="O66">
        <f t="shared" ref="O66:O129" si="22">MAX(0,M66)</f>
        <v>2748</v>
      </c>
      <c r="P66">
        <f t="shared" ref="P66:P129" si="23">L66-I66</f>
        <v>178</v>
      </c>
      <c r="Q66" s="2">
        <f t="shared" ref="Q66:Q129" si="24">IF(I66=0,0,L66/I66)</f>
        <v>1.02</v>
      </c>
      <c r="R66" t="str">
        <f>_xlfn.XLOOKUP(B66,Product_Line_Map!$A$2:$A$6,Product_Line_Map!$B$2:$B$6,"")</f>
        <v>L03</v>
      </c>
      <c r="S66" s="24">
        <f t="shared" ref="S66:S129" si="25">IF(F66=0,0,O66/(F66/7))</f>
        <v>2.188893946290396</v>
      </c>
      <c r="T66" t="str">
        <f t="shared" ref="T66:T129" si="26">IF(N66&gt;0,"STOCKOUT",IF(S66&lt;1,"CRITICAL LOW COVER",IF(S66&lt;2,"LOW COVER","OK")))</f>
        <v>OK</v>
      </c>
    </row>
    <row r="67" spans="1:20">
      <c r="A67" s="1">
        <f>Weekly_Product_Demand!A67</f>
        <v>46118</v>
      </c>
      <c r="B67" t="str">
        <f>Weekly_Product_Demand!B67</f>
        <v>P001</v>
      </c>
      <c r="C67">
        <f t="shared" si="14"/>
        <v>4249</v>
      </c>
      <c r="D67">
        <f>0</f>
        <v>0</v>
      </c>
      <c r="E67">
        <f t="shared" si="13"/>
        <v>4249</v>
      </c>
      <c r="F67">
        <f>SUMIFS(Weekly_Product_Demand!$D:$D,Weekly_Product_Demand!$A:$A,A67,Weekly_Product_Demand!$B:$B,B67)</f>
        <v>13886</v>
      </c>
      <c r="G67">
        <f t="shared" si="15"/>
        <v>3967</v>
      </c>
      <c r="H67">
        <f t="shared" si="16"/>
        <v>13604</v>
      </c>
      <c r="I67">
        <f t="shared" si="17"/>
        <v>13700</v>
      </c>
      <c r="J67">
        <f t="shared" si="18"/>
        <v>4063</v>
      </c>
      <c r="K67">
        <v>0.98</v>
      </c>
      <c r="L67">
        <f t="shared" si="19"/>
        <v>13426</v>
      </c>
      <c r="M67">
        <f t="shared" si="20"/>
        <v>3789</v>
      </c>
      <c r="N67">
        <f t="shared" si="21"/>
        <v>0</v>
      </c>
      <c r="O67">
        <f t="shared" si="22"/>
        <v>3789</v>
      </c>
      <c r="P67">
        <f t="shared" si="23"/>
        <v>-274</v>
      </c>
      <c r="Q67" s="2">
        <f t="shared" si="24"/>
        <v>0.98</v>
      </c>
      <c r="R67" t="str">
        <f>_xlfn.XLOOKUP(B67,Product_Line_Map!$A$2:$A$6,Product_Line_Map!$B$2:$B$6,"")</f>
        <v>L01</v>
      </c>
      <c r="S67" s="24">
        <f t="shared" si="25"/>
        <v>1.9100532910845456</v>
      </c>
      <c r="T67" t="str">
        <f t="shared" si="26"/>
        <v>LOW COVER</v>
      </c>
    </row>
    <row r="68" spans="1:20">
      <c r="A68" s="1">
        <f>Weekly_Product_Demand!A68</f>
        <v>46118</v>
      </c>
      <c r="B68" t="str">
        <f>Weekly_Product_Demand!B68</f>
        <v>P002</v>
      </c>
      <c r="C68">
        <f t="shared" si="14"/>
        <v>3281</v>
      </c>
      <c r="D68">
        <f>0</f>
        <v>0</v>
      </c>
      <c r="E68">
        <f t="shared" si="13"/>
        <v>3281</v>
      </c>
      <c r="F68">
        <f>SUMIFS(Weekly_Product_Demand!$D:$D,Weekly_Product_Demand!$A:$A,A68,Weekly_Product_Demand!$B:$B,B68)</f>
        <v>12306</v>
      </c>
      <c r="G68">
        <f t="shared" si="15"/>
        <v>3516</v>
      </c>
      <c r="H68">
        <f t="shared" si="16"/>
        <v>12541</v>
      </c>
      <c r="I68">
        <f t="shared" si="17"/>
        <v>12600</v>
      </c>
      <c r="J68">
        <f t="shared" si="18"/>
        <v>3575</v>
      </c>
      <c r="K68">
        <v>0.98</v>
      </c>
      <c r="L68">
        <f t="shared" si="19"/>
        <v>12348</v>
      </c>
      <c r="M68">
        <f t="shared" si="20"/>
        <v>3323</v>
      </c>
      <c r="N68">
        <f t="shared" si="21"/>
        <v>0</v>
      </c>
      <c r="O68">
        <f t="shared" si="22"/>
        <v>3323</v>
      </c>
      <c r="P68">
        <f t="shared" si="23"/>
        <v>-252</v>
      </c>
      <c r="Q68" s="2">
        <f t="shared" si="24"/>
        <v>0.98</v>
      </c>
      <c r="R68" t="str">
        <f>_xlfn.XLOOKUP(B68,Product_Line_Map!$A$2:$A$6,Product_Line_Map!$B$2:$B$6,"")</f>
        <v>L02</v>
      </c>
      <c r="S68" s="24">
        <f t="shared" si="25"/>
        <v>1.8902161547212741</v>
      </c>
      <c r="T68" t="str">
        <f t="shared" si="26"/>
        <v>LOW COVER</v>
      </c>
    </row>
    <row r="69" spans="1:20">
      <c r="A69" s="1">
        <f>Weekly_Product_Demand!A69</f>
        <v>46118</v>
      </c>
      <c r="B69" t="str">
        <f>Weekly_Product_Demand!B69</f>
        <v>P003</v>
      </c>
      <c r="C69">
        <f t="shared" si="14"/>
        <v>3232</v>
      </c>
      <c r="D69">
        <f>0</f>
        <v>0</v>
      </c>
      <c r="E69">
        <f t="shared" si="13"/>
        <v>3232</v>
      </c>
      <c r="F69">
        <f>SUMIFS(Weekly_Product_Demand!$D:$D,Weekly_Product_Demand!$A:$A,A69,Weekly_Product_Demand!$B:$B,B69)</f>
        <v>10802</v>
      </c>
      <c r="G69">
        <f t="shared" si="15"/>
        <v>3086</v>
      </c>
      <c r="H69">
        <f t="shared" si="16"/>
        <v>10656</v>
      </c>
      <c r="I69">
        <f t="shared" si="17"/>
        <v>10700</v>
      </c>
      <c r="J69">
        <f t="shared" si="18"/>
        <v>3130</v>
      </c>
      <c r="K69">
        <v>1</v>
      </c>
      <c r="L69">
        <f t="shared" si="19"/>
        <v>10700</v>
      </c>
      <c r="M69">
        <f t="shared" si="20"/>
        <v>3130</v>
      </c>
      <c r="N69">
        <f t="shared" si="21"/>
        <v>0</v>
      </c>
      <c r="O69">
        <f t="shared" si="22"/>
        <v>3130</v>
      </c>
      <c r="P69">
        <f t="shared" si="23"/>
        <v>0</v>
      </c>
      <c r="Q69" s="2">
        <f t="shared" si="24"/>
        <v>1</v>
      </c>
      <c r="R69" t="str">
        <f>_xlfn.XLOOKUP(B69,Product_Line_Map!$A$2:$A$6,Product_Line_Map!$B$2:$B$6,"")</f>
        <v>L03</v>
      </c>
      <c r="S69" s="24">
        <f t="shared" si="25"/>
        <v>2.0283280873912237</v>
      </c>
      <c r="T69" t="str">
        <f t="shared" si="26"/>
        <v>OK</v>
      </c>
    </row>
    <row r="70" spans="1:20">
      <c r="A70" s="1">
        <f>Weekly_Product_Demand!A70</f>
        <v>46118</v>
      </c>
      <c r="B70" t="str">
        <f>Weekly_Product_Demand!B70</f>
        <v>P004</v>
      </c>
      <c r="C70">
        <f t="shared" si="14"/>
        <v>3145</v>
      </c>
      <c r="D70">
        <f>0</f>
        <v>0</v>
      </c>
      <c r="E70">
        <f t="shared" si="13"/>
        <v>3145</v>
      </c>
      <c r="F70">
        <f>SUMIFS(Weekly_Product_Demand!$D:$D,Weekly_Product_Demand!$A:$A,A70,Weekly_Product_Demand!$B:$B,B70)</f>
        <v>11424</v>
      </c>
      <c r="G70">
        <f t="shared" si="15"/>
        <v>3264</v>
      </c>
      <c r="H70">
        <f t="shared" si="16"/>
        <v>11543</v>
      </c>
      <c r="I70">
        <f t="shared" si="17"/>
        <v>11600</v>
      </c>
      <c r="J70">
        <f t="shared" si="18"/>
        <v>3321</v>
      </c>
      <c r="K70">
        <v>1.01</v>
      </c>
      <c r="L70">
        <f t="shared" si="19"/>
        <v>11716</v>
      </c>
      <c r="M70">
        <f t="shared" si="20"/>
        <v>3437</v>
      </c>
      <c r="N70">
        <f t="shared" si="21"/>
        <v>0</v>
      </c>
      <c r="O70">
        <f t="shared" si="22"/>
        <v>3437</v>
      </c>
      <c r="P70">
        <f t="shared" si="23"/>
        <v>116</v>
      </c>
      <c r="Q70" s="2">
        <f t="shared" si="24"/>
        <v>1.01</v>
      </c>
      <c r="R70" t="str">
        <f>_xlfn.XLOOKUP(B70,Product_Line_Map!$A$2:$A$6,Product_Line_Map!$B$2:$B$6,"")</f>
        <v>L02</v>
      </c>
      <c r="S70" s="24">
        <f t="shared" si="25"/>
        <v>2.1060049019607843</v>
      </c>
      <c r="T70" t="str">
        <f t="shared" si="26"/>
        <v>OK</v>
      </c>
    </row>
    <row r="71" spans="1:20">
      <c r="A71" s="1">
        <f>Weekly_Product_Demand!A71</f>
        <v>46118</v>
      </c>
      <c r="B71" t="str">
        <f>Weekly_Product_Demand!B71</f>
        <v>P005</v>
      </c>
      <c r="C71">
        <f t="shared" si="14"/>
        <v>2748</v>
      </c>
      <c r="D71">
        <f>0</f>
        <v>0</v>
      </c>
      <c r="E71">
        <f t="shared" ref="E71:E134" si="27">C71-D71</f>
        <v>2748</v>
      </c>
      <c r="F71">
        <f>SUMIFS(Weekly_Product_Demand!$D:$D,Weekly_Product_Demand!$A:$A,A71,Weekly_Product_Demand!$B:$B,B71)</f>
        <v>8698</v>
      </c>
      <c r="G71">
        <f t="shared" si="15"/>
        <v>2485</v>
      </c>
      <c r="H71">
        <f t="shared" si="16"/>
        <v>8435</v>
      </c>
      <c r="I71">
        <f t="shared" si="17"/>
        <v>8500</v>
      </c>
      <c r="J71">
        <f t="shared" si="18"/>
        <v>2550</v>
      </c>
      <c r="K71">
        <v>1.01</v>
      </c>
      <c r="L71">
        <f t="shared" si="19"/>
        <v>8585</v>
      </c>
      <c r="M71">
        <f t="shared" si="20"/>
        <v>2635</v>
      </c>
      <c r="N71">
        <f t="shared" si="21"/>
        <v>0</v>
      </c>
      <c r="O71">
        <f t="shared" si="22"/>
        <v>2635</v>
      </c>
      <c r="P71">
        <f t="shared" si="23"/>
        <v>85</v>
      </c>
      <c r="Q71" s="2">
        <f t="shared" si="24"/>
        <v>1.01</v>
      </c>
      <c r="R71" t="str">
        <f>_xlfn.XLOOKUP(B71,Product_Line_Map!$A$2:$A$6,Product_Line_Map!$B$2:$B$6,"")</f>
        <v>L03</v>
      </c>
      <c r="S71" s="24">
        <f t="shared" si="25"/>
        <v>2.1206024373419177</v>
      </c>
      <c r="T71" t="str">
        <f t="shared" si="26"/>
        <v>OK</v>
      </c>
    </row>
    <row r="72" spans="1:20">
      <c r="A72" s="1">
        <f>Weekly_Product_Demand!A72</f>
        <v>46125</v>
      </c>
      <c r="B72" t="str">
        <f>Weekly_Product_Demand!B72</f>
        <v>P001</v>
      </c>
      <c r="C72">
        <f t="shared" ref="C72:C135" si="28">O67</f>
        <v>3789</v>
      </c>
      <c r="D72">
        <f>0</f>
        <v>0</v>
      </c>
      <c r="E72">
        <f t="shared" si="27"/>
        <v>3789</v>
      </c>
      <c r="F72">
        <f>SUMIFS(Weekly_Product_Demand!$D:$D,Weekly_Product_Demand!$A:$A,A72,Weekly_Product_Demand!$B:$B,B72)</f>
        <v>14458</v>
      </c>
      <c r="G72">
        <f t="shared" si="15"/>
        <v>4131</v>
      </c>
      <c r="H72">
        <f t="shared" si="16"/>
        <v>14800</v>
      </c>
      <c r="I72">
        <f t="shared" si="17"/>
        <v>14800</v>
      </c>
      <c r="J72">
        <f t="shared" si="18"/>
        <v>4131</v>
      </c>
      <c r="K72">
        <v>1</v>
      </c>
      <c r="L72">
        <f t="shared" si="19"/>
        <v>14800</v>
      </c>
      <c r="M72">
        <f t="shared" si="20"/>
        <v>4131</v>
      </c>
      <c r="N72">
        <f t="shared" si="21"/>
        <v>0</v>
      </c>
      <c r="O72">
        <f t="shared" si="22"/>
        <v>4131</v>
      </c>
      <c r="P72">
        <f t="shared" si="23"/>
        <v>0</v>
      </c>
      <c r="Q72" s="2">
        <f t="shared" si="24"/>
        <v>1</v>
      </c>
      <c r="R72" t="str">
        <f>_xlfn.XLOOKUP(B72,Product_Line_Map!$A$2:$A$6,Product_Line_Map!$B$2:$B$6,"")</f>
        <v>L01</v>
      </c>
      <c r="S72" s="24">
        <f t="shared" si="25"/>
        <v>2.0000691658597316</v>
      </c>
      <c r="T72" t="str">
        <f t="shared" si="26"/>
        <v>OK</v>
      </c>
    </row>
    <row r="73" spans="1:20">
      <c r="A73" s="1">
        <f>Weekly_Product_Demand!A73</f>
        <v>46125</v>
      </c>
      <c r="B73" t="str">
        <f>Weekly_Product_Demand!B73</f>
        <v>P002</v>
      </c>
      <c r="C73">
        <f t="shared" si="28"/>
        <v>3323</v>
      </c>
      <c r="D73">
        <f>0</f>
        <v>0</v>
      </c>
      <c r="E73">
        <f t="shared" si="27"/>
        <v>3323</v>
      </c>
      <c r="F73">
        <f>SUMIFS(Weekly_Product_Demand!$D:$D,Weekly_Product_Demand!$A:$A,A73,Weekly_Product_Demand!$B:$B,B73)</f>
        <v>12600</v>
      </c>
      <c r="G73">
        <f t="shared" si="15"/>
        <v>3600</v>
      </c>
      <c r="H73">
        <f t="shared" si="16"/>
        <v>12877</v>
      </c>
      <c r="I73">
        <f t="shared" si="17"/>
        <v>12900</v>
      </c>
      <c r="J73">
        <f t="shared" si="18"/>
        <v>3623</v>
      </c>
      <c r="K73">
        <v>0.97</v>
      </c>
      <c r="L73">
        <f t="shared" si="19"/>
        <v>12513</v>
      </c>
      <c r="M73">
        <f t="shared" si="20"/>
        <v>3236</v>
      </c>
      <c r="N73">
        <f t="shared" si="21"/>
        <v>0</v>
      </c>
      <c r="O73">
        <f t="shared" si="22"/>
        <v>3236</v>
      </c>
      <c r="P73">
        <f t="shared" si="23"/>
        <v>-387</v>
      </c>
      <c r="Q73" s="2">
        <f t="shared" si="24"/>
        <v>0.97</v>
      </c>
      <c r="R73" t="str">
        <f>_xlfn.XLOOKUP(B73,Product_Line_Map!$A$2:$A$6,Product_Line_Map!$B$2:$B$6,"")</f>
        <v>L02</v>
      </c>
      <c r="S73" s="24">
        <f t="shared" si="25"/>
        <v>1.7977777777777777</v>
      </c>
      <c r="T73" t="str">
        <f t="shared" si="26"/>
        <v>LOW COVER</v>
      </c>
    </row>
    <row r="74" spans="1:20">
      <c r="A74" s="1">
        <f>Weekly_Product_Demand!A74</f>
        <v>46125</v>
      </c>
      <c r="B74" t="str">
        <f>Weekly_Product_Demand!B74</f>
        <v>P003</v>
      </c>
      <c r="C74">
        <f t="shared" si="28"/>
        <v>3130</v>
      </c>
      <c r="D74">
        <f>0</f>
        <v>0</v>
      </c>
      <c r="E74">
        <f t="shared" si="27"/>
        <v>3130</v>
      </c>
      <c r="F74">
        <f>SUMIFS(Weekly_Product_Demand!$D:$D,Weekly_Product_Demand!$A:$A,A74,Weekly_Product_Demand!$B:$B,B74)</f>
        <v>10761</v>
      </c>
      <c r="G74">
        <f t="shared" si="15"/>
        <v>3075</v>
      </c>
      <c r="H74">
        <f t="shared" si="16"/>
        <v>10706</v>
      </c>
      <c r="I74">
        <f t="shared" si="17"/>
        <v>10800</v>
      </c>
      <c r="J74">
        <f t="shared" si="18"/>
        <v>3169</v>
      </c>
      <c r="K74">
        <v>1</v>
      </c>
      <c r="L74">
        <f t="shared" si="19"/>
        <v>10800</v>
      </c>
      <c r="M74">
        <f t="shared" si="20"/>
        <v>3169</v>
      </c>
      <c r="N74">
        <f t="shared" si="21"/>
        <v>0</v>
      </c>
      <c r="O74">
        <f t="shared" si="22"/>
        <v>3169</v>
      </c>
      <c r="P74">
        <f t="shared" si="23"/>
        <v>0</v>
      </c>
      <c r="Q74" s="2">
        <f t="shared" si="24"/>
        <v>1</v>
      </c>
      <c r="R74" t="str">
        <f>_xlfn.XLOOKUP(B74,Product_Line_Map!$A$2:$A$6,Product_Line_Map!$B$2:$B$6,"")</f>
        <v>L03</v>
      </c>
      <c r="S74" s="24">
        <f t="shared" si="25"/>
        <v>2.0614255180745285</v>
      </c>
      <c r="T74" t="str">
        <f t="shared" si="26"/>
        <v>OK</v>
      </c>
    </row>
    <row r="75" spans="1:20">
      <c r="A75" s="1">
        <f>Weekly_Product_Demand!A75</f>
        <v>46125</v>
      </c>
      <c r="B75" t="str">
        <f>Weekly_Product_Demand!B75</f>
        <v>P004</v>
      </c>
      <c r="C75">
        <f t="shared" si="28"/>
        <v>3437</v>
      </c>
      <c r="D75">
        <f>0</f>
        <v>0</v>
      </c>
      <c r="E75">
        <f t="shared" si="27"/>
        <v>3437</v>
      </c>
      <c r="F75">
        <f>SUMIFS(Weekly_Product_Demand!$D:$D,Weekly_Product_Demand!$A:$A,A75,Weekly_Product_Demand!$B:$B,B75)</f>
        <v>11503</v>
      </c>
      <c r="G75">
        <f t="shared" si="15"/>
        <v>3287</v>
      </c>
      <c r="H75">
        <f t="shared" si="16"/>
        <v>11353</v>
      </c>
      <c r="I75">
        <f t="shared" si="17"/>
        <v>11400</v>
      </c>
      <c r="J75">
        <f t="shared" si="18"/>
        <v>3334</v>
      </c>
      <c r="K75">
        <v>1</v>
      </c>
      <c r="L75">
        <f t="shared" si="19"/>
        <v>11400</v>
      </c>
      <c r="M75">
        <f t="shared" si="20"/>
        <v>3334</v>
      </c>
      <c r="N75">
        <f t="shared" si="21"/>
        <v>0</v>
      </c>
      <c r="O75">
        <f t="shared" si="22"/>
        <v>3334</v>
      </c>
      <c r="P75">
        <f t="shared" si="23"/>
        <v>0</v>
      </c>
      <c r="Q75" s="2">
        <f t="shared" si="24"/>
        <v>1</v>
      </c>
      <c r="R75" t="str">
        <f>_xlfn.XLOOKUP(B75,Product_Line_Map!$A$2:$A$6,Product_Line_Map!$B$2:$B$6,"")</f>
        <v>L02</v>
      </c>
      <c r="S75" s="24">
        <f t="shared" si="25"/>
        <v>2.0288620359906111</v>
      </c>
      <c r="T75" t="str">
        <f t="shared" si="26"/>
        <v>OK</v>
      </c>
    </row>
    <row r="76" spans="1:20">
      <c r="A76" s="1">
        <f>Weekly_Product_Demand!A76</f>
        <v>46125</v>
      </c>
      <c r="B76" t="str">
        <f>Weekly_Product_Demand!B76</f>
        <v>P005</v>
      </c>
      <c r="C76">
        <f t="shared" si="28"/>
        <v>2635</v>
      </c>
      <c r="D76">
        <f>0</f>
        <v>0</v>
      </c>
      <c r="E76">
        <f t="shared" si="27"/>
        <v>2635</v>
      </c>
      <c r="F76">
        <f>SUMIFS(Weekly_Product_Demand!$D:$D,Weekly_Product_Demand!$A:$A,A76,Weekly_Product_Demand!$B:$B,B76)</f>
        <v>8475</v>
      </c>
      <c r="G76">
        <f t="shared" si="15"/>
        <v>2421</v>
      </c>
      <c r="H76">
        <f t="shared" si="16"/>
        <v>8261</v>
      </c>
      <c r="I76">
        <f t="shared" si="17"/>
        <v>8300</v>
      </c>
      <c r="J76">
        <f t="shared" si="18"/>
        <v>2460</v>
      </c>
      <c r="K76">
        <v>0.97</v>
      </c>
      <c r="L76">
        <f t="shared" si="19"/>
        <v>8051</v>
      </c>
      <c r="M76">
        <f t="shared" si="20"/>
        <v>2211</v>
      </c>
      <c r="N76">
        <f t="shared" si="21"/>
        <v>0</v>
      </c>
      <c r="O76">
        <f t="shared" si="22"/>
        <v>2211</v>
      </c>
      <c r="P76">
        <f t="shared" si="23"/>
        <v>-249</v>
      </c>
      <c r="Q76" s="2">
        <f t="shared" si="24"/>
        <v>0.97</v>
      </c>
      <c r="R76" t="str">
        <f>_xlfn.XLOOKUP(B76,Product_Line_Map!$A$2:$A$6,Product_Line_Map!$B$2:$B$6,"")</f>
        <v>L03</v>
      </c>
      <c r="S76" s="24">
        <f t="shared" si="25"/>
        <v>1.8261946902654866</v>
      </c>
      <c r="T76" t="str">
        <f t="shared" si="26"/>
        <v>LOW COVER</v>
      </c>
    </row>
    <row r="77" spans="1:20">
      <c r="A77" s="1">
        <f>Weekly_Product_Demand!A77</f>
        <v>46132</v>
      </c>
      <c r="B77" t="str">
        <f>Weekly_Product_Demand!B77</f>
        <v>P001</v>
      </c>
      <c r="C77">
        <f t="shared" si="28"/>
        <v>4131</v>
      </c>
      <c r="D77">
        <f>0</f>
        <v>0</v>
      </c>
      <c r="E77">
        <f t="shared" si="27"/>
        <v>4131</v>
      </c>
      <c r="F77">
        <f>SUMIFS(Weekly_Product_Demand!$D:$D,Weekly_Product_Demand!$A:$A,A77,Weekly_Product_Demand!$B:$B,B77)</f>
        <v>14162</v>
      </c>
      <c r="G77">
        <f t="shared" si="15"/>
        <v>4046</v>
      </c>
      <c r="H77">
        <f t="shared" si="16"/>
        <v>14077</v>
      </c>
      <c r="I77">
        <f t="shared" si="17"/>
        <v>14100</v>
      </c>
      <c r="J77">
        <f t="shared" si="18"/>
        <v>4069</v>
      </c>
      <c r="K77">
        <v>1.02</v>
      </c>
      <c r="L77">
        <f t="shared" si="19"/>
        <v>14382</v>
      </c>
      <c r="M77">
        <f t="shared" si="20"/>
        <v>4351</v>
      </c>
      <c r="N77">
        <f t="shared" si="21"/>
        <v>0</v>
      </c>
      <c r="O77">
        <f t="shared" si="22"/>
        <v>4351</v>
      </c>
      <c r="P77">
        <f t="shared" si="23"/>
        <v>282</v>
      </c>
      <c r="Q77" s="2">
        <f t="shared" si="24"/>
        <v>1.02</v>
      </c>
      <c r="R77" t="str">
        <f>_xlfn.XLOOKUP(B77,Product_Line_Map!$A$2:$A$6,Product_Line_Map!$B$2:$B$6,"")</f>
        <v>L01</v>
      </c>
      <c r="S77" s="24">
        <f t="shared" si="25"/>
        <v>2.1506143200112979</v>
      </c>
      <c r="T77" t="str">
        <f t="shared" si="26"/>
        <v>OK</v>
      </c>
    </row>
    <row r="78" spans="1:20">
      <c r="A78" s="1">
        <f>Weekly_Product_Demand!A78</f>
        <v>46132</v>
      </c>
      <c r="B78" t="str">
        <f>Weekly_Product_Demand!B78</f>
        <v>P002</v>
      </c>
      <c r="C78">
        <f t="shared" si="28"/>
        <v>3236</v>
      </c>
      <c r="D78">
        <f>0</f>
        <v>0</v>
      </c>
      <c r="E78">
        <f t="shared" si="27"/>
        <v>3236</v>
      </c>
      <c r="F78">
        <f>SUMIFS(Weekly_Product_Demand!$D:$D,Weekly_Product_Demand!$A:$A,A78,Weekly_Product_Demand!$B:$B,B78)</f>
        <v>12457</v>
      </c>
      <c r="G78">
        <f t="shared" si="15"/>
        <v>3559</v>
      </c>
      <c r="H78">
        <f t="shared" si="16"/>
        <v>12780</v>
      </c>
      <c r="I78">
        <f t="shared" si="17"/>
        <v>12800</v>
      </c>
      <c r="J78">
        <f t="shared" si="18"/>
        <v>3579</v>
      </c>
      <c r="K78">
        <v>0.97</v>
      </c>
      <c r="L78">
        <f t="shared" si="19"/>
        <v>12416</v>
      </c>
      <c r="M78">
        <f t="shared" si="20"/>
        <v>3195</v>
      </c>
      <c r="N78">
        <f t="shared" si="21"/>
        <v>0</v>
      </c>
      <c r="O78">
        <f t="shared" si="22"/>
        <v>3195</v>
      </c>
      <c r="P78">
        <f t="shared" si="23"/>
        <v>-384</v>
      </c>
      <c r="Q78" s="2">
        <f t="shared" si="24"/>
        <v>0.97</v>
      </c>
      <c r="R78" t="str">
        <f>_xlfn.XLOOKUP(B78,Product_Line_Map!$A$2:$A$6,Product_Line_Map!$B$2:$B$6,"")</f>
        <v>L02</v>
      </c>
      <c r="S78" s="24">
        <f t="shared" si="25"/>
        <v>1.7953760937625431</v>
      </c>
      <c r="T78" t="str">
        <f t="shared" si="26"/>
        <v>LOW COVER</v>
      </c>
    </row>
    <row r="79" spans="1:20">
      <c r="A79" s="1">
        <f>Weekly_Product_Demand!A79</f>
        <v>46132</v>
      </c>
      <c r="B79" t="str">
        <f>Weekly_Product_Demand!B79</f>
        <v>P003</v>
      </c>
      <c r="C79">
        <f t="shared" si="28"/>
        <v>3169</v>
      </c>
      <c r="D79">
        <f>0</f>
        <v>0</v>
      </c>
      <c r="E79">
        <f t="shared" si="27"/>
        <v>3169</v>
      </c>
      <c r="F79">
        <f>SUMIFS(Weekly_Product_Demand!$D:$D,Weekly_Product_Demand!$A:$A,A79,Weekly_Product_Demand!$B:$B,B79)</f>
        <v>10925</v>
      </c>
      <c r="G79">
        <f t="shared" si="15"/>
        <v>3121</v>
      </c>
      <c r="H79">
        <f t="shared" si="16"/>
        <v>10877</v>
      </c>
      <c r="I79">
        <f t="shared" si="17"/>
        <v>10900</v>
      </c>
      <c r="J79">
        <f t="shared" si="18"/>
        <v>3144</v>
      </c>
      <c r="K79">
        <v>1</v>
      </c>
      <c r="L79">
        <f t="shared" si="19"/>
        <v>10900</v>
      </c>
      <c r="M79">
        <f t="shared" si="20"/>
        <v>3144</v>
      </c>
      <c r="N79">
        <f t="shared" si="21"/>
        <v>0</v>
      </c>
      <c r="O79">
        <f t="shared" si="22"/>
        <v>3144</v>
      </c>
      <c r="P79">
        <f t="shared" si="23"/>
        <v>0</v>
      </c>
      <c r="Q79" s="2">
        <f t="shared" si="24"/>
        <v>1</v>
      </c>
      <c r="R79" t="str">
        <f>_xlfn.XLOOKUP(B79,Product_Line_Map!$A$2:$A$6,Product_Line_Map!$B$2:$B$6,"")</f>
        <v>L03</v>
      </c>
      <c r="S79" s="24">
        <f t="shared" si="25"/>
        <v>2.0144622425629288</v>
      </c>
      <c r="T79" t="str">
        <f t="shared" si="26"/>
        <v>OK</v>
      </c>
    </row>
    <row r="80" spans="1:20">
      <c r="A80" s="1">
        <f>Weekly_Product_Demand!A80</f>
        <v>46132</v>
      </c>
      <c r="B80" t="str">
        <f>Weekly_Product_Demand!B80</f>
        <v>P004</v>
      </c>
      <c r="C80">
        <f t="shared" si="28"/>
        <v>3334</v>
      </c>
      <c r="D80">
        <f>0</f>
        <v>0</v>
      </c>
      <c r="E80">
        <f t="shared" si="27"/>
        <v>3334</v>
      </c>
      <c r="F80">
        <f>SUMIFS(Weekly_Product_Demand!$D:$D,Weekly_Product_Demand!$A:$A,A80,Weekly_Product_Demand!$B:$B,B80)</f>
        <v>11722</v>
      </c>
      <c r="G80">
        <f t="shared" si="15"/>
        <v>3349</v>
      </c>
      <c r="H80">
        <f t="shared" si="16"/>
        <v>11737</v>
      </c>
      <c r="I80">
        <f t="shared" si="17"/>
        <v>11800</v>
      </c>
      <c r="J80">
        <f t="shared" si="18"/>
        <v>3412</v>
      </c>
      <c r="K80">
        <v>0.98</v>
      </c>
      <c r="L80">
        <f t="shared" si="19"/>
        <v>11564</v>
      </c>
      <c r="M80">
        <f t="shared" si="20"/>
        <v>3176</v>
      </c>
      <c r="N80">
        <f t="shared" si="21"/>
        <v>0</v>
      </c>
      <c r="O80">
        <f t="shared" si="22"/>
        <v>3176</v>
      </c>
      <c r="P80">
        <f t="shared" si="23"/>
        <v>-236</v>
      </c>
      <c r="Q80" s="2">
        <f t="shared" si="24"/>
        <v>0.98</v>
      </c>
      <c r="R80" t="str">
        <f>_xlfn.XLOOKUP(B80,Product_Line_Map!$A$2:$A$6,Product_Line_Map!$B$2:$B$6,"")</f>
        <v>L02</v>
      </c>
      <c r="S80" s="24">
        <f t="shared" si="25"/>
        <v>1.8966046749701415</v>
      </c>
      <c r="T80" t="str">
        <f t="shared" si="26"/>
        <v>LOW COVER</v>
      </c>
    </row>
    <row r="81" spans="1:20">
      <c r="A81" s="1">
        <f>Weekly_Product_Demand!A81</f>
        <v>46132</v>
      </c>
      <c r="B81" t="str">
        <f>Weekly_Product_Demand!B81</f>
        <v>P005</v>
      </c>
      <c r="C81">
        <f t="shared" si="28"/>
        <v>2211</v>
      </c>
      <c r="D81">
        <f>0</f>
        <v>0</v>
      </c>
      <c r="E81">
        <f t="shared" si="27"/>
        <v>2211</v>
      </c>
      <c r="F81">
        <f>SUMIFS(Weekly_Product_Demand!$D:$D,Weekly_Product_Demand!$A:$A,A81,Weekly_Product_Demand!$B:$B,B81)</f>
        <v>8589</v>
      </c>
      <c r="G81">
        <f t="shared" si="15"/>
        <v>2454</v>
      </c>
      <c r="H81">
        <f t="shared" si="16"/>
        <v>8832</v>
      </c>
      <c r="I81">
        <f t="shared" si="17"/>
        <v>8900</v>
      </c>
      <c r="J81">
        <f t="shared" si="18"/>
        <v>2522</v>
      </c>
      <c r="K81">
        <v>1.02</v>
      </c>
      <c r="L81">
        <f t="shared" si="19"/>
        <v>9078</v>
      </c>
      <c r="M81">
        <f t="shared" si="20"/>
        <v>2700</v>
      </c>
      <c r="N81">
        <f t="shared" si="21"/>
        <v>0</v>
      </c>
      <c r="O81">
        <f t="shared" si="22"/>
        <v>2700</v>
      </c>
      <c r="P81">
        <f t="shared" si="23"/>
        <v>178</v>
      </c>
      <c r="Q81" s="2">
        <f t="shared" si="24"/>
        <v>1.02</v>
      </c>
      <c r="R81" t="str">
        <f>_xlfn.XLOOKUP(B81,Product_Line_Map!$A$2:$A$6,Product_Line_Map!$B$2:$B$6,"")</f>
        <v>L03</v>
      </c>
      <c r="S81" s="24">
        <f t="shared" si="25"/>
        <v>2.2004889975550124</v>
      </c>
      <c r="T81" t="str">
        <f t="shared" si="26"/>
        <v>OK</v>
      </c>
    </row>
    <row r="82" spans="1:20">
      <c r="A82" s="1">
        <f>Weekly_Product_Demand!A82</f>
        <v>46139</v>
      </c>
      <c r="B82" t="str">
        <f>Weekly_Product_Demand!B82</f>
        <v>P001</v>
      </c>
      <c r="C82">
        <f t="shared" si="28"/>
        <v>4351</v>
      </c>
      <c r="D82">
        <f>0</f>
        <v>0</v>
      </c>
      <c r="E82">
        <f t="shared" si="27"/>
        <v>4351</v>
      </c>
      <c r="F82">
        <f>SUMIFS(Weekly_Product_Demand!$D:$D,Weekly_Product_Demand!$A:$A,A82,Weekly_Product_Demand!$B:$B,B82)</f>
        <v>14540</v>
      </c>
      <c r="G82">
        <f t="shared" si="15"/>
        <v>4154</v>
      </c>
      <c r="H82">
        <f t="shared" si="16"/>
        <v>14343</v>
      </c>
      <c r="I82">
        <f t="shared" si="17"/>
        <v>14400</v>
      </c>
      <c r="J82">
        <f t="shared" si="18"/>
        <v>4211</v>
      </c>
      <c r="K82">
        <v>1.01</v>
      </c>
      <c r="L82">
        <f t="shared" si="19"/>
        <v>14544</v>
      </c>
      <c r="M82">
        <f t="shared" si="20"/>
        <v>4355</v>
      </c>
      <c r="N82">
        <f t="shared" si="21"/>
        <v>0</v>
      </c>
      <c r="O82">
        <f t="shared" si="22"/>
        <v>4355</v>
      </c>
      <c r="P82">
        <f t="shared" si="23"/>
        <v>144</v>
      </c>
      <c r="Q82" s="2">
        <f t="shared" si="24"/>
        <v>1.01</v>
      </c>
      <c r="R82" t="str">
        <f>_xlfn.XLOOKUP(B82,Product_Line_Map!$A$2:$A$6,Product_Line_Map!$B$2:$B$6,"")</f>
        <v>L01</v>
      </c>
      <c r="S82" s="24">
        <f t="shared" si="25"/>
        <v>2.0966299862448414</v>
      </c>
      <c r="T82" t="str">
        <f t="shared" si="26"/>
        <v>OK</v>
      </c>
    </row>
    <row r="83" spans="1:20">
      <c r="A83" s="1">
        <f>Weekly_Product_Demand!A83</f>
        <v>46139</v>
      </c>
      <c r="B83" t="str">
        <f>Weekly_Product_Demand!B83</f>
        <v>P002</v>
      </c>
      <c r="C83">
        <f t="shared" si="28"/>
        <v>3195</v>
      </c>
      <c r="D83">
        <f>0</f>
        <v>0</v>
      </c>
      <c r="E83">
        <f t="shared" si="27"/>
        <v>3195</v>
      </c>
      <c r="F83">
        <f>SUMIFS(Weekly_Product_Demand!$D:$D,Weekly_Product_Demand!$A:$A,A83,Weekly_Product_Demand!$B:$B,B83)</f>
        <v>12464</v>
      </c>
      <c r="G83">
        <f t="shared" si="15"/>
        <v>3561</v>
      </c>
      <c r="H83">
        <f t="shared" si="16"/>
        <v>12830</v>
      </c>
      <c r="I83">
        <f t="shared" si="17"/>
        <v>12900</v>
      </c>
      <c r="J83">
        <f t="shared" si="18"/>
        <v>3631</v>
      </c>
      <c r="K83">
        <v>1</v>
      </c>
      <c r="L83">
        <f t="shared" si="19"/>
        <v>12900</v>
      </c>
      <c r="M83">
        <f t="shared" si="20"/>
        <v>3631</v>
      </c>
      <c r="N83">
        <f t="shared" si="21"/>
        <v>0</v>
      </c>
      <c r="O83">
        <f t="shared" si="22"/>
        <v>3631</v>
      </c>
      <c r="P83">
        <f t="shared" si="23"/>
        <v>0</v>
      </c>
      <c r="Q83" s="2">
        <f t="shared" si="24"/>
        <v>1</v>
      </c>
      <c r="R83" t="str">
        <f>_xlfn.XLOOKUP(B83,Product_Line_Map!$A$2:$A$6,Product_Line_Map!$B$2:$B$6,"")</f>
        <v>L02</v>
      </c>
      <c r="S83" s="24">
        <f t="shared" si="25"/>
        <v>2.0392329910141207</v>
      </c>
      <c r="T83" t="str">
        <f t="shared" si="26"/>
        <v>OK</v>
      </c>
    </row>
    <row r="84" spans="1:20">
      <c r="A84" s="1">
        <f>Weekly_Product_Demand!A84</f>
        <v>46139</v>
      </c>
      <c r="B84" t="str">
        <f>Weekly_Product_Demand!B84</f>
        <v>P003</v>
      </c>
      <c r="C84">
        <f t="shared" si="28"/>
        <v>3144</v>
      </c>
      <c r="D84">
        <f>0</f>
        <v>0</v>
      </c>
      <c r="E84">
        <f t="shared" si="27"/>
        <v>3144</v>
      </c>
      <c r="F84">
        <f>SUMIFS(Weekly_Product_Demand!$D:$D,Weekly_Product_Demand!$A:$A,A84,Weekly_Product_Demand!$B:$B,B84)</f>
        <v>11100</v>
      </c>
      <c r="G84">
        <f t="shared" si="15"/>
        <v>3171</v>
      </c>
      <c r="H84">
        <f t="shared" si="16"/>
        <v>11127</v>
      </c>
      <c r="I84">
        <f t="shared" si="17"/>
        <v>11200</v>
      </c>
      <c r="J84">
        <f t="shared" si="18"/>
        <v>3244</v>
      </c>
      <c r="K84">
        <v>1.01</v>
      </c>
      <c r="L84">
        <f t="shared" si="19"/>
        <v>11312</v>
      </c>
      <c r="M84">
        <f t="shared" si="20"/>
        <v>3356</v>
      </c>
      <c r="N84">
        <f t="shared" si="21"/>
        <v>0</v>
      </c>
      <c r="O84">
        <f t="shared" si="22"/>
        <v>3356</v>
      </c>
      <c r="P84">
        <f t="shared" si="23"/>
        <v>112</v>
      </c>
      <c r="Q84" s="2">
        <f t="shared" si="24"/>
        <v>1.01</v>
      </c>
      <c r="R84" t="str">
        <f>_xlfn.XLOOKUP(B84,Product_Line_Map!$A$2:$A$6,Product_Line_Map!$B$2:$B$6,"")</f>
        <v>L03</v>
      </c>
      <c r="S84" s="24">
        <f t="shared" si="25"/>
        <v>2.1163963963963961</v>
      </c>
      <c r="T84" t="str">
        <f t="shared" si="26"/>
        <v>OK</v>
      </c>
    </row>
    <row r="85" spans="1:20">
      <c r="A85" s="1">
        <f>Weekly_Product_Demand!A85</f>
        <v>46139</v>
      </c>
      <c r="B85" t="str">
        <f>Weekly_Product_Demand!B85</f>
        <v>P004</v>
      </c>
      <c r="C85">
        <f t="shared" si="28"/>
        <v>3176</v>
      </c>
      <c r="D85">
        <f>0</f>
        <v>0</v>
      </c>
      <c r="E85">
        <f t="shared" si="27"/>
        <v>3176</v>
      </c>
      <c r="F85">
        <f>SUMIFS(Weekly_Product_Demand!$D:$D,Weekly_Product_Demand!$A:$A,A85,Weekly_Product_Demand!$B:$B,B85)</f>
        <v>11674</v>
      </c>
      <c r="G85">
        <f t="shared" si="15"/>
        <v>3335</v>
      </c>
      <c r="H85">
        <f t="shared" si="16"/>
        <v>11833</v>
      </c>
      <c r="I85">
        <f t="shared" si="17"/>
        <v>11900</v>
      </c>
      <c r="J85">
        <f t="shared" si="18"/>
        <v>3402</v>
      </c>
      <c r="K85">
        <v>0.99</v>
      </c>
      <c r="L85">
        <f t="shared" si="19"/>
        <v>11781</v>
      </c>
      <c r="M85">
        <f t="shared" si="20"/>
        <v>3283</v>
      </c>
      <c r="N85">
        <f t="shared" si="21"/>
        <v>0</v>
      </c>
      <c r="O85">
        <f t="shared" si="22"/>
        <v>3283</v>
      </c>
      <c r="P85">
        <f t="shared" si="23"/>
        <v>-119</v>
      </c>
      <c r="Q85" s="2">
        <f t="shared" si="24"/>
        <v>0.99</v>
      </c>
      <c r="R85" t="str">
        <f>_xlfn.XLOOKUP(B85,Product_Line_Map!$A$2:$A$6,Product_Line_Map!$B$2:$B$6,"")</f>
        <v>L02</v>
      </c>
      <c r="S85" s="24">
        <f t="shared" si="25"/>
        <v>1.9685626177831077</v>
      </c>
      <c r="T85" t="str">
        <f t="shared" si="26"/>
        <v>LOW COVER</v>
      </c>
    </row>
    <row r="86" spans="1:20">
      <c r="A86" s="1">
        <f>Weekly_Product_Demand!A86</f>
        <v>46139</v>
      </c>
      <c r="B86" t="str">
        <f>Weekly_Product_Demand!B86</f>
        <v>P005</v>
      </c>
      <c r="C86">
        <f t="shared" si="28"/>
        <v>2700</v>
      </c>
      <c r="D86">
        <f>0</f>
        <v>0</v>
      </c>
      <c r="E86">
        <f t="shared" si="27"/>
        <v>2700</v>
      </c>
      <c r="F86">
        <f>SUMIFS(Weekly_Product_Demand!$D:$D,Weekly_Product_Demand!$A:$A,A86,Weekly_Product_Demand!$B:$B,B86)</f>
        <v>8649</v>
      </c>
      <c r="G86">
        <f t="shared" si="15"/>
        <v>2471</v>
      </c>
      <c r="H86">
        <f t="shared" si="16"/>
        <v>8420</v>
      </c>
      <c r="I86">
        <f t="shared" si="17"/>
        <v>8500</v>
      </c>
      <c r="J86">
        <f t="shared" si="18"/>
        <v>2551</v>
      </c>
      <c r="K86">
        <v>1</v>
      </c>
      <c r="L86">
        <f t="shared" si="19"/>
        <v>8500</v>
      </c>
      <c r="M86">
        <f t="shared" si="20"/>
        <v>2551</v>
      </c>
      <c r="N86">
        <f t="shared" si="21"/>
        <v>0</v>
      </c>
      <c r="O86">
        <f t="shared" si="22"/>
        <v>2551</v>
      </c>
      <c r="P86">
        <f t="shared" si="23"/>
        <v>0</v>
      </c>
      <c r="Q86" s="2">
        <f t="shared" si="24"/>
        <v>1</v>
      </c>
      <c r="R86" t="str">
        <f>_xlfn.XLOOKUP(B86,Product_Line_Map!$A$2:$A$6,Product_Line_Map!$B$2:$B$6,"")</f>
        <v>L03</v>
      </c>
      <c r="S86" s="24">
        <f t="shared" si="25"/>
        <v>2.0646317493351831</v>
      </c>
      <c r="T86" t="str">
        <f t="shared" si="26"/>
        <v>OK</v>
      </c>
    </row>
    <row r="87" spans="1:20">
      <c r="A87" s="1">
        <f>Weekly_Product_Demand!A87</f>
        <v>46146</v>
      </c>
      <c r="B87" t="str">
        <f>Weekly_Product_Demand!B87</f>
        <v>P001</v>
      </c>
      <c r="C87">
        <f t="shared" si="28"/>
        <v>4355</v>
      </c>
      <c r="D87">
        <f>0</f>
        <v>0</v>
      </c>
      <c r="E87">
        <f t="shared" si="27"/>
        <v>4355</v>
      </c>
      <c r="F87">
        <f>SUMIFS(Weekly_Product_Demand!$D:$D,Weekly_Product_Demand!$A:$A,A87,Weekly_Product_Demand!$B:$B,B87)</f>
        <v>15075</v>
      </c>
      <c r="G87">
        <f t="shared" si="15"/>
        <v>4307</v>
      </c>
      <c r="H87">
        <f t="shared" si="16"/>
        <v>15027</v>
      </c>
      <c r="I87">
        <f t="shared" si="17"/>
        <v>15100</v>
      </c>
      <c r="J87">
        <f t="shared" si="18"/>
        <v>4380</v>
      </c>
      <c r="K87">
        <v>0.98</v>
      </c>
      <c r="L87">
        <f t="shared" si="19"/>
        <v>14798</v>
      </c>
      <c r="M87">
        <f t="shared" si="20"/>
        <v>4078</v>
      </c>
      <c r="N87">
        <f t="shared" si="21"/>
        <v>0</v>
      </c>
      <c r="O87">
        <f t="shared" si="22"/>
        <v>4078</v>
      </c>
      <c r="P87">
        <f t="shared" si="23"/>
        <v>-302</v>
      </c>
      <c r="Q87" s="2">
        <f t="shared" si="24"/>
        <v>0.98</v>
      </c>
      <c r="R87" t="str">
        <f>_xlfn.XLOOKUP(B87,Product_Line_Map!$A$2:$A$6,Product_Line_Map!$B$2:$B$6,"")</f>
        <v>L01</v>
      </c>
      <c r="S87" s="24">
        <f t="shared" si="25"/>
        <v>1.893598673300166</v>
      </c>
      <c r="T87" t="str">
        <f t="shared" si="26"/>
        <v>LOW COVER</v>
      </c>
    </row>
    <row r="88" spans="1:20">
      <c r="A88" s="1">
        <f>Weekly_Product_Demand!A88</f>
        <v>46146</v>
      </c>
      <c r="B88" t="str">
        <f>Weekly_Product_Demand!B88</f>
        <v>P002</v>
      </c>
      <c r="C88">
        <f t="shared" si="28"/>
        <v>3631</v>
      </c>
      <c r="D88">
        <f>0</f>
        <v>0</v>
      </c>
      <c r="E88">
        <f t="shared" si="27"/>
        <v>3631</v>
      </c>
      <c r="F88">
        <f>SUMIFS(Weekly_Product_Demand!$D:$D,Weekly_Product_Demand!$A:$A,A88,Weekly_Product_Demand!$B:$B,B88)</f>
        <v>13121</v>
      </c>
      <c r="G88">
        <f t="shared" si="15"/>
        <v>3749</v>
      </c>
      <c r="H88">
        <f t="shared" si="16"/>
        <v>13239</v>
      </c>
      <c r="I88">
        <f t="shared" si="17"/>
        <v>13300</v>
      </c>
      <c r="J88">
        <f t="shared" si="18"/>
        <v>3810</v>
      </c>
      <c r="K88">
        <v>1.01</v>
      </c>
      <c r="L88">
        <f t="shared" si="19"/>
        <v>13433</v>
      </c>
      <c r="M88">
        <f t="shared" si="20"/>
        <v>3943</v>
      </c>
      <c r="N88">
        <f t="shared" si="21"/>
        <v>0</v>
      </c>
      <c r="O88">
        <f t="shared" si="22"/>
        <v>3943</v>
      </c>
      <c r="P88">
        <f t="shared" si="23"/>
        <v>133</v>
      </c>
      <c r="Q88" s="2">
        <f t="shared" si="24"/>
        <v>1.01</v>
      </c>
      <c r="R88" t="str">
        <f>_xlfn.XLOOKUP(B88,Product_Line_Map!$A$2:$A$6,Product_Line_Map!$B$2:$B$6,"")</f>
        <v>L02</v>
      </c>
      <c r="S88" s="24">
        <f t="shared" si="25"/>
        <v>2.1035744226811981</v>
      </c>
      <c r="T88" t="str">
        <f t="shared" si="26"/>
        <v>OK</v>
      </c>
    </row>
    <row r="89" spans="1:20">
      <c r="A89" s="1">
        <f>Weekly_Product_Demand!A89</f>
        <v>46146</v>
      </c>
      <c r="B89" t="str">
        <f>Weekly_Product_Demand!B89</f>
        <v>P003</v>
      </c>
      <c r="C89">
        <f t="shared" si="28"/>
        <v>3356</v>
      </c>
      <c r="D89">
        <f>0</f>
        <v>0</v>
      </c>
      <c r="E89">
        <f t="shared" si="27"/>
        <v>3356</v>
      </c>
      <c r="F89">
        <f>SUMIFS(Weekly_Product_Demand!$D:$D,Weekly_Product_Demand!$A:$A,A89,Weekly_Product_Demand!$B:$B,B89)</f>
        <v>11189</v>
      </c>
      <c r="G89">
        <f t="shared" si="15"/>
        <v>3197</v>
      </c>
      <c r="H89">
        <f t="shared" si="16"/>
        <v>11030</v>
      </c>
      <c r="I89">
        <f t="shared" si="17"/>
        <v>11100</v>
      </c>
      <c r="J89">
        <f t="shared" si="18"/>
        <v>3267</v>
      </c>
      <c r="K89">
        <v>0.98</v>
      </c>
      <c r="L89">
        <f t="shared" si="19"/>
        <v>10878</v>
      </c>
      <c r="M89">
        <f t="shared" si="20"/>
        <v>3045</v>
      </c>
      <c r="N89">
        <f t="shared" si="21"/>
        <v>0</v>
      </c>
      <c r="O89">
        <f t="shared" si="22"/>
        <v>3045</v>
      </c>
      <c r="P89">
        <f t="shared" si="23"/>
        <v>-222</v>
      </c>
      <c r="Q89" s="2">
        <f t="shared" si="24"/>
        <v>0.98</v>
      </c>
      <c r="R89" t="str">
        <f>_xlfn.XLOOKUP(B89,Product_Line_Map!$A$2:$A$6,Product_Line_Map!$B$2:$B$6,"")</f>
        <v>L03</v>
      </c>
      <c r="S89" s="24">
        <f t="shared" si="25"/>
        <v>1.904995978192868</v>
      </c>
      <c r="T89" t="str">
        <f t="shared" si="26"/>
        <v>LOW COVER</v>
      </c>
    </row>
    <row r="90" spans="1:20">
      <c r="A90" s="1">
        <f>Weekly_Product_Demand!A90</f>
        <v>46146</v>
      </c>
      <c r="B90" t="str">
        <f>Weekly_Product_Demand!B90</f>
        <v>P004</v>
      </c>
      <c r="C90">
        <f t="shared" si="28"/>
        <v>3283</v>
      </c>
      <c r="D90">
        <f>0</f>
        <v>0</v>
      </c>
      <c r="E90">
        <f t="shared" si="27"/>
        <v>3283</v>
      </c>
      <c r="F90">
        <f>SUMIFS(Weekly_Product_Demand!$D:$D,Weekly_Product_Demand!$A:$A,A90,Weekly_Product_Demand!$B:$B,B90)</f>
        <v>12313</v>
      </c>
      <c r="G90">
        <f t="shared" si="15"/>
        <v>3518</v>
      </c>
      <c r="H90">
        <f t="shared" si="16"/>
        <v>12548</v>
      </c>
      <c r="I90">
        <f t="shared" si="17"/>
        <v>12600</v>
      </c>
      <c r="J90">
        <f t="shared" si="18"/>
        <v>3570</v>
      </c>
      <c r="K90">
        <v>1.02</v>
      </c>
      <c r="L90">
        <f t="shared" si="19"/>
        <v>12852</v>
      </c>
      <c r="M90">
        <f t="shared" si="20"/>
        <v>3822</v>
      </c>
      <c r="N90">
        <f t="shared" si="21"/>
        <v>0</v>
      </c>
      <c r="O90">
        <f t="shared" si="22"/>
        <v>3822</v>
      </c>
      <c r="P90">
        <f t="shared" si="23"/>
        <v>252</v>
      </c>
      <c r="Q90" s="2">
        <f t="shared" si="24"/>
        <v>1.02</v>
      </c>
      <c r="R90" t="str">
        <f>_xlfn.XLOOKUP(B90,Product_Line_Map!$A$2:$A$6,Product_Line_Map!$B$2:$B$6,"")</f>
        <v>L02</v>
      </c>
      <c r="S90" s="24">
        <f t="shared" si="25"/>
        <v>2.1728254690164865</v>
      </c>
      <c r="T90" t="str">
        <f t="shared" si="26"/>
        <v>OK</v>
      </c>
    </row>
    <row r="91" spans="1:20">
      <c r="A91" s="1">
        <f>Weekly_Product_Demand!A91</f>
        <v>46146</v>
      </c>
      <c r="B91" t="str">
        <f>Weekly_Product_Demand!B91</f>
        <v>P005</v>
      </c>
      <c r="C91">
        <f t="shared" si="28"/>
        <v>2551</v>
      </c>
      <c r="D91">
        <f>0</f>
        <v>0</v>
      </c>
      <c r="E91">
        <f t="shared" si="27"/>
        <v>2551</v>
      </c>
      <c r="F91">
        <f>SUMIFS(Weekly_Product_Demand!$D:$D,Weekly_Product_Demand!$A:$A,A91,Weekly_Product_Demand!$B:$B,B91)</f>
        <v>9351</v>
      </c>
      <c r="G91">
        <f t="shared" si="15"/>
        <v>2672</v>
      </c>
      <c r="H91">
        <f t="shared" si="16"/>
        <v>9472</v>
      </c>
      <c r="I91">
        <f t="shared" si="17"/>
        <v>9500</v>
      </c>
      <c r="J91">
        <f t="shared" si="18"/>
        <v>2700</v>
      </c>
      <c r="K91">
        <v>1</v>
      </c>
      <c r="L91">
        <f t="shared" si="19"/>
        <v>9500</v>
      </c>
      <c r="M91">
        <f t="shared" si="20"/>
        <v>2700</v>
      </c>
      <c r="N91">
        <f t="shared" si="21"/>
        <v>0</v>
      </c>
      <c r="O91">
        <f t="shared" si="22"/>
        <v>2700</v>
      </c>
      <c r="P91">
        <f t="shared" si="23"/>
        <v>0</v>
      </c>
      <c r="Q91" s="2">
        <f t="shared" si="24"/>
        <v>1</v>
      </c>
      <c r="R91" t="str">
        <f>_xlfn.XLOOKUP(B91,Product_Line_Map!$A$2:$A$6,Product_Line_Map!$B$2:$B$6,"")</f>
        <v>L03</v>
      </c>
      <c r="S91" s="24">
        <f t="shared" si="25"/>
        <v>2.0211742059672764</v>
      </c>
      <c r="T91" t="str">
        <f t="shared" si="26"/>
        <v>OK</v>
      </c>
    </row>
    <row r="92" spans="1:20">
      <c r="A92" s="1">
        <f>Weekly_Product_Demand!A92</f>
        <v>46153</v>
      </c>
      <c r="B92" t="str">
        <f>Weekly_Product_Demand!B92</f>
        <v>P001</v>
      </c>
      <c r="C92">
        <f t="shared" si="28"/>
        <v>4078</v>
      </c>
      <c r="D92">
        <f>0</f>
        <v>0</v>
      </c>
      <c r="E92">
        <f t="shared" si="27"/>
        <v>4078</v>
      </c>
      <c r="F92">
        <f>SUMIFS(Weekly_Product_Demand!$D:$D,Weekly_Product_Demand!$A:$A,A92,Weekly_Product_Demand!$B:$B,B92)</f>
        <v>15232</v>
      </c>
      <c r="G92">
        <f t="shared" si="15"/>
        <v>4352</v>
      </c>
      <c r="H92">
        <f t="shared" si="16"/>
        <v>15506</v>
      </c>
      <c r="I92">
        <f t="shared" si="17"/>
        <v>15600</v>
      </c>
      <c r="J92">
        <f t="shared" si="18"/>
        <v>4446</v>
      </c>
      <c r="K92">
        <v>1.02</v>
      </c>
      <c r="L92">
        <f t="shared" si="19"/>
        <v>15912</v>
      </c>
      <c r="M92">
        <f t="shared" si="20"/>
        <v>4758</v>
      </c>
      <c r="N92">
        <f t="shared" si="21"/>
        <v>0</v>
      </c>
      <c r="O92">
        <f t="shared" si="22"/>
        <v>4758</v>
      </c>
      <c r="P92">
        <f t="shared" si="23"/>
        <v>312</v>
      </c>
      <c r="Q92" s="2">
        <f t="shared" si="24"/>
        <v>1.02</v>
      </c>
      <c r="R92" t="str">
        <f>_xlfn.XLOOKUP(B92,Product_Line_Map!$A$2:$A$6,Product_Line_Map!$B$2:$B$6,"")</f>
        <v>L01</v>
      </c>
      <c r="S92" s="24">
        <f t="shared" si="25"/>
        <v>2.1865808823529411</v>
      </c>
      <c r="T92" t="str">
        <f t="shared" si="26"/>
        <v>OK</v>
      </c>
    </row>
    <row r="93" spans="1:20">
      <c r="A93" s="1">
        <f>Weekly_Product_Demand!A93</f>
        <v>46153</v>
      </c>
      <c r="B93" t="str">
        <f>Weekly_Product_Demand!B93</f>
        <v>P002</v>
      </c>
      <c r="C93">
        <f t="shared" si="28"/>
        <v>3943</v>
      </c>
      <c r="D93">
        <f>0</f>
        <v>0</v>
      </c>
      <c r="E93">
        <f t="shared" si="27"/>
        <v>3943</v>
      </c>
      <c r="F93">
        <f>SUMIFS(Weekly_Product_Demand!$D:$D,Weekly_Product_Demand!$A:$A,A93,Weekly_Product_Demand!$B:$B,B93)</f>
        <v>12851</v>
      </c>
      <c r="G93">
        <f t="shared" si="15"/>
        <v>3672</v>
      </c>
      <c r="H93">
        <f t="shared" si="16"/>
        <v>12580</v>
      </c>
      <c r="I93">
        <f t="shared" si="17"/>
        <v>12600</v>
      </c>
      <c r="J93">
        <f t="shared" si="18"/>
        <v>3692</v>
      </c>
      <c r="K93">
        <v>1</v>
      </c>
      <c r="L93">
        <f t="shared" si="19"/>
        <v>12600</v>
      </c>
      <c r="M93">
        <f t="shared" si="20"/>
        <v>3692</v>
      </c>
      <c r="N93">
        <f t="shared" si="21"/>
        <v>0</v>
      </c>
      <c r="O93">
        <f t="shared" si="22"/>
        <v>3692</v>
      </c>
      <c r="P93">
        <f t="shared" si="23"/>
        <v>0</v>
      </c>
      <c r="Q93" s="2">
        <f t="shared" si="24"/>
        <v>1</v>
      </c>
      <c r="R93" t="str">
        <f>_xlfn.XLOOKUP(B93,Product_Line_Map!$A$2:$A$6,Product_Line_Map!$B$2:$B$6,"")</f>
        <v>L02</v>
      </c>
      <c r="S93" s="24">
        <f t="shared" si="25"/>
        <v>2.0110497237569058</v>
      </c>
      <c r="T93" t="str">
        <f t="shared" si="26"/>
        <v>OK</v>
      </c>
    </row>
    <row r="94" spans="1:20">
      <c r="A94" s="1">
        <f>Weekly_Product_Demand!A94</f>
        <v>46153</v>
      </c>
      <c r="B94" t="str">
        <f>Weekly_Product_Demand!B94</f>
        <v>P003</v>
      </c>
      <c r="C94">
        <f t="shared" si="28"/>
        <v>3045</v>
      </c>
      <c r="D94">
        <f>0</f>
        <v>0</v>
      </c>
      <c r="E94">
        <f t="shared" si="27"/>
        <v>3045</v>
      </c>
      <c r="F94">
        <f>SUMIFS(Weekly_Product_Demand!$D:$D,Weekly_Product_Demand!$A:$A,A94,Weekly_Product_Demand!$B:$B,B94)</f>
        <v>11605</v>
      </c>
      <c r="G94">
        <f t="shared" si="15"/>
        <v>3316</v>
      </c>
      <c r="H94">
        <f t="shared" si="16"/>
        <v>11876</v>
      </c>
      <c r="I94">
        <f t="shared" si="17"/>
        <v>11900</v>
      </c>
      <c r="J94">
        <f t="shared" si="18"/>
        <v>3340</v>
      </c>
      <c r="K94">
        <v>0.97</v>
      </c>
      <c r="L94">
        <f t="shared" si="19"/>
        <v>11543</v>
      </c>
      <c r="M94">
        <f t="shared" si="20"/>
        <v>2983</v>
      </c>
      <c r="N94">
        <f t="shared" si="21"/>
        <v>0</v>
      </c>
      <c r="O94">
        <f t="shared" si="22"/>
        <v>2983</v>
      </c>
      <c r="P94">
        <f t="shared" si="23"/>
        <v>-357</v>
      </c>
      <c r="Q94" s="2">
        <f t="shared" si="24"/>
        <v>0.97</v>
      </c>
      <c r="R94" t="str">
        <f>_xlfn.XLOOKUP(B94,Product_Line_Map!$A$2:$A$6,Product_Line_Map!$B$2:$B$6,"")</f>
        <v>L03</v>
      </c>
      <c r="S94" s="24">
        <f t="shared" si="25"/>
        <v>1.7993106419646703</v>
      </c>
      <c r="T94" t="str">
        <f t="shared" si="26"/>
        <v>LOW COVER</v>
      </c>
    </row>
    <row r="95" spans="1:20">
      <c r="A95" s="1">
        <f>Weekly_Product_Demand!A95</f>
        <v>46153</v>
      </c>
      <c r="B95" t="str">
        <f>Weekly_Product_Demand!B95</f>
        <v>P004</v>
      </c>
      <c r="C95">
        <f t="shared" si="28"/>
        <v>3822</v>
      </c>
      <c r="D95">
        <f>0</f>
        <v>0</v>
      </c>
      <c r="E95">
        <f t="shared" si="27"/>
        <v>3822</v>
      </c>
      <c r="F95">
        <f>SUMIFS(Weekly_Product_Demand!$D:$D,Weekly_Product_Demand!$A:$A,A95,Weekly_Product_Demand!$B:$B,B95)</f>
        <v>11837</v>
      </c>
      <c r="G95">
        <f t="shared" si="15"/>
        <v>3382</v>
      </c>
      <c r="H95">
        <f t="shared" si="16"/>
        <v>11397</v>
      </c>
      <c r="I95">
        <f t="shared" si="17"/>
        <v>11400</v>
      </c>
      <c r="J95">
        <f t="shared" si="18"/>
        <v>3385</v>
      </c>
      <c r="K95">
        <v>1.02</v>
      </c>
      <c r="L95">
        <f t="shared" si="19"/>
        <v>11628</v>
      </c>
      <c r="M95">
        <f t="shared" si="20"/>
        <v>3613</v>
      </c>
      <c r="N95">
        <f t="shared" si="21"/>
        <v>0</v>
      </c>
      <c r="O95">
        <f t="shared" si="22"/>
        <v>3613</v>
      </c>
      <c r="P95">
        <f t="shared" si="23"/>
        <v>228</v>
      </c>
      <c r="Q95" s="2">
        <f t="shared" si="24"/>
        <v>1.02</v>
      </c>
      <c r="R95" t="str">
        <f>_xlfn.XLOOKUP(B95,Product_Line_Map!$A$2:$A$6,Product_Line_Map!$B$2:$B$6,"")</f>
        <v>L02</v>
      </c>
      <c r="S95" s="24">
        <f t="shared" si="25"/>
        <v>2.1366055588409227</v>
      </c>
      <c r="T95" t="str">
        <f t="shared" si="26"/>
        <v>OK</v>
      </c>
    </row>
    <row r="96" spans="1:20">
      <c r="A96" s="1">
        <f>Weekly_Product_Demand!A96</f>
        <v>46153</v>
      </c>
      <c r="B96" t="str">
        <f>Weekly_Product_Demand!B96</f>
        <v>P005</v>
      </c>
      <c r="C96">
        <f t="shared" si="28"/>
        <v>2700</v>
      </c>
      <c r="D96">
        <f>0</f>
        <v>0</v>
      </c>
      <c r="E96">
        <f t="shared" si="27"/>
        <v>2700</v>
      </c>
      <c r="F96">
        <f>SUMIFS(Weekly_Product_Demand!$D:$D,Weekly_Product_Demand!$A:$A,A96,Weekly_Product_Demand!$B:$B,B96)</f>
        <v>9028</v>
      </c>
      <c r="G96">
        <f t="shared" si="15"/>
        <v>2579</v>
      </c>
      <c r="H96">
        <f t="shared" si="16"/>
        <v>8907</v>
      </c>
      <c r="I96">
        <f t="shared" si="17"/>
        <v>9000</v>
      </c>
      <c r="J96">
        <f t="shared" si="18"/>
        <v>2672</v>
      </c>
      <c r="K96">
        <v>1.01</v>
      </c>
      <c r="L96">
        <f t="shared" si="19"/>
        <v>9090</v>
      </c>
      <c r="M96">
        <f t="shared" si="20"/>
        <v>2762</v>
      </c>
      <c r="N96">
        <f t="shared" si="21"/>
        <v>0</v>
      </c>
      <c r="O96">
        <f t="shared" si="22"/>
        <v>2762</v>
      </c>
      <c r="P96">
        <f t="shared" si="23"/>
        <v>90</v>
      </c>
      <c r="Q96" s="2">
        <f t="shared" si="24"/>
        <v>1.01</v>
      </c>
      <c r="R96" t="str">
        <f>_xlfn.XLOOKUP(B96,Product_Line_Map!$A$2:$A$6,Product_Line_Map!$B$2:$B$6,"")</f>
        <v>L03</v>
      </c>
      <c r="S96" s="24">
        <f t="shared" si="25"/>
        <v>2.1415595923792643</v>
      </c>
      <c r="T96" t="str">
        <f t="shared" si="26"/>
        <v>OK</v>
      </c>
    </row>
    <row r="97" spans="1:20">
      <c r="A97" s="1">
        <f>Weekly_Product_Demand!A97</f>
        <v>46160</v>
      </c>
      <c r="B97" t="str">
        <f>Weekly_Product_Demand!B97</f>
        <v>P001</v>
      </c>
      <c r="C97">
        <f t="shared" si="28"/>
        <v>4758</v>
      </c>
      <c r="D97">
        <f>0</f>
        <v>0</v>
      </c>
      <c r="E97">
        <f t="shared" si="27"/>
        <v>4758</v>
      </c>
      <c r="F97">
        <f>SUMIFS(Weekly_Product_Demand!$D:$D,Weekly_Product_Demand!$A:$A,A97,Weekly_Product_Demand!$B:$B,B97)</f>
        <v>15046</v>
      </c>
      <c r="G97">
        <f t="shared" si="15"/>
        <v>4299</v>
      </c>
      <c r="H97">
        <f t="shared" si="16"/>
        <v>14587</v>
      </c>
      <c r="I97">
        <f t="shared" si="17"/>
        <v>14600</v>
      </c>
      <c r="J97">
        <f t="shared" si="18"/>
        <v>4312</v>
      </c>
      <c r="K97">
        <v>1</v>
      </c>
      <c r="L97">
        <f t="shared" si="19"/>
        <v>14600</v>
      </c>
      <c r="M97">
        <f t="shared" si="20"/>
        <v>4312</v>
      </c>
      <c r="N97">
        <f t="shared" si="21"/>
        <v>0</v>
      </c>
      <c r="O97">
        <f t="shared" si="22"/>
        <v>4312</v>
      </c>
      <c r="P97">
        <f t="shared" si="23"/>
        <v>0</v>
      </c>
      <c r="Q97" s="2">
        <f t="shared" si="24"/>
        <v>1</v>
      </c>
      <c r="R97" t="str">
        <f>_xlfn.XLOOKUP(B97,Product_Line_Map!$A$2:$A$6,Product_Line_Map!$B$2:$B$6,"")</f>
        <v>L01</v>
      </c>
      <c r="S97" s="24">
        <f t="shared" si="25"/>
        <v>2.0061145819486907</v>
      </c>
      <c r="T97" t="str">
        <f t="shared" si="26"/>
        <v>OK</v>
      </c>
    </row>
    <row r="98" spans="1:20">
      <c r="A98" s="1">
        <f>Weekly_Product_Demand!A98</f>
        <v>46160</v>
      </c>
      <c r="B98" t="str">
        <f>Weekly_Product_Demand!B98</f>
        <v>P002</v>
      </c>
      <c r="C98">
        <f t="shared" si="28"/>
        <v>3692</v>
      </c>
      <c r="D98">
        <f>0</f>
        <v>0</v>
      </c>
      <c r="E98">
        <f t="shared" si="27"/>
        <v>3692</v>
      </c>
      <c r="F98">
        <f>SUMIFS(Weekly_Product_Demand!$D:$D,Weekly_Product_Demand!$A:$A,A98,Weekly_Product_Demand!$B:$B,B98)</f>
        <v>13270</v>
      </c>
      <c r="G98">
        <f t="shared" si="15"/>
        <v>3791</v>
      </c>
      <c r="H98">
        <f t="shared" si="16"/>
        <v>13369</v>
      </c>
      <c r="I98">
        <f t="shared" si="17"/>
        <v>13400</v>
      </c>
      <c r="J98">
        <f t="shared" si="18"/>
        <v>3822</v>
      </c>
      <c r="K98">
        <v>1.01</v>
      </c>
      <c r="L98">
        <f t="shared" si="19"/>
        <v>13534</v>
      </c>
      <c r="M98">
        <f t="shared" si="20"/>
        <v>3956</v>
      </c>
      <c r="N98">
        <f t="shared" si="21"/>
        <v>0</v>
      </c>
      <c r="O98">
        <f t="shared" si="22"/>
        <v>3956</v>
      </c>
      <c r="P98">
        <f t="shared" si="23"/>
        <v>134</v>
      </c>
      <c r="Q98" s="2">
        <f t="shared" si="24"/>
        <v>1.01</v>
      </c>
      <c r="R98" t="str">
        <f>_xlfn.XLOOKUP(B98,Product_Line_Map!$A$2:$A$6,Product_Line_Map!$B$2:$B$6,"")</f>
        <v>L02</v>
      </c>
      <c r="S98" s="24">
        <f t="shared" si="25"/>
        <v>2.0868123587038432</v>
      </c>
      <c r="T98" t="str">
        <f t="shared" si="26"/>
        <v>OK</v>
      </c>
    </row>
    <row r="99" spans="1:20">
      <c r="A99" s="1">
        <f>Weekly_Product_Demand!A99</f>
        <v>46160</v>
      </c>
      <c r="B99" t="str">
        <f>Weekly_Product_Demand!B99</f>
        <v>P003</v>
      </c>
      <c r="C99">
        <f t="shared" si="28"/>
        <v>2983</v>
      </c>
      <c r="D99">
        <f>0</f>
        <v>0</v>
      </c>
      <c r="E99">
        <f t="shared" si="27"/>
        <v>2983</v>
      </c>
      <c r="F99">
        <f>SUMIFS(Weekly_Product_Demand!$D:$D,Weekly_Product_Demand!$A:$A,A99,Weekly_Product_Demand!$B:$B,B99)</f>
        <v>11432</v>
      </c>
      <c r="G99">
        <f t="shared" si="15"/>
        <v>3266</v>
      </c>
      <c r="H99">
        <f t="shared" si="16"/>
        <v>11715</v>
      </c>
      <c r="I99">
        <f t="shared" si="17"/>
        <v>11800</v>
      </c>
      <c r="J99">
        <f t="shared" si="18"/>
        <v>3351</v>
      </c>
      <c r="K99">
        <v>0.98</v>
      </c>
      <c r="L99">
        <f t="shared" si="19"/>
        <v>11564</v>
      </c>
      <c r="M99">
        <f t="shared" si="20"/>
        <v>3115</v>
      </c>
      <c r="N99">
        <f t="shared" si="21"/>
        <v>0</v>
      </c>
      <c r="O99">
        <f t="shared" si="22"/>
        <v>3115</v>
      </c>
      <c r="P99">
        <f t="shared" si="23"/>
        <v>-236</v>
      </c>
      <c r="Q99" s="2">
        <f t="shared" si="24"/>
        <v>0.98</v>
      </c>
      <c r="R99" t="str">
        <f>_xlfn.XLOOKUP(B99,Product_Line_Map!$A$2:$A$6,Product_Line_Map!$B$2:$B$6,"")</f>
        <v>L03</v>
      </c>
      <c r="S99" s="24">
        <f t="shared" si="25"/>
        <v>1.9073652904128762</v>
      </c>
      <c r="T99" t="str">
        <f t="shared" si="26"/>
        <v>LOW COVER</v>
      </c>
    </row>
    <row r="100" spans="1:20">
      <c r="A100" s="1">
        <f>Weekly_Product_Demand!A100</f>
        <v>46160</v>
      </c>
      <c r="B100" t="str">
        <f>Weekly_Product_Demand!B100</f>
        <v>P004</v>
      </c>
      <c r="C100">
        <f t="shared" si="28"/>
        <v>3613</v>
      </c>
      <c r="D100">
        <f>0</f>
        <v>0</v>
      </c>
      <c r="E100">
        <f t="shared" si="27"/>
        <v>3613</v>
      </c>
      <c r="F100">
        <f>SUMIFS(Weekly_Product_Demand!$D:$D,Weekly_Product_Demand!$A:$A,A100,Weekly_Product_Demand!$B:$B,B100)</f>
        <v>12165</v>
      </c>
      <c r="G100">
        <f t="shared" si="15"/>
        <v>3476</v>
      </c>
      <c r="H100">
        <f t="shared" si="16"/>
        <v>12028</v>
      </c>
      <c r="I100">
        <f t="shared" si="17"/>
        <v>12100</v>
      </c>
      <c r="J100">
        <f t="shared" si="18"/>
        <v>3548</v>
      </c>
      <c r="K100">
        <v>0.97</v>
      </c>
      <c r="L100">
        <f t="shared" si="19"/>
        <v>11737</v>
      </c>
      <c r="M100">
        <f t="shared" si="20"/>
        <v>3185</v>
      </c>
      <c r="N100">
        <f t="shared" si="21"/>
        <v>0</v>
      </c>
      <c r="O100">
        <f t="shared" si="22"/>
        <v>3185</v>
      </c>
      <c r="P100">
        <f t="shared" si="23"/>
        <v>-363</v>
      </c>
      <c r="Q100" s="2">
        <f t="shared" si="24"/>
        <v>0.97</v>
      </c>
      <c r="R100" t="str">
        <f>_xlfn.XLOOKUP(B100,Product_Line_Map!$A$2:$A$6,Product_Line_Map!$B$2:$B$6,"")</f>
        <v>L02</v>
      </c>
      <c r="S100" s="24">
        <f t="shared" si="25"/>
        <v>1.8327168105219893</v>
      </c>
      <c r="T100" t="str">
        <f t="shared" si="26"/>
        <v>LOW COVER</v>
      </c>
    </row>
    <row r="101" spans="1:20">
      <c r="A101" s="1">
        <f>Weekly_Product_Demand!A101</f>
        <v>46160</v>
      </c>
      <c r="B101" t="str">
        <f>Weekly_Product_Demand!B101</f>
        <v>P005</v>
      </c>
      <c r="C101">
        <f t="shared" si="28"/>
        <v>2762</v>
      </c>
      <c r="D101">
        <f>0</f>
        <v>0</v>
      </c>
      <c r="E101">
        <f t="shared" si="27"/>
        <v>2762</v>
      </c>
      <c r="F101">
        <f>SUMIFS(Weekly_Product_Demand!$D:$D,Weekly_Product_Demand!$A:$A,A101,Weekly_Product_Demand!$B:$B,B101)</f>
        <v>9005</v>
      </c>
      <c r="G101">
        <f t="shared" si="15"/>
        <v>2573</v>
      </c>
      <c r="H101">
        <f t="shared" si="16"/>
        <v>8816</v>
      </c>
      <c r="I101">
        <f t="shared" si="17"/>
        <v>8900</v>
      </c>
      <c r="J101">
        <f t="shared" si="18"/>
        <v>2657</v>
      </c>
      <c r="K101">
        <v>0.99</v>
      </c>
      <c r="L101">
        <f t="shared" si="19"/>
        <v>8811</v>
      </c>
      <c r="M101">
        <f t="shared" si="20"/>
        <v>2568</v>
      </c>
      <c r="N101">
        <f t="shared" si="21"/>
        <v>0</v>
      </c>
      <c r="O101">
        <f t="shared" si="22"/>
        <v>2568</v>
      </c>
      <c r="P101">
        <f t="shared" si="23"/>
        <v>-89</v>
      </c>
      <c r="Q101" s="2">
        <f t="shared" si="24"/>
        <v>0.99</v>
      </c>
      <c r="R101" t="str">
        <f>_xlfn.XLOOKUP(B101,Product_Line_Map!$A$2:$A$6,Product_Line_Map!$B$2:$B$6,"")</f>
        <v>L03</v>
      </c>
      <c r="S101" s="24">
        <f t="shared" si="25"/>
        <v>1.9962243198223211</v>
      </c>
      <c r="T101" t="str">
        <f t="shared" si="26"/>
        <v>LOW COVER</v>
      </c>
    </row>
    <row r="102" spans="1:20">
      <c r="A102" s="1">
        <f>Weekly_Product_Demand!A102</f>
        <v>46167</v>
      </c>
      <c r="B102" t="str">
        <f>Weekly_Product_Demand!B102</f>
        <v>P001</v>
      </c>
      <c r="C102">
        <f t="shared" si="28"/>
        <v>4312</v>
      </c>
      <c r="D102">
        <f>0</f>
        <v>0</v>
      </c>
      <c r="E102">
        <f t="shared" si="27"/>
        <v>4312</v>
      </c>
      <c r="F102">
        <f>SUMIFS(Weekly_Product_Demand!$D:$D,Weekly_Product_Demand!$A:$A,A102,Weekly_Product_Demand!$B:$B,B102)</f>
        <v>14993</v>
      </c>
      <c r="G102">
        <f t="shared" si="15"/>
        <v>4284</v>
      </c>
      <c r="H102">
        <f t="shared" si="16"/>
        <v>14965</v>
      </c>
      <c r="I102">
        <f t="shared" si="17"/>
        <v>15000</v>
      </c>
      <c r="J102">
        <f t="shared" si="18"/>
        <v>4319</v>
      </c>
      <c r="K102">
        <v>1</v>
      </c>
      <c r="L102">
        <f t="shared" si="19"/>
        <v>15000</v>
      </c>
      <c r="M102">
        <f t="shared" si="20"/>
        <v>4319</v>
      </c>
      <c r="N102">
        <f t="shared" si="21"/>
        <v>0</v>
      </c>
      <c r="O102">
        <f t="shared" si="22"/>
        <v>4319</v>
      </c>
      <c r="P102">
        <f t="shared" si="23"/>
        <v>0</v>
      </c>
      <c r="Q102" s="2">
        <f t="shared" si="24"/>
        <v>1</v>
      </c>
      <c r="R102" t="str">
        <f>_xlfn.XLOOKUP(B102,Product_Line_Map!$A$2:$A$6,Product_Line_Map!$B$2:$B$6,"")</f>
        <v>L01</v>
      </c>
      <c r="S102" s="24">
        <f t="shared" si="25"/>
        <v>2.0164743546988597</v>
      </c>
      <c r="T102" t="str">
        <f t="shared" si="26"/>
        <v>OK</v>
      </c>
    </row>
    <row r="103" spans="1:20">
      <c r="A103" s="1">
        <f>Weekly_Product_Demand!A103</f>
        <v>46167</v>
      </c>
      <c r="B103" t="str">
        <f>Weekly_Product_Demand!B103</f>
        <v>P002</v>
      </c>
      <c r="C103">
        <f t="shared" si="28"/>
        <v>3956</v>
      </c>
      <c r="D103">
        <f>0</f>
        <v>0</v>
      </c>
      <c r="E103">
        <f t="shared" si="27"/>
        <v>3956</v>
      </c>
      <c r="F103">
        <f>SUMIFS(Weekly_Product_Demand!$D:$D,Weekly_Product_Demand!$A:$A,A103,Weekly_Product_Demand!$B:$B,B103)</f>
        <v>13023</v>
      </c>
      <c r="G103">
        <f t="shared" si="15"/>
        <v>3721</v>
      </c>
      <c r="H103">
        <f t="shared" si="16"/>
        <v>12788</v>
      </c>
      <c r="I103">
        <f t="shared" si="17"/>
        <v>12800</v>
      </c>
      <c r="J103">
        <f t="shared" si="18"/>
        <v>3733</v>
      </c>
      <c r="K103">
        <v>1.02</v>
      </c>
      <c r="L103">
        <f t="shared" si="19"/>
        <v>13056</v>
      </c>
      <c r="M103">
        <f t="shared" si="20"/>
        <v>3989</v>
      </c>
      <c r="N103">
        <f t="shared" si="21"/>
        <v>0</v>
      </c>
      <c r="O103">
        <f t="shared" si="22"/>
        <v>3989</v>
      </c>
      <c r="P103">
        <f t="shared" si="23"/>
        <v>256</v>
      </c>
      <c r="Q103" s="2">
        <f t="shared" si="24"/>
        <v>1.02</v>
      </c>
      <c r="R103" t="str">
        <f>_xlfn.XLOOKUP(B103,Product_Line_Map!$A$2:$A$6,Product_Line_Map!$B$2:$B$6,"")</f>
        <v>L02</v>
      </c>
      <c r="S103" s="24">
        <f t="shared" si="25"/>
        <v>2.1441296168317594</v>
      </c>
      <c r="T103" t="str">
        <f t="shared" si="26"/>
        <v>OK</v>
      </c>
    </row>
    <row r="104" spans="1:20">
      <c r="A104" s="1">
        <f>Weekly_Product_Demand!A104</f>
        <v>46167</v>
      </c>
      <c r="B104" t="str">
        <f>Weekly_Product_Demand!B104</f>
        <v>P003</v>
      </c>
      <c r="C104">
        <f t="shared" si="28"/>
        <v>3115</v>
      </c>
      <c r="D104">
        <f>0</f>
        <v>0</v>
      </c>
      <c r="E104">
        <f t="shared" si="27"/>
        <v>3115</v>
      </c>
      <c r="F104">
        <f>SUMIFS(Weekly_Product_Demand!$D:$D,Weekly_Product_Demand!$A:$A,A104,Weekly_Product_Demand!$B:$B,B104)</f>
        <v>11612</v>
      </c>
      <c r="G104">
        <f t="shared" si="15"/>
        <v>3318</v>
      </c>
      <c r="H104">
        <f t="shared" si="16"/>
        <v>11815</v>
      </c>
      <c r="I104">
        <f t="shared" si="17"/>
        <v>11900</v>
      </c>
      <c r="J104">
        <f t="shared" si="18"/>
        <v>3403</v>
      </c>
      <c r="K104">
        <v>1.02</v>
      </c>
      <c r="L104">
        <f t="shared" si="19"/>
        <v>12138</v>
      </c>
      <c r="M104">
        <f t="shared" si="20"/>
        <v>3641</v>
      </c>
      <c r="N104">
        <f t="shared" si="21"/>
        <v>0</v>
      </c>
      <c r="O104">
        <f t="shared" si="22"/>
        <v>3641</v>
      </c>
      <c r="P104">
        <f t="shared" si="23"/>
        <v>238</v>
      </c>
      <c r="Q104" s="2">
        <f t="shared" si="24"/>
        <v>1.02</v>
      </c>
      <c r="R104" t="str">
        <f>_xlfn.XLOOKUP(B104,Product_Line_Map!$A$2:$A$6,Product_Line_Map!$B$2:$B$6,"")</f>
        <v>L03</v>
      </c>
      <c r="S104" s="24">
        <f t="shared" si="25"/>
        <v>2.1948846021357218</v>
      </c>
      <c r="T104" t="str">
        <f t="shared" si="26"/>
        <v>OK</v>
      </c>
    </row>
    <row r="105" spans="1:20">
      <c r="A105" s="1">
        <f>Weekly_Product_Demand!A105</f>
        <v>46167</v>
      </c>
      <c r="B105" t="str">
        <f>Weekly_Product_Demand!B105</f>
        <v>P004</v>
      </c>
      <c r="C105">
        <f t="shared" si="28"/>
        <v>3185</v>
      </c>
      <c r="D105">
        <f>0</f>
        <v>0</v>
      </c>
      <c r="E105">
        <f t="shared" si="27"/>
        <v>3185</v>
      </c>
      <c r="F105">
        <f>SUMIFS(Weekly_Product_Demand!$D:$D,Weekly_Product_Demand!$A:$A,A105,Weekly_Product_Demand!$B:$B,B105)</f>
        <v>12042</v>
      </c>
      <c r="G105">
        <f t="shared" si="15"/>
        <v>3441</v>
      </c>
      <c r="H105">
        <f t="shared" si="16"/>
        <v>12298</v>
      </c>
      <c r="I105">
        <f t="shared" si="17"/>
        <v>12300</v>
      </c>
      <c r="J105">
        <f t="shared" si="18"/>
        <v>3443</v>
      </c>
      <c r="K105">
        <v>1.02</v>
      </c>
      <c r="L105">
        <f t="shared" si="19"/>
        <v>12546</v>
      </c>
      <c r="M105">
        <f t="shared" si="20"/>
        <v>3689</v>
      </c>
      <c r="N105">
        <f t="shared" si="21"/>
        <v>0</v>
      </c>
      <c r="O105">
        <f t="shared" si="22"/>
        <v>3689</v>
      </c>
      <c r="P105">
        <f t="shared" si="23"/>
        <v>246</v>
      </c>
      <c r="Q105" s="2">
        <f t="shared" si="24"/>
        <v>1.02</v>
      </c>
      <c r="R105" t="str">
        <f>_xlfn.XLOOKUP(B105,Product_Line_Map!$A$2:$A$6,Product_Line_Map!$B$2:$B$6,"")</f>
        <v>L02</v>
      </c>
      <c r="S105" s="24">
        <f t="shared" si="25"/>
        <v>2.1444112273708686</v>
      </c>
      <c r="T105" t="str">
        <f t="shared" si="26"/>
        <v>OK</v>
      </c>
    </row>
    <row r="106" spans="1:20">
      <c r="A106" s="1">
        <f>Weekly_Product_Demand!A106</f>
        <v>46167</v>
      </c>
      <c r="B106" t="str">
        <f>Weekly_Product_Demand!B106</f>
        <v>P005</v>
      </c>
      <c r="C106">
        <f t="shared" si="28"/>
        <v>2568</v>
      </c>
      <c r="D106">
        <f>0</f>
        <v>0</v>
      </c>
      <c r="E106">
        <f t="shared" si="27"/>
        <v>2568</v>
      </c>
      <c r="F106">
        <f>SUMIFS(Weekly_Product_Demand!$D:$D,Weekly_Product_Demand!$A:$A,A106,Weekly_Product_Demand!$B:$B,B106)</f>
        <v>9003</v>
      </c>
      <c r="G106">
        <f t="shared" si="15"/>
        <v>2572</v>
      </c>
      <c r="H106">
        <f t="shared" si="16"/>
        <v>9007</v>
      </c>
      <c r="I106">
        <f t="shared" si="17"/>
        <v>9100</v>
      </c>
      <c r="J106">
        <f t="shared" si="18"/>
        <v>2665</v>
      </c>
      <c r="K106">
        <v>1.01</v>
      </c>
      <c r="L106">
        <f t="shared" si="19"/>
        <v>9191</v>
      </c>
      <c r="M106">
        <f t="shared" si="20"/>
        <v>2756</v>
      </c>
      <c r="N106">
        <f t="shared" si="21"/>
        <v>0</v>
      </c>
      <c r="O106">
        <f t="shared" si="22"/>
        <v>2756</v>
      </c>
      <c r="P106">
        <f t="shared" si="23"/>
        <v>91</v>
      </c>
      <c r="Q106" s="2">
        <f t="shared" si="24"/>
        <v>1.01</v>
      </c>
      <c r="R106" t="str">
        <f>_xlfn.XLOOKUP(B106,Product_Line_Map!$A$2:$A$6,Product_Line_Map!$B$2:$B$6,"")</f>
        <v>L03</v>
      </c>
      <c r="S106" s="24">
        <f t="shared" si="25"/>
        <v>2.1428412751305119</v>
      </c>
      <c r="T106" t="str">
        <f t="shared" si="26"/>
        <v>OK</v>
      </c>
    </row>
    <row r="107" spans="1:20">
      <c r="A107" s="1">
        <f>Weekly_Product_Demand!A107</f>
        <v>46174</v>
      </c>
      <c r="B107" t="str">
        <f>Weekly_Product_Demand!B107</f>
        <v>P001</v>
      </c>
      <c r="C107">
        <f t="shared" si="28"/>
        <v>4319</v>
      </c>
      <c r="D107">
        <f>0</f>
        <v>0</v>
      </c>
      <c r="E107">
        <f t="shared" si="27"/>
        <v>4319</v>
      </c>
      <c r="F107">
        <f>SUMIFS(Weekly_Product_Demand!$D:$D,Weekly_Product_Demand!$A:$A,A107,Weekly_Product_Demand!$B:$B,B107)</f>
        <v>14699</v>
      </c>
      <c r="G107">
        <f t="shared" si="15"/>
        <v>4200</v>
      </c>
      <c r="H107">
        <f t="shared" si="16"/>
        <v>14580</v>
      </c>
      <c r="I107">
        <f t="shared" si="17"/>
        <v>14600</v>
      </c>
      <c r="J107">
        <f t="shared" si="18"/>
        <v>4220</v>
      </c>
      <c r="K107">
        <v>1</v>
      </c>
      <c r="L107">
        <f t="shared" si="19"/>
        <v>14600</v>
      </c>
      <c r="M107">
        <f t="shared" si="20"/>
        <v>4220</v>
      </c>
      <c r="N107">
        <f t="shared" si="21"/>
        <v>0</v>
      </c>
      <c r="O107">
        <f t="shared" si="22"/>
        <v>4220</v>
      </c>
      <c r="P107">
        <f t="shared" si="23"/>
        <v>0</v>
      </c>
      <c r="Q107" s="2">
        <f t="shared" si="24"/>
        <v>1</v>
      </c>
      <c r="R107" t="str">
        <f>_xlfn.XLOOKUP(B107,Product_Line_Map!$A$2:$A$6,Product_Line_Map!$B$2:$B$6,"")</f>
        <v>L01</v>
      </c>
      <c r="S107" s="24">
        <f t="shared" si="25"/>
        <v>2.009660521123886</v>
      </c>
      <c r="T107" t="str">
        <f t="shared" si="26"/>
        <v>OK</v>
      </c>
    </row>
    <row r="108" spans="1:20">
      <c r="A108" s="1">
        <f>Weekly_Product_Demand!A108</f>
        <v>46174</v>
      </c>
      <c r="B108" t="str">
        <f>Weekly_Product_Demand!B108</f>
        <v>P002</v>
      </c>
      <c r="C108">
        <f t="shared" si="28"/>
        <v>3989</v>
      </c>
      <c r="D108">
        <f>0</f>
        <v>0</v>
      </c>
      <c r="E108">
        <f t="shared" si="27"/>
        <v>3989</v>
      </c>
      <c r="F108">
        <f>SUMIFS(Weekly_Product_Demand!$D:$D,Weekly_Product_Demand!$A:$A,A108,Weekly_Product_Demand!$B:$B,B108)</f>
        <v>12495</v>
      </c>
      <c r="G108">
        <f t="shared" si="15"/>
        <v>3570</v>
      </c>
      <c r="H108">
        <f t="shared" si="16"/>
        <v>12076</v>
      </c>
      <c r="I108">
        <f t="shared" si="17"/>
        <v>12100</v>
      </c>
      <c r="J108">
        <f t="shared" si="18"/>
        <v>3594</v>
      </c>
      <c r="K108">
        <v>0.99</v>
      </c>
      <c r="L108">
        <f t="shared" si="19"/>
        <v>11979</v>
      </c>
      <c r="M108">
        <f t="shared" si="20"/>
        <v>3473</v>
      </c>
      <c r="N108">
        <f t="shared" si="21"/>
        <v>0</v>
      </c>
      <c r="O108">
        <f t="shared" si="22"/>
        <v>3473</v>
      </c>
      <c r="P108">
        <f t="shared" si="23"/>
        <v>-121</v>
      </c>
      <c r="Q108" s="2">
        <f t="shared" si="24"/>
        <v>0.99</v>
      </c>
      <c r="R108" t="str">
        <f>_xlfn.XLOOKUP(B108,Product_Line_Map!$A$2:$A$6,Product_Line_Map!$B$2:$B$6,"")</f>
        <v>L02</v>
      </c>
      <c r="S108" s="24">
        <f t="shared" si="25"/>
        <v>1.9456582633053221</v>
      </c>
      <c r="T108" t="str">
        <f t="shared" si="26"/>
        <v>LOW COVER</v>
      </c>
    </row>
    <row r="109" spans="1:20">
      <c r="A109" s="1">
        <f>Weekly_Product_Demand!A109</f>
        <v>46174</v>
      </c>
      <c r="B109" t="str">
        <f>Weekly_Product_Demand!B109</f>
        <v>P003</v>
      </c>
      <c r="C109">
        <f t="shared" si="28"/>
        <v>3641</v>
      </c>
      <c r="D109">
        <f>0</f>
        <v>0</v>
      </c>
      <c r="E109">
        <f t="shared" si="27"/>
        <v>3641</v>
      </c>
      <c r="F109">
        <f>SUMIFS(Weekly_Product_Demand!$D:$D,Weekly_Product_Demand!$A:$A,A109,Weekly_Product_Demand!$B:$B,B109)</f>
        <v>11317</v>
      </c>
      <c r="G109">
        <f t="shared" si="15"/>
        <v>3233</v>
      </c>
      <c r="H109">
        <f t="shared" si="16"/>
        <v>10909</v>
      </c>
      <c r="I109">
        <f t="shared" si="17"/>
        <v>11000</v>
      </c>
      <c r="J109">
        <f t="shared" si="18"/>
        <v>3324</v>
      </c>
      <c r="K109">
        <v>1.02</v>
      </c>
      <c r="L109">
        <f t="shared" si="19"/>
        <v>11220</v>
      </c>
      <c r="M109">
        <f t="shared" si="20"/>
        <v>3544</v>
      </c>
      <c r="N109">
        <f t="shared" si="21"/>
        <v>0</v>
      </c>
      <c r="O109">
        <f t="shared" si="22"/>
        <v>3544</v>
      </c>
      <c r="P109">
        <f t="shared" si="23"/>
        <v>220</v>
      </c>
      <c r="Q109" s="2">
        <f t="shared" si="24"/>
        <v>1.02</v>
      </c>
      <c r="R109" t="str">
        <f>_xlfn.XLOOKUP(B109,Product_Line_Map!$A$2:$A$6,Product_Line_Map!$B$2:$B$6,"")</f>
        <v>L03</v>
      </c>
      <c r="S109" s="24">
        <f t="shared" si="25"/>
        <v>2.1921003799593533</v>
      </c>
      <c r="T109" t="str">
        <f t="shared" si="26"/>
        <v>OK</v>
      </c>
    </row>
    <row r="110" spans="1:20">
      <c r="A110" s="1">
        <f>Weekly_Product_Demand!A110</f>
        <v>46174</v>
      </c>
      <c r="B110" t="str">
        <f>Weekly_Product_Demand!B110</f>
        <v>P004</v>
      </c>
      <c r="C110">
        <f t="shared" si="28"/>
        <v>3689</v>
      </c>
      <c r="D110">
        <f>0</f>
        <v>0</v>
      </c>
      <c r="E110">
        <f t="shared" si="27"/>
        <v>3689</v>
      </c>
      <c r="F110">
        <f>SUMIFS(Weekly_Product_Demand!$D:$D,Weekly_Product_Demand!$A:$A,A110,Weekly_Product_Demand!$B:$B,B110)</f>
        <v>12384</v>
      </c>
      <c r="G110">
        <f t="shared" si="15"/>
        <v>3538</v>
      </c>
      <c r="H110">
        <f t="shared" si="16"/>
        <v>12233</v>
      </c>
      <c r="I110">
        <f t="shared" si="17"/>
        <v>12300</v>
      </c>
      <c r="J110">
        <f t="shared" si="18"/>
        <v>3605</v>
      </c>
      <c r="K110">
        <v>1</v>
      </c>
      <c r="L110">
        <f t="shared" si="19"/>
        <v>12300</v>
      </c>
      <c r="M110">
        <f t="shared" si="20"/>
        <v>3605</v>
      </c>
      <c r="N110">
        <f t="shared" si="21"/>
        <v>0</v>
      </c>
      <c r="O110">
        <f t="shared" si="22"/>
        <v>3605</v>
      </c>
      <c r="P110">
        <f t="shared" si="23"/>
        <v>0</v>
      </c>
      <c r="Q110" s="2">
        <f t="shared" si="24"/>
        <v>1</v>
      </c>
      <c r="R110" t="str">
        <f>_xlfn.XLOOKUP(B110,Product_Line_Map!$A$2:$A$6,Product_Line_Map!$B$2:$B$6,"")</f>
        <v>L02</v>
      </c>
      <c r="S110" s="24">
        <f t="shared" si="25"/>
        <v>2.0377099483204133</v>
      </c>
      <c r="T110" t="str">
        <f t="shared" si="26"/>
        <v>OK</v>
      </c>
    </row>
    <row r="111" spans="1:20">
      <c r="A111" s="1">
        <f>Weekly_Product_Demand!A111</f>
        <v>46174</v>
      </c>
      <c r="B111" t="str">
        <f>Weekly_Product_Demand!B111</f>
        <v>P005</v>
      </c>
      <c r="C111">
        <f t="shared" si="28"/>
        <v>2756</v>
      </c>
      <c r="D111">
        <f>0</f>
        <v>0</v>
      </c>
      <c r="E111">
        <f t="shared" si="27"/>
        <v>2756</v>
      </c>
      <c r="F111">
        <f>SUMIFS(Weekly_Product_Demand!$D:$D,Weekly_Product_Demand!$A:$A,A111,Weekly_Product_Demand!$B:$B,B111)</f>
        <v>8961</v>
      </c>
      <c r="G111">
        <f t="shared" si="15"/>
        <v>2560</v>
      </c>
      <c r="H111">
        <f t="shared" si="16"/>
        <v>8765</v>
      </c>
      <c r="I111">
        <f t="shared" si="17"/>
        <v>8800</v>
      </c>
      <c r="J111">
        <f t="shared" si="18"/>
        <v>2595</v>
      </c>
      <c r="K111">
        <v>0.99</v>
      </c>
      <c r="L111">
        <f t="shared" si="19"/>
        <v>8712</v>
      </c>
      <c r="M111">
        <f t="shared" si="20"/>
        <v>2507</v>
      </c>
      <c r="N111">
        <f t="shared" si="21"/>
        <v>0</v>
      </c>
      <c r="O111">
        <f t="shared" si="22"/>
        <v>2507</v>
      </c>
      <c r="P111">
        <f t="shared" si="23"/>
        <v>-88</v>
      </c>
      <c r="Q111" s="2">
        <f t="shared" si="24"/>
        <v>0.99</v>
      </c>
      <c r="R111" t="str">
        <f>_xlfn.XLOOKUP(B111,Product_Line_Map!$A$2:$A$6,Product_Line_Map!$B$2:$B$6,"")</f>
        <v>L03</v>
      </c>
      <c r="S111" s="24">
        <f t="shared" si="25"/>
        <v>1.9583751813413681</v>
      </c>
      <c r="T111" t="str">
        <f t="shared" si="26"/>
        <v>LOW COVER</v>
      </c>
    </row>
    <row r="112" spans="1:20">
      <c r="A112" s="1">
        <f>Weekly_Product_Demand!A112</f>
        <v>46181</v>
      </c>
      <c r="B112" t="str">
        <f>Weekly_Product_Demand!B112</f>
        <v>P001</v>
      </c>
      <c r="C112">
        <f t="shared" si="28"/>
        <v>4220</v>
      </c>
      <c r="D112">
        <f>0</f>
        <v>0</v>
      </c>
      <c r="E112">
        <f t="shared" si="27"/>
        <v>4220</v>
      </c>
      <c r="F112">
        <f>SUMIFS(Weekly_Product_Demand!$D:$D,Weekly_Product_Demand!$A:$A,A112,Weekly_Product_Demand!$B:$B,B112)</f>
        <v>14981</v>
      </c>
      <c r="G112">
        <f t="shared" si="15"/>
        <v>4280</v>
      </c>
      <c r="H112">
        <f t="shared" si="16"/>
        <v>15041</v>
      </c>
      <c r="I112">
        <f t="shared" si="17"/>
        <v>15100</v>
      </c>
      <c r="J112">
        <f t="shared" si="18"/>
        <v>4339</v>
      </c>
      <c r="K112">
        <v>0.97</v>
      </c>
      <c r="L112">
        <f t="shared" si="19"/>
        <v>14647</v>
      </c>
      <c r="M112">
        <f t="shared" si="20"/>
        <v>3886</v>
      </c>
      <c r="N112">
        <f t="shared" si="21"/>
        <v>0</v>
      </c>
      <c r="O112">
        <f t="shared" si="22"/>
        <v>3886</v>
      </c>
      <c r="P112">
        <f t="shared" si="23"/>
        <v>-453</v>
      </c>
      <c r="Q112" s="2">
        <f t="shared" si="24"/>
        <v>0.97</v>
      </c>
      <c r="R112" t="str">
        <f>_xlfn.XLOOKUP(B112,Product_Line_Map!$A$2:$A$6,Product_Line_Map!$B$2:$B$6,"")</f>
        <v>L01</v>
      </c>
      <c r="S112" s="24">
        <f t="shared" si="25"/>
        <v>1.8157666377411386</v>
      </c>
      <c r="T112" t="str">
        <f t="shared" si="26"/>
        <v>LOW COVER</v>
      </c>
    </row>
    <row r="113" spans="1:20">
      <c r="A113" s="1">
        <f>Weekly_Product_Demand!A113</f>
        <v>46181</v>
      </c>
      <c r="B113" t="str">
        <f>Weekly_Product_Demand!B113</f>
        <v>P002</v>
      </c>
      <c r="C113">
        <f t="shared" si="28"/>
        <v>3473</v>
      </c>
      <c r="D113">
        <f>0</f>
        <v>0</v>
      </c>
      <c r="E113">
        <f t="shared" si="27"/>
        <v>3473</v>
      </c>
      <c r="F113">
        <f>SUMIFS(Weekly_Product_Demand!$D:$D,Weekly_Product_Demand!$A:$A,A113,Weekly_Product_Demand!$B:$B,B113)</f>
        <v>12976</v>
      </c>
      <c r="G113">
        <f t="shared" si="15"/>
        <v>3707</v>
      </c>
      <c r="H113">
        <f t="shared" si="16"/>
        <v>13210</v>
      </c>
      <c r="I113">
        <f t="shared" si="17"/>
        <v>13300</v>
      </c>
      <c r="J113">
        <f t="shared" si="18"/>
        <v>3797</v>
      </c>
      <c r="K113">
        <v>1.01</v>
      </c>
      <c r="L113">
        <f t="shared" si="19"/>
        <v>13433</v>
      </c>
      <c r="M113">
        <f t="shared" si="20"/>
        <v>3930</v>
      </c>
      <c r="N113">
        <f t="shared" si="21"/>
        <v>0</v>
      </c>
      <c r="O113">
        <f t="shared" si="22"/>
        <v>3930</v>
      </c>
      <c r="P113">
        <f t="shared" si="23"/>
        <v>133</v>
      </c>
      <c r="Q113" s="2">
        <f t="shared" si="24"/>
        <v>1.01</v>
      </c>
      <c r="R113" t="str">
        <f>_xlfn.XLOOKUP(B113,Product_Line_Map!$A$2:$A$6,Product_Line_Map!$B$2:$B$6,"")</f>
        <v>L02</v>
      </c>
      <c r="S113" s="24">
        <f t="shared" si="25"/>
        <v>2.1200678175092476</v>
      </c>
      <c r="T113" t="str">
        <f t="shared" si="26"/>
        <v>OK</v>
      </c>
    </row>
    <row r="114" spans="1:20">
      <c r="A114" s="1">
        <f>Weekly_Product_Demand!A114</f>
        <v>46181</v>
      </c>
      <c r="B114" t="str">
        <f>Weekly_Product_Demand!B114</f>
        <v>P003</v>
      </c>
      <c r="C114">
        <f t="shared" si="28"/>
        <v>3544</v>
      </c>
      <c r="D114">
        <f>0</f>
        <v>0</v>
      </c>
      <c r="E114">
        <f t="shared" si="27"/>
        <v>3544</v>
      </c>
      <c r="F114">
        <f>SUMIFS(Weekly_Product_Demand!$D:$D,Weekly_Product_Demand!$A:$A,A114,Weekly_Product_Demand!$B:$B,B114)</f>
        <v>11157</v>
      </c>
      <c r="G114">
        <f t="shared" si="15"/>
        <v>3188</v>
      </c>
      <c r="H114">
        <f t="shared" si="16"/>
        <v>10801</v>
      </c>
      <c r="I114">
        <f t="shared" si="17"/>
        <v>10900</v>
      </c>
      <c r="J114">
        <f t="shared" si="18"/>
        <v>3287</v>
      </c>
      <c r="K114">
        <v>1.02</v>
      </c>
      <c r="L114">
        <f t="shared" si="19"/>
        <v>11118</v>
      </c>
      <c r="M114">
        <f t="shared" si="20"/>
        <v>3505</v>
      </c>
      <c r="N114">
        <f t="shared" si="21"/>
        <v>0</v>
      </c>
      <c r="O114">
        <f t="shared" si="22"/>
        <v>3505</v>
      </c>
      <c r="P114">
        <f t="shared" si="23"/>
        <v>218</v>
      </c>
      <c r="Q114" s="2">
        <f t="shared" si="24"/>
        <v>1.02</v>
      </c>
      <c r="R114" t="str">
        <f>_xlfn.XLOOKUP(B114,Product_Line_Map!$A$2:$A$6,Product_Line_Map!$B$2:$B$6,"")</f>
        <v>L03</v>
      </c>
      <c r="S114" s="24">
        <f t="shared" si="25"/>
        <v>2.1990678497804068</v>
      </c>
      <c r="T114" t="str">
        <f t="shared" si="26"/>
        <v>OK</v>
      </c>
    </row>
    <row r="115" spans="1:20">
      <c r="A115" s="1">
        <f>Weekly_Product_Demand!A115</f>
        <v>46181</v>
      </c>
      <c r="B115" t="str">
        <f>Weekly_Product_Demand!B115</f>
        <v>P004</v>
      </c>
      <c r="C115">
        <f t="shared" si="28"/>
        <v>3605</v>
      </c>
      <c r="D115">
        <f>0</f>
        <v>0</v>
      </c>
      <c r="E115">
        <f t="shared" si="27"/>
        <v>3605</v>
      </c>
      <c r="F115">
        <f>SUMIFS(Weekly_Product_Demand!$D:$D,Weekly_Product_Demand!$A:$A,A115,Weekly_Product_Demand!$B:$B,B115)</f>
        <v>12825</v>
      </c>
      <c r="G115">
        <f t="shared" si="15"/>
        <v>3664</v>
      </c>
      <c r="H115">
        <f t="shared" si="16"/>
        <v>12884</v>
      </c>
      <c r="I115">
        <f t="shared" si="17"/>
        <v>12900</v>
      </c>
      <c r="J115">
        <f t="shared" si="18"/>
        <v>3680</v>
      </c>
      <c r="K115">
        <v>0.97</v>
      </c>
      <c r="L115">
        <f t="shared" si="19"/>
        <v>12513</v>
      </c>
      <c r="M115">
        <f t="shared" si="20"/>
        <v>3293</v>
      </c>
      <c r="N115">
        <f t="shared" si="21"/>
        <v>0</v>
      </c>
      <c r="O115">
        <f t="shared" si="22"/>
        <v>3293</v>
      </c>
      <c r="P115">
        <f t="shared" si="23"/>
        <v>-387</v>
      </c>
      <c r="Q115" s="2">
        <f t="shared" si="24"/>
        <v>0.97</v>
      </c>
      <c r="R115" t="str">
        <f>_xlfn.XLOOKUP(B115,Product_Line_Map!$A$2:$A$6,Product_Line_Map!$B$2:$B$6,"")</f>
        <v>L02</v>
      </c>
      <c r="S115" s="24">
        <f t="shared" si="25"/>
        <v>1.7973489278752437</v>
      </c>
      <c r="T115" t="str">
        <f t="shared" si="26"/>
        <v>LOW COVER</v>
      </c>
    </row>
    <row r="116" spans="1:20">
      <c r="A116" s="1">
        <f>Weekly_Product_Demand!A116</f>
        <v>46181</v>
      </c>
      <c r="B116" t="str">
        <f>Weekly_Product_Demand!B116</f>
        <v>P005</v>
      </c>
      <c r="C116">
        <f t="shared" si="28"/>
        <v>2507</v>
      </c>
      <c r="D116">
        <f>0</f>
        <v>0</v>
      </c>
      <c r="E116">
        <f t="shared" si="27"/>
        <v>2507</v>
      </c>
      <c r="F116">
        <f>SUMIFS(Weekly_Product_Demand!$D:$D,Weekly_Product_Demand!$A:$A,A116,Weekly_Product_Demand!$B:$B,B116)</f>
        <v>9033</v>
      </c>
      <c r="G116">
        <f t="shared" si="15"/>
        <v>2581</v>
      </c>
      <c r="H116">
        <f t="shared" si="16"/>
        <v>9107</v>
      </c>
      <c r="I116">
        <f t="shared" si="17"/>
        <v>9200</v>
      </c>
      <c r="J116">
        <f t="shared" si="18"/>
        <v>2674</v>
      </c>
      <c r="K116">
        <v>1</v>
      </c>
      <c r="L116">
        <f t="shared" si="19"/>
        <v>9200</v>
      </c>
      <c r="M116">
        <f t="shared" si="20"/>
        <v>2674</v>
      </c>
      <c r="N116">
        <f t="shared" si="21"/>
        <v>0</v>
      </c>
      <c r="O116">
        <f t="shared" si="22"/>
        <v>2674</v>
      </c>
      <c r="P116">
        <f t="shared" si="23"/>
        <v>0</v>
      </c>
      <c r="Q116" s="2">
        <f t="shared" si="24"/>
        <v>1</v>
      </c>
      <c r="R116" t="str">
        <f>_xlfn.XLOOKUP(B116,Product_Line_Map!$A$2:$A$6,Product_Line_Map!$B$2:$B$6,"")</f>
        <v>L03</v>
      </c>
      <c r="S116" s="24">
        <f t="shared" si="25"/>
        <v>2.0721797852319277</v>
      </c>
      <c r="T116" t="str">
        <f t="shared" si="26"/>
        <v>OK</v>
      </c>
    </row>
    <row r="117" spans="1:20">
      <c r="A117" s="1">
        <f>Weekly_Product_Demand!A117</f>
        <v>46188</v>
      </c>
      <c r="B117" t="str">
        <f>Weekly_Product_Demand!B117</f>
        <v>P001</v>
      </c>
      <c r="C117">
        <f t="shared" si="28"/>
        <v>3886</v>
      </c>
      <c r="D117">
        <f>0</f>
        <v>0</v>
      </c>
      <c r="E117">
        <f t="shared" si="27"/>
        <v>3886</v>
      </c>
      <c r="F117">
        <f>SUMIFS(Weekly_Product_Demand!$D:$D,Weekly_Product_Demand!$A:$A,A117,Weekly_Product_Demand!$B:$B,B117)</f>
        <v>14793</v>
      </c>
      <c r="G117">
        <f t="shared" si="15"/>
        <v>4227</v>
      </c>
      <c r="H117">
        <f t="shared" si="16"/>
        <v>15134</v>
      </c>
      <c r="I117">
        <f t="shared" si="17"/>
        <v>15200</v>
      </c>
      <c r="J117">
        <f t="shared" si="18"/>
        <v>4293</v>
      </c>
      <c r="K117">
        <v>0.97</v>
      </c>
      <c r="L117">
        <f t="shared" si="19"/>
        <v>14744</v>
      </c>
      <c r="M117">
        <f t="shared" si="20"/>
        <v>3837</v>
      </c>
      <c r="N117">
        <f t="shared" si="21"/>
        <v>0</v>
      </c>
      <c r="O117">
        <f t="shared" si="22"/>
        <v>3837</v>
      </c>
      <c r="P117">
        <f t="shared" si="23"/>
        <v>-456</v>
      </c>
      <c r="Q117" s="2">
        <f t="shared" si="24"/>
        <v>0.97</v>
      </c>
      <c r="R117" t="str">
        <f>_xlfn.XLOOKUP(B117,Product_Line_Map!$A$2:$A$6,Product_Line_Map!$B$2:$B$6,"")</f>
        <v>L01</v>
      </c>
      <c r="S117" s="24">
        <f t="shared" si="25"/>
        <v>1.815656053538836</v>
      </c>
      <c r="T117" t="str">
        <f t="shared" si="26"/>
        <v>LOW COVER</v>
      </c>
    </row>
    <row r="118" spans="1:20">
      <c r="A118" s="1">
        <f>Weekly_Product_Demand!A118</f>
        <v>46188</v>
      </c>
      <c r="B118" t="str">
        <f>Weekly_Product_Demand!B118</f>
        <v>P002</v>
      </c>
      <c r="C118">
        <f t="shared" si="28"/>
        <v>3930</v>
      </c>
      <c r="D118">
        <f>0</f>
        <v>0</v>
      </c>
      <c r="E118">
        <f t="shared" si="27"/>
        <v>3930</v>
      </c>
      <c r="F118">
        <f>SUMIFS(Weekly_Product_Demand!$D:$D,Weekly_Product_Demand!$A:$A,A118,Weekly_Product_Demand!$B:$B,B118)</f>
        <v>12823</v>
      </c>
      <c r="G118">
        <f t="shared" si="15"/>
        <v>3664</v>
      </c>
      <c r="H118">
        <f t="shared" si="16"/>
        <v>12557</v>
      </c>
      <c r="I118">
        <f t="shared" si="17"/>
        <v>12600</v>
      </c>
      <c r="J118">
        <f t="shared" si="18"/>
        <v>3707</v>
      </c>
      <c r="K118">
        <v>0.97</v>
      </c>
      <c r="L118">
        <f t="shared" si="19"/>
        <v>12222</v>
      </c>
      <c r="M118">
        <f t="shared" si="20"/>
        <v>3329</v>
      </c>
      <c r="N118">
        <f t="shared" si="21"/>
        <v>0</v>
      </c>
      <c r="O118">
        <f t="shared" si="22"/>
        <v>3329</v>
      </c>
      <c r="P118">
        <f t="shared" si="23"/>
        <v>-378</v>
      </c>
      <c r="Q118" s="2">
        <f t="shared" si="24"/>
        <v>0.97</v>
      </c>
      <c r="R118" t="str">
        <f>_xlfn.XLOOKUP(B118,Product_Line_Map!$A$2:$A$6,Product_Line_Map!$B$2:$B$6,"")</f>
        <v>L02</v>
      </c>
      <c r="S118" s="24">
        <f t="shared" si="25"/>
        <v>1.8172814473992045</v>
      </c>
      <c r="T118" t="str">
        <f t="shared" si="26"/>
        <v>LOW COVER</v>
      </c>
    </row>
    <row r="119" spans="1:20">
      <c r="A119" s="1">
        <f>Weekly_Product_Demand!A119</f>
        <v>46188</v>
      </c>
      <c r="B119" t="str">
        <f>Weekly_Product_Demand!B119</f>
        <v>P003</v>
      </c>
      <c r="C119">
        <f t="shared" si="28"/>
        <v>3505</v>
      </c>
      <c r="D119">
        <f>0</f>
        <v>0</v>
      </c>
      <c r="E119">
        <f t="shared" si="27"/>
        <v>3505</v>
      </c>
      <c r="F119">
        <f>SUMIFS(Weekly_Product_Demand!$D:$D,Weekly_Product_Demand!$A:$A,A119,Weekly_Product_Demand!$B:$B,B119)</f>
        <v>11104</v>
      </c>
      <c r="G119">
        <f t="shared" si="15"/>
        <v>3173</v>
      </c>
      <c r="H119">
        <f t="shared" si="16"/>
        <v>10772</v>
      </c>
      <c r="I119">
        <f t="shared" si="17"/>
        <v>10800</v>
      </c>
      <c r="J119">
        <f t="shared" si="18"/>
        <v>3201</v>
      </c>
      <c r="K119">
        <v>0.97</v>
      </c>
      <c r="L119">
        <f t="shared" si="19"/>
        <v>10476</v>
      </c>
      <c r="M119">
        <f t="shared" si="20"/>
        <v>2877</v>
      </c>
      <c r="N119">
        <f t="shared" si="21"/>
        <v>0</v>
      </c>
      <c r="O119">
        <f t="shared" si="22"/>
        <v>2877</v>
      </c>
      <c r="P119">
        <f t="shared" si="23"/>
        <v>-324</v>
      </c>
      <c r="Q119" s="2">
        <f t="shared" si="24"/>
        <v>0.97</v>
      </c>
      <c r="R119" t="str">
        <f>_xlfn.XLOOKUP(B119,Product_Line_Map!$A$2:$A$6,Product_Line_Map!$B$2:$B$6,"")</f>
        <v>L03</v>
      </c>
      <c r="S119" s="24">
        <f t="shared" si="25"/>
        <v>1.813670749279539</v>
      </c>
      <c r="T119" t="str">
        <f t="shared" si="26"/>
        <v>LOW COVER</v>
      </c>
    </row>
    <row r="120" spans="1:20">
      <c r="A120" s="1">
        <f>Weekly_Product_Demand!A120</f>
        <v>46188</v>
      </c>
      <c r="B120" t="str">
        <f>Weekly_Product_Demand!B120</f>
        <v>P004</v>
      </c>
      <c r="C120">
        <f t="shared" si="28"/>
        <v>3293</v>
      </c>
      <c r="D120">
        <f>0</f>
        <v>0</v>
      </c>
      <c r="E120">
        <f t="shared" si="27"/>
        <v>3293</v>
      </c>
      <c r="F120">
        <f>SUMIFS(Weekly_Product_Demand!$D:$D,Weekly_Product_Demand!$A:$A,A120,Weekly_Product_Demand!$B:$B,B120)</f>
        <v>12233</v>
      </c>
      <c r="G120">
        <f t="shared" si="15"/>
        <v>3495</v>
      </c>
      <c r="H120">
        <f t="shared" si="16"/>
        <v>12435</v>
      </c>
      <c r="I120">
        <f t="shared" si="17"/>
        <v>12500</v>
      </c>
      <c r="J120">
        <f t="shared" si="18"/>
        <v>3560</v>
      </c>
      <c r="K120">
        <v>0.99</v>
      </c>
      <c r="L120">
        <f t="shared" si="19"/>
        <v>12375</v>
      </c>
      <c r="M120">
        <f t="shared" si="20"/>
        <v>3435</v>
      </c>
      <c r="N120">
        <f t="shared" si="21"/>
        <v>0</v>
      </c>
      <c r="O120">
        <f t="shared" si="22"/>
        <v>3435</v>
      </c>
      <c r="P120">
        <f t="shared" si="23"/>
        <v>-125</v>
      </c>
      <c r="Q120" s="2">
        <f t="shared" si="24"/>
        <v>0.99</v>
      </c>
      <c r="R120" t="str">
        <f>_xlfn.XLOOKUP(B120,Product_Line_Map!$A$2:$A$6,Product_Line_Map!$B$2:$B$6,"")</f>
        <v>L02</v>
      </c>
      <c r="S120" s="24">
        <f t="shared" si="25"/>
        <v>1.9655848933213438</v>
      </c>
      <c r="T120" t="str">
        <f t="shared" si="26"/>
        <v>LOW COVER</v>
      </c>
    </row>
    <row r="121" spans="1:20">
      <c r="A121" s="1">
        <f>Weekly_Product_Demand!A121</f>
        <v>46188</v>
      </c>
      <c r="B121" t="str">
        <f>Weekly_Product_Demand!B121</f>
        <v>P005</v>
      </c>
      <c r="C121">
        <f t="shared" si="28"/>
        <v>2674</v>
      </c>
      <c r="D121">
        <f>0</f>
        <v>0</v>
      </c>
      <c r="E121">
        <f t="shared" si="27"/>
        <v>2674</v>
      </c>
      <c r="F121">
        <f>SUMIFS(Weekly_Product_Demand!$D:$D,Weekly_Product_Demand!$A:$A,A121,Weekly_Product_Demand!$B:$B,B121)</f>
        <v>8959</v>
      </c>
      <c r="G121">
        <f t="shared" si="15"/>
        <v>2560</v>
      </c>
      <c r="H121">
        <f t="shared" si="16"/>
        <v>8845</v>
      </c>
      <c r="I121">
        <f t="shared" si="17"/>
        <v>8900</v>
      </c>
      <c r="J121">
        <f t="shared" si="18"/>
        <v>2615</v>
      </c>
      <c r="K121">
        <v>1.01</v>
      </c>
      <c r="L121">
        <f t="shared" si="19"/>
        <v>8989</v>
      </c>
      <c r="M121">
        <f t="shared" si="20"/>
        <v>2704</v>
      </c>
      <c r="N121">
        <f t="shared" si="21"/>
        <v>0</v>
      </c>
      <c r="O121">
        <f t="shared" si="22"/>
        <v>2704</v>
      </c>
      <c r="P121">
        <f t="shared" si="23"/>
        <v>89</v>
      </c>
      <c r="Q121" s="2">
        <f t="shared" si="24"/>
        <v>1.01</v>
      </c>
      <c r="R121" t="str">
        <f>_xlfn.XLOOKUP(B121,Product_Line_Map!$A$2:$A$6,Product_Line_Map!$B$2:$B$6,"")</f>
        <v>L03</v>
      </c>
      <c r="S121" s="24">
        <f t="shared" si="25"/>
        <v>2.1127357964058486</v>
      </c>
      <c r="T121" t="str">
        <f t="shared" si="26"/>
        <v>OK</v>
      </c>
    </row>
    <row r="122" spans="1:20">
      <c r="A122" s="1">
        <f>Weekly_Product_Demand!A122</f>
        <v>46195</v>
      </c>
      <c r="B122" t="str">
        <f>Weekly_Product_Demand!B122</f>
        <v>P001</v>
      </c>
      <c r="C122">
        <f t="shared" si="28"/>
        <v>3837</v>
      </c>
      <c r="D122">
        <f>0</f>
        <v>0</v>
      </c>
      <c r="E122">
        <f t="shared" si="27"/>
        <v>3837</v>
      </c>
      <c r="F122">
        <f>SUMIFS(Weekly_Product_Demand!$D:$D,Weekly_Product_Demand!$A:$A,A122,Weekly_Product_Demand!$B:$B,B122)</f>
        <v>15193</v>
      </c>
      <c r="G122">
        <f t="shared" si="15"/>
        <v>4341</v>
      </c>
      <c r="H122">
        <f t="shared" si="16"/>
        <v>15697</v>
      </c>
      <c r="I122">
        <f t="shared" si="17"/>
        <v>15700</v>
      </c>
      <c r="J122">
        <f t="shared" si="18"/>
        <v>4344</v>
      </c>
      <c r="K122">
        <v>0.99</v>
      </c>
      <c r="L122">
        <f t="shared" si="19"/>
        <v>15543</v>
      </c>
      <c r="M122">
        <f t="shared" si="20"/>
        <v>4187</v>
      </c>
      <c r="N122">
        <f t="shared" si="21"/>
        <v>0</v>
      </c>
      <c r="O122">
        <f t="shared" si="22"/>
        <v>4187</v>
      </c>
      <c r="P122">
        <f t="shared" si="23"/>
        <v>-157</v>
      </c>
      <c r="Q122" s="2">
        <f t="shared" si="24"/>
        <v>0.99</v>
      </c>
      <c r="R122" t="str">
        <f>_xlfn.XLOOKUP(B122,Product_Line_Map!$A$2:$A$6,Product_Line_Map!$B$2:$B$6,"")</f>
        <v>L01</v>
      </c>
      <c r="S122" s="24">
        <f t="shared" si="25"/>
        <v>1.9291120910945829</v>
      </c>
      <c r="T122" t="str">
        <f t="shared" si="26"/>
        <v>LOW COVER</v>
      </c>
    </row>
    <row r="123" spans="1:20">
      <c r="A123" s="1">
        <f>Weekly_Product_Demand!A123</f>
        <v>46195</v>
      </c>
      <c r="B123" t="str">
        <f>Weekly_Product_Demand!B123</f>
        <v>P002</v>
      </c>
      <c r="C123">
        <f t="shared" si="28"/>
        <v>3329</v>
      </c>
      <c r="D123">
        <f>0</f>
        <v>0</v>
      </c>
      <c r="E123">
        <f t="shared" si="27"/>
        <v>3329</v>
      </c>
      <c r="F123">
        <f>SUMIFS(Weekly_Product_Demand!$D:$D,Weekly_Product_Demand!$A:$A,A123,Weekly_Product_Demand!$B:$B,B123)</f>
        <v>13302</v>
      </c>
      <c r="G123">
        <f t="shared" si="15"/>
        <v>3801</v>
      </c>
      <c r="H123">
        <f t="shared" si="16"/>
        <v>13774</v>
      </c>
      <c r="I123">
        <f t="shared" si="17"/>
        <v>13800</v>
      </c>
      <c r="J123">
        <f t="shared" si="18"/>
        <v>3827</v>
      </c>
      <c r="K123">
        <v>0.99</v>
      </c>
      <c r="L123">
        <f t="shared" si="19"/>
        <v>13662</v>
      </c>
      <c r="M123">
        <f t="shared" si="20"/>
        <v>3689</v>
      </c>
      <c r="N123">
        <f t="shared" si="21"/>
        <v>0</v>
      </c>
      <c r="O123">
        <f t="shared" si="22"/>
        <v>3689</v>
      </c>
      <c r="P123">
        <f t="shared" si="23"/>
        <v>-138</v>
      </c>
      <c r="Q123" s="2">
        <f t="shared" si="24"/>
        <v>0.99</v>
      </c>
      <c r="R123" t="str">
        <f>_xlfn.XLOOKUP(B123,Product_Line_Map!$A$2:$A$6,Product_Line_Map!$B$2:$B$6,"")</f>
        <v>L02</v>
      </c>
      <c r="S123" s="24">
        <f t="shared" si="25"/>
        <v>1.9412870245075928</v>
      </c>
      <c r="T123" t="str">
        <f t="shared" si="26"/>
        <v>LOW COVER</v>
      </c>
    </row>
    <row r="124" spans="1:20">
      <c r="A124" s="1">
        <f>Weekly_Product_Demand!A124</f>
        <v>46195</v>
      </c>
      <c r="B124" t="str">
        <f>Weekly_Product_Demand!B124</f>
        <v>P003</v>
      </c>
      <c r="C124">
        <f t="shared" si="28"/>
        <v>2877</v>
      </c>
      <c r="D124">
        <f>0</f>
        <v>0</v>
      </c>
      <c r="E124">
        <f t="shared" si="27"/>
        <v>2877</v>
      </c>
      <c r="F124">
        <f>SUMIFS(Weekly_Product_Demand!$D:$D,Weekly_Product_Demand!$A:$A,A124,Weekly_Product_Demand!$B:$B,B124)</f>
        <v>11315</v>
      </c>
      <c r="G124">
        <f t="shared" si="15"/>
        <v>3233</v>
      </c>
      <c r="H124">
        <f t="shared" si="16"/>
        <v>11671</v>
      </c>
      <c r="I124">
        <f t="shared" si="17"/>
        <v>11700</v>
      </c>
      <c r="J124">
        <f t="shared" si="18"/>
        <v>3262</v>
      </c>
      <c r="K124">
        <v>0.99</v>
      </c>
      <c r="L124">
        <f t="shared" si="19"/>
        <v>11583</v>
      </c>
      <c r="M124">
        <f t="shared" si="20"/>
        <v>3145</v>
      </c>
      <c r="N124">
        <f t="shared" si="21"/>
        <v>0</v>
      </c>
      <c r="O124">
        <f t="shared" si="22"/>
        <v>3145</v>
      </c>
      <c r="P124">
        <f t="shared" si="23"/>
        <v>-117</v>
      </c>
      <c r="Q124" s="2">
        <f t="shared" si="24"/>
        <v>0.99</v>
      </c>
      <c r="R124" t="str">
        <f>_xlfn.XLOOKUP(B124,Product_Line_Map!$A$2:$A$6,Product_Line_Map!$B$2:$B$6,"")</f>
        <v>L03</v>
      </c>
      <c r="S124" s="24">
        <f t="shared" si="25"/>
        <v>1.9456473707467965</v>
      </c>
      <c r="T124" t="str">
        <f t="shared" si="26"/>
        <v>LOW COVER</v>
      </c>
    </row>
    <row r="125" spans="1:20">
      <c r="A125" s="1">
        <f>Weekly_Product_Demand!A125</f>
        <v>46195</v>
      </c>
      <c r="B125" t="str">
        <f>Weekly_Product_Demand!B125</f>
        <v>P004</v>
      </c>
      <c r="C125">
        <f t="shared" si="28"/>
        <v>3435</v>
      </c>
      <c r="D125">
        <f>0</f>
        <v>0</v>
      </c>
      <c r="E125">
        <f t="shared" si="27"/>
        <v>3435</v>
      </c>
      <c r="F125">
        <f>SUMIFS(Weekly_Product_Demand!$D:$D,Weekly_Product_Demand!$A:$A,A125,Weekly_Product_Demand!$B:$B,B125)</f>
        <v>12487</v>
      </c>
      <c r="G125">
        <f t="shared" si="15"/>
        <v>3568</v>
      </c>
      <c r="H125">
        <f t="shared" si="16"/>
        <v>12620</v>
      </c>
      <c r="I125">
        <f t="shared" si="17"/>
        <v>12700</v>
      </c>
      <c r="J125">
        <f t="shared" si="18"/>
        <v>3648</v>
      </c>
      <c r="K125">
        <v>1</v>
      </c>
      <c r="L125">
        <f t="shared" si="19"/>
        <v>12700</v>
      </c>
      <c r="M125">
        <f t="shared" si="20"/>
        <v>3648</v>
      </c>
      <c r="N125">
        <f t="shared" si="21"/>
        <v>0</v>
      </c>
      <c r="O125">
        <f t="shared" si="22"/>
        <v>3648</v>
      </c>
      <c r="P125">
        <f t="shared" si="23"/>
        <v>0</v>
      </c>
      <c r="Q125" s="2">
        <f t="shared" si="24"/>
        <v>1</v>
      </c>
      <c r="R125" t="str">
        <f>_xlfn.XLOOKUP(B125,Product_Line_Map!$A$2:$A$6,Product_Line_Map!$B$2:$B$6,"")</f>
        <v>L02</v>
      </c>
      <c r="S125" s="24">
        <f t="shared" si="25"/>
        <v>2.0450068070793623</v>
      </c>
      <c r="T125" t="str">
        <f t="shared" si="26"/>
        <v>OK</v>
      </c>
    </row>
    <row r="126" spans="1:20">
      <c r="A126" s="1">
        <f>Weekly_Product_Demand!A126</f>
        <v>46195</v>
      </c>
      <c r="B126" t="str">
        <f>Weekly_Product_Demand!B126</f>
        <v>P005</v>
      </c>
      <c r="C126">
        <f t="shared" si="28"/>
        <v>2704</v>
      </c>
      <c r="D126">
        <f>0</f>
        <v>0</v>
      </c>
      <c r="E126">
        <f t="shared" si="27"/>
        <v>2704</v>
      </c>
      <c r="F126">
        <f>SUMIFS(Weekly_Product_Demand!$D:$D,Weekly_Product_Demand!$A:$A,A126,Weekly_Product_Demand!$B:$B,B126)</f>
        <v>9010</v>
      </c>
      <c r="G126">
        <f t="shared" si="15"/>
        <v>2574</v>
      </c>
      <c r="H126">
        <f t="shared" si="16"/>
        <v>8880</v>
      </c>
      <c r="I126">
        <f t="shared" si="17"/>
        <v>8900</v>
      </c>
      <c r="J126">
        <f t="shared" si="18"/>
        <v>2594</v>
      </c>
      <c r="K126">
        <v>1.01</v>
      </c>
      <c r="L126">
        <f t="shared" si="19"/>
        <v>8989</v>
      </c>
      <c r="M126">
        <f t="shared" si="20"/>
        <v>2683</v>
      </c>
      <c r="N126">
        <f t="shared" si="21"/>
        <v>0</v>
      </c>
      <c r="O126">
        <f t="shared" si="22"/>
        <v>2683</v>
      </c>
      <c r="P126">
        <f t="shared" si="23"/>
        <v>89</v>
      </c>
      <c r="Q126" s="2">
        <f t="shared" si="24"/>
        <v>1.01</v>
      </c>
      <c r="R126" t="str">
        <f>_xlfn.XLOOKUP(B126,Product_Line_Map!$A$2:$A$6,Product_Line_Map!$B$2:$B$6,"")</f>
        <v>L03</v>
      </c>
      <c r="S126" s="24">
        <f t="shared" si="25"/>
        <v>2.0844617092119866</v>
      </c>
      <c r="T126" t="str">
        <f t="shared" si="26"/>
        <v>OK</v>
      </c>
    </row>
    <row r="127" spans="1:20">
      <c r="A127" s="1">
        <f>Weekly_Product_Demand!A127</f>
        <v>46202</v>
      </c>
      <c r="B127" t="str">
        <f>Weekly_Product_Demand!B127</f>
        <v>P001</v>
      </c>
      <c r="C127">
        <f t="shared" si="28"/>
        <v>4187</v>
      </c>
      <c r="D127">
        <f>0</f>
        <v>0</v>
      </c>
      <c r="E127">
        <f t="shared" si="27"/>
        <v>4187</v>
      </c>
      <c r="F127">
        <f>SUMIFS(Weekly_Product_Demand!$D:$D,Weekly_Product_Demand!$A:$A,A127,Weekly_Product_Demand!$B:$B,B127)</f>
        <v>15081</v>
      </c>
      <c r="G127">
        <f t="shared" si="15"/>
        <v>4309</v>
      </c>
      <c r="H127">
        <f t="shared" si="16"/>
        <v>15203</v>
      </c>
      <c r="I127">
        <f t="shared" si="17"/>
        <v>15300</v>
      </c>
      <c r="J127">
        <f t="shared" si="18"/>
        <v>4406</v>
      </c>
      <c r="K127">
        <v>0.98</v>
      </c>
      <c r="L127">
        <f t="shared" si="19"/>
        <v>14994</v>
      </c>
      <c r="M127">
        <f t="shared" si="20"/>
        <v>4100</v>
      </c>
      <c r="N127">
        <f t="shared" si="21"/>
        <v>0</v>
      </c>
      <c r="O127">
        <f t="shared" si="22"/>
        <v>4100</v>
      </c>
      <c r="P127">
        <f t="shared" si="23"/>
        <v>-306</v>
      </c>
      <c r="Q127" s="2">
        <f t="shared" si="24"/>
        <v>0.98</v>
      </c>
      <c r="R127" t="str">
        <f>_xlfn.XLOOKUP(B127,Product_Line_Map!$A$2:$A$6,Product_Line_Map!$B$2:$B$6,"")</f>
        <v>L01</v>
      </c>
      <c r="S127" s="24">
        <f t="shared" si="25"/>
        <v>1.9030568264703931</v>
      </c>
      <c r="T127" t="str">
        <f t="shared" si="26"/>
        <v>LOW COVER</v>
      </c>
    </row>
    <row r="128" spans="1:20">
      <c r="A128" s="1">
        <f>Weekly_Product_Demand!A128</f>
        <v>46202</v>
      </c>
      <c r="B128" t="str">
        <f>Weekly_Product_Demand!B128</f>
        <v>P002</v>
      </c>
      <c r="C128">
        <f t="shared" si="28"/>
        <v>3689</v>
      </c>
      <c r="D128">
        <f>0</f>
        <v>0</v>
      </c>
      <c r="E128">
        <f t="shared" si="27"/>
        <v>3689</v>
      </c>
      <c r="F128">
        <f>SUMIFS(Weekly_Product_Demand!$D:$D,Weekly_Product_Demand!$A:$A,A128,Weekly_Product_Demand!$B:$B,B128)</f>
        <v>13241</v>
      </c>
      <c r="G128">
        <f t="shared" si="15"/>
        <v>3783</v>
      </c>
      <c r="H128">
        <f t="shared" si="16"/>
        <v>13335</v>
      </c>
      <c r="I128">
        <f t="shared" si="17"/>
        <v>13400</v>
      </c>
      <c r="J128">
        <f t="shared" si="18"/>
        <v>3848</v>
      </c>
      <c r="K128">
        <v>0.97</v>
      </c>
      <c r="L128">
        <f t="shared" si="19"/>
        <v>12998</v>
      </c>
      <c r="M128">
        <f t="shared" si="20"/>
        <v>3446</v>
      </c>
      <c r="N128">
        <f t="shared" si="21"/>
        <v>0</v>
      </c>
      <c r="O128">
        <f t="shared" si="22"/>
        <v>3446</v>
      </c>
      <c r="P128">
        <f t="shared" si="23"/>
        <v>-402</v>
      </c>
      <c r="Q128" s="2">
        <f t="shared" si="24"/>
        <v>0.97</v>
      </c>
      <c r="R128" t="str">
        <f>_xlfn.XLOOKUP(B128,Product_Line_Map!$A$2:$A$6,Product_Line_Map!$B$2:$B$6,"")</f>
        <v>L02</v>
      </c>
      <c r="S128" s="24">
        <f t="shared" si="25"/>
        <v>1.8217657276640735</v>
      </c>
      <c r="T128" t="str">
        <f t="shared" si="26"/>
        <v>LOW COVER</v>
      </c>
    </row>
    <row r="129" spans="1:20">
      <c r="A129" s="1">
        <f>Weekly_Product_Demand!A129</f>
        <v>46202</v>
      </c>
      <c r="B129" t="str">
        <f>Weekly_Product_Demand!B129</f>
        <v>P003</v>
      </c>
      <c r="C129">
        <f t="shared" si="28"/>
        <v>3145</v>
      </c>
      <c r="D129">
        <f>0</f>
        <v>0</v>
      </c>
      <c r="E129">
        <f t="shared" si="27"/>
        <v>3145</v>
      </c>
      <c r="F129">
        <f>SUMIFS(Weekly_Product_Demand!$D:$D,Weekly_Product_Demand!$A:$A,A129,Weekly_Product_Demand!$B:$B,B129)</f>
        <v>11474</v>
      </c>
      <c r="G129">
        <f t="shared" si="15"/>
        <v>3278</v>
      </c>
      <c r="H129">
        <f t="shared" si="16"/>
        <v>11607</v>
      </c>
      <c r="I129">
        <f t="shared" si="17"/>
        <v>11700</v>
      </c>
      <c r="J129">
        <f t="shared" si="18"/>
        <v>3371</v>
      </c>
      <c r="K129">
        <v>1.01</v>
      </c>
      <c r="L129">
        <f t="shared" si="19"/>
        <v>11817</v>
      </c>
      <c r="M129">
        <f t="shared" si="20"/>
        <v>3488</v>
      </c>
      <c r="N129">
        <f t="shared" si="21"/>
        <v>0</v>
      </c>
      <c r="O129">
        <f t="shared" si="22"/>
        <v>3488</v>
      </c>
      <c r="P129">
        <f t="shared" si="23"/>
        <v>117</v>
      </c>
      <c r="Q129" s="2">
        <f t="shared" si="24"/>
        <v>1.01</v>
      </c>
      <c r="R129" t="str">
        <f>_xlfn.XLOOKUP(B129,Product_Line_Map!$A$2:$A$6,Product_Line_Map!$B$2:$B$6,"")</f>
        <v>L03</v>
      </c>
      <c r="S129" s="24">
        <f t="shared" si="25"/>
        <v>2.1279414328046018</v>
      </c>
      <c r="T129" t="str">
        <f t="shared" si="26"/>
        <v>OK</v>
      </c>
    </row>
    <row r="130" spans="1:20">
      <c r="A130" s="1">
        <f>Weekly_Product_Demand!A130</f>
        <v>46202</v>
      </c>
      <c r="B130" t="str">
        <f>Weekly_Product_Demand!B130</f>
        <v>P004</v>
      </c>
      <c r="C130">
        <f t="shared" si="28"/>
        <v>3648</v>
      </c>
      <c r="D130">
        <f>0</f>
        <v>0</v>
      </c>
      <c r="E130">
        <f t="shared" si="27"/>
        <v>3648</v>
      </c>
      <c r="F130">
        <f>SUMIFS(Weekly_Product_Demand!$D:$D,Weekly_Product_Demand!$A:$A,A130,Weekly_Product_Demand!$B:$B,B130)</f>
        <v>12158</v>
      </c>
      <c r="G130">
        <f t="shared" ref="G130:G193" si="29">ROUND(F130/7*2,0)</f>
        <v>3474</v>
      </c>
      <c r="H130">
        <f t="shared" ref="H130:H193" si="30">MAX(0,F130+G130-E130)</f>
        <v>11984</v>
      </c>
      <c r="I130">
        <f t="shared" ref="I130:I193" si="31">CEILING(H130,100)</f>
        <v>12000</v>
      </c>
      <c r="J130">
        <f t="shared" ref="J130:J193" si="32">E130+I130-F130</f>
        <v>3490</v>
      </c>
      <c r="K130">
        <v>1.01</v>
      </c>
      <c r="L130">
        <f t="shared" ref="L130:L193" si="33">ROUND(I130*K130,0)</f>
        <v>12120</v>
      </c>
      <c r="M130">
        <f t="shared" ref="M130:M193" si="34">E130+L130-F130</f>
        <v>3610</v>
      </c>
      <c r="N130">
        <f t="shared" ref="N130:N193" si="35">MAX(0,-M130)</f>
        <v>0</v>
      </c>
      <c r="O130">
        <f t="shared" ref="O130:O193" si="36">MAX(0,M130)</f>
        <v>3610</v>
      </c>
      <c r="P130">
        <f t="shared" ref="P130:P193" si="37">L130-I130</f>
        <v>120</v>
      </c>
      <c r="Q130" s="2">
        <f t="shared" ref="Q130:Q193" si="38">IF(I130=0,0,L130/I130)</f>
        <v>1.01</v>
      </c>
      <c r="R130" t="str">
        <f>_xlfn.XLOOKUP(B130,Product_Line_Map!$A$2:$A$6,Product_Line_Map!$B$2:$B$6,"")</f>
        <v>L02</v>
      </c>
      <c r="S130" s="24">
        <f t="shared" ref="S130:S193" si="39">IF(F130=0,0,O130/(F130/7))</f>
        <v>2.078466853100839</v>
      </c>
      <c r="T130" t="str">
        <f t="shared" ref="T130:T193" si="40">IF(N130&gt;0,"STOCKOUT",IF(S130&lt;1,"CRITICAL LOW COVER",IF(S130&lt;2,"LOW COVER","OK")))</f>
        <v>OK</v>
      </c>
    </row>
    <row r="131" spans="1:20">
      <c r="A131" s="1">
        <f>Weekly_Product_Demand!A131</f>
        <v>46202</v>
      </c>
      <c r="B131" t="str">
        <f>Weekly_Product_Demand!B131</f>
        <v>P005</v>
      </c>
      <c r="C131">
        <f t="shared" si="28"/>
        <v>2683</v>
      </c>
      <c r="D131">
        <f>0</f>
        <v>0</v>
      </c>
      <c r="E131">
        <f t="shared" si="27"/>
        <v>2683</v>
      </c>
      <c r="F131">
        <f>SUMIFS(Weekly_Product_Demand!$D:$D,Weekly_Product_Demand!$A:$A,A131,Weekly_Product_Demand!$B:$B,B131)</f>
        <v>9368</v>
      </c>
      <c r="G131">
        <f t="shared" si="29"/>
        <v>2677</v>
      </c>
      <c r="H131">
        <f t="shared" si="30"/>
        <v>9362</v>
      </c>
      <c r="I131">
        <f t="shared" si="31"/>
        <v>9400</v>
      </c>
      <c r="J131">
        <f t="shared" si="32"/>
        <v>2715</v>
      </c>
      <c r="K131">
        <v>0.97</v>
      </c>
      <c r="L131">
        <f t="shared" si="33"/>
        <v>9118</v>
      </c>
      <c r="M131">
        <f t="shared" si="34"/>
        <v>2433</v>
      </c>
      <c r="N131">
        <f t="shared" si="35"/>
        <v>0</v>
      </c>
      <c r="O131">
        <f t="shared" si="36"/>
        <v>2433</v>
      </c>
      <c r="P131">
        <f t="shared" si="37"/>
        <v>-282</v>
      </c>
      <c r="Q131" s="2">
        <f t="shared" si="38"/>
        <v>0.97</v>
      </c>
      <c r="R131" t="str">
        <f>_xlfn.XLOOKUP(B131,Product_Line_Map!$A$2:$A$6,Product_Line_Map!$B$2:$B$6,"")</f>
        <v>L03</v>
      </c>
      <c r="S131" s="24">
        <f t="shared" si="39"/>
        <v>1.8179974380871051</v>
      </c>
      <c r="T131" t="str">
        <f t="shared" si="40"/>
        <v>LOW COVER</v>
      </c>
    </row>
    <row r="132" spans="1:20">
      <c r="A132" s="1">
        <f>Weekly_Product_Demand!A132</f>
        <v>46209</v>
      </c>
      <c r="B132" t="str">
        <f>Weekly_Product_Demand!B132</f>
        <v>P001</v>
      </c>
      <c r="C132">
        <f t="shared" si="28"/>
        <v>4100</v>
      </c>
      <c r="D132">
        <f>0</f>
        <v>0</v>
      </c>
      <c r="E132">
        <f t="shared" si="27"/>
        <v>4100</v>
      </c>
      <c r="F132">
        <f>SUMIFS(Weekly_Product_Demand!$D:$D,Weekly_Product_Demand!$A:$A,A132,Weekly_Product_Demand!$B:$B,B132)</f>
        <v>15469</v>
      </c>
      <c r="G132">
        <f t="shared" si="29"/>
        <v>4420</v>
      </c>
      <c r="H132">
        <f t="shared" si="30"/>
        <v>15789</v>
      </c>
      <c r="I132">
        <f t="shared" si="31"/>
        <v>15800</v>
      </c>
      <c r="J132">
        <f t="shared" si="32"/>
        <v>4431</v>
      </c>
      <c r="K132">
        <v>1</v>
      </c>
      <c r="L132">
        <f t="shared" si="33"/>
        <v>15800</v>
      </c>
      <c r="M132">
        <f t="shared" si="34"/>
        <v>4431</v>
      </c>
      <c r="N132">
        <f t="shared" si="35"/>
        <v>0</v>
      </c>
      <c r="O132">
        <f t="shared" si="36"/>
        <v>4431</v>
      </c>
      <c r="P132">
        <f t="shared" si="37"/>
        <v>0</v>
      </c>
      <c r="Q132" s="2">
        <f t="shared" si="38"/>
        <v>1</v>
      </c>
      <c r="R132" t="str">
        <f>_xlfn.XLOOKUP(B132,Product_Line_Map!$A$2:$A$6,Product_Line_Map!$B$2:$B$6,"")</f>
        <v>L01</v>
      </c>
      <c r="S132" s="24">
        <f t="shared" si="39"/>
        <v>2.0051069881698882</v>
      </c>
      <c r="T132" t="str">
        <f t="shared" si="40"/>
        <v>OK</v>
      </c>
    </row>
    <row r="133" spans="1:20">
      <c r="A133" s="1">
        <f>Weekly_Product_Demand!A133</f>
        <v>46209</v>
      </c>
      <c r="B133" t="str">
        <f>Weekly_Product_Demand!B133</f>
        <v>P002</v>
      </c>
      <c r="C133">
        <f t="shared" si="28"/>
        <v>3446</v>
      </c>
      <c r="D133">
        <f>0</f>
        <v>0</v>
      </c>
      <c r="E133">
        <f t="shared" si="27"/>
        <v>3446</v>
      </c>
      <c r="F133">
        <f>SUMIFS(Weekly_Product_Demand!$D:$D,Weekly_Product_Demand!$A:$A,A133,Weekly_Product_Demand!$B:$B,B133)</f>
        <v>13773</v>
      </c>
      <c r="G133">
        <f t="shared" si="29"/>
        <v>3935</v>
      </c>
      <c r="H133">
        <f t="shared" si="30"/>
        <v>14262</v>
      </c>
      <c r="I133">
        <f t="shared" si="31"/>
        <v>14300</v>
      </c>
      <c r="J133">
        <f t="shared" si="32"/>
        <v>3973</v>
      </c>
      <c r="K133">
        <v>0.97</v>
      </c>
      <c r="L133">
        <f t="shared" si="33"/>
        <v>13871</v>
      </c>
      <c r="M133">
        <f t="shared" si="34"/>
        <v>3544</v>
      </c>
      <c r="N133">
        <f t="shared" si="35"/>
        <v>0</v>
      </c>
      <c r="O133">
        <f t="shared" si="36"/>
        <v>3544</v>
      </c>
      <c r="P133">
        <f t="shared" si="37"/>
        <v>-429</v>
      </c>
      <c r="Q133" s="2">
        <f t="shared" si="38"/>
        <v>0.97</v>
      </c>
      <c r="R133" t="str">
        <f>_xlfn.XLOOKUP(B133,Product_Line_Map!$A$2:$A$6,Product_Line_Map!$B$2:$B$6,"")</f>
        <v>L02</v>
      </c>
      <c r="S133" s="24">
        <f t="shared" si="39"/>
        <v>1.8012052566615842</v>
      </c>
      <c r="T133" t="str">
        <f t="shared" si="40"/>
        <v>LOW COVER</v>
      </c>
    </row>
    <row r="134" spans="1:20">
      <c r="A134" s="1">
        <f>Weekly_Product_Demand!A134</f>
        <v>46209</v>
      </c>
      <c r="B134" t="str">
        <f>Weekly_Product_Demand!B134</f>
        <v>P003</v>
      </c>
      <c r="C134">
        <f t="shared" si="28"/>
        <v>3488</v>
      </c>
      <c r="D134">
        <f>0</f>
        <v>0</v>
      </c>
      <c r="E134">
        <f t="shared" si="27"/>
        <v>3488</v>
      </c>
      <c r="F134">
        <f>SUMIFS(Weekly_Product_Demand!$D:$D,Weekly_Product_Demand!$A:$A,A134,Weekly_Product_Demand!$B:$B,B134)</f>
        <v>11678</v>
      </c>
      <c r="G134">
        <f t="shared" si="29"/>
        <v>3337</v>
      </c>
      <c r="H134">
        <f t="shared" si="30"/>
        <v>11527</v>
      </c>
      <c r="I134">
        <f t="shared" si="31"/>
        <v>11600</v>
      </c>
      <c r="J134">
        <f t="shared" si="32"/>
        <v>3410</v>
      </c>
      <c r="K134">
        <v>1.01</v>
      </c>
      <c r="L134">
        <f t="shared" si="33"/>
        <v>11716</v>
      </c>
      <c r="M134">
        <f t="shared" si="34"/>
        <v>3526</v>
      </c>
      <c r="N134">
        <f t="shared" si="35"/>
        <v>0</v>
      </c>
      <c r="O134">
        <f t="shared" si="36"/>
        <v>3526</v>
      </c>
      <c r="P134">
        <f t="shared" si="37"/>
        <v>116</v>
      </c>
      <c r="Q134" s="2">
        <f t="shared" si="38"/>
        <v>1.01</v>
      </c>
      <c r="R134" t="str">
        <f>_xlfn.XLOOKUP(B134,Product_Line_Map!$A$2:$A$6,Product_Line_Map!$B$2:$B$6,"")</f>
        <v>L03</v>
      </c>
      <c r="S134" s="24">
        <f t="shared" si="39"/>
        <v>2.1135468402123654</v>
      </c>
      <c r="T134" t="str">
        <f t="shared" si="40"/>
        <v>OK</v>
      </c>
    </row>
    <row r="135" spans="1:20">
      <c r="A135" s="1">
        <f>Weekly_Product_Demand!A135</f>
        <v>46209</v>
      </c>
      <c r="B135" t="str">
        <f>Weekly_Product_Demand!B135</f>
        <v>P004</v>
      </c>
      <c r="C135">
        <f t="shared" si="28"/>
        <v>3610</v>
      </c>
      <c r="D135">
        <f>0</f>
        <v>0</v>
      </c>
      <c r="E135">
        <f t="shared" ref="E135:E198" si="41">C135-D135</f>
        <v>3610</v>
      </c>
      <c r="F135">
        <f>SUMIFS(Weekly_Product_Demand!$D:$D,Weekly_Product_Demand!$A:$A,A135,Weekly_Product_Demand!$B:$B,B135)</f>
        <v>12507</v>
      </c>
      <c r="G135">
        <f t="shared" si="29"/>
        <v>3573</v>
      </c>
      <c r="H135">
        <f t="shared" si="30"/>
        <v>12470</v>
      </c>
      <c r="I135">
        <f t="shared" si="31"/>
        <v>12500</v>
      </c>
      <c r="J135">
        <f t="shared" si="32"/>
        <v>3603</v>
      </c>
      <c r="K135">
        <v>1.01</v>
      </c>
      <c r="L135">
        <f t="shared" si="33"/>
        <v>12625</v>
      </c>
      <c r="M135">
        <f t="shared" si="34"/>
        <v>3728</v>
      </c>
      <c r="N135">
        <f t="shared" si="35"/>
        <v>0</v>
      </c>
      <c r="O135">
        <f t="shared" si="36"/>
        <v>3728</v>
      </c>
      <c r="P135">
        <f t="shared" si="37"/>
        <v>125</v>
      </c>
      <c r="Q135" s="2">
        <f t="shared" si="38"/>
        <v>1.01</v>
      </c>
      <c r="R135" t="str">
        <f>_xlfn.XLOOKUP(B135,Product_Line_Map!$A$2:$A$6,Product_Line_Map!$B$2:$B$6,"")</f>
        <v>L02</v>
      </c>
      <c r="S135" s="24">
        <f t="shared" si="39"/>
        <v>2.0865115535300229</v>
      </c>
      <c r="T135" t="str">
        <f t="shared" si="40"/>
        <v>OK</v>
      </c>
    </row>
    <row r="136" spans="1:20">
      <c r="A136" s="1">
        <f>Weekly_Product_Demand!A136</f>
        <v>46209</v>
      </c>
      <c r="B136" t="str">
        <f>Weekly_Product_Demand!B136</f>
        <v>P005</v>
      </c>
      <c r="C136">
        <f t="shared" ref="C136:C199" si="42">O131</f>
        <v>2433</v>
      </c>
      <c r="D136">
        <f>0</f>
        <v>0</v>
      </c>
      <c r="E136">
        <f t="shared" si="41"/>
        <v>2433</v>
      </c>
      <c r="F136">
        <f>SUMIFS(Weekly_Product_Demand!$D:$D,Weekly_Product_Demand!$A:$A,A136,Weekly_Product_Demand!$B:$B,B136)</f>
        <v>9675</v>
      </c>
      <c r="G136">
        <f t="shared" si="29"/>
        <v>2764</v>
      </c>
      <c r="H136">
        <f t="shared" si="30"/>
        <v>10006</v>
      </c>
      <c r="I136">
        <f t="shared" si="31"/>
        <v>10100</v>
      </c>
      <c r="J136">
        <f t="shared" si="32"/>
        <v>2858</v>
      </c>
      <c r="K136">
        <v>0.99</v>
      </c>
      <c r="L136">
        <f t="shared" si="33"/>
        <v>9999</v>
      </c>
      <c r="M136">
        <f t="shared" si="34"/>
        <v>2757</v>
      </c>
      <c r="N136">
        <f t="shared" si="35"/>
        <v>0</v>
      </c>
      <c r="O136">
        <f t="shared" si="36"/>
        <v>2757</v>
      </c>
      <c r="P136">
        <f t="shared" si="37"/>
        <v>-101</v>
      </c>
      <c r="Q136" s="2">
        <f t="shared" si="38"/>
        <v>0.99</v>
      </c>
      <c r="R136" t="str">
        <f>_xlfn.XLOOKUP(B136,Product_Line_Map!$A$2:$A$6,Product_Line_Map!$B$2:$B$6,"")</f>
        <v>L03</v>
      </c>
      <c r="S136" s="24">
        <f t="shared" si="39"/>
        <v>1.9947286821705428</v>
      </c>
      <c r="T136" t="str">
        <f t="shared" si="40"/>
        <v>LOW COVER</v>
      </c>
    </row>
    <row r="137" spans="1:20">
      <c r="A137" s="1">
        <f>Weekly_Product_Demand!A137</f>
        <v>46216</v>
      </c>
      <c r="B137" t="str">
        <f>Weekly_Product_Demand!B137</f>
        <v>P001</v>
      </c>
      <c r="C137">
        <f t="shared" si="42"/>
        <v>4431</v>
      </c>
      <c r="D137">
        <f>0</f>
        <v>0</v>
      </c>
      <c r="E137">
        <f t="shared" si="41"/>
        <v>4431</v>
      </c>
      <c r="F137">
        <f>SUMIFS(Weekly_Product_Demand!$D:$D,Weekly_Product_Demand!$A:$A,A137,Weekly_Product_Demand!$B:$B,B137)</f>
        <v>15600</v>
      </c>
      <c r="G137">
        <f t="shared" si="29"/>
        <v>4457</v>
      </c>
      <c r="H137">
        <f t="shared" si="30"/>
        <v>15626</v>
      </c>
      <c r="I137">
        <f t="shared" si="31"/>
        <v>15700</v>
      </c>
      <c r="J137">
        <f t="shared" si="32"/>
        <v>4531</v>
      </c>
      <c r="K137">
        <v>0.98</v>
      </c>
      <c r="L137">
        <f t="shared" si="33"/>
        <v>15386</v>
      </c>
      <c r="M137">
        <f t="shared" si="34"/>
        <v>4217</v>
      </c>
      <c r="N137">
        <f t="shared" si="35"/>
        <v>0</v>
      </c>
      <c r="O137">
        <f t="shared" si="36"/>
        <v>4217</v>
      </c>
      <c r="P137">
        <f t="shared" si="37"/>
        <v>-314</v>
      </c>
      <c r="Q137" s="2">
        <f t="shared" si="38"/>
        <v>0.98</v>
      </c>
      <c r="R137" t="str">
        <f>_xlfn.XLOOKUP(B137,Product_Line_Map!$A$2:$A$6,Product_Line_Map!$B$2:$B$6,"")</f>
        <v>L01</v>
      </c>
      <c r="S137" s="24">
        <f t="shared" si="39"/>
        <v>1.8922435897435899</v>
      </c>
      <c r="T137" t="str">
        <f t="shared" si="40"/>
        <v>LOW COVER</v>
      </c>
    </row>
    <row r="138" spans="1:20">
      <c r="A138" s="1">
        <f>Weekly_Product_Demand!A138</f>
        <v>46216</v>
      </c>
      <c r="B138" t="str">
        <f>Weekly_Product_Demand!B138</f>
        <v>P002</v>
      </c>
      <c r="C138">
        <f t="shared" si="42"/>
        <v>3544</v>
      </c>
      <c r="D138">
        <f>0</f>
        <v>0</v>
      </c>
      <c r="E138">
        <f t="shared" si="41"/>
        <v>3544</v>
      </c>
      <c r="F138">
        <f>SUMIFS(Weekly_Product_Demand!$D:$D,Weekly_Product_Demand!$A:$A,A138,Weekly_Product_Demand!$B:$B,B138)</f>
        <v>13668</v>
      </c>
      <c r="G138">
        <f t="shared" si="29"/>
        <v>3905</v>
      </c>
      <c r="H138">
        <f t="shared" si="30"/>
        <v>14029</v>
      </c>
      <c r="I138">
        <f t="shared" si="31"/>
        <v>14100</v>
      </c>
      <c r="J138">
        <f t="shared" si="32"/>
        <v>3976</v>
      </c>
      <c r="K138">
        <v>1</v>
      </c>
      <c r="L138">
        <f t="shared" si="33"/>
        <v>14100</v>
      </c>
      <c r="M138">
        <f t="shared" si="34"/>
        <v>3976</v>
      </c>
      <c r="N138">
        <f t="shared" si="35"/>
        <v>0</v>
      </c>
      <c r="O138">
        <f t="shared" si="36"/>
        <v>3976</v>
      </c>
      <c r="P138">
        <f t="shared" si="37"/>
        <v>0</v>
      </c>
      <c r="Q138" s="2">
        <f t="shared" si="38"/>
        <v>1</v>
      </c>
      <c r="R138" t="str">
        <f>_xlfn.XLOOKUP(B138,Product_Line_Map!$A$2:$A$6,Product_Line_Map!$B$2:$B$6,"")</f>
        <v>L02</v>
      </c>
      <c r="S138" s="24">
        <f t="shared" si="39"/>
        <v>2.0362891425226808</v>
      </c>
      <c r="T138" t="str">
        <f t="shared" si="40"/>
        <v>OK</v>
      </c>
    </row>
    <row r="139" spans="1:20">
      <c r="A139" s="1">
        <f>Weekly_Product_Demand!A139</f>
        <v>46216</v>
      </c>
      <c r="B139" t="str">
        <f>Weekly_Product_Demand!B139</f>
        <v>P003</v>
      </c>
      <c r="C139">
        <f t="shared" si="42"/>
        <v>3526</v>
      </c>
      <c r="D139">
        <f>0</f>
        <v>0</v>
      </c>
      <c r="E139">
        <f t="shared" si="41"/>
        <v>3526</v>
      </c>
      <c r="F139">
        <f>SUMIFS(Weekly_Product_Demand!$D:$D,Weekly_Product_Demand!$A:$A,A139,Weekly_Product_Demand!$B:$B,B139)</f>
        <v>12105</v>
      </c>
      <c r="G139">
        <f t="shared" si="29"/>
        <v>3459</v>
      </c>
      <c r="H139">
        <f t="shared" si="30"/>
        <v>12038</v>
      </c>
      <c r="I139">
        <f t="shared" si="31"/>
        <v>12100</v>
      </c>
      <c r="J139">
        <f t="shared" si="32"/>
        <v>3521</v>
      </c>
      <c r="K139">
        <v>1</v>
      </c>
      <c r="L139">
        <f t="shared" si="33"/>
        <v>12100</v>
      </c>
      <c r="M139">
        <f t="shared" si="34"/>
        <v>3521</v>
      </c>
      <c r="N139">
        <f t="shared" si="35"/>
        <v>0</v>
      </c>
      <c r="O139">
        <f t="shared" si="36"/>
        <v>3521</v>
      </c>
      <c r="P139">
        <f t="shared" si="37"/>
        <v>0</v>
      </c>
      <c r="Q139" s="2">
        <f t="shared" si="38"/>
        <v>1</v>
      </c>
      <c r="R139" t="str">
        <f>_xlfn.XLOOKUP(B139,Product_Line_Map!$A$2:$A$6,Product_Line_Map!$B$2:$B$6,"")</f>
        <v>L03</v>
      </c>
      <c r="S139" s="24">
        <f t="shared" si="39"/>
        <v>2.0361007847996695</v>
      </c>
      <c r="T139" t="str">
        <f t="shared" si="40"/>
        <v>OK</v>
      </c>
    </row>
    <row r="140" spans="1:20">
      <c r="A140" s="1">
        <f>Weekly_Product_Demand!A140</f>
        <v>46216</v>
      </c>
      <c r="B140" t="str">
        <f>Weekly_Product_Demand!B140</f>
        <v>P004</v>
      </c>
      <c r="C140">
        <f t="shared" si="42"/>
        <v>3728</v>
      </c>
      <c r="D140">
        <f>0</f>
        <v>0</v>
      </c>
      <c r="E140">
        <f t="shared" si="41"/>
        <v>3728</v>
      </c>
      <c r="F140">
        <f>SUMIFS(Weekly_Product_Demand!$D:$D,Weekly_Product_Demand!$A:$A,A140,Weekly_Product_Demand!$B:$B,B140)</f>
        <v>12281</v>
      </c>
      <c r="G140">
        <f t="shared" si="29"/>
        <v>3509</v>
      </c>
      <c r="H140">
        <f t="shared" si="30"/>
        <v>12062</v>
      </c>
      <c r="I140">
        <f t="shared" si="31"/>
        <v>12100</v>
      </c>
      <c r="J140">
        <f t="shared" si="32"/>
        <v>3547</v>
      </c>
      <c r="K140">
        <v>0.99</v>
      </c>
      <c r="L140">
        <f t="shared" si="33"/>
        <v>11979</v>
      </c>
      <c r="M140">
        <f t="shared" si="34"/>
        <v>3426</v>
      </c>
      <c r="N140">
        <f t="shared" si="35"/>
        <v>0</v>
      </c>
      <c r="O140">
        <f t="shared" si="36"/>
        <v>3426</v>
      </c>
      <c r="P140">
        <f t="shared" si="37"/>
        <v>-121</v>
      </c>
      <c r="Q140" s="2">
        <f t="shared" si="38"/>
        <v>0.99</v>
      </c>
      <c r="R140" t="str">
        <f>_xlfn.XLOOKUP(B140,Product_Line_Map!$A$2:$A$6,Product_Line_Map!$B$2:$B$6,"")</f>
        <v>L02</v>
      </c>
      <c r="S140" s="24">
        <f t="shared" si="39"/>
        <v>1.952772575523166</v>
      </c>
      <c r="T140" t="str">
        <f t="shared" si="40"/>
        <v>LOW COVER</v>
      </c>
    </row>
    <row r="141" spans="1:20">
      <c r="A141" s="1">
        <f>Weekly_Product_Demand!A141</f>
        <v>46216</v>
      </c>
      <c r="B141" t="str">
        <f>Weekly_Product_Demand!B141</f>
        <v>P005</v>
      </c>
      <c r="C141">
        <f t="shared" si="42"/>
        <v>2757</v>
      </c>
      <c r="D141">
        <f>0</f>
        <v>0</v>
      </c>
      <c r="E141">
        <f t="shared" si="41"/>
        <v>2757</v>
      </c>
      <c r="F141">
        <f>SUMIFS(Weekly_Product_Demand!$D:$D,Weekly_Product_Demand!$A:$A,A141,Weekly_Product_Demand!$B:$B,B141)</f>
        <v>9717</v>
      </c>
      <c r="G141">
        <f t="shared" si="29"/>
        <v>2776</v>
      </c>
      <c r="H141">
        <f t="shared" si="30"/>
        <v>9736</v>
      </c>
      <c r="I141">
        <f t="shared" si="31"/>
        <v>9800</v>
      </c>
      <c r="J141">
        <f t="shared" si="32"/>
        <v>2840</v>
      </c>
      <c r="K141">
        <v>0.99</v>
      </c>
      <c r="L141">
        <f t="shared" si="33"/>
        <v>9702</v>
      </c>
      <c r="M141">
        <f t="shared" si="34"/>
        <v>2742</v>
      </c>
      <c r="N141">
        <f t="shared" si="35"/>
        <v>0</v>
      </c>
      <c r="O141">
        <f t="shared" si="36"/>
        <v>2742</v>
      </c>
      <c r="P141">
        <f t="shared" si="37"/>
        <v>-98</v>
      </c>
      <c r="Q141" s="2">
        <f t="shared" si="38"/>
        <v>0.99</v>
      </c>
      <c r="R141" t="str">
        <f>_xlfn.XLOOKUP(B141,Product_Line_Map!$A$2:$A$6,Product_Line_Map!$B$2:$B$6,"")</f>
        <v>L03</v>
      </c>
      <c r="S141" s="24">
        <f t="shared" si="39"/>
        <v>1.9753010188329732</v>
      </c>
      <c r="T141" t="str">
        <f t="shared" si="40"/>
        <v>LOW COVER</v>
      </c>
    </row>
    <row r="142" spans="1:20">
      <c r="A142" s="1">
        <f>Weekly_Product_Demand!A142</f>
        <v>46223</v>
      </c>
      <c r="B142" t="str">
        <f>Weekly_Product_Demand!B142</f>
        <v>P001</v>
      </c>
      <c r="C142">
        <f t="shared" si="42"/>
        <v>4217</v>
      </c>
      <c r="D142">
        <f>0</f>
        <v>0</v>
      </c>
      <c r="E142">
        <f t="shared" si="41"/>
        <v>4217</v>
      </c>
      <c r="F142">
        <f>SUMIFS(Weekly_Product_Demand!$D:$D,Weekly_Product_Demand!$A:$A,A142,Weekly_Product_Demand!$B:$B,B142)</f>
        <v>15675</v>
      </c>
      <c r="G142">
        <f t="shared" si="29"/>
        <v>4479</v>
      </c>
      <c r="H142">
        <f t="shared" si="30"/>
        <v>15937</v>
      </c>
      <c r="I142">
        <f t="shared" si="31"/>
        <v>16000</v>
      </c>
      <c r="J142">
        <f t="shared" si="32"/>
        <v>4542</v>
      </c>
      <c r="K142">
        <v>1.01</v>
      </c>
      <c r="L142">
        <f t="shared" si="33"/>
        <v>16160</v>
      </c>
      <c r="M142">
        <f t="shared" si="34"/>
        <v>4702</v>
      </c>
      <c r="N142">
        <f t="shared" si="35"/>
        <v>0</v>
      </c>
      <c r="O142">
        <f t="shared" si="36"/>
        <v>4702</v>
      </c>
      <c r="P142">
        <f t="shared" si="37"/>
        <v>160</v>
      </c>
      <c r="Q142" s="2">
        <f t="shared" si="38"/>
        <v>1.01</v>
      </c>
      <c r="R142" t="str">
        <f>_xlfn.XLOOKUP(B142,Product_Line_Map!$A$2:$A$6,Product_Line_Map!$B$2:$B$6,"")</f>
        <v>L01</v>
      </c>
      <c r="S142" s="24">
        <f t="shared" si="39"/>
        <v>2.0997767145135566</v>
      </c>
      <c r="T142" t="str">
        <f t="shared" si="40"/>
        <v>OK</v>
      </c>
    </row>
    <row r="143" spans="1:20">
      <c r="A143" s="1">
        <f>Weekly_Product_Demand!A143</f>
        <v>46223</v>
      </c>
      <c r="B143" t="str">
        <f>Weekly_Product_Demand!B143</f>
        <v>P002</v>
      </c>
      <c r="C143">
        <f t="shared" si="42"/>
        <v>3976</v>
      </c>
      <c r="D143">
        <f>0</f>
        <v>0</v>
      </c>
      <c r="E143">
        <f t="shared" si="41"/>
        <v>3976</v>
      </c>
      <c r="F143">
        <f>SUMIFS(Weekly_Product_Demand!$D:$D,Weekly_Product_Demand!$A:$A,A143,Weekly_Product_Demand!$B:$B,B143)</f>
        <v>13698</v>
      </c>
      <c r="G143">
        <f t="shared" si="29"/>
        <v>3914</v>
      </c>
      <c r="H143">
        <f t="shared" si="30"/>
        <v>13636</v>
      </c>
      <c r="I143">
        <f t="shared" si="31"/>
        <v>13700</v>
      </c>
      <c r="J143">
        <f t="shared" si="32"/>
        <v>3978</v>
      </c>
      <c r="K143">
        <v>0.98</v>
      </c>
      <c r="L143">
        <f t="shared" si="33"/>
        <v>13426</v>
      </c>
      <c r="M143">
        <f t="shared" si="34"/>
        <v>3704</v>
      </c>
      <c r="N143">
        <f t="shared" si="35"/>
        <v>0</v>
      </c>
      <c r="O143">
        <f t="shared" si="36"/>
        <v>3704</v>
      </c>
      <c r="P143">
        <f t="shared" si="37"/>
        <v>-274</v>
      </c>
      <c r="Q143" s="2">
        <f t="shared" si="38"/>
        <v>0.98</v>
      </c>
      <c r="R143" t="str">
        <f>_xlfn.XLOOKUP(B143,Product_Line_Map!$A$2:$A$6,Product_Line_Map!$B$2:$B$6,"")</f>
        <v>L02</v>
      </c>
      <c r="S143" s="24">
        <f t="shared" si="39"/>
        <v>1.8928310702292306</v>
      </c>
      <c r="T143" t="str">
        <f t="shared" si="40"/>
        <v>LOW COVER</v>
      </c>
    </row>
    <row r="144" spans="1:20">
      <c r="A144" s="1">
        <f>Weekly_Product_Demand!A144</f>
        <v>46223</v>
      </c>
      <c r="B144" t="str">
        <f>Weekly_Product_Demand!B144</f>
        <v>P003</v>
      </c>
      <c r="C144">
        <f t="shared" si="42"/>
        <v>3521</v>
      </c>
      <c r="D144">
        <f>0</f>
        <v>0</v>
      </c>
      <c r="E144">
        <f t="shared" si="41"/>
        <v>3521</v>
      </c>
      <c r="F144">
        <f>SUMIFS(Weekly_Product_Demand!$D:$D,Weekly_Product_Demand!$A:$A,A144,Weekly_Product_Demand!$B:$B,B144)</f>
        <v>11270</v>
      </c>
      <c r="G144">
        <f t="shared" si="29"/>
        <v>3220</v>
      </c>
      <c r="H144">
        <f t="shared" si="30"/>
        <v>10969</v>
      </c>
      <c r="I144">
        <f t="shared" si="31"/>
        <v>11000</v>
      </c>
      <c r="J144">
        <f t="shared" si="32"/>
        <v>3251</v>
      </c>
      <c r="K144">
        <v>0.98</v>
      </c>
      <c r="L144">
        <f t="shared" si="33"/>
        <v>10780</v>
      </c>
      <c r="M144">
        <f t="shared" si="34"/>
        <v>3031</v>
      </c>
      <c r="N144">
        <f t="shared" si="35"/>
        <v>0</v>
      </c>
      <c r="O144">
        <f t="shared" si="36"/>
        <v>3031</v>
      </c>
      <c r="P144">
        <f t="shared" si="37"/>
        <v>-220</v>
      </c>
      <c r="Q144" s="2">
        <f t="shared" si="38"/>
        <v>0.98</v>
      </c>
      <c r="R144" t="str">
        <f>_xlfn.XLOOKUP(B144,Product_Line_Map!$A$2:$A$6,Product_Line_Map!$B$2:$B$6,"")</f>
        <v>L03</v>
      </c>
      <c r="S144" s="24">
        <f t="shared" si="39"/>
        <v>1.8826086956521739</v>
      </c>
      <c r="T144" t="str">
        <f t="shared" si="40"/>
        <v>LOW COVER</v>
      </c>
    </row>
    <row r="145" spans="1:20">
      <c r="A145" s="1">
        <f>Weekly_Product_Demand!A145</f>
        <v>46223</v>
      </c>
      <c r="B145" t="str">
        <f>Weekly_Product_Demand!B145</f>
        <v>P004</v>
      </c>
      <c r="C145">
        <f t="shared" si="42"/>
        <v>3426</v>
      </c>
      <c r="D145">
        <f>0</f>
        <v>0</v>
      </c>
      <c r="E145">
        <f t="shared" si="41"/>
        <v>3426</v>
      </c>
      <c r="F145">
        <f>SUMIFS(Weekly_Product_Demand!$D:$D,Weekly_Product_Demand!$A:$A,A145,Weekly_Product_Demand!$B:$B,B145)</f>
        <v>12592</v>
      </c>
      <c r="G145">
        <f t="shared" si="29"/>
        <v>3598</v>
      </c>
      <c r="H145">
        <f t="shared" si="30"/>
        <v>12764</v>
      </c>
      <c r="I145">
        <f t="shared" si="31"/>
        <v>12800</v>
      </c>
      <c r="J145">
        <f t="shared" si="32"/>
        <v>3634</v>
      </c>
      <c r="K145">
        <v>1.02</v>
      </c>
      <c r="L145">
        <f t="shared" si="33"/>
        <v>13056</v>
      </c>
      <c r="M145">
        <f t="shared" si="34"/>
        <v>3890</v>
      </c>
      <c r="N145">
        <f t="shared" si="35"/>
        <v>0</v>
      </c>
      <c r="O145">
        <f t="shared" si="36"/>
        <v>3890</v>
      </c>
      <c r="P145">
        <f t="shared" si="37"/>
        <v>256</v>
      </c>
      <c r="Q145" s="2">
        <f t="shared" si="38"/>
        <v>1.02</v>
      </c>
      <c r="R145" t="str">
        <f>_xlfn.XLOOKUP(B145,Product_Line_Map!$A$2:$A$6,Product_Line_Map!$B$2:$B$6,"")</f>
        <v>L02</v>
      </c>
      <c r="S145" s="24">
        <f t="shared" si="39"/>
        <v>2.1624841168996189</v>
      </c>
      <c r="T145" t="str">
        <f t="shared" si="40"/>
        <v>OK</v>
      </c>
    </row>
    <row r="146" spans="1:20">
      <c r="A146" s="1">
        <f>Weekly_Product_Demand!A146</f>
        <v>46223</v>
      </c>
      <c r="B146" t="str">
        <f>Weekly_Product_Demand!B146</f>
        <v>P005</v>
      </c>
      <c r="C146">
        <f t="shared" si="42"/>
        <v>2742</v>
      </c>
      <c r="D146">
        <f>0</f>
        <v>0</v>
      </c>
      <c r="E146">
        <f t="shared" si="41"/>
        <v>2742</v>
      </c>
      <c r="F146">
        <f>SUMIFS(Weekly_Product_Demand!$D:$D,Weekly_Product_Demand!$A:$A,A146,Weekly_Product_Demand!$B:$B,B146)</f>
        <v>9633</v>
      </c>
      <c r="G146">
        <f t="shared" si="29"/>
        <v>2752</v>
      </c>
      <c r="H146">
        <f t="shared" si="30"/>
        <v>9643</v>
      </c>
      <c r="I146">
        <f t="shared" si="31"/>
        <v>9700</v>
      </c>
      <c r="J146">
        <f t="shared" si="32"/>
        <v>2809</v>
      </c>
      <c r="K146">
        <v>1.02</v>
      </c>
      <c r="L146">
        <f t="shared" si="33"/>
        <v>9894</v>
      </c>
      <c r="M146">
        <f t="shared" si="34"/>
        <v>3003</v>
      </c>
      <c r="N146">
        <f t="shared" si="35"/>
        <v>0</v>
      </c>
      <c r="O146">
        <f t="shared" si="36"/>
        <v>3003</v>
      </c>
      <c r="P146">
        <f t="shared" si="37"/>
        <v>194</v>
      </c>
      <c r="Q146" s="2">
        <f t="shared" si="38"/>
        <v>1.02</v>
      </c>
      <c r="R146" t="str">
        <f>_xlfn.XLOOKUP(B146,Product_Line_Map!$A$2:$A$6,Product_Line_Map!$B$2:$B$6,"")</f>
        <v>L03</v>
      </c>
      <c r="S146" s="24">
        <f t="shared" si="39"/>
        <v>2.1821862348178138</v>
      </c>
      <c r="T146" t="str">
        <f t="shared" si="40"/>
        <v>OK</v>
      </c>
    </row>
    <row r="147" spans="1:20">
      <c r="A147" s="1">
        <f>Weekly_Product_Demand!A147</f>
        <v>46230</v>
      </c>
      <c r="B147" t="str">
        <f>Weekly_Product_Demand!B147</f>
        <v>P001</v>
      </c>
      <c r="C147">
        <f t="shared" si="42"/>
        <v>4702</v>
      </c>
      <c r="D147">
        <f>0</f>
        <v>0</v>
      </c>
      <c r="E147">
        <f t="shared" si="41"/>
        <v>4702</v>
      </c>
      <c r="F147">
        <f>SUMIFS(Weekly_Product_Demand!$D:$D,Weekly_Product_Demand!$A:$A,A147,Weekly_Product_Demand!$B:$B,B147)</f>
        <v>15856</v>
      </c>
      <c r="G147">
        <f t="shared" si="29"/>
        <v>4530</v>
      </c>
      <c r="H147">
        <f t="shared" si="30"/>
        <v>15684</v>
      </c>
      <c r="I147">
        <f t="shared" si="31"/>
        <v>15700</v>
      </c>
      <c r="J147">
        <f t="shared" si="32"/>
        <v>4546</v>
      </c>
      <c r="K147">
        <v>0.98</v>
      </c>
      <c r="L147">
        <f t="shared" si="33"/>
        <v>15386</v>
      </c>
      <c r="M147">
        <f t="shared" si="34"/>
        <v>4232</v>
      </c>
      <c r="N147">
        <f t="shared" si="35"/>
        <v>0</v>
      </c>
      <c r="O147">
        <f t="shared" si="36"/>
        <v>4232</v>
      </c>
      <c r="P147">
        <f t="shared" si="37"/>
        <v>-314</v>
      </c>
      <c r="Q147" s="2">
        <f t="shared" si="38"/>
        <v>0.98</v>
      </c>
      <c r="R147" t="str">
        <f>_xlfn.XLOOKUP(B147,Product_Line_Map!$A$2:$A$6,Product_Line_Map!$B$2:$B$6,"")</f>
        <v>L01</v>
      </c>
      <c r="S147" s="24">
        <f t="shared" si="39"/>
        <v>1.8683148335015134</v>
      </c>
      <c r="T147" t="str">
        <f t="shared" si="40"/>
        <v>LOW COVER</v>
      </c>
    </row>
    <row r="148" spans="1:20">
      <c r="A148" s="1">
        <f>Weekly_Product_Demand!A148</f>
        <v>46230</v>
      </c>
      <c r="B148" t="str">
        <f>Weekly_Product_Demand!B148</f>
        <v>P002</v>
      </c>
      <c r="C148">
        <f t="shared" si="42"/>
        <v>3704</v>
      </c>
      <c r="D148">
        <f>0</f>
        <v>0</v>
      </c>
      <c r="E148">
        <f t="shared" si="41"/>
        <v>3704</v>
      </c>
      <c r="F148">
        <f>SUMIFS(Weekly_Product_Demand!$D:$D,Weekly_Product_Demand!$A:$A,A148,Weekly_Product_Demand!$B:$B,B148)</f>
        <v>13872</v>
      </c>
      <c r="G148">
        <f t="shared" si="29"/>
        <v>3963</v>
      </c>
      <c r="H148">
        <f t="shared" si="30"/>
        <v>14131</v>
      </c>
      <c r="I148">
        <f t="shared" si="31"/>
        <v>14200</v>
      </c>
      <c r="J148">
        <f t="shared" si="32"/>
        <v>4032</v>
      </c>
      <c r="K148">
        <v>1.02</v>
      </c>
      <c r="L148">
        <f t="shared" si="33"/>
        <v>14484</v>
      </c>
      <c r="M148">
        <f t="shared" si="34"/>
        <v>4316</v>
      </c>
      <c r="N148">
        <f t="shared" si="35"/>
        <v>0</v>
      </c>
      <c r="O148">
        <f t="shared" si="36"/>
        <v>4316</v>
      </c>
      <c r="P148">
        <f t="shared" si="37"/>
        <v>284</v>
      </c>
      <c r="Q148" s="2">
        <f t="shared" si="38"/>
        <v>1.02</v>
      </c>
      <c r="R148" t="str">
        <f>_xlfn.XLOOKUP(B148,Product_Line_Map!$A$2:$A$6,Product_Line_Map!$B$2:$B$6,"")</f>
        <v>L02</v>
      </c>
      <c r="S148" s="24">
        <f t="shared" si="39"/>
        <v>2.1779123414071511</v>
      </c>
      <c r="T148" t="str">
        <f t="shared" si="40"/>
        <v>OK</v>
      </c>
    </row>
    <row r="149" spans="1:20">
      <c r="A149" s="1">
        <f>Weekly_Product_Demand!A149</f>
        <v>46230</v>
      </c>
      <c r="B149" t="str">
        <f>Weekly_Product_Demand!B149</f>
        <v>P003</v>
      </c>
      <c r="C149">
        <f t="shared" si="42"/>
        <v>3031</v>
      </c>
      <c r="D149">
        <f>0</f>
        <v>0</v>
      </c>
      <c r="E149">
        <f t="shared" si="41"/>
        <v>3031</v>
      </c>
      <c r="F149">
        <f>SUMIFS(Weekly_Product_Demand!$D:$D,Weekly_Product_Demand!$A:$A,A149,Weekly_Product_Demand!$B:$B,B149)</f>
        <v>11977</v>
      </c>
      <c r="G149">
        <f t="shared" si="29"/>
        <v>3422</v>
      </c>
      <c r="H149">
        <f t="shared" si="30"/>
        <v>12368</v>
      </c>
      <c r="I149">
        <f t="shared" si="31"/>
        <v>12400</v>
      </c>
      <c r="J149">
        <f t="shared" si="32"/>
        <v>3454</v>
      </c>
      <c r="K149">
        <v>1.01</v>
      </c>
      <c r="L149">
        <f t="shared" si="33"/>
        <v>12524</v>
      </c>
      <c r="M149">
        <f t="shared" si="34"/>
        <v>3578</v>
      </c>
      <c r="N149">
        <f t="shared" si="35"/>
        <v>0</v>
      </c>
      <c r="O149">
        <f t="shared" si="36"/>
        <v>3578</v>
      </c>
      <c r="P149">
        <f t="shared" si="37"/>
        <v>124</v>
      </c>
      <c r="Q149" s="2">
        <f t="shared" si="38"/>
        <v>1.01</v>
      </c>
      <c r="R149" t="str">
        <f>_xlfn.XLOOKUP(B149,Product_Line_Map!$A$2:$A$6,Product_Line_Map!$B$2:$B$6,"")</f>
        <v>L03</v>
      </c>
      <c r="S149" s="24">
        <f t="shared" si="39"/>
        <v>2.0911747516072472</v>
      </c>
      <c r="T149" t="str">
        <f t="shared" si="40"/>
        <v>OK</v>
      </c>
    </row>
    <row r="150" spans="1:20">
      <c r="A150" s="1">
        <f>Weekly_Product_Demand!A150</f>
        <v>46230</v>
      </c>
      <c r="B150" t="str">
        <f>Weekly_Product_Demand!B150</f>
        <v>P004</v>
      </c>
      <c r="C150">
        <f t="shared" si="42"/>
        <v>3890</v>
      </c>
      <c r="D150">
        <f>0</f>
        <v>0</v>
      </c>
      <c r="E150">
        <f t="shared" si="41"/>
        <v>3890</v>
      </c>
      <c r="F150">
        <f>SUMIFS(Weekly_Product_Demand!$D:$D,Weekly_Product_Demand!$A:$A,A150,Weekly_Product_Demand!$B:$B,B150)</f>
        <v>12262</v>
      </c>
      <c r="G150">
        <f t="shared" si="29"/>
        <v>3503</v>
      </c>
      <c r="H150">
        <f t="shared" si="30"/>
        <v>11875</v>
      </c>
      <c r="I150">
        <f t="shared" si="31"/>
        <v>11900</v>
      </c>
      <c r="J150">
        <f t="shared" si="32"/>
        <v>3528</v>
      </c>
      <c r="K150">
        <v>1.02</v>
      </c>
      <c r="L150">
        <f t="shared" si="33"/>
        <v>12138</v>
      </c>
      <c r="M150">
        <f t="shared" si="34"/>
        <v>3766</v>
      </c>
      <c r="N150">
        <f t="shared" si="35"/>
        <v>0</v>
      </c>
      <c r="O150">
        <f t="shared" si="36"/>
        <v>3766</v>
      </c>
      <c r="P150">
        <f t="shared" si="37"/>
        <v>238</v>
      </c>
      <c r="Q150" s="2">
        <f t="shared" si="38"/>
        <v>1.02</v>
      </c>
      <c r="R150" t="str">
        <f>_xlfn.XLOOKUP(B150,Product_Line_Map!$A$2:$A$6,Product_Line_Map!$B$2:$B$6,"")</f>
        <v>L02</v>
      </c>
      <c r="S150" s="24">
        <f t="shared" si="39"/>
        <v>2.1498939814059694</v>
      </c>
      <c r="T150" t="str">
        <f t="shared" si="40"/>
        <v>OK</v>
      </c>
    </row>
    <row r="151" spans="1:20">
      <c r="A151" s="1">
        <f>Weekly_Product_Demand!A151</f>
        <v>46230</v>
      </c>
      <c r="B151" t="str">
        <f>Weekly_Product_Demand!B151</f>
        <v>P005</v>
      </c>
      <c r="C151">
        <f t="shared" si="42"/>
        <v>3003</v>
      </c>
      <c r="D151">
        <f>0</f>
        <v>0</v>
      </c>
      <c r="E151">
        <f t="shared" si="41"/>
        <v>3003</v>
      </c>
      <c r="F151">
        <f>SUMIFS(Weekly_Product_Demand!$D:$D,Weekly_Product_Demand!$A:$A,A151,Weekly_Product_Demand!$B:$B,B151)</f>
        <v>9523</v>
      </c>
      <c r="G151">
        <f t="shared" si="29"/>
        <v>2721</v>
      </c>
      <c r="H151">
        <f t="shared" si="30"/>
        <v>9241</v>
      </c>
      <c r="I151">
        <f t="shared" si="31"/>
        <v>9300</v>
      </c>
      <c r="J151">
        <f t="shared" si="32"/>
        <v>2780</v>
      </c>
      <c r="K151">
        <v>0.98</v>
      </c>
      <c r="L151">
        <f t="shared" si="33"/>
        <v>9114</v>
      </c>
      <c r="M151">
        <f t="shared" si="34"/>
        <v>2594</v>
      </c>
      <c r="N151">
        <f t="shared" si="35"/>
        <v>0</v>
      </c>
      <c r="O151">
        <f t="shared" si="36"/>
        <v>2594</v>
      </c>
      <c r="P151">
        <f t="shared" si="37"/>
        <v>-186</v>
      </c>
      <c r="Q151" s="2">
        <f t="shared" si="38"/>
        <v>0.98</v>
      </c>
      <c r="R151" t="str">
        <f>_xlfn.XLOOKUP(B151,Product_Line_Map!$A$2:$A$6,Product_Line_Map!$B$2:$B$6,"")</f>
        <v>L03</v>
      </c>
      <c r="S151" s="24">
        <f t="shared" si="39"/>
        <v>1.9067520739262838</v>
      </c>
      <c r="T151" t="str">
        <f t="shared" si="40"/>
        <v>LOW COVER</v>
      </c>
    </row>
    <row r="152" spans="1:20">
      <c r="A152" s="1">
        <f>Weekly_Product_Demand!A152</f>
        <v>46237</v>
      </c>
      <c r="B152" t="str">
        <f>Weekly_Product_Demand!B152</f>
        <v>P001</v>
      </c>
      <c r="C152">
        <f t="shared" si="42"/>
        <v>4232</v>
      </c>
      <c r="D152">
        <f>0</f>
        <v>0</v>
      </c>
      <c r="E152">
        <f t="shared" si="41"/>
        <v>4232</v>
      </c>
      <c r="F152">
        <f>SUMIFS(Weekly_Product_Demand!$D:$D,Weekly_Product_Demand!$A:$A,A152,Weekly_Product_Demand!$B:$B,B152)</f>
        <v>15685</v>
      </c>
      <c r="G152">
        <f t="shared" si="29"/>
        <v>4481</v>
      </c>
      <c r="H152">
        <f t="shared" si="30"/>
        <v>15934</v>
      </c>
      <c r="I152">
        <f t="shared" si="31"/>
        <v>16000</v>
      </c>
      <c r="J152">
        <f t="shared" si="32"/>
        <v>4547</v>
      </c>
      <c r="K152">
        <v>1.02</v>
      </c>
      <c r="L152">
        <f t="shared" si="33"/>
        <v>16320</v>
      </c>
      <c r="M152">
        <f t="shared" si="34"/>
        <v>4867</v>
      </c>
      <c r="N152">
        <f t="shared" si="35"/>
        <v>0</v>
      </c>
      <c r="O152">
        <f t="shared" si="36"/>
        <v>4867</v>
      </c>
      <c r="P152">
        <f t="shared" si="37"/>
        <v>320</v>
      </c>
      <c r="Q152" s="2">
        <f t="shared" si="38"/>
        <v>1.02</v>
      </c>
      <c r="R152" t="str">
        <f>_xlfn.XLOOKUP(B152,Product_Line_Map!$A$2:$A$6,Product_Line_Map!$B$2:$B$6,"")</f>
        <v>L01</v>
      </c>
      <c r="S152" s="24">
        <f t="shared" si="39"/>
        <v>2.1720752311125278</v>
      </c>
      <c r="T152" t="str">
        <f t="shared" si="40"/>
        <v>OK</v>
      </c>
    </row>
    <row r="153" spans="1:20">
      <c r="A153" s="1">
        <f>Weekly_Product_Demand!A153</f>
        <v>46237</v>
      </c>
      <c r="B153" t="str">
        <f>Weekly_Product_Demand!B153</f>
        <v>P002</v>
      </c>
      <c r="C153">
        <f t="shared" si="42"/>
        <v>4316</v>
      </c>
      <c r="D153">
        <f>0</f>
        <v>0</v>
      </c>
      <c r="E153">
        <f t="shared" si="41"/>
        <v>4316</v>
      </c>
      <c r="F153">
        <f>SUMIFS(Weekly_Product_Demand!$D:$D,Weekly_Product_Demand!$A:$A,A153,Weekly_Product_Demand!$B:$B,B153)</f>
        <v>13606</v>
      </c>
      <c r="G153">
        <f t="shared" si="29"/>
        <v>3887</v>
      </c>
      <c r="H153">
        <f t="shared" si="30"/>
        <v>13177</v>
      </c>
      <c r="I153">
        <f t="shared" si="31"/>
        <v>13200</v>
      </c>
      <c r="J153">
        <f t="shared" si="32"/>
        <v>3910</v>
      </c>
      <c r="K153">
        <v>1.01</v>
      </c>
      <c r="L153">
        <f t="shared" si="33"/>
        <v>13332</v>
      </c>
      <c r="M153">
        <f t="shared" si="34"/>
        <v>4042</v>
      </c>
      <c r="N153">
        <f t="shared" si="35"/>
        <v>0</v>
      </c>
      <c r="O153">
        <f t="shared" si="36"/>
        <v>4042</v>
      </c>
      <c r="P153">
        <f t="shared" si="37"/>
        <v>132</v>
      </c>
      <c r="Q153" s="2">
        <f t="shared" si="38"/>
        <v>1.01</v>
      </c>
      <c r="R153" t="str">
        <f>_xlfn.XLOOKUP(B153,Product_Line_Map!$A$2:$A$6,Product_Line_Map!$B$2:$B$6,"")</f>
        <v>L02</v>
      </c>
      <c r="S153" s="24">
        <f t="shared" si="39"/>
        <v>2.0795237395266795</v>
      </c>
      <c r="T153" t="str">
        <f t="shared" si="40"/>
        <v>OK</v>
      </c>
    </row>
    <row r="154" spans="1:20">
      <c r="A154" s="1">
        <f>Weekly_Product_Demand!A154</f>
        <v>46237</v>
      </c>
      <c r="B154" t="str">
        <f>Weekly_Product_Demand!B154</f>
        <v>P003</v>
      </c>
      <c r="C154">
        <f t="shared" si="42"/>
        <v>3578</v>
      </c>
      <c r="D154">
        <f>0</f>
        <v>0</v>
      </c>
      <c r="E154">
        <f t="shared" si="41"/>
        <v>3578</v>
      </c>
      <c r="F154">
        <f>SUMIFS(Weekly_Product_Demand!$D:$D,Weekly_Product_Demand!$A:$A,A154,Weekly_Product_Demand!$B:$B,B154)</f>
        <v>11993</v>
      </c>
      <c r="G154">
        <f t="shared" si="29"/>
        <v>3427</v>
      </c>
      <c r="H154">
        <f t="shared" si="30"/>
        <v>11842</v>
      </c>
      <c r="I154">
        <f t="shared" si="31"/>
        <v>11900</v>
      </c>
      <c r="J154">
        <f t="shared" si="32"/>
        <v>3485</v>
      </c>
      <c r="K154">
        <v>1.02</v>
      </c>
      <c r="L154">
        <f t="shared" si="33"/>
        <v>12138</v>
      </c>
      <c r="M154">
        <f t="shared" si="34"/>
        <v>3723</v>
      </c>
      <c r="N154">
        <f t="shared" si="35"/>
        <v>0</v>
      </c>
      <c r="O154">
        <f t="shared" si="36"/>
        <v>3723</v>
      </c>
      <c r="P154">
        <f t="shared" si="37"/>
        <v>238</v>
      </c>
      <c r="Q154" s="2">
        <f t="shared" si="38"/>
        <v>1.02</v>
      </c>
      <c r="R154" t="str">
        <f>_xlfn.XLOOKUP(B154,Product_Line_Map!$A$2:$A$6,Product_Line_Map!$B$2:$B$6,"")</f>
        <v>L03</v>
      </c>
      <c r="S154" s="24">
        <f t="shared" si="39"/>
        <v>2.1730175935962648</v>
      </c>
      <c r="T154" t="str">
        <f t="shared" si="40"/>
        <v>OK</v>
      </c>
    </row>
    <row r="155" spans="1:20">
      <c r="A155" s="1">
        <f>Weekly_Product_Demand!A155</f>
        <v>46237</v>
      </c>
      <c r="B155" t="str">
        <f>Weekly_Product_Demand!B155</f>
        <v>P004</v>
      </c>
      <c r="C155">
        <f t="shared" si="42"/>
        <v>3766</v>
      </c>
      <c r="D155">
        <f>0</f>
        <v>0</v>
      </c>
      <c r="E155">
        <f t="shared" si="41"/>
        <v>3766</v>
      </c>
      <c r="F155">
        <f>SUMIFS(Weekly_Product_Demand!$D:$D,Weekly_Product_Demand!$A:$A,A155,Weekly_Product_Demand!$B:$B,B155)</f>
        <v>12656</v>
      </c>
      <c r="G155">
        <f t="shared" si="29"/>
        <v>3616</v>
      </c>
      <c r="H155">
        <f t="shared" si="30"/>
        <v>12506</v>
      </c>
      <c r="I155">
        <f t="shared" si="31"/>
        <v>12600</v>
      </c>
      <c r="J155">
        <f t="shared" si="32"/>
        <v>3710</v>
      </c>
      <c r="K155">
        <v>0.97</v>
      </c>
      <c r="L155">
        <f t="shared" si="33"/>
        <v>12222</v>
      </c>
      <c r="M155">
        <f t="shared" si="34"/>
        <v>3332</v>
      </c>
      <c r="N155">
        <f t="shared" si="35"/>
        <v>0</v>
      </c>
      <c r="O155">
        <f t="shared" si="36"/>
        <v>3332</v>
      </c>
      <c r="P155">
        <f t="shared" si="37"/>
        <v>-378</v>
      </c>
      <c r="Q155" s="2">
        <f t="shared" si="38"/>
        <v>0.97</v>
      </c>
      <c r="R155" t="str">
        <f>_xlfn.XLOOKUP(B155,Product_Line_Map!$A$2:$A$6,Product_Line_Map!$B$2:$B$6,"")</f>
        <v>L02</v>
      </c>
      <c r="S155" s="24">
        <f t="shared" si="39"/>
        <v>1.8429203539823009</v>
      </c>
      <c r="T155" t="str">
        <f t="shared" si="40"/>
        <v>LOW COVER</v>
      </c>
    </row>
    <row r="156" spans="1:20">
      <c r="A156" s="1">
        <f>Weekly_Product_Demand!A156</f>
        <v>46237</v>
      </c>
      <c r="B156" t="str">
        <f>Weekly_Product_Demand!B156</f>
        <v>P005</v>
      </c>
      <c r="C156">
        <f t="shared" si="42"/>
        <v>2594</v>
      </c>
      <c r="D156">
        <f>0</f>
        <v>0</v>
      </c>
      <c r="E156">
        <f t="shared" si="41"/>
        <v>2594</v>
      </c>
      <c r="F156">
        <f>SUMIFS(Weekly_Product_Demand!$D:$D,Weekly_Product_Demand!$A:$A,A156,Weekly_Product_Demand!$B:$B,B156)</f>
        <v>9537</v>
      </c>
      <c r="G156">
        <f t="shared" si="29"/>
        <v>2725</v>
      </c>
      <c r="H156">
        <f t="shared" si="30"/>
        <v>9668</v>
      </c>
      <c r="I156">
        <f t="shared" si="31"/>
        <v>9700</v>
      </c>
      <c r="J156">
        <f t="shared" si="32"/>
        <v>2757</v>
      </c>
      <c r="K156">
        <v>0.97</v>
      </c>
      <c r="L156">
        <f t="shared" si="33"/>
        <v>9409</v>
      </c>
      <c r="M156">
        <f t="shared" si="34"/>
        <v>2466</v>
      </c>
      <c r="N156">
        <f t="shared" si="35"/>
        <v>0</v>
      </c>
      <c r="O156">
        <f t="shared" si="36"/>
        <v>2466</v>
      </c>
      <c r="P156">
        <f t="shared" si="37"/>
        <v>-291</v>
      </c>
      <c r="Q156" s="2">
        <f t="shared" si="38"/>
        <v>0.97</v>
      </c>
      <c r="R156" t="str">
        <f>_xlfn.XLOOKUP(B156,Product_Line_Map!$A$2:$A$6,Product_Line_Map!$B$2:$B$6,"")</f>
        <v>L03</v>
      </c>
      <c r="S156" s="24">
        <f t="shared" si="39"/>
        <v>1.8100031456432841</v>
      </c>
      <c r="T156" t="str">
        <f t="shared" si="40"/>
        <v>LOW COVER</v>
      </c>
    </row>
    <row r="157" spans="1:20">
      <c r="A157" s="1">
        <f>Weekly_Product_Demand!A157</f>
        <v>46244</v>
      </c>
      <c r="B157" t="str">
        <f>Weekly_Product_Demand!B157</f>
        <v>P001</v>
      </c>
      <c r="C157">
        <f t="shared" si="42"/>
        <v>4867</v>
      </c>
      <c r="D157">
        <f>0</f>
        <v>0</v>
      </c>
      <c r="E157">
        <f t="shared" si="41"/>
        <v>4867</v>
      </c>
      <c r="F157">
        <f>SUMIFS(Weekly_Product_Demand!$D:$D,Weekly_Product_Demand!$A:$A,A157,Weekly_Product_Demand!$B:$B,B157)</f>
        <v>15745</v>
      </c>
      <c r="G157">
        <f t="shared" si="29"/>
        <v>4499</v>
      </c>
      <c r="H157">
        <f t="shared" si="30"/>
        <v>15377</v>
      </c>
      <c r="I157">
        <f t="shared" si="31"/>
        <v>15400</v>
      </c>
      <c r="J157">
        <f t="shared" si="32"/>
        <v>4522</v>
      </c>
      <c r="K157">
        <v>0.97</v>
      </c>
      <c r="L157">
        <f t="shared" si="33"/>
        <v>14938</v>
      </c>
      <c r="M157">
        <f t="shared" si="34"/>
        <v>4060</v>
      </c>
      <c r="N157">
        <f t="shared" si="35"/>
        <v>0</v>
      </c>
      <c r="O157">
        <f t="shared" si="36"/>
        <v>4060</v>
      </c>
      <c r="P157">
        <f t="shared" si="37"/>
        <v>-462</v>
      </c>
      <c r="Q157" s="2">
        <f t="shared" si="38"/>
        <v>0.97</v>
      </c>
      <c r="R157" t="str">
        <f>_xlfn.XLOOKUP(B157,Product_Line_Map!$A$2:$A$6,Product_Line_Map!$B$2:$B$6,"")</f>
        <v>L01</v>
      </c>
      <c r="S157" s="24">
        <f t="shared" si="39"/>
        <v>1.8050174658621785</v>
      </c>
      <c r="T157" t="str">
        <f t="shared" si="40"/>
        <v>LOW COVER</v>
      </c>
    </row>
    <row r="158" spans="1:20">
      <c r="A158" s="1">
        <f>Weekly_Product_Demand!A158</f>
        <v>46244</v>
      </c>
      <c r="B158" t="str">
        <f>Weekly_Product_Demand!B158</f>
        <v>P002</v>
      </c>
      <c r="C158">
        <f t="shared" si="42"/>
        <v>4042</v>
      </c>
      <c r="D158">
        <f>0</f>
        <v>0</v>
      </c>
      <c r="E158">
        <f t="shared" si="41"/>
        <v>4042</v>
      </c>
      <c r="F158">
        <f>SUMIFS(Weekly_Product_Demand!$D:$D,Weekly_Product_Demand!$A:$A,A158,Weekly_Product_Demand!$B:$B,B158)</f>
        <v>13642</v>
      </c>
      <c r="G158">
        <f t="shared" si="29"/>
        <v>3898</v>
      </c>
      <c r="H158">
        <f t="shared" si="30"/>
        <v>13498</v>
      </c>
      <c r="I158">
        <f t="shared" si="31"/>
        <v>13500</v>
      </c>
      <c r="J158">
        <f t="shared" si="32"/>
        <v>3900</v>
      </c>
      <c r="K158">
        <v>1.01</v>
      </c>
      <c r="L158">
        <f t="shared" si="33"/>
        <v>13635</v>
      </c>
      <c r="M158">
        <f t="shared" si="34"/>
        <v>4035</v>
      </c>
      <c r="N158">
        <f t="shared" si="35"/>
        <v>0</v>
      </c>
      <c r="O158">
        <f t="shared" si="36"/>
        <v>4035</v>
      </c>
      <c r="P158">
        <f t="shared" si="37"/>
        <v>135</v>
      </c>
      <c r="Q158" s="2">
        <f t="shared" si="38"/>
        <v>1.01</v>
      </c>
      <c r="R158" t="str">
        <f>_xlfn.XLOOKUP(B158,Product_Line_Map!$A$2:$A$6,Product_Line_Map!$B$2:$B$6,"")</f>
        <v>L02</v>
      </c>
      <c r="S158" s="24">
        <f t="shared" si="39"/>
        <v>2.0704442163905585</v>
      </c>
      <c r="T158" t="str">
        <f t="shared" si="40"/>
        <v>OK</v>
      </c>
    </row>
    <row r="159" spans="1:20">
      <c r="A159" s="1">
        <f>Weekly_Product_Demand!A159</f>
        <v>46244</v>
      </c>
      <c r="B159" t="str">
        <f>Weekly_Product_Demand!B159</f>
        <v>P003</v>
      </c>
      <c r="C159">
        <f t="shared" si="42"/>
        <v>3723</v>
      </c>
      <c r="D159">
        <f>0</f>
        <v>0</v>
      </c>
      <c r="E159">
        <f t="shared" si="41"/>
        <v>3723</v>
      </c>
      <c r="F159">
        <f>SUMIFS(Weekly_Product_Demand!$D:$D,Weekly_Product_Demand!$A:$A,A159,Weekly_Product_Demand!$B:$B,B159)</f>
        <v>11515</v>
      </c>
      <c r="G159">
        <f t="shared" si="29"/>
        <v>3290</v>
      </c>
      <c r="H159">
        <f t="shared" si="30"/>
        <v>11082</v>
      </c>
      <c r="I159">
        <f t="shared" si="31"/>
        <v>11100</v>
      </c>
      <c r="J159">
        <f t="shared" si="32"/>
        <v>3308</v>
      </c>
      <c r="K159">
        <v>1.01</v>
      </c>
      <c r="L159">
        <f t="shared" si="33"/>
        <v>11211</v>
      </c>
      <c r="M159">
        <f t="shared" si="34"/>
        <v>3419</v>
      </c>
      <c r="N159">
        <f t="shared" si="35"/>
        <v>0</v>
      </c>
      <c r="O159">
        <f t="shared" si="36"/>
        <v>3419</v>
      </c>
      <c r="P159">
        <f t="shared" si="37"/>
        <v>111</v>
      </c>
      <c r="Q159" s="2">
        <f t="shared" si="38"/>
        <v>1.01</v>
      </c>
      <c r="R159" t="str">
        <f>_xlfn.XLOOKUP(B159,Product_Line_Map!$A$2:$A$6,Product_Line_Map!$B$2:$B$6,"")</f>
        <v>L03</v>
      </c>
      <c r="S159" s="24">
        <f t="shared" si="39"/>
        <v>2.0784194528875379</v>
      </c>
      <c r="T159" t="str">
        <f t="shared" si="40"/>
        <v>OK</v>
      </c>
    </row>
    <row r="160" spans="1:20">
      <c r="A160" s="1">
        <f>Weekly_Product_Demand!A160</f>
        <v>46244</v>
      </c>
      <c r="B160" t="str">
        <f>Weekly_Product_Demand!B160</f>
        <v>P004</v>
      </c>
      <c r="C160">
        <f t="shared" si="42"/>
        <v>3332</v>
      </c>
      <c r="D160">
        <f>0</f>
        <v>0</v>
      </c>
      <c r="E160">
        <f t="shared" si="41"/>
        <v>3332</v>
      </c>
      <c r="F160">
        <f>SUMIFS(Weekly_Product_Demand!$D:$D,Weekly_Product_Demand!$A:$A,A160,Weekly_Product_Demand!$B:$B,B160)</f>
        <v>12840</v>
      </c>
      <c r="G160">
        <f t="shared" si="29"/>
        <v>3669</v>
      </c>
      <c r="H160">
        <f t="shared" si="30"/>
        <v>13177</v>
      </c>
      <c r="I160">
        <f t="shared" si="31"/>
        <v>13200</v>
      </c>
      <c r="J160">
        <f t="shared" si="32"/>
        <v>3692</v>
      </c>
      <c r="K160">
        <v>0.99</v>
      </c>
      <c r="L160">
        <f t="shared" si="33"/>
        <v>13068</v>
      </c>
      <c r="M160">
        <f t="shared" si="34"/>
        <v>3560</v>
      </c>
      <c r="N160">
        <f t="shared" si="35"/>
        <v>0</v>
      </c>
      <c r="O160">
        <f t="shared" si="36"/>
        <v>3560</v>
      </c>
      <c r="P160">
        <f t="shared" si="37"/>
        <v>-132</v>
      </c>
      <c r="Q160" s="2">
        <f t="shared" si="38"/>
        <v>0.99</v>
      </c>
      <c r="R160" t="str">
        <f>_xlfn.XLOOKUP(B160,Product_Line_Map!$A$2:$A$6,Product_Line_Map!$B$2:$B$6,"")</f>
        <v>L02</v>
      </c>
      <c r="S160" s="24">
        <f t="shared" si="39"/>
        <v>1.9408099688473521</v>
      </c>
      <c r="T160" t="str">
        <f t="shared" si="40"/>
        <v>LOW COVER</v>
      </c>
    </row>
    <row r="161" spans="1:20">
      <c r="A161" s="1">
        <f>Weekly_Product_Demand!A161</f>
        <v>46244</v>
      </c>
      <c r="B161" t="str">
        <f>Weekly_Product_Demand!B161</f>
        <v>P005</v>
      </c>
      <c r="C161">
        <f t="shared" si="42"/>
        <v>2466</v>
      </c>
      <c r="D161">
        <f>0</f>
        <v>0</v>
      </c>
      <c r="E161">
        <f t="shared" si="41"/>
        <v>2466</v>
      </c>
      <c r="F161">
        <f>SUMIFS(Weekly_Product_Demand!$D:$D,Weekly_Product_Demand!$A:$A,A161,Weekly_Product_Demand!$B:$B,B161)</f>
        <v>9779</v>
      </c>
      <c r="G161">
        <f t="shared" si="29"/>
        <v>2794</v>
      </c>
      <c r="H161">
        <f t="shared" si="30"/>
        <v>10107</v>
      </c>
      <c r="I161">
        <f t="shared" si="31"/>
        <v>10200</v>
      </c>
      <c r="J161">
        <f t="shared" si="32"/>
        <v>2887</v>
      </c>
      <c r="K161">
        <v>1.02</v>
      </c>
      <c r="L161">
        <f t="shared" si="33"/>
        <v>10404</v>
      </c>
      <c r="M161">
        <f t="shared" si="34"/>
        <v>3091</v>
      </c>
      <c r="N161">
        <f t="shared" si="35"/>
        <v>0</v>
      </c>
      <c r="O161">
        <f t="shared" si="36"/>
        <v>3091</v>
      </c>
      <c r="P161">
        <f t="shared" si="37"/>
        <v>204</v>
      </c>
      <c r="Q161" s="2">
        <f t="shared" si="38"/>
        <v>1.02</v>
      </c>
      <c r="R161" t="str">
        <f>_xlfn.XLOOKUP(B161,Product_Line_Map!$A$2:$A$6,Product_Line_Map!$B$2:$B$6,"")</f>
        <v>L03</v>
      </c>
      <c r="S161" s="24">
        <f t="shared" si="39"/>
        <v>2.2125984251968505</v>
      </c>
      <c r="T161" t="str">
        <f t="shared" si="40"/>
        <v>OK</v>
      </c>
    </row>
    <row r="162" spans="1:20">
      <c r="A162" s="1">
        <f>Weekly_Product_Demand!A162</f>
        <v>46251</v>
      </c>
      <c r="B162" t="str">
        <f>Weekly_Product_Demand!B162</f>
        <v>P001</v>
      </c>
      <c r="C162">
        <f t="shared" si="42"/>
        <v>4060</v>
      </c>
      <c r="D162">
        <f>0</f>
        <v>0</v>
      </c>
      <c r="E162">
        <f t="shared" si="41"/>
        <v>4060</v>
      </c>
      <c r="F162">
        <f>SUMIFS(Weekly_Product_Demand!$D:$D,Weekly_Product_Demand!$A:$A,A162,Weekly_Product_Demand!$B:$B,B162)</f>
        <v>16005</v>
      </c>
      <c r="G162">
        <f t="shared" si="29"/>
        <v>4573</v>
      </c>
      <c r="H162">
        <f t="shared" si="30"/>
        <v>16518</v>
      </c>
      <c r="I162">
        <f t="shared" si="31"/>
        <v>16600</v>
      </c>
      <c r="J162">
        <f t="shared" si="32"/>
        <v>4655</v>
      </c>
      <c r="K162">
        <v>1.02</v>
      </c>
      <c r="L162">
        <f t="shared" si="33"/>
        <v>16932</v>
      </c>
      <c r="M162">
        <f t="shared" si="34"/>
        <v>4987</v>
      </c>
      <c r="N162">
        <f t="shared" si="35"/>
        <v>0</v>
      </c>
      <c r="O162">
        <f t="shared" si="36"/>
        <v>4987</v>
      </c>
      <c r="P162">
        <f t="shared" si="37"/>
        <v>332</v>
      </c>
      <c r="Q162" s="2">
        <f t="shared" si="38"/>
        <v>1.02</v>
      </c>
      <c r="R162" t="str">
        <f>_xlfn.XLOOKUP(B162,Product_Line_Map!$A$2:$A$6,Product_Line_Map!$B$2:$B$6,"")</f>
        <v>L01</v>
      </c>
      <c r="S162" s="24">
        <f t="shared" si="39"/>
        <v>2.181130896594814</v>
      </c>
      <c r="T162" t="str">
        <f t="shared" si="40"/>
        <v>OK</v>
      </c>
    </row>
    <row r="163" spans="1:20">
      <c r="A163" s="1">
        <f>Weekly_Product_Demand!A163</f>
        <v>46251</v>
      </c>
      <c r="B163" t="str">
        <f>Weekly_Product_Demand!B163</f>
        <v>P002</v>
      </c>
      <c r="C163">
        <f t="shared" si="42"/>
        <v>4035</v>
      </c>
      <c r="D163">
        <f>0</f>
        <v>0</v>
      </c>
      <c r="E163">
        <f t="shared" si="41"/>
        <v>4035</v>
      </c>
      <c r="F163">
        <f>SUMIFS(Weekly_Product_Demand!$D:$D,Weekly_Product_Demand!$A:$A,A163,Weekly_Product_Demand!$B:$B,B163)</f>
        <v>13419</v>
      </c>
      <c r="G163">
        <f t="shared" si="29"/>
        <v>3834</v>
      </c>
      <c r="H163">
        <f t="shared" si="30"/>
        <v>13218</v>
      </c>
      <c r="I163">
        <f t="shared" si="31"/>
        <v>13300</v>
      </c>
      <c r="J163">
        <f t="shared" si="32"/>
        <v>3916</v>
      </c>
      <c r="K163">
        <v>1</v>
      </c>
      <c r="L163">
        <f t="shared" si="33"/>
        <v>13300</v>
      </c>
      <c r="M163">
        <f t="shared" si="34"/>
        <v>3916</v>
      </c>
      <c r="N163">
        <f t="shared" si="35"/>
        <v>0</v>
      </c>
      <c r="O163">
        <f t="shared" si="36"/>
        <v>3916</v>
      </c>
      <c r="P163">
        <f t="shared" si="37"/>
        <v>0</v>
      </c>
      <c r="Q163" s="2">
        <f t="shared" si="38"/>
        <v>1</v>
      </c>
      <c r="R163" t="str">
        <f>_xlfn.XLOOKUP(B163,Product_Line_Map!$A$2:$A$6,Product_Line_Map!$B$2:$B$6,"")</f>
        <v>L02</v>
      </c>
      <c r="S163" s="24">
        <f t="shared" si="39"/>
        <v>2.0427751695357328</v>
      </c>
      <c r="T163" t="str">
        <f t="shared" si="40"/>
        <v>OK</v>
      </c>
    </row>
    <row r="164" spans="1:20">
      <c r="A164" s="1">
        <f>Weekly_Product_Demand!A164</f>
        <v>46251</v>
      </c>
      <c r="B164" t="str">
        <f>Weekly_Product_Demand!B164</f>
        <v>P003</v>
      </c>
      <c r="C164">
        <f t="shared" si="42"/>
        <v>3419</v>
      </c>
      <c r="D164">
        <f>0</f>
        <v>0</v>
      </c>
      <c r="E164">
        <f t="shared" si="41"/>
        <v>3419</v>
      </c>
      <c r="F164">
        <f>SUMIFS(Weekly_Product_Demand!$D:$D,Weekly_Product_Demand!$A:$A,A164,Weekly_Product_Demand!$B:$B,B164)</f>
        <v>11689</v>
      </c>
      <c r="G164">
        <f t="shared" si="29"/>
        <v>3340</v>
      </c>
      <c r="H164">
        <f t="shared" si="30"/>
        <v>11610</v>
      </c>
      <c r="I164">
        <f t="shared" si="31"/>
        <v>11700</v>
      </c>
      <c r="J164">
        <f t="shared" si="32"/>
        <v>3430</v>
      </c>
      <c r="K164">
        <v>0.98</v>
      </c>
      <c r="L164">
        <f t="shared" si="33"/>
        <v>11466</v>
      </c>
      <c r="M164">
        <f t="shared" si="34"/>
        <v>3196</v>
      </c>
      <c r="N164">
        <f t="shared" si="35"/>
        <v>0</v>
      </c>
      <c r="O164">
        <f t="shared" si="36"/>
        <v>3196</v>
      </c>
      <c r="P164">
        <f t="shared" si="37"/>
        <v>-234</v>
      </c>
      <c r="Q164" s="2">
        <f t="shared" si="38"/>
        <v>0.98</v>
      </c>
      <c r="R164" t="str">
        <f>_xlfn.XLOOKUP(B164,Product_Line_Map!$A$2:$A$6,Product_Line_Map!$B$2:$B$6,"")</f>
        <v>L03</v>
      </c>
      <c r="S164" s="24">
        <f t="shared" si="39"/>
        <v>1.9139361793138847</v>
      </c>
      <c r="T164" t="str">
        <f t="shared" si="40"/>
        <v>LOW COVER</v>
      </c>
    </row>
    <row r="165" spans="1:20">
      <c r="A165" s="1">
        <f>Weekly_Product_Demand!A165</f>
        <v>46251</v>
      </c>
      <c r="B165" t="str">
        <f>Weekly_Product_Demand!B165</f>
        <v>P004</v>
      </c>
      <c r="C165">
        <f t="shared" si="42"/>
        <v>3560</v>
      </c>
      <c r="D165">
        <f>0</f>
        <v>0</v>
      </c>
      <c r="E165">
        <f t="shared" si="41"/>
        <v>3560</v>
      </c>
      <c r="F165">
        <f>SUMIFS(Weekly_Product_Demand!$D:$D,Weekly_Product_Demand!$A:$A,A165,Weekly_Product_Demand!$B:$B,B165)</f>
        <v>12647</v>
      </c>
      <c r="G165">
        <f t="shared" si="29"/>
        <v>3613</v>
      </c>
      <c r="H165">
        <f t="shared" si="30"/>
        <v>12700</v>
      </c>
      <c r="I165">
        <f t="shared" si="31"/>
        <v>12700</v>
      </c>
      <c r="J165">
        <f t="shared" si="32"/>
        <v>3613</v>
      </c>
      <c r="K165">
        <v>0.97</v>
      </c>
      <c r="L165">
        <f t="shared" si="33"/>
        <v>12319</v>
      </c>
      <c r="M165">
        <f t="shared" si="34"/>
        <v>3232</v>
      </c>
      <c r="N165">
        <f t="shared" si="35"/>
        <v>0</v>
      </c>
      <c r="O165">
        <f t="shared" si="36"/>
        <v>3232</v>
      </c>
      <c r="P165">
        <f t="shared" si="37"/>
        <v>-381</v>
      </c>
      <c r="Q165" s="2">
        <f t="shared" si="38"/>
        <v>0.97</v>
      </c>
      <c r="R165" t="str">
        <f>_xlfn.XLOOKUP(B165,Product_Line_Map!$A$2:$A$6,Product_Line_Map!$B$2:$B$6,"")</f>
        <v>L02</v>
      </c>
      <c r="S165" s="24">
        <f t="shared" si="39"/>
        <v>1.7888827389894837</v>
      </c>
      <c r="T165" t="str">
        <f t="shared" si="40"/>
        <v>LOW COVER</v>
      </c>
    </row>
    <row r="166" spans="1:20">
      <c r="A166" s="1">
        <f>Weekly_Product_Demand!A166</f>
        <v>46251</v>
      </c>
      <c r="B166" t="str">
        <f>Weekly_Product_Demand!B166</f>
        <v>P005</v>
      </c>
      <c r="C166">
        <f t="shared" si="42"/>
        <v>3091</v>
      </c>
      <c r="D166">
        <f>0</f>
        <v>0</v>
      </c>
      <c r="E166">
        <f t="shared" si="41"/>
        <v>3091</v>
      </c>
      <c r="F166">
        <f>SUMIFS(Weekly_Product_Demand!$D:$D,Weekly_Product_Demand!$A:$A,A166,Weekly_Product_Demand!$B:$B,B166)</f>
        <v>9620</v>
      </c>
      <c r="G166">
        <f t="shared" si="29"/>
        <v>2749</v>
      </c>
      <c r="H166">
        <f t="shared" si="30"/>
        <v>9278</v>
      </c>
      <c r="I166">
        <f t="shared" si="31"/>
        <v>9300</v>
      </c>
      <c r="J166">
        <f t="shared" si="32"/>
        <v>2771</v>
      </c>
      <c r="K166">
        <v>0.99</v>
      </c>
      <c r="L166">
        <f t="shared" si="33"/>
        <v>9207</v>
      </c>
      <c r="M166">
        <f t="shared" si="34"/>
        <v>2678</v>
      </c>
      <c r="N166">
        <f t="shared" si="35"/>
        <v>0</v>
      </c>
      <c r="O166">
        <f t="shared" si="36"/>
        <v>2678</v>
      </c>
      <c r="P166">
        <f t="shared" si="37"/>
        <v>-93</v>
      </c>
      <c r="Q166" s="2">
        <f t="shared" si="38"/>
        <v>0.99</v>
      </c>
      <c r="R166" t="str">
        <f>_xlfn.XLOOKUP(B166,Product_Line_Map!$A$2:$A$6,Product_Line_Map!$B$2:$B$6,"")</f>
        <v>L03</v>
      </c>
      <c r="S166" s="24">
        <f t="shared" si="39"/>
        <v>1.9486486486486487</v>
      </c>
      <c r="T166" t="str">
        <f t="shared" si="40"/>
        <v>LOW COVER</v>
      </c>
    </row>
    <row r="167" spans="1:20">
      <c r="A167" s="1">
        <f>Weekly_Product_Demand!A167</f>
        <v>46258</v>
      </c>
      <c r="B167" t="str">
        <f>Weekly_Product_Demand!B167</f>
        <v>P001</v>
      </c>
      <c r="C167">
        <f t="shared" si="42"/>
        <v>4987</v>
      </c>
      <c r="D167">
        <f>0</f>
        <v>0</v>
      </c>
      <c r="E167">
        <f t="shared" si="41"/>
        <v>4987</v>
      </c>
      <c r="F167">
        <f>SUMIFS(Weekly_Product_Demand!$D:$D,Weekly_Product_Demand!$A:$A,A167,Weekly_Product_Demand!$B:$B,B167)</f>
        <v>15783</v>
      </c>
      <c r="G167">
        <f t="shared" si="29"/>
        <v>4509</v>
      </c>
      <c r="H167">
        <f t="shared" si="30"/>
        <v>15305</v>
      </c>
      <c r="I167">
        <f t="shared" si="31"/>
        <v>15400</v>
      </c>
      <c r="J167">
        <f t="shared" si="32"/>
        <v>4604</v>
      </c>
      <c r="K167">
        <v>0.99</v>
      </c>
      <c r="L167">
        <f t="shared" si="33"/>
        <v>15246</v>
      </c>
      <c r="M167">
        <f t="shared" si="34"/>
        <v>4450</v>
      </c>
      <c r="N167">
        <f t="shared" si="35"/>
        <v>0</v>
      </c>
      <c r="O167">
        <f t="shared" si="36"/>
        <v>4450</v>
      </c>
      <c r="P167">
        <f t="shared" si="37"/>
        <v>-154</v>
      </c>
      <c r="Q167" s="2">
        <f t="shared" si="38"/>
        <v>0.99</v>
      </c>
      <c r="R167" t="str">
        <f>_xlfn.XLOOKUP(B167,Product_Line_Map!$A$2:$A$6,Product_Line_Map!$B$2:$B$6,"")</f>
        <v>L01</v>
      </c>
      <c r="S167" s="24">
        <f t="shared" si="39"/>
        <v>1.9736425267693087</v>
      </c>
      <c r="T167" t="str">
        <f t="shared" si="40"/>
        <v>LOW COVER</v>
      </c>
    </row>
    <row r="168" spans="1:20">
      <c r="A168" s="1">
        <f>Weekly_Product_Demand!A168</f>
        <v>46258</v>
      </c>
      <c r="B168" t="str">
        <f>Weekly_Product_Demand!B168</f>
        <v>P002</v>
      </c>
      <c r="C168">
        <f t="shared" si="42"/>
        <v>3916</v>
      </c>
      <c r="D168">
        <f>0</f>
        <v>0</v>
      </c>
      <c r="E168">
        <f t="shared" si="41"/>
        <v>3916</v>
      </c>
      <c r="F168">
        <f>SUMIFS(Weekly_Product_Demand!$D:$D,Weekly_Product_Demand!$A:$A,A168,Weekly_Product_Demand!$B:$B,B168)</f>
        <v>13173</v>
      </c>
      <c r="G168">
        <f t="shared" si="29"/>
        <v>3764</v>
      </c>
      <c r="H168">
        <f t="shared" si="30"/>
        <v>13021</v>
      </c>
      <c r="I168">
        <f t="shared" si="31"/>
        <v>13100</v>
      </c>
      <c r="J168">
        <f t="shared" si="32"/>
        <v>3843</v>
      </c>
      <c r="K168">
        <v>0.99</v>
      </c>
      <c r="L168">
        <f t="shared" si="33"/>
        <v>12969</v>
      </c>
      <c r="M168">
        <f t="shared" si="34"/>
        <v>3712</v>
      </c>
      <c r="N168">
        <f t="shared" si="35"/>
        <v>0</v>
      </c>
      <c r="O168">
        <f t="shared" si="36"/>
        <v>3712</v>
      </c>
      <c r="P168">
        <f t="shared" si="37"/>
        <v>-131</v>
      </c>
      <c r="Q168" s="2">
        <f t="shared" si="38"/>
        <v>0.99</v>
      </c>
      <c r="R168" t="str">
        <f>_xlfn.XLOOKUP(B168,Product_Line_Map!$A$2:$A$6,Product_Line_Map!$B$2:$B$6,"")</f>
        <v>L02</v>
      </c>
      <c r="S168" s="24">
        <f t="shared" si="39"/>
        <v>1.9725195475594017</v>
      </c>
      <c r="T168" t="str">
        <f t="shared" si="40"/>
        <v>LOW COVER</v>
      </c>
    </row>
    <row r="169" spans="1:20">
      <c r="A169" s="1">
        <f>Weekly_Product_Demand!A169</f>
        <v>46258</v>
      </c>
      <c r="B169" t="str">
        <f>Weekly_Product_Demand!B169</f>
        <v>P003</v>
      </c>
      <c r="C169">
        <f t="shared" si="42"/>
        <v>3196</v>
      </c>
      <c r="D169">
        <f>0</f>
        <v>0</v>
      </c>
      <c r="E169">
        <f t="shared" si="41"/>
        <v>3196</v>
      </c>
      <c r="F169">
        <f>SUMIFS(Weekly_Product_Demand!$D:$D,Weekly_Product_Demand!$A:$A,A169,Weekly_Product_Demand!$B:$B,B169)</f>
        <v>11715</v>
      </c>
      <c r="G169">
        <f t="shared" si="29"/>
        <v>3347</v>
      </c>
      <c r="H169">
        <f t="shared" si="30"/>
        <v>11866</v>
      </c>
      <c r="I169">
        <f t="shared" si="31"/>
        <v>11900</v>
      </c>
      <c r="J169">
        <f t="shared" si="32"/>
        <v>3381</v>
      </c>
      <c r="K169">
        <v>1</v>
      </c>
      <c r="L169">
        <f t="shared" si="33"/>
        <v>11900</v>
      </c>
      <c r="M169">
        <f t="shared" si="34"/>
        <v>3381</v>
      </c>
      <c r="N169">
        <f t="shared" si="35"/>
        <v>0</v>
      </c>
      <c r="O169">
        <f t="shared" si="36"/>
        <v>3381</v>
      </c>
      <c r="P169">
        <f t="shared" si="37"/>
        <v>0</v>
      </c>
      <c r="Q169" s="2">
        <f t="shared" si="38"/>
        <v>1</v>
      </c>
      <c r="R169" t="str">
        <f>_xlfn.XLOOKUP(B169,Product_Line_Map!$A$2:$A$6,Product_Line_Map!$B$2:$B$6,"")</f>
        <v>L03</v>
      </c>
      <c r="S169" s="24">
        <f t="shared" si="39"/>
        <v>2.0202304737516004</v>
      </c>
      <c r="T169" t="str">
        <f t="shared" si="40"/>
        <v>OK</v>
      </c>
    </row>
    <row r="170" spans="1:20">
      <c r="A170" s="1">
        <f>Weekly_Product_Demand!A170</f>
        <v>46258</v>
      </c>
      <c r="B170" t="str">
        <f>Weekly_Product_Demand!B170</f>
        <v>P004</v>
      </c>
      <c r="C170">
        <f t="shared" si="42"/>
        <v>3232</v>
      </c>
      <c r="D170">
        <f>0</f>
        <v>0</v>
      </c>
      <c r="E170">
        <f t="shared" si="41"/>
        <v>3232</v>
      </c>
      <c r="F170">
        <f>SUMIFS(Weekly_Product_Demand!$D:$D,Weekly_Product_Demand!$A:$A,A170,Weekly_Product_Demand!$B:$B,B170)</f>
        <v>12530</v>
      </c>
      <c r="G170">
        <f t="shared" si="29"/>
        <v>3580</v>
      </c>
      <c r="H170">
        <f t="shared" si="30"/>
        <v>12878</v>
      </c>
      <c r="I170">
        <f t="shared" si="31"/>
        <v>12900</v>
      </c>
      <c r="J170">
        <f t="shared" si="32"/>
        <v>3602</v>
      </c>
      <c r="K170">
        <v>0.99</v>
      </c>
      <c r="L170">
        <f t="shared" si="33"/>
        <v>12771</v>
      </c>
      <c r="M170">
        <f t="shared" si="34"/>
        <v>3473</v>
      </c>
      <c r="N170">
        <f t="shared" si="35"/>
        <v>0</v>
      </c>
      <c r="O170">
        <f t="shared" si="36"/>
        <v>3473</v>
      </c>
      <c r="P170">
        <f t="shared" si="37"/>
        <v>-129</v>
      </c>
      <c r="Q170" s="2">
        <f t="shared" si="38"/>
        <v>0.99</v>
      </c>
      <c r="R170" t="str">
        <f>_xlfn.XLOOKUP(B170,Product_Line_Map!$A$2:$A$6,Product_Line_Map!$B$2:$B$6,"")</f>
        <v>L02</v>
      </c>
      <c r="S170" s="24">
        <f t="shared" si="39"/>
        <v>1.9402234636871509</v>
      </c>
      <c r="T170" t="str">
        <f t="shared" si="40"/>
        <v>LOW COVER</v>
      </c>
    </row>
    <row r="171" spans="1:20">
      <c r="A171" s="1">
        <f>Weekly_Product_Demand!A171</f>
        <v>46258</v>
      </c>
      <c r="B171" t="str">
        <f>Weekly_Product_Demand!B171</f>
        <v>P005</v>
      </c>
      <c r="C171">
        <f t="shared" si="42"/>
        <v>2678</v>
      </c>
      <c r="D171">
        <f>0</f>
        <v>0</v>
      </c>
      <c r="E171">
        <f t="shared" si="41"/>
        <v>2678</v>
      </c>
      <c r="F171">
        <f>SUMIFS(Weekly_Product_Demand!$D:$D,Weekly_Product_Demand!$A:$A,A171,Weekly_Product_Demand!$B:$B,B171)</f>
        <v>9763</v>
      </c>
      <c r="G171">
        <f t="shared" si="29"/>
        <v>2789</v>
      </c>
      <c r="H171">
        <f t="shared" si="30"/>
        <v>9874</v>
      </c>
      <c r="I171">
        <f t="shared" si="31"/>
        <v>9900</v>
      </c>
      <c r="J171">
        <f t="shared" si="32"/>
        <v>2815</v>
      </c>
      <c r="K171">
        <v>1</v>
      </c>
      <c r="L171">
        <f t="shared" si="33"/>
        <v>9900</v>
      </c>
      <c r="M171">
        <f t="shared" si="34"/>
        <v>2815</v>
      </c>
      <c r="N171">
        <f t="shared" si="35"/>
        <v>0</v>
      </c>
      <c r="O171">
        <f t="shared" si="36"/>
        <v>2815</v>
      </c>
      <c r="P171">
        <f t="shared" si="37"/>
        <v>0</v>
      </c>
      <c r="Q171" s="2">
        <f t="shared" si="38"/>
        <v>1</v>
      </c>
      <c r="R171" t="str">
        <f>_xlfn.XLOOKUP(B171,Product_Line_Map!$A$2:$A$6,Product_Line_Map!$B$2:$B$6,"")</f>
        <v>L03</v>
      </c>
      <c r="S171" s="24">
        <f t="shared" si="39"/>
        <v>2.0183345283212129</v>
      </c>
      <c r="T171" t="str">
        <f t="shared" si="40"/>
        <v>OK</v>
      </c>
    </row>
    <row r="172" spans="1:20">
      <c r="A172" s="1">
        <f>Weekly_Product_Demand!A172</f>
        <v>46265</v>
      </c>
      <c r="B172" t="str">
        <f>Weekly_Product_Demand!B172</f>
        <v>P001</v>
      </c>
      <c r="C172">
        <f t="shared" si="42"/>
        <v>4450</v>
      </c>
      <c r="D172">
        <f>0</f>
        <v>0</v>
      </c>
      <c r="E172">
        <f t="shared" si="41"/>
        <v>4450</v>
      </c>
      <c r="F172">
        <f>SUMIFS(Weekly_Product_Demand!$D:$D,Weekly_Product_Demand!$A:$A,A172,Weekly_Product_Demand!$B:$B,B172)</f>
        <v>15499</v>
      </c>
      <c r="G172">
        <f t="shared" si="29"/>
        <v>4428</v>
      </c>
      <c r="H172">
        <f t="shared" si="30"/>
        <v>15477</v>
      </c>
      <c r="I172">
        <f t="shared" si="31"/>
        <v>15500</v>
      </c>
      <c r="J172">
        <f t="shared" si="32"/>
        <v>4451</v>
      </c>
      <c r="K172">
        <v>0.97</v>
      </c>
      <c r="L172">
        <f t="shared" si="33"/>
        <v>15035</v>
      </c>
      <c r="M172">
        <f t="shared" si="34"/>
        <v>3986</v>
      </c>
      <c r="N172">
        <f t="shared" si="35"/>
        <v>0</v>
      </c>
      <c r="O172">
        <f t="shared" si="36"/>
        <v>3986</v>
      </c>
      <c r="P172">
        <f t="shared" si="37"/>
        <v>-465</v>
      </c>
      <c r="Q172" s="2">
        <f t="shared" si="38"/>
        <v>0.97</v>
      </c>
      <c r="R172" t="str">
        <f>_xlfn.XLOOKUP(B172,Product_Line_Map!$A$2:$A$6,Product_Line_Map!$B$2:$B$6,"")</f>
        <v>L01</v>
      </c>
      <c r="S172" s="24">
        <f t="shared" si="39"/>
        <v>1.8002451771082004</v>
      </c>
      <c r="T172" t="str">
        <f t="shared" si="40"/>
        <v>LOW COVER</v>
      </c>
    </row>
    <row r="173" spans="1:20">
      <c r="A173" s="1">
        <f>Weekly_Product_Demand!A173</f>
        <v>46265</v>
      </c>
      <c r="B173" t="str">
        <f>Weekly_Product_Demand!B173</f>
        <v>P002</v>
      </c>
      <c r="C173">
        <f t="shared" si="42"/>
        <v>3712</v>
      </c>
      <c r="D173">
        <f>0</f>
        <v>0</v>
      </c>
      <c r="E173">
        <f t="shared" si="41"/>
        <v>3712</v>
      </c>
      <c r="F173">
        <f>SUMIFS(Weekly_Product_Demand!$D:$D,Weekly_Product_Demand!$A:$A,A173,Weekly_Product_Demand!$B:$B,B173)</f>
        <v>13335</v>
      </c>
      <c r="G173">
        <f t="shared" si="29"/>
        <v>3810</v>
      </c>
      <c r="H173">
        <f t="shared" si="30"/>
        <v>13433</v>
      </c>
      <c r="I173">
        <f t="shared" si="31"/>
        <v>13500</v>
      </c>
      <c r="J173">
        <f t="shared" si="32"/>
        <v>3877</v>
      </c>
      <c r="K173">
        <v>0.98</v>
      </c>
      <c r="L173">
        <f t="shared" si="33"/>
        <v>13230</v>
      </c>
      <c r="M173">
        <f t="shared" si="34"/>
        <v>3607</v>
      </c>
      <c r="N173">
        <f t="shared" si="35"/>
        <v>0</v>
      </c>
      <c r="O173">
        <f t="shared" si="36"/>
        <v>3607</v>
      </c>
      <c r="P173">
        <f t="shared" si="37"/>
        <v>-270</v>
      </c>
      <c r="Q173" s="2">
        <f t="shared" si="38"/>
        <v>0.98</v>
      </c>
      <c r="R173" t="str">
        <f>_xlfn.XLOOKUP(B173,Product_Line_Map!$A$2:$A$6,Product_Line_Map!$B$2:$B$6,"")</f>
        <v>L02</v>
      </c>
      <c r="S173" s="24">
        <f t="shared" si="39"/>
        <v>1.8934383202099738</v>
      </c>
      <c r="T173" t="str">
        <f t="shared" si="40"/>
        <v>LOW COVER</v>
      </c>
    </row>
    <row r="174" spans="1:20">
      <c r="A174" s="1">
        <f>Weekly_Product_Demand!A174</f>
        <v>46265</v>
      </c>
      <c r="B174" t="str">
        <f>Weekly_Product_Demand!B174</f>
        <v>P003</v>
      </c>
      <c r="C174">
        <f t="shared" si="42"/>
        <v>3381</v>
      </c>
      <c r="D174">
        <f>0</f>
        <v>0</v>
      </c>
      <c r="E174">
        <f t="shared" si="41"/>
        <v>3381</v>
      </c>
      <c r="F174">
        <f>SUMIFS(Weekly_Product_Demand!$D:$D,Weekly_Product_Demand!$A:$A,A174,Weekly_Product_Demand!$B:$B,B174)</f>
        <v>11676</v>
      </c>
      <c r="G174">
        <f t="shared" si="29"/>
        <v>3336</v>
      </c>
      <c r="H174">
        <f t="shared" si="30"/>
        <v>11631</v>
      </c>
      <c r="I174">
        <f t="shared" si="31"/>
        <v>11700</v>
      </c>
      <c r="J174">
        <f t="shared" si="32"/>
        <v>3405</v>
      </c>
      <c r="K174">
        <v>1.02</v>
      </c>
      <c r="L174">
        <f t="shared" si="33"/>
        <v>11934</v>
      </c>
      <c r="M174">
        <f t="shared" si="34"/>
        <v>3639</v>
      </c>
      <c r="N174">
        <f t="shared" si="35"/>
        <v>0</v>
      </c>
      <c r="O174">
        <f t="shared" si="36"/>
        <v>3639</v>
      </c>
      <c r="P174">
        <f t="shared" si="37"/>
        <v>234</v>
      </c>
      <c r="Q174" s="2">
        <f t="shared" si="38"/>
        <v>1.02</v>
      </c>
      <c r="R174" t="str">
        <f>_xlfn.XLOOKUP(B174,Product_Line_Map!$A$2:$A$6,Product_Line_Map!$B$2:$B$6,"")</f>
        <v>L03</v>
      </c>
      <c r="S174" s="24">
        <f t="shared" si="39"/>
        <v>2.1816546762589928</v>
      </c>
      <c r="T174" t="str">
        <f t="shared" si="40"/>
        <v>OK</v>
      </c>
    </row>
    <row r="175" spans="1:20">
      <c r="A175" s="1">
        <f>Weekly_Product_Demand!A175</f>
        <v>46265</v>
      </c>
      <c r="B175" t="str">
        <f>Weekly_Product_Demand!B175</f>
        <v>P004</v>
      </c>
      <c r="C175">
        <f t="shared" si="42"/>
        <v>3473</v>
      </c>
      <c r="D175">
        <f>0</f>
        <v>0</v>
      </c>
      <c r="E175">
        <f t="shared" si="41"/>
        <v>3473</v>
      </c>
      <c r="F175">
        <f>SUMIFS(Weekly_Product_Demand!$D:$D,Weekly_Product_Demand!$A:$A,A175,Weekly_Product_Demand!$B:$B,B175)</f>
        <v>12732</v>
      </c>
      <c r="G175">
        <f t="shared" si="29"/>
        <v>3638</v>
      </c>
      <c r="H175">
        <f t="shared" si="30"/>
        <v>12897</v>
      </c>
      <c r="I175">
        <f t="shared" si="31"/>
        <v>12900</v>
      </c>
      <c r="J175">
        <f t="shared" si="32"/>
        <v>3641</v>
      </c>
      <c r="K175">
        <v>0.99</v>
      </c>
      <c r="L175">
        <f t="shared" si="33"/>
        <v>12771</v>
      </c>
      <c r="M175">
        <f t="shared" si="34"/>
        <v>3512</v>
      </c>
      <c r="N175">
        <f t="shared" si="35"/>
        <v>0</v>
      </c>
      <c r="O175">
        <f t="shared" si="36"/>
        <v>3512</v>
      </c>
      <c r="P175">
        <f t="shared" si="37"/>
        <v>-129</v>
      </c>
      <c r="Q175" s="2">
        <f t="shared" si="38"/>
        <v>0.99</v>
      </c>
      <c r="R175" t="str">
        <f>_xlfn.XLOOKUP(B175,Product_Line_Map!$A$2:$A$6,Product_Line_Map!$B$2:$B$6,"")</f>
        <v>L02</v>
      </c>
      <c r="S175" s="24">
        <f t="shared" si="39"/>
        <v>1.9308828149544455</v>
      </c>
      <c r="T175" t="str">
        <f t="shared" si="40"/>
        <v>LOW COVER</v>
      </c>
    </row>
    <row r="176" spans="1:20">
      <c r="A176" s="1">
        <f>Weekly_Product_Demand!A176</f>
        <v>46265</v>
      </c>
      <c r="B176" t="str">
        <f>Weekly_Product_Demand!B176</f>
        <v>P005</v>
      </c>
      <c r="C176">
        <f t="shared" si="42"/>
        <v>2815</v>
      </c>
      <c r="D176">
        <f>0</f>
        <v>0</v>
      </c>
      <c r="E176">
        <f t="shared" si="41"/>
        <v>2815</v>
      </c>
      <c r="F176">
        <f>SUMIFS(Weekly_Product_Demand!$D:$D,Weekly_Product_Demand!$A:$A,A176,Weekly_Product_Demand!$B:$B,B176)</f>
        <v>9655</v>
      </c>
      <c r="G176">
        <f t="shared" si="29"/>
        <v>2759</v>
      </c>
      <c r="H176">
        <f t="shared" si="30"/>
        <v>9599</v>
      </c>
      <c r="I176">
        <f t="shared" si="31"/>
        <v>9600</v>
      </c>
      <c r="J176">
        <f t="shared" si="32"/>
        <v>2760</v>
      </c>
      <c r="K176">
        <v>1</v>
      </c>
      <c r="L176">
        <f t="shared" si="33"/>
        <v>9600</v>
      </c>
      <c r="M176">
        <f t="shared" si="34"/>
        <v>2760</v>
      </c>
      <c r="N176">
        <f t="shared" si="35"/>
        <v>0</v>
      </c>
      <c r="O176">
        <f t="shared" si="36"/>
        <v>2760</v>
      </c>
      <c r="P176">
        <f t="shared" si="37"/>
        <v>0</v>
      </c>
      <c r="Q176" s="2">
        <f t="shared" si="38"/>
        <v>1</v>
      </c>
      <c r="R176" t="str">
        <f>_xlfn.XLOOKUP(B176,Product_Line_Map!$A$2:$A$6,Product_Line_Map!$B$2:$B$6,"")</f>
        <v>L03</v>
      </c>
      <c r="S176" s="24">
        <f t="shared" si="39"/>
        <v>2.0010357327809425</v>
      </c>
      <c r="T176" t="str">
        <f t="shared" si="40"/>
        <v>OK</v>
      </c>
    </row>
    <row r="177" spans="1:20">
      <c r="A177" s="1">
        <f>Weekly_Product_Demand!A177</f>
        <v>46272</v>
      </c>
      <c r="B177" t="str">
        <f>Weekly_Product_Demand!B177</f>
        <v>P001</v>
      </c>
      <c r="C177">
        <f t="shared" si="42"/>
        <v>3986</v>
      </c>
      <c r="D177">
        <f>0</f>
        <v>0</v>
      </c>
      <c r="E177">
        <f t="shared" si="41"/>
        <v>3986</v>
      </c>
      <c r="F177">
        <f>SUMIFS(Weekly_Product_Demand!$D:$D,Weekly_Product_Demand!$A:$A,A177,Weekly_Product_Demand!$B:$B,B177)</f>
        <v>14579</v>
      </c>
      <c r="G177">
        <f t="shared" si="29"/>
        <v>4165</v>
      </c>
      <c r="H177">
        <f t="shared" si="30"/>
        <v>14758</v>
      </c>
      <c r="I177">
        <f t="shared" si="31"/>
        <v>14800</v>
      </c>
      <c r="J177">
        <f t="shared" si="32"/>
        <v>4207</v>
      </c>
      <c r="K177">
        <v>0.98</v>
      </c>
      <c r="L177">
        <f t="shared" si="33"/>
        <v>14504</v>
      </c>
      <c r="M177">
        <f t="shared" si="34"/>
        <v>3911</v>
      </c>
      <c r="N177">
        <f t="shared" si="35"/>
        <v>0</v>
      </c>
      <c r="O177">
        <f t="shared" si="36"/>
        <v>3911</v>
      </c>
      <c r="P177">
        <f t="shared" si="37"/>
        <v>-296</v>
      </c>
      <c r="Q177" s="2">
        <f t="shared" si="38"/>
        <v>0.98</v>
      </c>
      <c r="R177" t="str">
        <f>_xlfn.XLOOKUP(B177,Product_Line_Map!$A$2:$A$6,Product_Line_Map!$B$2:$B$6,"")</f>
        <v>L01</v>
      </c>
      <c r="S177" s="24">
        <f t="shared" si="39"/>
        <v>1.8778379861444543</v>
      </c>
      <c r="T177" t="str">
        <f t="shared" si="40"/>
        <v>LOW COVER</v>
      </c>
    </row>
    <row r="178" spans="1:20">
      <c r="A178" s="1">
        <f>Weekly_Product_Demand!A178</f>
        <v>46272</v>
      </c>
      <c r="B178" t="str">
        <f>Weekly_Product_Demand!B178</f>
        <v>P002</v>
      </c>
      <c r="C178">
        <f t="shared" si="42"/>
        <v>3607</v>
      </c>
      <c r="D178">
        <f>0</f>
        <v>0</v>
      </c>
      <c r="E178">
        <f t="shared" si="41"/>
        <v>3607</v>
      </c>
      <c r="F178">
        <f>SUMIFS(Weekly_Product_Demand!$D:$D,Weekly_Product_Demand!$A:$A,A178,Weekly_Product_Demand!$B:$B,B178)</f>
        <v>12338</v>
      </c>
      <c r="G178">
        <f t="shared" si="29"/>
        <v>3525</v>
      </c>
      <c r="H178">
        <f t="shared" si="30"/>
        <v>12256</v>
      </c>
      <c r="I178">
        <f t="shared" si="31"/>
        <v>12300</v>
      </c>
      <c r="J178">
        <f t="shared" si="32"/>
        <v>3569</v>
      </c>
      <c r="K178">
        <v>1</v>
      </c>
      <c r="L178">
        <f t="shared" si="33"/>
        <v>12300</v>
      </c>
      <c r="M178">
        <f t="shared" si="34"/>
        <v>3569</v>
      </c>
      <c r="N178">
        <f t="shared" si="35"/>
        <v>0</v>
      </c>
      <c r="O178">
        <f t="shared" si="36"/>
        <v>3569</v>
      </c>
      <c r="P178">
        <f t="shared" si="37"/>
        <v>0</v>
      </c>
      <c r="Q178" s="2">
        <f t="shared" si="38"/>
        <v>1</v>
      </c>
      <c r="R178" t="str">
        <f>_xlfn.XLOOKUP(B178,Product_Line_Map!$A$2:$A$6,Product_Line_Map!$B$2:$B$6,"")</f>
        <v>L02</v>
      </c>
      <c r="S178" s="24">
        <f t="shared" si="39"/>
        <v>2.0248824769006322</v>
      </c>
      <c r="T178" t="str">
        <f t="shared" si="40"/>
        <v>OK</v>
      </c>
    </row>
    <row r="179" spans="1:20">
      <c r="A179" s="1">
        <f>Weekly_Product_Demand!A179</f>
        <v>46272</v>
      </c>
      <c r="B179" t="str">
        <f>Weekly_Product_Demand!B179</f>
        <v>P003</v>
      </c>
      <c r="C179">
        <f t="shared" si="42"/>
        <v>3639</v>
      </c>
      <c r="D179">
        <f>0</f>
        <v>0</v>
      </c>
      <c r="E179">
        <f t="shared" si="41"/>
        <v>3639</v>
      </c>
      <c r="F179">
        <f>SUMIFS(Weekly_Product_Demand!$D:$D,Weekly_Product_Demand!$A:$A,A179,Weekly_Product_Demand!$B:$B,B179)</f>
        <v>10890</v>
      </c>
      <c r="G179">
        <f t="shared" si="29"/>
        <v>3111</v>
      </c>
      <c r="H179">
        <f t="shared" si="30"/>
        <v>10362</v>
      </c>
      <c r="I179">
        <f t="shared" si="31"/>
        <v>10400</v>
      </c>
      <c r="J179">
        <f t="shared" si="32"/>
        <v>3149</v>
      </c>
      <c r="K179">
        <v>0.97</v>
      </c>
      <c r="L179">
        <f t="shared" si="33"/>
        <v>10088</v>
      </c>
      <c r="M179">
        <f t="shared" si="34"/>
        <v>2837</v>
      </c>
      <c r="N179">
        <f t="shared" si="35"/>
        <v>0</v>
      </c>
      <c r="O179">
        <f t="shared" si="36"/>
        <v>2837</v>
      </c>
      <c r="P179">
        <f t="shared" si="37"/>
        <v>-312</v>
      </c>
      <c r="Q179" s="2">
        <f t="shared" si="38"/>
        <v>0.97</v>
      </c>
      <c r="R179" t="str">
        <f>_xlfn.XLOOKUP(B179,Product_Line_Map!$A$2:$A$6,Product_Line_Map!$B$2:$B$6,"")</f>
        <v>L03</v>
      </c>
      <c r="S179" s="24">
        <f t="shared" si="39"/>
        <v>1.8235996326905417</v>
      </c>
      <c r="T179" t="str">
        <f t="shared" si="40"/>
        <v>LOW COVER</v>
      </c>
    </row>
    <row r="180" spans="1:20">
      <c r="A180" s="1">
        <f>Weekly_Product_Demand!A180</f>
        <v>46272</v>
      </c>
      <c r="B180" t="str">
        <f>Weekly_Product_Demand!B180</f>
        <v>P004</v>
      </c>
      <c r="C180">
        <f t="shared" si="42"/>
        <v>3512</v>
      </c>
      <c r="D180">
        <f>0</f>
        <v>0</v>
      </c>
      <c r="E180">
        <f t="shared" si="41"/>
        <v>3512</v>
      </c>
      <c r="F180">
        <f>SUMIFS(Weekly_Product_Demand!$D:$D,Weekly_Product_Demand!$A:$A,A180,Weekly_Product_Demand!$B:$B,B180)</f>
        <v>11561</v>
      </c>
      <c r="G180">
        <f t="shared" si="29"/>
        <v>3303</v>
      </c>
      <c r="H180">
        <f t="shared" si="30"/>
        <v>11352</v>
      </c>
      <c r="I180">
        <f t="shared" si="31"/>
        <v>11400</v>
      </c>
      <c r="J180">
        <f t="shared" si="32"/>
        <v>3351</v>
      </c>
      <c r="K180">
        <v>0.99</v>
      </c>
      <c r="L180">
        <f t="shared" si="33"/>
        <v>11286</v>
      </c>
      <c r="M180">
        <f t="shared" si="34"/>
        <v>3237</v>
      </c>
      <c r="N180">
        <f t="shared" si="35"/>
        <v>0</v>
      </c>
      <c r="O180">
        <f t="shared" si="36"/>
        <v>3237</v>
      </c>
      <c r="P180">
        <f t="shared" si="37"/>
        <v>-114</v>
      </c>
      <c r="Q180" s="2">
        <f t="shared" si="38"/>
        <v>0.99</v>
      </c>
      <c r="R180" t="str">
        <f>_xlfn.XLOOKUP(B180,Product_Line_Map!$A$2:$A$6,Product_Line_Map!$B$2:$B$6,"")</f>
        <v>L02</v>
      </c>
      <c r="S180" s="24">
        <f t="shared" si="39"/>
        <v>1.9599515612836258</v>
      </c>
      <c r="T180" t="str">
        <f t="shared" si="40"/>
        <v>LOW COVER</v>
      </c>
    </row>
    <row r="181" spans="1:20">
      <c r="A181" s="1">
        <f>Weekly_Product_Demand!A181</f>
        <v>46272</v>
      </c>
      <c r="B181" t="str">
        <f>Weekly_Product_Demand!B181</f>
        <v>P005</v>
      </c>
      <c r="C181">
        <f t="shared" si="42"/>
        <v>2760</v>
      </c>
      <c r="D181">
        <f>0</f>
        <v>0</v>
      </c>
      <c r="E181">
        <f t="shared" si="41"/>
        <v>2760</v>
      </c>
      <c r="F181">
        <f>SUMIFS(Weekly_Product_Demand!$D:$D,Weekly_Product_Demand!$A:$A,A181,Weekly_Product_Demand!$B:$B,B181)</f>
        <v>8743</v>
      </c>
      <c r="G181">
        <f t="shared" si="29"/>
        <v>2498</v>
      </c>
      <c r="H181">
        <f t="shared" si="30"/>
        <v>8481</v>
      </c>
      <c r="I181">
        <f t="shared" si="31"/>
        <v>8500</v>
      </c>
      <c r="J181">
        <f t="shared" si="32"/>
        <v>2517</v>
      </c>
      <c r="K181">
        <v>1.01</v>
      </c>
      <c r="L181">
        <f t="shared" si="33"/>
        <v>8585</v>
      </c>
      <c r="M181">
        <f t="shared" si="34"/>
        <v>2602</v>
      </c>
      <c r="N181">
        <f t="shared" si="35"/>
        <v>0</v>
      </c>
      <c r="O181">
        <f t="shared" si="36"/>
        <v>2602</v>
      </c>
      <c r="P181">
        <f t="shared" si="37"/>
        <v>85</v>
      </c>
      <c r="Q181" s="2">
        <f t="shared" si="38"/>
        <v>1.01</v>
      </c>
      <c r="R181" t="str">
        <f>_xlfn.XLOOKUP(B181,Product_Line_Map!$A$2:$A$6,Product_Line_Map!$B$2:$B$6,"")</f>
        <v>L03</v>
      </c>
      <c r="S181" s="24">
        <f t="shared" si="39"/>
        <v>2.0832666132906326</v>
      </c>
      <c r="T181" t="str">
        <f t="shared" si="40"/>
        <v>OK</v>
      </c>
    </row>
    <row r="182" spans="1:20">
      <c r="A182" s="1">
        <f>Weekly_Product_Demand!A182</f>
        <v>46279</v>
      </c>
      <c r="B182" t="str">
        <f>Weekly_Product_Demand!B182</f>
        <v>P001</v>
      </c>
      <c r="C182">
        <f t="shared" si="42"/>
        <v>3911</v>
      </c>
      <c r="D182">
        <f>0</f>
        <v>0</v>
      </c>
      <c r="E182">
        <f t="shared" si="41"/>
        <v>3911</v>
      </c>
      <c r="F182">
        <f>SUMIFS(Weekly_Product_Demand!$D:$D,Weekly_Product_Demand!$A:$A,A182,Weekly_Product_Demand!$B:$B,B182)</f>
        <v>13959</v>
      </c>
      <c r="G182">
        <f t="shared" si="29"/>
        <v>3988</v>
      </c>
      <c r="H182">
        <f t="shared" si="30"/>
        <v>14036</v>
      </c>
      <c r="I182">
        <f t="shared" si="31"/>
        <v>14100</v>
      </c>
      <c r="J182">
        <f t="shared" si="32"/>
        <v>4052</v>
      </c>
      <c r="K182">
        <v>0.99</v>
      </c>
      <c r="L182">
        <f t="shared" si="33"/>
        <v>13959</v>
      </c>
      <c r="M182">
        <f t="shared" si="34"/>
        <v>3911</v>
      </c>
      <c r="N182">
        <f t="shared" si="35"/>
        <v>0</v>
      </c>
      <c r="O182">
        <f t="shared" si="36"/>
        <v>3911</v>
      </c>
      <c r="P182">
        <f t="shared" si="37"/>
        <v>-141</v>
      </c>
      <c r="Q182" s="2">
        <f t="shared" si="38"/>
        <v>0.99</v>
      </c>
      <c r="R182" t="str">
        <f>_xlfn.XLOOKUP(B182,Product_Line_Map!$A$2:$A$6,Product_Line_Map!$B$2:$B$6,"")</f>
        <v>L01</v>
      </c>
      <c r="S182" s="24">
        <f t="shared" si="39"/>
        <v>1.9612436420947059</v>
      </c>
      <c r="T182" t="str">
        <f t="shared" si="40"/>
        <v>LOW COVER</v>
      </c>
    </row>
    <row r="183" spans="1:20">
      <c r="A183" s="1">
        <f>Weekly_Product_Demand!A183</f>
        <v>46279</v>
      </c>
      <c r="B183" t="str">
        <f>Weekly_Product_Demand!B183</f>
        <v>P002</v>
      </c>
      <c r="C183">
        <f t="shared" si="42"/>
        <v>3569</v>
      </c>
      <c r="D183">
        <f>0</f>
        <v>0</v>
      </c>
      <c r="E183">
        <f t="shared" si="41"/>
        <v>3569</v>
      </c>
      <c r="F183">
        <f>SUMIFS(Weekly_Product_Demand!$D:$D,Weekly_Product_Demand!$A:$A,A183,Weekly_Product_Demand!$B:$B,B183)</f>
        <v>12544</v>
      </c>
      <c r="G183">
        <f t="shared" si="29"/>
        <v>3584</v>
      </c>
      <c r="H183">
        <f t="shared" si="30"/>
        <v>12559</v>
      </c>
      <c r="I183">
        <f t="shared" si="31"/>
        <v>12600</v>
      </c>
      <c r="J183">
        <f t="shared" si="32"/>
        <v>3625</v>
      </c>
      <c r="K183">
        <v>0.97</v>
      </c>
      <c r="L183">
        <f t="shared" si="33"/>
        <v>12222</v>
      </c>
      <c r="M183">
        <f t="shared" si="34"/>
        <v>3247</v>
      </c>
      <c r="N183">
        <f t="shared" si="35"/>
        <v>0</v>
      </c>
      <c r="O183">
        <f t="shared" si="36"/>
        <v>3247</v>
      </c>
      <c r="P183">
        <f t="shared" si="37"/>
        <v>-378</v>
      </c>
      <c r="Q183" s="2">
        <f t="shared" si="38"/>
        <v>0.97</v>
      </c>
      <c r="R183" t="str">
        <f>_xlfn.XLOOKUP(B183,Product_Line_Map!$A$2:$A$6,Product_Line_Map!$B$2:$B$6,"")</f>
        <v>L02</v>
      </c>
      <c r="S183" s="24">
        <f t="shared" si="39"/>
        <v>1.8119419642857142</v>
      </c>
      <c r="T183" t="str">
        <f t="shared" si="40"/>
        <v>LOW COVER</v>
      </c>
    </row>
    <row r="184" spans="1:20">
      <c r="A184" s="1">
        <f>Weekly_Product_Demand!A184</f>
        <v>46279</v>
      </c>
      <c r="B184" t="str">
        <f>Weekly_Product_Demand!B184</f>
        <v>P003</v>
      </c>
      <c r="C184">
        <f t="shared" si="42"/>
        <v>2837</v>
      </c>
      <c r="D184">
        <f>0</f>
        <v>0</v>
      </c>
      <c r="E184">
        <f t="shared" si="41"/>
        <v>2837</v>
      </c>
      <c r="F184">
        <f>SUMIFS(Weekly_Product_Demand!$D:$D,Weekly_Product_Demand!$A:$A,A184,Weekly_Product_Demand!$B:$B,B184)</f>
        <v>10792</v>
      </c>
      <c r="G184">
        <f t="shared" si="29"/>
        <v>3083</v>
      </c>
      <c r="H184">
        <f t="shared" si="30"/>
        <v>11038</v>
      </c>
      <c r="I184">
        <f t="shared" si="31"/>
        <v>11100</v>
      </c>
      <c r="J184">
        <f t="shared" si="32"/>
        <v>3145</v>
      </c>
      <c r="K184">
        <v>0.98</v>
      </c>
      <c r="L184">
        <f t="shared" si="33"/>
        <v>10878</v>
      </c>
      <c r="M184">
        <f t="shared" si="34"/>
        <v>2923</v>
      </c>
      <c r="N184">
        <f t="shared" si="35"/>
        <v>0</v>
      </c>
      <c r="O184">
        <f t="shared" si="36"/>
        <v>2923</v>
      </c>
      <c r="P184">
        <f t="shared" si="37"/>
        <v>-222</v>
      </c>
      <c r="Q184" s="2">
        <f t="shared" si="38"/>
        <v>0.98</v>
      </c>
      <c r="R184" t="str">
        <f>_xlfn.XLOOKUP(B184,Product_Line_Map!$A$2:$A$6,Product_Line_Map!$B$2:$B$6,"")</f>
        <v>L03</v>
      </c>
      <c r="S184" s="24">
        <f t="shared" si="39"/>
        <v>1.8959414381022979</v>
      </c>
      <c r="T184" t="str">
        <f t="shared" si="40"/>
        <v>LOW COVER</v>
      </c>
    </row>
    <row r="185" spans="1:20">
      <c r="A185" s="1">
        <f>Weekly_Product_Demand!A185</f>
        <v>46279</v>
      </c>
      <c r="B185" t="str">
        <f>Weekly_Product_Demand!B185</f>
        <v>P004</v>
      </c>
      <c r="C185">
        <f t="shared" si="42"/>
        <v>3237</v>
      </c>
      <c r="D185">
        <f>0</f>
        <v>0</v>
      </c>
      <c r="E185">
        <f t="shared" si="41"/>
        <v>3237</v>
      </c>
      <c r="F185">
        <f>SUMIFS(Weekly_Product_Demand!$D:$D,Weekly_Product_Demand!$A:$A,A185,Weekly_Product_Demand!$B:$B,B185)</f>
        <v>11178</v>
      </c>
      <c r="G185">
        <f t="shared" si="29"/>
        <v>3194</v>
      </c>
      <c r="H185">
        <f t="shared" si="30"/>
        <v>11135</v>
      </c>
      <c r="I185">
        <f t="shared" si="31"/>
        <v>11200</v>
      </c>
      <c r="J185">
        <f t="shared" si="32"/>
        <v>3259</v>
      </c>
      <c r="K185">
        <v>1.02</v>
      </c>
      <c r="L185">
        <f t="shared" si="33"/>
        <v>11424</v>
      </c>
      <c r="M185">
        <f t="shared" si="34"/>
        <v>3483</v>
      </c>
      <c r="N185">
        <f t="shared" si="35"/>
        <v>0</v>
      </c>
      <c r="O185">
        <f t="shared" si="36"/>
        <v>3483</v>
      </c>
      <c r="P185">
        <f t="shared" si="37"/>
        <v>224</v>
      </c>
      <c r="Q185" s="2">
        <f t="shared" si="38"/>
        <v>1.02</v>
      </c>
      <c r="R185" t="str">
        <f>_xlfn.XLOOKUP(B185,Product_Line_Map!$A$2:$A$6,Product_Line_Map!$B$2:$B$6,"")</f>
        <v>L02</v>
      </c>
      <c r="S185" s="24">
        <f t="shared" si="39"/>
        <v>2.181159420289855</v>
      </c>
      <c r="T185" t="str">
        <f t="shared" si="40"/>
        <v>OK</v>
      </c>
    </row>
    <row r="186" spans="1:20">
      <c r="A186" s="1">
        <f>Weekly_Product_Demand!A186</f>
        <v>46279</v>
      </c>
      <c r="B186" t="str">
        <f>Weekly_Product_Demand!B186</f>
        <v>P005</v>
      </c>
      <c r="C186">
        <f t="shared" si="42"/>
        <v>2602</v>
      </c>
      <c r="D186">
        <f>0</f>
        <v>0</v>
      </c>
      <c r="E186">
        <f t="shared" si="41"/>
        <v>2602</v>
      </c>
      <c r="F186">
        <f>SUMIFS(Weekly_Product_Demand!$D:$D,Weekly_Product_Demand!$A:$A,A186,Weekly_Product_Demand!$B:$B,B186)</f>
        <v>8631</v>
      </c>
      <c r="G186">
        <f t="shared" si="29"/>
        <v>2466</v>
      </c>
      <c r="H186">
        <f t="shared" si="30"/>
        <v>8495</v>
      </c>
      <c r="I186">
        <f t="shared" si="31"/>
        <v>8500</v>
      </c>
      <c r="J186">
        <f t="shared" si="32"/>
        <v>2471</v>
      </c>
      <c r="K186">
        <v>1</v>
      </c>
      <c r="L186">
        <f t="shared" si="33"/>
        <v>8500</v>
      </c>
      <c r="M186">
        <f t="shared" si="34"/>
        <v>2471</v>
      </c>
      <c r="N186">
        <f t="shared" si="35"/>
        <v>0</v>
      </c>
      <c r="O186">
        <f t="shared" si="36"/>
        <v>2471</v>
      </c>
      <c r="P186">
        <f t="shared" si="37"/>
        <v>0</v>
      </c>
      <c r="Q186" s="2">
        <f t="shared" si="38"/>
        <v>1</v>
      </c>
      <c r="R186" t="str">
        <f>_xlfn.XLOOKUP(B186,Product_Line_Map!$A$2:$A$6,Product_Line_Map!$B$2:$B$6,"")</f>
        <v>L03</v>
      </c>
      <c r="S186" s="24">
        <f t="shared" si="39"/>
        <v>2.0040551500405517</v>
      </c>
      <c r="T186" t="str">
        <f t="shared" si="40"/>
        <v>OK</v>
      </c>
    </row>
    <row r="187" spans="1:20">
      <c r="A187" s="1">
        <f>Weekly_Product_Demand!A187</f>
        <v>46286</v>
      </c>
      <c r="B187" t="str">
        <f>Weekly_Product_Demand!B187</f>
        <v>P001</v>
      </c>
      <c r="C187">
        <f t="shared" si="42"/>
        <v>3911</v>
      </c>
      <c r="D187">
        <f>0</f>
        <v>0</v>
      </c>
      <c r="E187">
        <f t="shared" si="41"/>
        <v>3911</v>
      </c>
      <c r="F187">
        <f>SUMIFS(Weekly_Product_Demand!$D:$D,Weekly_Product_Demand!$A:$A,A187,Weekly_Product_Demand!$B:$B,B187)</f>
        <v>14157</v>
      </c>
      <c r="G187">
        <f t="shared" si="29"/>
        <v>4045</v>
      </c>
      <c r="H187">
        <f t="shared" si="30"/>
        <v>14291</v>
      </c>
      <c r="I187">
        <f t="shared" si="31"/>
        <v>14300</v>
      </c>
      <c r="J187">
        <f t="shared" si="32"/>
        <v>4054</v>
      </c>
      <c r="K187">
        <v>0.99</v>
      </c>
      <c r="L187">
        <f t="shared" si="33"/>
        <v>14157</v>
      </c>
      <c r="M187">
        <f t="shared" si="34"/>
        <v>3911</v>
      </c>
      <c r="N187">
        <f t="shared" si="35"/>
        <v>0</v>
      </c>
      <c r="O187">
        <f t="shared" si="36"/>
        <v>3911</v>
      </c>
      <c r="P187">
        <f t="shared" si="37"/>
        <v>-143</v>
      </c>
      <c r="Q187" s="2">
        <f t="shared" si="38"/>
        <v>0.99</v>
      </c>
      <c r="R187" t="str">
        <f>_xlfn.XLOOKUP(B187,Product_Line_Map!$A$2:$A$6,Product_Line_Map!$B$2:$B$6,"")</f>
        <v>L01</v>
      </c>
      <c r="S187" s="24">
        <f t="shared" si="39"/>
        <v>1.9338136610863885</v>
      </c>
      <c r="T187" t="str">
        <f t="shared" si="40"/>
        <v>LOW COVER</v>
      </c>
    </row>
    <row r="188" spans="1:20">
      <c r="A188" s="1">
        <f>Weekly_Product_Demand!A188</f>
        <v>46286</v>
      </c>
      <c r="B188" t="str">
        <f>Weekly_Product_Demand!B188</f>
        <v>P002</v>
      </c>
      <c r="C188">
        <f t="shared" si="42"/>
        <v>3247</v>
      </c>
      <c r="D188">
        <f>0</f>
        <v>0</v>
      </c>
      <c r="E188">
        <f t="shared" si="41"/>
        <v>3247</v>
      </c>
      <c r="F188">
        <f>SUMIFS(Weekly_Product_Demand!$D:$D,Weekly_Product_Demand!$A:$A,A188,Weekly_Product_Demand!$B:$B,B188)</f>
        <v>12620</v>
      </c>
      <c r="G188">
        <f t="shared" si="29"/>
        <v>3606</v>
      </c>
      <c r="H188">
        <f t="shared" si="30"/>
        <v>12979</v>
      </c>
      <c r="I188">
        <f t="shared" si="31"/>
        <v>13000</v>
      </c>
      <c r="J188">
        <f t="shared" si="32"/>
        <v>3627</v>
      </c>
      <c r="K188">
        <v>1.01</v>
      </c>
      <c r="L188">
        <f t="shared" si="33"/>
        <v>13130</v>
      </c>
      <c r="M188">
        <f t="shared" si="34"/>
        <v>3757</v>
      </c>
      <c r="N188">
        <f t="shared" si="35"/>
        <v>0</v>
      </c>
      <c r="O188">
        <f t="shared" si="36"/>
        <v>3757</v>
      </c>
      <c r="P188">
        <f t="shared" si="37"/>
        <v>130</v>
      </c>
      <c r="Q188" s="2">
        <f t="shared" si="38"/>
        <v>1.01</v>
      </c>
      <c r="R188" t="str">
        <f>_xlfn.XLOOKUP(B188,Product_Line_Map!$A$2:$A$6,Product_Line_Map!$B$2:$B$6,"")</f>
        <v>L02</v>
      </c>
      <c r="S188" s="24">
        <f t="shared" si="39"/>
        <v>2.0839144215530903</v>
      </c>
      <c r="T188" t="str">
        <f t="shared" si="40"/>
        <v>OK</v>
      </c>
    </row>
    <row r="189" spans="1:20">
      <c r="A189" s="1">
        <f>Weekly_Product_Demand!A189</f>
        <v>46286</v>
      </c>
      <c r="B189" t="str">
        <f>Weekly_Product_Demand!B189</f>
        <v>P003</v>
      </c>
      <c r="C189">
        <f t="shared" si="42"/>
        <v>2923</v>
      </c>
      <c r="D189">
        <f>0</f>
        <v>0</v>
      </c>
      <c r="E189">
        <f t="shared" si="41"/>
        <v>2923</v>
      </c>
      <c r="F189">
        <f>SUMIFS(Weekly_Product_Demand!$D:$D,Weekly_Product_Demand!$A:$A,A189,Weekly_Product_Demand!$B:$B,B189)</f>
        <v>11152</v>
      </c>
      <c r="G189">
        <f t="shared" si="29"/>
        <v>3186</v>
      </c>
      <c r="H189">
        <f t="shared" si="30"/>
        <v>11415</v>
      </c>
      <c r="I189">
        <f t="shared" si="31"/>
        <v>11500</v>
      </c>
      <c r="J189">
        <f t="shared" si="32"/>
        <v>3271</v>
      </c>
      <c r="K189">
        <v>0.98</v>
      </c>
      <c r="L189">
        <f t="shared" si="33"/>
        <v>11270</v>
      </c>
      <c r="M189">
        <f t="shared" si="34"/>
        <v>3041</v>
      </c>
      <c r="N189">
        <f t="shared" si="35"/>
        <v>0</v>
      </c>
      <c r="O189">
        <f t="shared" si="36"/>
        <v>3041</v>
      </c>
      <c r="P189">
        <f t="shared" si="37"/>
        <v>-230</v>
      </c>
      <c r="Q189" s="2">
        <f t="shared" si="38"/>
        <v>0.98</v>
      </c>
      <c r="R189" t="str">
        <f>_xlfn.XLOOKUP(B189,Product_Line_Map!$A$2:$A$6,Product_Line_Map!$B$2:$B$6,"")</f>
        <v>L03</v>
      </c>
      <c r="S189" s="24">
        <f t="shared" si="39"/>
        <v>1.9088055954088954</v>
      </c>
      <c r="T189" t="str">
        <f t="shared" si="40"/>
        <v>LOW COVER</v>
      </c>
    </row>
    <row r="190" spans="1:20">
      <c r="A190" s="1">
        <f>Weekly_Product_Demand!A190</f>
        <v>46286</v>
      </c>
      <c r="B190" t="str">
        <f>Weekly_Product_Demand!B190</f>
        <v>P004</v>
      </c>
      <c r="C190">
        <f t="shared" si="42"/>
        <v>3483</v>
      </c>
      <c r="D190">
        <f>0</f>
        <v>0</v>
      </c>
      <c r="E190">
        <f t="shared" si="41"/>
        <v>3483</v>
      </c>
      <c r="F190">
        <f>SUMIFS(Weekly_Product_Demand!$D:$D,Weekly_Product_Demand!$A:$A,A190,Weekly_Product_Demand!$B:$B,B190)</f>
        <v>11704</v>
      </c>
      <c r="G190">
        <f t="shared" si="29"/>
        <v>3344</v>
      </c>
      <c r="H190">
        <f t="shared" si="30"/>
        <v>11565</v>
      </c>
      <c r="I190">
        <f t="shared" si="31"/>
        <v>11600</v>
      </c>
      <c r="J190">
        <f t="shared" si="32"/>
        <v>3379</v>
      </c>
      <c r="K190">
        <v>0.97</v>
      </c>
      <c r="L190">
        <f t="shared" si="33"/>
        <v>11252</v>
      </c>
      <c r="M190">
        <f t="shared" si="34"/>
        <v>3031</v>
      </c>
      <c r="N190">
        <f t="shared" si="35"/>
        <v>0</v>
      </c>
      <c r="O190">
        <f t="shared" si="36"/>
        <v>3031</v>
      </c>
      <c r="P190">
        <f t="shared" si="37"/>
        <v>-348</v>
      </c>
      <c r="Q190" s="2">
        <f t="shared" si="38"/>
        <v>0.97</v>
      </c>
      <c r="R190" t="str">
        <f>_xlfn.XLOOKUP(B190,Product_Line_Map!$A$2:$A$6,Product_Line_Map!$B$2:$B$6,"")</f>
        <v>L02</v>
      </c>
      <c r="S190" s="24">
        <f t="shared" si="39"/>
        <v>1.812799043062201</v>
      </c>
      <c r="T190" t="str">
        <f t="shared" si="40"/>
        <v>LOW COVER</v>
      </c>
    </row>
    <row r="191" spans="1:20">
      <c r="A191" s="1">
        <f>Weekly_Product_Demand!A191</f>
        <v>46286</v>
      </c>
      <c r="B191" t="str">
        <f>Weekly_Product_Demand!B191</f>
        <v>P005</v>
      </c>
      <c r="C191">
        <f t="shared" si="42"/>
        <v>2471</v>
      </c>
      <c r="D191">
        <f>0</f>
        <v>0</v>
      </c>
      <c r="E191">
        <f t="shared" si="41"/>
        <v>2471</v>
      </c>
      <c r="F191">
        <f>SUMIFS(Weekly_Product_Demand!$D:$D,Weekly_Product_Demand!$A:$A,A191,Weekly_Product_Demand!$B:$B,B191)</f>
        <v>8639</v>
      </c>
      <c r="G191">
        <f t="shared" si="29"/>
        <v>2468</v>
      </c>
      <c r="H191">
        <f t="shared" si="30"/>
        <v>8636</v>
      </c>
      <c r="I191">
        <f t="shared" si="31"/>
        <v>8700</v>
      </c>
      <c r="J191">
        <f t="shared" si="32"/>
        <v>2532</v>
      </c>
      <c r="K191">
        <v>0.97</v>
      </c>
      <c r="L191">
        <f t="shared" si="33"/>
        <v>8439</v>
      </c>
      <c r="M191">
        <f t="shared" si="34"/>
        <v>2271</v>
      </c>
      <c r="N191">
        <f t="shared" si="35"/>
        <v>0</v>
      </c>
      <c r="O191">
        <f t="shared" si="36"/>
        <v>2271</v>
      </c>
      <c r="P191">
        <f t="shared" si="37"/>
        <v>-261</v>
      </c>
      <c r="Q191" s="2">
        <f t="shared" si="38"/>
        <v>0.97</v>
      </c>
      <c r="R191" t="str">
        <f>_xlfn.XLOOKUP(B191,Product_Line_Map!$A$2:$A$6,Product_Line_Map!$B$2:$B$6,"")</f>
        <v>L03</v>
      </c>
      <c r="S191" s="24">
        <f t="shared" si="39"/>
        <v>1.8401435351313811</v>
      </c>
      <c r="T191" t="str">
        <f t="shared" si="40"/>
        <v>LOW COVER</v>
      </c>
    </row>
    <row r="192" spans="1:20">
      <c r="A192" s="1">
        <f>Weekly_Product_Demand!A192</f>
        <v>46293</v>
      </c>
      <c r="B192" t="str">
        <f>Weekly_Product_Demand!B192</f>
        <v>P001</v>
      </c>
      <c r="C192">
        <f t="shared" si="42"/>
        <v>3911</v>
      </c>
      <c r="D192">
        <f>0</f>
        <v>0</v>
      </c>
      <c r="E192">
        <f t="shared" si="41"/>
        <v>3911</v>
      </c>
      <c r="F192">
        <f>SUMIFS(Weekly_Product_Demand!$D:$D,Weekly_Product_Demand!$A:$A,A192,Weekly_Product_Demand!$B:$B,B192)</f>
        <v>14409</v>
      </c>
      <c r="G192">
        <f t="shared" si="29"/>
        <v>4117</v>
      </c>
      <c r="H192">
        <f t="shared" si="30"/>
        <v>14615</v>
      </c>
      <c r="I192">
        <f t="shared" si="31"/>
        <v>14700</v>
      </c>
      <c r="J192">
        <f t="shared" si="32"/>
        <v>4202</v>
      </c>
      <c r="K192">
        <v>0.98</v>
      </c>
      <c r="L192">
        <f t="shared" si="33"/>
        <v>14406</v>
      </c>
      <c r="M192">
        <f t="shared" si="34"/>
        <v>3908</v>
      </c>
      <c r="N192">
        <f t="shared" si="35"/>
        <v>0</v>
      </c>
      <c r="O192">
        <f t="shared" si="36"/>
        <v>3908</v>
      </c>
      <c r="P192">
        <f t="shared" si="37"/>
        <v>-294</v>
      </c>
      <c r="Q192" s="2">
        <f t="shared" si="38"/>
        <v>0.98</v>
      </c>
      <c r="R192" t="str">
        <f>_xlfn.XLOOKUP(B192,Product_Line_Map!$A$2:$A$6,Product_Line_Map!$B$2:$B$6,"")</f>
        <v>L01</v>
      </c>
      <c r="S192" s="24">
        <f t="shared" si="39"/>
        <v>1.8985356374488165</v>
      </c>
      <c r="T192" t="str">
        <f t="shared" si="40"/>
        <v>LOW COVER</v>
      </c>
    </row>
    <row r="193" spans="1:20">
      <c r="A193" s="1">
        <f>Weekly_Product_Demand!A193</f>
        <v>46293</v>
      </c>
      <c r="B193" t="str">
        <f>Weekly_Product_Demand!B193</f>
        <v>P002</v>
      </c>
      <c r="C193">
        <f t="shared" si="42"/>
        <v>3757</v>
      </c>
      <c r="D193">
        <f>0</f>
        <v>0</v>
      </c>
      <c r="E193">
        <f t="shared" si="41"/>
        <v>3757</v>
      </c>
      <c r="F193">
        <f>SUMIFS(Weekly_Product_Demand!$D:$D,Weekly_Product_Demand!$A:$A,A193,Weekly_Product_Demand!$B:$B,B193)</f>
        <v>12612</v>
      </c>
      <c r="G193">
        <f t="shared" si="29"/>
        <v>3603</v>
      </c>
      <c r="H193">
        <f t="shared" si="30"/>
        <v>12458</v>
      </c>
      <c r="I193">
        <f t="shared" si="31"/>
        <v>12500</v>
      </c>
      <c r="J193">
        <f t="shared" si="32"/>
        <v>3645</v>
      </c>
      <c r="K193">
        <v>1.01</v>
      </c>
      <c r="L193">
        <f t="shared" si="33"/>
        <v>12625</v>
      </c>
      <c r="M193">
        <f t="shared" si="34"/>
        <v>3770</v>
      </c>
      <c r="N193">
        <f t="shared" si="35"/>
        <v>0</v>
      </c>
      <c r="O193">
        <f t="shared" si="36"/>
        <v>3770</v>
      </c>
      <c r="P193">
        <f t="shared" si="37"/>
        <v>125</v>
      </c>
      <c r="Q193" s="2">
        <f t="shared" si="38"/>
        <v>1.01</v>
      </c>
      <c r="R193" t="str">
        <f>_xlfn.XLOOKUP(B193,Product_Line_Map!$A$2:$A$6,Product_Line_Map!$B$2:$B$6,"")</f>
        <v>L02</v>
      </c>
      <c r="S193" s="24">
        <f t="shared" si="39"/>
        <v>2.0924516333650489</v>
      </c>
      <c r="T193" t="str">
        <f t="shared" si="40"/>
        <v>OK</v>
      </c>
    </row>
    <row r="194" spans="1:20">
      <c r="A194" s="1">
        <f>Weekly_Product_Demand!A194</f>
        <v>46293</v>
      </c>
      <c r="B194" t="str">
        <f>Weekly_Product_Demand!B194</f>
        <v>P003</v>
      </c>
      <c r="C194">
        <f t="shared" si="42"/>
        <v>3041</v>
      </c>
      <c r="D194">
        <f>0</f>
        <v>0</v>
      </c>
      <c r="E194">
        <f t="shared" si="41"/>
        <v>3041</v>
      </c>
      <c r="F194">
        <f>SUMIFS(Weekly_Product_Demand!$D:$D,Weekly_Product_Demand!$A:$A,A194,Weekly_Product_Demand!$B:$B,B194)</f>
        <v>10728</v>
      </c>
      <c r="G194">
        <f t="shared" ref="G194:G257" si="43">ROUND(F194/7*2,0)</f>
        <v>3065</v>
      </c>
      <c r="H194">
        <f t="shared" ref="H194:H257" si="44">MAX(0,F194+G194-E194)</f>
        <v>10752</v>
      </c>
      <c r="I194">
        <f t="shared" ref="I194:I257" si="45">CEILING(H194,100)</f>
        <v>10800</v>
      </c>
      <c r="J194">
        <f t="shared" ref="J194:J257" si="46">E194+I194-F194</f>
        <v>3113</v>
      </c>
      <c r="K194">
        <v>0.97</v>
      </c>
      <c r="L194">
        <f t="shared" ref="L194:L257" si="47">ROUND(I194*K194,0)</f>
        <v>10476</v>
      </c>
      <c r="M194">
        <f t="shared" ref="M194:M257" si="48">E194+L194-F194</f>
        <v>2789</v>
      </c>
      <c r="N194">
        <f t="shared" ref="N194:N257" si="49">MAX(0,-M194)</f>
        <v>0</v>
      </c>
      <c r="O194">
        <f t="shared" ref="O194:O261" si="50">MAX(0,M194)</f>
        <v>2789</v>
      </c>
      <c r="P194">
        <f t="shared" ref="P194:P261" si="51">L194-I194</f>
        <v>-324</v>
      </c>
      <c r="Q194" s="2">
        <f t="shared" ref="Q194:Q261" si="52">IF(I194=0,0,L194/I194)</f>
        <v>0.97</v>
      </c>
      <c r="R194" t="str">
        <f>_xlfn.XLOOKUP(B194,Product_Line_Map!$A$2:$A$6,Product_Line_Map!$B$2:$B$6,"")</f>
        <v>L03</v>
      </c>
      <c r="S194" s="24">
        <f t="shared" ref="S194:S257" si="53">IF(F194=0,0,O194/(F194/7))</f>
        <v>1.8198173005219984</v>
      </c>
      <c r="T194" t="str">
        <f t="shared" ref="T194:T257" si="54">IF(N194&gt;0,"STOCKOUT",IF(S194&lt;1,"CRITICAL LOW COVER",IF(S194&lt;2,"LOW COVER","OK")))</f>
        <v>LOW COVER</v>
      </c>
    </row>
    <row r="195" spans="1:20">
      <c r="A195" s="1">
        <f>Weekly_Product_Demand!A195</f>
        <v>46293</v>
      </c>
      <c r="B195" t="str">
        <f>Weekly_Product_Demand!B195</f>
        <v>P004</v>
      </c>
      <c r="C195">
        <f t="shared" si="42"/>
        <v>3031</v>
      </c>
      <c r="D195">
        <f>0</f>
        <v>0</v>
      </c>
      <c r="E195">
        <f t="shared" si="41"/>
        <v>3031</v>
      </c>
      <c r="F195">
        <f>SUMIFS(Weekly_Product_Demand!$D:$D,Weekly_Product_Demand!$A:$A,A195,Weekly_Product_Demand!$B:$B,B195)</f>
        <v>11433</v>
      </c>
      <c r="G195">
        <f t="shared" si="43"/>
        <v>3267</v>
      </c>
      <c r="H195">
        <f t="shared" si="44"/>
        <v>11669</v>
      </c>
      <c r="I195">
        <f t="shared" si="45"/>
        <v>11700</v>
      </c>
      <c r="J195">
        <f t="shared" si="46"/>
        <v>3298</v>
      </c>
      <c r="K195">
        <v>1</v>
      </c>
      <c r="L195">
        <f t="shared" si="47"/>
        <v>11700</v>
      </c>
      <c r="M195">
        <f t="shared" si="48"/>
        <v>3298</v>
      </c>
      <c r="N195">
        <f t="shared" si="49"/>
        <v>0</v>
      </c>
      <c r="O195">
        <f t="shared" si="50"/>
        <v>3298</v>
      </c>
      <c r="P195">
        <f t="shared" si="51"/>
        <v>0</v>
      </c>
      <c r="Q195" s="2">
        <f t="shared" si="52"/>
        <v>1</v>
      </c>
      <c r="R195" t="str">
        <f>_xlfn.XLOOKUP(B195,Product_Line_Map!$A$2:$A$6,Product_Line_Map!$B$2:$B$6,"")</f>
        <v>L02</v>
      </c>
      <c r="S195" s="24">
        <f t="shared" si="53"/>
        <v>2.0192425435143884</v>
      </c>
      <c r="T195" t="str">
        <f t="shared" si="54"/>
        <v>OK</v>
      </c>
    </row>
    <row r="196" spans="1:20">
      <c r="A196" s="1">
        <f>Weekly_Product_Demand!A196</f>
        <v>46293</v>
      </c>
      <c r="B196" t="str">
        <f>Weekly_Product_Demand!B196</f>
        <v>P005</v>
      </c>
      <c r="C196">
        <f t="shared" si="42"/>
        <v>2271</v>
      </c>
      <c r="D196">
        <f>0</f>
        <v>0</v>
      </c>
      <c r="E196">
        <f t="shared" si="41"/>
        <v>2271</v>
      </c>
      <c r="F196">
        <f>SUMIFS(Weekly_Product_Demand!$D:$D,Weekly_Product_Demand!$A:$A,A196,Weekly_Product_Demand!$B:$B,B196)</f>
        <v>8693</v>
      </c>
      <c r="G196">
        <f t="shared" si="43"/>
        <v>2484</v>
      </c>
      <c r="H196">
        <f t="shared" si="44"/>
        <v>8906</v>
      </c>
      <c r="I196">
        <f t="shared" si="45"/>
        <v>9000</v>
      </c>
      <c r="J196">
        <f t="shared" si="46"/>
        <v>2578</v>
      </c>
      <c r="K196">
        <v>0.97</v>
      </c>
      <c r="L196">
        <f t="shared" si="47"/>
        <v>8730</v>
      </c>
      <c r="M196">
        <f t="shared" si="48"/>
        <v>2308</v>
      </c>
      <c r="N196">
        <f t="shared" si="49"/>
        <v>0</v>
      </c>
      <c r="O196">
        <f t="shared" si="50"/>
        <v>2308</v>
      </c>
      <c r="P196">
        <f t="shared" si="51"/>
        <v>-270</v>
      </c>
      <c r="Q196" s="2">
        <f t="shared" si="52"/>
        <v>0.97</v>
      </c>
      <c r="R196" t="str">
        <f>_xlfn.XLOOKUP(B196,Product_Line_Map!$A$2:$A$6,Product_Line_Map!$B$2:$B$6,"")</f>
        <v>L03</v>
      </c>
      <c r="S196" s="24">
        <f t="shared" si="53"/>
        <v>1.8585068445875992</v>
      </c>
      <c r="T196" t="str">
        <f t="shared" si="54"/>
        <v>LOW COVER</v>
      </c>
    </row>
    <row r="197" spans="1:20">
      <c r="A197" s="1">
        <f>Weekly_Product_Demand!A197</f>
        <v>46300</v>
      </c>
      <c r="B197" t="str">
        <f>Weekly_Product_Demand!B197</f>
        <v>P001</v>
      </c>
      <c r="C197">
        <f t="shared" si="42"/>
        <v>3908</v>
      </c>
      <c r="D197">
        <f>0</f>
        <v>0</v>
      </c>
      <c r="E197">
        <f t="shared" si="41"/>
        <v>3908</v>
      </c>
      <c r="F197">
        <f>SUMIFS(Weekly_Product_Demand!$D:$D,Weekly_Product_Demand!$A:$A,A197,Weekly_Product_Demand!$B:$B,B197)</f>
        <v>14680</v>
      </c>
      <c r="G197">
        <f t="shared" si="43"/>
        <v>4194</v>
      </c>
      <c r="H197">
        <f t="shared" si="44"/>
        <v>14966</v>
      </c>
      <c r="I197">
        <f t="shared" si="45"/>
        <v>15000</v>
      </c>
      <c r="J197">
        <f t="shared" si="46"/>
        <v>4228</v>
      </c>
      <c r="K197">
        <v>1.01</v>
      </c>
      <c r="L197">
        <f t="shared" si="47"/>
        <v>15150</v>
      </c>
      <c r="M197">
        <f t="shared" si="48"/>
        <v>4378</v>
      </c>
      <c r="N197">
        <f t="shared" si="49"/>
        <v>0</v>
      </c>
      <c r="O197">
        <f t="shared" si="50"/>
        <v>4378</v>
      </c>
      <c r="P197">
        <f t="shared" si="51"/>
        <v>150</v>
      </c>
      <c r="Q197" s="2">
        <f t="shared" si="52"/>
        <v>1.01</v>
      </c>
      <c r="R197" t="str">
        <f>_xlfn.XLOOKUP(B197,Product_Line_Map!$A$2:$A$6,Product_Line_Map!$B$2:$B$6,"")</f>
        <v>L01</v>
      </c>
      <c r="S197" s="24">
        <f t="shared" si="53"/>
        <v>2.0876021798365119</v>
      </c>
      <c r="T197" t="str">
        <f t="shared" si="54"/>
        <v>OK</v>
      </c>
    </row>
    <row r="198" spans="1:20">
      <c r="A198" s="1">
        <f>Weekly_Product_Demand!A198</f>
        <v>46300</v>
      </c>
      <c r="B198" t="str">
        <f>Weekly_Product_Demand!B198</f>
        <v>P002</v>
      </c>
      <c r="C198">
        <f t="shared" si="42"/>
        <v>3770</v>
      </c>
      <c r="D198">
        <f>0</f>
        <v>0</v>
      </c>
      <c r="E198">
        <f t="shared" si="41"/>
        <v>3770</v>
      </c>
      <c r="F198">
        <f>SUMIFS(Weekly_Product_Demand!$D:$D,Weekly_Product_Demand!$A:$A,A198,Weekly_Product_Demand!$B:$B,B198)</f>
        <v>12460</v>
      </c>
      <c r="G198">
        <f t="shared" si="43"/>
        <v>3560</v>
      </c>
      <c r="H198">
        <f t="shared" si="44"/>
        <v>12250</v>
      </c>
      <c r="I198">
        <f t="shared" si="45"/>
        <v>12300</v>
      </c>
      <c r="J198">
        <f t="shared" si="46"/>
        <v>3610</v>
      </c>
      <c r="K198">
        <v>1.02</v>
      </c>
      <c r="L198">
        <f t="shared" si="47"/>
        <v>12546</v>
      </c>
      <c r="M198">
        <f t="shared" si="48"/>
        <v>3856</v>
      </c>
      <c r="N198">
        <f t="shared" si="49"/>
        <v>0</v>
      </c>
      <c r="O198">
        <f t="shared" si="50"/>
        <v>3856</v>
      </c>
      <c r="P198">
        <f t="shared" si="51"/>
        <v>246</v>
      </c>
      <c r="Q198" s="2">
        <f t="shared" si="52"/>
        <v>1.02</v>
      </c>
      <c r="R198" t="str">
        <f>_xlfn.XLOOKUP(B198,Product_Line_Map!$A$2:$A$6,Product_Line_Map!$B$2:$B$6,"")</f>
        <v>L02</v>
      </c>
      <c r="S198" s="24">
        <f t="shared" si="53"/>
        <v>2.1662921348314605</v>
      </c>
      <c r="T198" t="str">
        <f t="shared" si="54"/>
        <v>OK</v>
      </c>
    </row>
    <row r="199" spans="1:20">
      <c r="A199" s="1">
        <f>Weekly_Product_Demand!A199</f>
        <v>46300</v>
      </c>
      <c r="B199" t="str">
        <f>Weekly_Product_Demand!B199</f>
        <v>P003</v>
      </c>
      <c r="C199">
        <f t="shared" si="42"/>
        <v>2789</v>
      </c>
      <c r="D199">
        <f>0</f>
        <v>0</v>
      </c>
      <c r="E199">
        <f t="shared" ref="E199:E261" si="55">C199-D199</f>
        <v>2789</v>
      </c>
      <c r="F199">
        <f>SUMIFS(Weekly_Product_Demand!$D:$D,Weekly_Product_Demand!$A:$A,A199,Weekly_Product_Demand!$B:$B,B199)</f>
        <v>10627</v>
      </c>
      <c r="G199">
        <f t="shared" si="43"/>
        <v>3036</v>
      </c>
      <c r="H199">
        <f t="shared" si="44"/>
        <v>10874</v>
      </c>
      <c r="I199">
        <f t="shared" si="45"/>
        <v>10900</v>
      </c>
      <c r="J199">
        <f t="shared" si="46"/>
        <v>3062</v>
      </c>
      <c r="K199">
        <v>1.02</v>
      </c>
      <c r="L199">
        <f t="shared" si="47"/>
        <v>11118</v>
      </c>
      <c r="M199">
        <f t="shared" si="48"/>
        <v>3280</v>
      </c>
      <c r="N199">
        <f t="shared" si="49"/>
        <v>0</v>
      </c>
      <c r="O199">
        <f t="shared" si="50"/>
        <v>3280</v>
      </c>
      <c r="P199">
        <f t="shared" si="51"/>
        <v>218</v>
      </c>
      <c r="Q199" s="2">
        <f t="shared" si="52"/>
        <v>1.02</v>
      </c>
      <c r="R199" t="str">
        <f>_xlfn.XLOOKUP(B199,Product_Line_Map!$A$2:$A$6,Product_Line_Map!$B$2:$B$6,"")</f>
        <v>L03</v>
      </c>
      <c r="S199" s="24">
        <f t="shared" si="53"/>
        <v>2.1605344876258585</v>
      </c>
      <c r="T199" t="str">
        <f t="shared" si="54"/>
        <v>OK</v>
      </c>
    </row>
    <row r="200" spans="1:20">
      <c r="A200" s="1">
        <f>Weekly_Product_Demand!A200</f>
        <v>46300</v>
      </c>
      <c r="B200" t="str">
        <f>Weekly_Product_Demand!B200</f>
        <v>P004</v>
      </c>
      <c r="C200">
        <f t="shared" ref="C200:C261" si="56">O195</f>
        <v>3298</v>
      </c>
      <c r="D200">
        <f>0</f>
        <v>0</v>
      </c>
      <c r="E200">
        <f t="shared" si="55"/>
        <v>3298</v>
      </c>
      <c r="F200">
        <f>SUMIFS(Weekly_Product_Demand!$D:$D,Weekly_Product_Demand!$A:$A,A200,Weekly_Product_Demand!$B:$B,B200)</f>
        <v>11905</v>
      </c>
      <c r="G200">
        <f t="shared" si="43"/>
        <v>3401</v>
      </c>
      <c r="H200">
        <f t="shared" si="44"/>
        <v>12008</v>
      </c>
      <c r="I200">
        <f t="shared" si="45"/>
        <v>12100</v>
      </c>
      <c r="J200">
        <f t="shared" si="46"/>
        <v>3493</v>
      </c>
      <c r="K200">
        <v>0.98</v>
      </c>
      <c r="L200">
        <f t="shared" si="47"/>
        <v>11858</v>
      </c>
      <c r="M200">
        <f t="shared" si="48"/>
        <v>3251</v>
      </c>
      <c r="N200">
        <f t="shared" si="49"/>
        <v>0</v>
      </c>
      <c r="O200">
        <f t="shared" si="50"/>
        <v>3251</v>
      </c>
      <c r="P200">
        <f t="shared" si="51"/>
        <v>-242</v>
      </c>
      <c r="Q200" s="2">
        <f t="shared" si="52"/>
        <v>0.98</v>
      </c>
      <c r="R200" t="str">
        <f>_xlfn.XLOOKUP(B200,Product_Line_Map!$A$2:$A$6,Product_Line_Map!$B$2:$B$6,"")</f>
        <v>L02</v>
      </c>
      <c r="S200" s="24">
        <f t="shared" si="53"/>
        <v>1.9115497690046199</v>
      </c>
      <c r="T200" t="str">
        <f t="shared" si="54"/>
        <v>LOW COVER</v>
      </c>
    </row>
    <row r="201" spans="1:20">
      <c r="A201" s="1">
        <f>Weekly_Product_Demand!A201</f>
        <v>46300</v>
      </c>
      <c r="B201" t="str">
        <f>Weekly_Product_Demand!B201</f>
        <v>P005</v>
      </c>
      <c r="C201">
        <f t="shared" si="56"/>
        <v>2308</v>
      </c>
      <c r="D201">
        <f>0</f>
        <v>0</v>
      </c>
      <c r="E201">
        <f t="shared" si="55"/>
        <v>2308</v>
      </c>
      <c r="F201">
        <f>SUMIFS(Weekly_Product_Demand!$D:$D,Weekly_Product_Demand!$A:$A,A201,Weekly_Product_Demand!$B:$B,B201)</f>
        <v>8565</v>
      </c>
      <c r="G201">
        <f t="shared" si="43"/>
        <v>2447</v>
      </c>
      <c r="H201">
        <f t="shared" si="44"/>
        <v>8704</v>
      </c>
      <c r="I201">
        <f t="shared" si="45"/>
        <v>8800</v>
      </c>
      <c r="J201">
        <f t="shared" si="46"/>
        <v>2543</v>
      </c>
      <c r="K201">
        <v>0.98</v>
      </c>
      <c r="L201">
        <f t="shared" si="47"/>
        <v>8624</v>
      </c>
      <c r="M201">
        <f t="shared" si="48"/>
        <v>2367</v>
      </c>
      <c r="N201">
        <f t="shared" si="49"/>
        <v>0</v>
      </c>
      <c r="O201">
        <f t="shared" si="50"/>
        <v>2367</v>
      </c>
      <c r="P201">
        <f t="shared" si="51"/>
        <v>-176</v>
      </c>
      <c r="Q201" s="2">
        <f t="shared" si="52"/>
        <v>0.98</v>
      </c>
      <c r="R201" t="str">
        <f>_xlfn.XLOOKUP(B201,Product_Line_Map!$A$2:$A$6,Product_Line_Map!$B$2:$B$6,"")</f>
        <v>L03</v>
      </c>
      <c r="S201" s="24">
        <f t="shared" si="53"/>
        <v>1.9345008756567423</v>
      </c>
      <c r="T201" t="str">
        <f t="shared" si="54"/>
        <v>LOW COVER</v>
      </c>
    </row>
    <row r="202" spans="1:20">
      <c r="A202" s="1">
        <f>Weekly_Product_Demand!A202</f>
        <v>46307</v>
      </c>
      <c r="B202" t="str">
        <f>Weekly_Product_Demand!B202</f>
        <v>P001</v>
      </c>
      <c r="C202">
        <f t="shared" si="56"/>
        <v>4378</v>
      </c>
      <c r="D202">
        <f>0</f>
        <v>0</v>
      </c>
      <c r="E202">
        <f t="shared" si="55"/>
        <v>4378</v>
      </c>
      <c r="F202">
        <f>SUMIFS(Weekly_Product_Demand!$D:$D,Weekly_Product_Demand!$A:$A,A202,Weekly_Product_Demand!$B:$B,B202)</f>
        <v>14351</v>
      </c>
      <c r="G202">
        <f t="shared" si="43"/>
        <v>4100</v>
      </c>
      <c r="H202">
        <f t="shared" si="44"/>
        <v>14073</v>
      </c>
      <c r="I202">
        <f t="shared" si="45"/>
        <v>14100</v>
      </c>
      <c r="J202">
        <f t="shared" si="46"/>
        <v>4127</v>
      </c>
      <c r="K202">
        <v>0.98</v>
      </c>
      <c r="L202">
        <f t="shared" si="47"/>
        <v>13818</v>
      </c>
      <c r="M202">
        <f t="shared" si="48"/>
        <v>3845</v>
      </c>
      <c r="N202">
        <f t="shared" si="49"/>
        <v>0</v>
      </c>
      <c r="O202">
        <f t="shared" si="50"/>
        <v>3845</v>
      </c>
      <c r="P202">
        <f t="shared" si="51"/>
        <v>-282</v>
      </c>
      <c r="Q202" s="2">
        <f t="shared" si="52"/>
        <v>0.98</v>
      </c>
      <c r="R202" t="str">
        <f>_xlfn.XLOOKUP(B202,Product_Line_Map!$A$2:$A$6,Product_Line_Map!$B$2:$B$6,"")</f>
        <v>L01</v>
      </c>
      <c r="S202" s="24">
        <f t="shared" si="53"/>
        <v>1.8754790606926346</v>
      </c>
      <c r="T202" t="str">
        <f t="shared" si="54"/>
        <v>LOW COVER</v>
      </c>
    </row>
    <row r="203" spans="1:20">
      <c r="A203" s="1">
        <f>Weekly_Product_Demand!A203</f>
        <v>46307</v>
      </c>
      <c r="B203" t="str">
        <f>Weekly_Product_Demand!B203</f>
        <v>P002</v>
      </c>
      <c r="C203">
        <f t="shared" si="56"/>
        <v>3856</v>
      </c>
      <c r="D203">
        <f>0</f>
        <v>0</v>
      </c>
      <c r="E203">
        <f t="shared" si="55"/>
        <v>3856</v>
      </c>
      <c r="F203">
        <f>SUMIFS(Weekly_Product_Demand!$D:$D,Weekly_Product_Demand!$A:$A,A203,Weekly_Product_Demand!$B:$B,B203)</f>
        <v>12359</v>
      </c>
      <c r="G203">
        <f t="shared" si="43"/>
        <v>3531</v>
      </c>
      <c r="H203">
        <f t="shared" si="44"/>
        <v>12034</v>
      </c>
      <c r="I203">
        <f t="shared" si="45"/>
        <v>12100</v>
      </c>
      <c r="J203">
        <f t="shared" si="46"/>
        <v>3597</v>
      </c>
      <c r="K203">
        <v>1.02</v>
      </c>
      <c r="L203">
        <f t="shared" si="47"/>
        <v>12342</v>
      </c>
      <c r="M203">
        <f t="shared" si="48"/>
        <v>3839</v>
      </c>
      <c r="N203">
        <f t="shared" si="49"/>
        <v>0</v>
      </c>
      <c r="O203">
        <f t="shared" si="50"/>
        <v>3839</v>
      </c>
      <c r="P203">
        <f t="shared" si="51"/>
        <v>242</v>
      </c>
      <c r="Q203" s="2">
        <f t="shared" si="52"/>
        <v>1.02</v>
      </c>
      <c r="R203" t="str">
        <f>_xlfn.XLOOKUP(B203,Product_Line_Map!$A$2:$A$6,Product_Line_Map!$B$2:$B$6,"")</f>
        <v>L02</v>
      </c>
      <c r="S203" s="24">
        <f t="shared" si="53"/>
        <v>2.1743668581600453</v>
      </c>
      <c r="T203" t="str">
        <f t="shared" si="54"/>
        <v>OK</v>
      </c>
    </row>
    <row r="204" spans="1:20">
      <c r="A204" s="1">
        <f>Weekly_Product_Demand!A204</f>
        <v>46307</v>
      </c>
      <c r="B204" t="str">
        <f>Weekly_Product_Demand!B204</f>
        <v>P003</v>
      </c>
      <c r="C204">
        <f t="shared" si="56"/>
        <v>3280</v>
      </c>
      <c r="D204">
        <f>0</f>
        <v>0</v>
      </c>
      <c r="E204">
        <f t="shared" si="55"/>
        <v>3280</v>
      </c>
      <c r="F204">
        <f>SUMIFS(Weekly_Product_Demand!$D:$D,Weekly_Product_Demand!$A:$A,A204,Weekly_Product_Demand!$B:$B,B204)</f>
        <v>10604</v>
      </c>
      <c r="G204">
        <f t="shared" si="43"/>
        <v>3030</v>
      </c>
      <c r="H204">
        <f t="shared" si="44"/>
        <v>10354</v>
      </c>
      <c r="I204">
        <f t="shared" si="45"/>
        <v>10400</v>
      </c>
      <c r="J204">
        <f t="shared" si="46"/>
        <v>3076</v>
      </c>
      <c r="K204">
        <v>1</v>
      </c>
      <c r="L204">
        <f t="shared" si="47"/>
        <v>10400</v>
      </c>
      <c r="M204">
        <f t="shared" si="48"/>
        <v>3076</v>
      </c>
      <c r="N204">
        <f t="shared" si="49"/>
        <v>0</v>
      </c>
      <c r="O204">
        <f t="shared" si="50"/>
        <v>3076</v>
      </c>
      <c r="P204">
        <f t="shared" si="51"/>
        <v>0</v>
      </c>
      <c r="Q204" s="2">
        <f t="shared" si="52"/>
        <v>1</v>
      </c>
      <c r="R204" t="str">
        <f>_xlfn.XLOOKUP(B204,Product_Line_Map!$A$2:$A$6,Product_Line_Map!$B$2:$B$6,"")</f>
        <v>L03</v>
      </c>
      <c r="S204" s="24">
        <f t="shared" si="53"/>
        <v>2.0305545077329308</v>
      </c>
      <c r="T204" t="str">
        <f t="shared" si="54"/>
        <v>OK</v>
      </c>
    </row>
    <row r="205" spans="1:20">
      <c r="A205" s="1">
        <f>Weekly_Product_Demand!A205</f>
        <v>46307</v>
      </c>
      <c r="B205" t="str">
        <f>Weekly_Product_Demand!B205</f>
        <v>P004</v>
      </c>
      <c r="C205">
        <f t="shared" si="56"/>
        <v>3251</v>
      </c>
      <c r="D205">
        <f>0</f>
        <v>0</v>
      </c>
      <c r="E205">
        <f t="shared" si="55"/>
        <v>3251</v>
      </c>
      <c r="F205">
        <f>SUMIFS(Weekly_Product_Demand!$D:$D,Weekly_Product_Demand!$A:$A,A205,Weekly_Product_Demand!$B:$B,B205)</f>
        <v>11225</v>
      </c>
      <c r="G205">
        <f t="shared" si="43"/>
        <v>3207</v>
      </c>
      <c r="H205">
        <f t="shared" si="44"/>
        <v>11181</v>
      </c>
      <c r="I205">
        <f t="shared" si="45"/>
        <v>11200</v>
      </c>
      <c r="J205">
        <f t="shared" si="46"/>
        <v>3226</v>
      </c>
      <c r="K205">
        <v>0.99</v>
      </c>
      <c r="L205">
        <f t="shared" si="47"/>
        <v>11088</v>
      </c>
      <c r="M205">
        <f t="shared" si="48"/>
        <v>3114</v>
      </c>
      <c r="N205">
        <f t="shared" si="49"/>
        <v>0</v>
      </c>
      <c r="O205">
        <f t="shared" si="50"/>
        <v>3114</v>
      </c>
      <c r="P205">
        <f t="shared" si="51"/>
        <v>-112</v>
      </c>
      <c r="Q205" s="2">
        <f t="shared" si="52"/>
        <v>0.99</v>
      </c>
      <c r="R205" t="str">
        <f>_xlfn.XLOOKUP(B205,Product_Line_Map!$A$2:$A$6,Product_Line_Map!$B$2:$B$6,"")</f>
        <v>L02</v>
      </c>
      <c r="S205" s="24">
        <f t="shared" si="53"/>
        <v>1.9419153674832961</v>
      </c>
      <c r="T205" t="str">
        <f t="shared" si="54"/>
        <v>LOW COVER</v>
      </c>
    </row>
    <row r="206" spans="1:20">
      <c r="A206" s="1">
        <f>Weekly_Product_Demand!A206</f>
        <v>46307</v>
      </c>
      <c r="B206" t="str">
        <f>Weekly_Product_Demand!B206</f>
        <v>P005</v>
      </c>
      <c r="C206">
        <f t="shared" si="56"/>
        <v>2367</v>
      </c>
      <c r="D206">
        <f>0</f>
        <v>0</v>
      </c>
      <c r="E206">
        <f t="shared" si="55"/>
        <v>2367</v>
      </c>
      <c r="F206">
        <f>SUMIFS(Weekly_Product_Demand!$D:$D,Weekly_Product_Demand!$A:$A,A206,Weekly_Product_Demand!$B:$B,B206)</f>
        <v>8498</v>
      </c>
      <c r="G206">
        <f t="shared" si="43"/>
        <v>2428</v>
      </c>
      <c r="H206">
        <f t="shared" si="44"/>
        <v>8559</v>
      </c>
      <c r="I206">
        <f t="shared" si="45"/>
        <v>8600</v>
      </c>
      <c r="J206">
        <f t="shared" si="46"/>
        <v>2469</v>
      </c>
      <c r="K206">
        <v>0.99</v>
      </c>
      <c r="L206">
        <f t="shared" si="47"/>
        <v>8514</v>
      </c>
      <c r="M206">
        <f t="shared" si="48"/>
        <v>2383</v>
      </c>
      <c r="N206">
        <f t="shared" si="49"/>
        <v>0</v>
      </c>
      <c r="O206">
        <f t="shared" si="50"/>
        <v>2383</v>
      </c>
      <c r="P206">
        <f t="shared" si="51"/>
        <v>-86</v>
      </c>
      <c r="Q206" s="2">
        <f t="shared" si="52"/>
        <v>0.99</v>
      </c>
      <c r="R206" t="str">
        <f>_xlfn.XLOOKUP(B206,Product_Line_Map!$A$2:$A$6,Product_Line_Map!$B$2:$B$6,"")</f>
        <v>L03</v>
      </c>
      <c r="S206" s="24">
        <f t="shared" si="53"/>
        <v>1.9629324546952225</v>
      </c>
      <c r="T206" t="str">
        <f t="shared" si="54"/>
        <v>LOW COVER</v>
      </c>
    </row>
    <row r="207" spans="1:20">
      <c r="A207" s="1">
        <f>Weekly_Product_Demand!A207</f>
        <v>46314</v>
      </c>
      <c r="B207" t="str">
        <f>Weekly_Product_Demand!B207</f>
        <v>P001</v>
      </c>
      <c r="C207">
        <f t="shared" si="56"/>
        <v>3845</v>
      </c>
      <c r="D207">
        <f>0</f>
        <v>0</v>
      </c>
      <c r="E207">
        <f t="shared" si="55"/>
        <v>3845</v>
      </c>
      <c r="F207">
        <f>SUMIFS(Weekly_Product_Demand!$D:$D,Weekly_Product_Demand!$A:$A,A207,Weekly_Product_Demand!$B:$B,B207)</f>
        <v>14226</v>
      </c>
      <c r="G207">
        <f t="shared" si="43"/>
        <v>4065</v>
      </c>
      <c r="H207">
        <f t="shared" si="44"/>
        <v>14446</v>
      </c>
      <c r="I207">
        <f t="shared" si="45"/>
        <v>14500</v>
      </c>
      <c r="J207">
        <f t="shared" si="46"/>
        <v>4119</v>
      </c>
      <c r="K207">
        <v>1.02</v>
      </c>
      <c r="L207">
        <f t="shared" si="47"/>
        <v>14790</v>
      </c>
      <c r="M207">
        <f t="shared" si="48"/>
        <v>4409</v>
      </c>
      <c r="N207">
        <f t="shared" si="49"/>
        <v>0</v>
      </c>
      <c r="O207">
        <f t="shared" si="50"/>
        <v>4409</v>
      </c>
      <c r="P207">
        <f t="shared" si="51"/>
        <v>290</v>
      </c>
      <c r="Q207" s="2">
        <f t="shared" si="52"/>
        <v>1.02</v>
      </c>
      <c r="R207" t="str">
        <f>_xlfn.XLOOKUP(B207,Product_Line_Map!$A$2:$A$6,Product_Line_Map!$B$2:$B$6,"")</f>
        <v>L01</v>
      </c>
      <c r="S207" s="24">
        <f t="shared" si="53"/>
        <v>2.1694784197947419</v>
      </c>
      <c r="T207" t="str">
        <f t="shared" si="54"/>
        <v>OK</v>
      </c>
    </row>
    <row r="208" spans="1:20">
      <c r="A208" s="1">
        <f>Weekly_Product_Demand!A208</f>
        <v>46314</v>
      </c>
      <c r="B208" t="str">
        <f>Weekly_Product_Demand!B208</f>
        <v>P002</v>
      </c>
      <c r="C208">
        <f t="shared" si="56"/>
        <v>3839</v>
      </c>
      <c r="D208">
        <f>0</f>
        <v>0</v>
      </c>
      <c r="E208">
        <f t="shared" si="55"/>
        <v>3839</v>
      </c>
      <c r="F208">
        <f>SUMIFS(Weekly_Product_Demand!$D:$D,Weekly_Product_Demand!$A:$A,A208,Weekly_Product_Demand!$B:$B,B208)</f>
        <v>12334</v>
      </c>
      <c r="G208">
        <f t="shared" si="43"/>
        <v>3524</v>
      </c>
      <c r="H208">
        <f t="shared" si="44"/>
        <v>12019</v>
      </c>
      <c r="I208">
        <f t="shared" si="45"/>
        <v>12100</v>
      </c>
      <c r="J208">
        <f t="shared" si="46"/>
        <v>3605</v>
      </c>
      <c r="K208">
        <v>1</v>
      </c>
      <c r="L208">
        <f t="shared" si="47"/>
        <v>12100</v>
      </c>
      <c r="M208">
        <f t="shared" si="48"/>
        <v>3605</v>
      </c>
      <c r="N208">
        <f t="shared" si="49"/>
        <v>0</v>
      </c>
      <c r="O208">
        <f t="shared" si="50"/>
        <v>3605</v>
      </c>
      <c r="P208">
        <f t="shared" si="51"/>
        <v>0</v>
      </c>
      <c r="Q208" s="2">
        <f t="shared" si="52"/>
        <v>1</v>
      </c>
      <c r="R208" t="str">
        <f>_xlfn.XLOOKUP(B208,Product_Line_Map!$A$2:$A$6,Product_Line_Map!$B$2:$B$6,"")</f>
        <v>L02</v>
      </c>
      <c r="S208" s="24">
        <f t="shared" si="53"/>
        <v>2.0459704880817253</v>
      </c>
      <c r="T208" t="str">
        <f t="shared" si="54"/>
        <v>OK</v>
      </c>
    </row>
    <row r="209" spans="1:20">
      <c r="A209" s="1">
        <f>Weekly_Product_Demand!A209</f>
        <v>46314</v>
      </c>
      <c r="B209" t="str">
        <f>Weekly_Product_Demand!B209</f>
        <v>P003</v>
      </c>
      <c r="C209">
        <f t="shared" si="56"/>
        <v>3076</v>
      </c>
      <c r="D209">
        <f>0</f>
        <v>0</v>
      </c>
      <c r="E209">
        <f t="shared" si="55"/>
        <v>3076</v>
      </c>
      <c r="F209">
        <f>SUMIFS(Weekly_Product_Demand!$D:$D,Weekly_Product_Demand!$A:$A,A209,Weekly_Product_Demand!$B:$B,B209)</f>
        <v>10375</v>
      </c>
      <c r="G209">
        <f t="shared" si="43"/>
        <v>2964</v>
      </c>
      <c r="H209">
        <f t="shared" si="44"/>
        <v>10263</v>
      </c>
      <c r="I209">
        <f t="shared" si="45"/>
        <v>10300</v>
      </c>
      <c r="J209">
        <f t="shared" si="46"/>
        <v>3001</v>
      </c>
      <c r="K209">
        <v>0.97</v>
      </c>
      <c r="L209">
        <f t="shared" si="47"/>
        <v>9991</v>
      </c>
      <c r="M209">
        <f t="shared" si="48"/>
        <v>2692</v>
      </c>
      <c r="N209">
        <f t="shared" si="49"/>
        <v>0</v>
      </c>
      <c r="O209">
        <f t="shared" si="50"/>
        <v>2692</v>
      </c>
      <c r="P209">
        <f t="shared" si="51"/>
        <v>-309</v>
      </c>
      <c r="Q209" s="2">
        <f t="shared" si="52"/>
        <v>0.97</v>
      </c>
      <c r="R209" t="str">
        <f>_xlfn.XLOOKUP(B209,Product_Line_Map!$A$2:$A$6,Product_Line_Map!$B$2:$B$6,"")</f>
        <v>L03</v>
      </c>
      <c r="S209" s="24">
        <f t="shared" si="53"/>
        <v>1.816289156626506</v>
      </c>
      <c r="T209" t="str">
        <f t="shared" si="54"/>
        <v>LOW COVER</v>
      </c>
    </row>
    <row r="210" spans="1:20">
      <c r="A210" s="1">
        <f>Weekly_Product_Demand!A210</f>
        <v>46314</v>
      </c>
      <c r="B210" t="str">
        <f>Weekly_Product_Demand!B210</f>
        <v>P004</v>
      </c>
      <c r="C210">
        <f t="shared" si="56"/>
        <v>3114</v>
      </c>
      <c r="D210">
        <f>0</f>
        <v>0</v>
      </c>
      <c r="E210">
        <f t="shared" si="55"/>
        <v>3114</v>
      </c>
      <c r="F210">
        <f>SUMIFS(Weekly_Product_Demand!$D:$D,Weekly_Product_Demand!$A:$A,A210,Weekly_Product_Demand!$B:$B,B210)</f>
        <v>11528</v>
      </c>
      <c r="G210">
        <f t="shared" si="43"/>
        <v>3294</v>
      </c>
      <c r="H210">
        <f t="shared" si="44"/>
        <v>11708</v>
      </c>
      <c r="I210">
        <f t="shared" si="45"/>
        <v>11800</v>
      </c>
      <c r="J210">
        <f t="shared" si="46"/>
        <v>3386</v>
      </c>
      <c r="K210">
        <v>0.99</v>
      </c>
      <c r="L210">
        <f t="shared" si="47"/>
        <v>11682</v>
      </c>
      <c r="M210">
        <f t="shared" si="48"/>
        <v>3268</v>
      </c>
      <c r="N210">
        <f t="shared" si="49"/>
        <v>0</v>
      </c>
      <c r="O210">
        <f t="shared" si="50"/>
        <v>3268</v>
      </c>
      <c r="P210">
        <f t="shared" si="51"/>
        <v>-118</v>
      </c>
      <c r="Q210" s="2">
        <f t="shared" si="52"/>
        <v>0.99</v>
      </c>
      <c r="R210" t="str">
        <f>_xlfn.XLOOKUP(B210,Product_Line_Map!$A$2:$A$6,Product_Line_Map!$B$2:$B$6,"")</f>
        <v>L02</v>
      </c>
      <c r="S210" s="24">
        <f t="shared" si="53"/>
        <v>1.984385843164469</v>
      </c>
      <c r="T210" t="str">
        <f t="shared" si="54"/>
        <v>LOW COVER</v>
      </c>
    </row>
    <row r="211" spans="1:20">
      <c r="A211" s="1">
        <f>Weekly_Product_Demand!A211</f>
        <v>46314</v>
      </c>
      <c r="B211" t="str">
        <f>Weekly_Product_Demand!B211</f>
        <v>P005</v>
      </c>
      <c r="C211">
        <f t="shared" si="56"/>
        <v>2383</v>
      </c>
      <c r="D211">
        <f>0</f>
        <v>0</v>
      </c>
      <c r="E211">
        <f t="shared" si="55"/>
        <v>2383</v>
      </c>
      <c r="F211">
        <f>SUMIFS(Weekly_Product_Demand!$D:$D,Weekly_Product_Demand!$A:$A,A211,Weekly_Product_Demand!$B:$B,B211)</f>
        <v>8773</v>
      </c>
      <c r="G211">
        <f t="shared" si="43"/>
        <v>2507</v>
      </c>
      <c r="H211">
        <f t="shared" si="44"/>
        <v>8897</v>
      </c>
      <c r="I211">
        <f t="shared" si="45"/>
        <v>8900</v>
      </c>
      <c r="J211">
        <f t="shared" si="46"/>
        <v>2510</v>
      </c>
      <c r="K211">
        <v>0.97</v>
      </c>
      <c r="L211">
        <f t="shared" si="47"/>
        <v>8633</v>
      </c>
      <c r="M211">
        <f t="shared" si="48"/>
        <v>2243</v>
      </c>
      <c r="N211">
        <f t="shared" si="49"/>
        <v>0</v>
      </c>
      <c r="O211">
        <f t="shared" si="50"/>
        <v>2243</v>
      </c>
      <c r="P211">
        <f t="shared" si="51"/>
        <v>-267</v>
      </c>
      <c r="Q211" s="2">
        <f t="shared" si="52"/>
        <v>0.97</v>
      </c>
      <c r="R211" t="str">
        <f>_xlfn.XLOOKUP(B211,Product_Line_Map!$A$2:$A$6,Product_Line_Map!$B$2:$B$6,"")</f>
        <v>L03</v>
      </c>
      <c r="S211" s="24">
        <f t="shared" si="53"/>
        <v>1.7896956571298304</v>
      </c>
      <c r="T211" t="str">
        <f t="shared" si="54"/>
        <v>LOW COVER</v>
      </c>
    </row>
    <row r="212" spans="1:20">
      <c r="A212" s="1">
        <f>Weekly_Product_Demand!A212</f>
        <v>46321</v>
      </c>
      <c r="B212" t="str">
        <f>Weekly_Product_Demand!B212</f>
        <v>P001</v>
      </c>
      <c r="C212">
        <f t="shared" si="56"/>
        <v>4409</v>
      </c>
      <c r="D212">
        <f>0</f>
        <v>0</v>
      </c>
      <c r="E212">
        <f t="shared" si="55"/>
        <v>4409</v>
      </c>
      <c r="F212">
        <f>SUMIFS(Weekly_Product_Demand!$D:$D,Weekly_Product_Demand!$A:$A,A212,Weekly_Product_Demand!$B:$B,B212)</f>
        <v>14050</v>
      </c>
      <c r="G212">
        <f t="shared" si="43"/>
        <v>4014</v>
      </c>
      <c r="H212">
        <f t="shared" si="44"/>
        <v>13655</v>
      </c>
      <c r="I212">
        <f t="shared" si="45"/>
        <v>13700</v>
      </c>
      <c r="J212">
        <f t="shared" si="46"/>
        <v>4059</v>
      </c>
      <c r="K212">
        <v>0.98</v>
      </c>
      <c r="L212">
        <f t="shared" si="47"/>
        <v>13426</v>
      </c>
      <c r="M212">
        <f t="shared" si="48"/>
        <v>3785</v>
      </c>
      <c r="N212">
        <f t="shared" si="49"/>
        <v>0</v>
      </c>
      <c r="O212">
        <f t="shared" si="50"/>
        <v>3785</v>
      </c>
      <c r="P212">
        <f t="shared" si="51"/>
        <v>-274</v>
      </c>
      <c r="Q212" s="2">
        <f t="shared" si="52"/>
        <v>0.98</v>
      </c>
      <c r="R212" t="str">
        <f>_xlfn.XLOOKUP(B212,Product_Line_Map!$A$2:$A$6,Product_Line_Map!$B$2:$B$6,"")</f>
        <v>L01</v>
      </c>
      <c r="S212" s="24">
        <f t="shared" si="53"/>
        <v>1.8857651245551601</v>
      </c>
      <c r="T212" t="str">
        <f t="shared" si="54"/>
        <v>LOW COVER</v>
      </c>
    </row>
    <row r="213" spans="1:20">
      <c r="A213" s="1">
        <f>Weekly_Product_Demand!A213</f>
        <v>46321</v>
      </c>
      <c r="B213" t="str">
        <f>Weekly_Product_Demand!B213</f>
        <v>P002</v>
      </c>
      <c r="C213">
        <f t="shared" si="56"/>
        <v>3605</v>
      </c>
      <c r="D213">
        <f>0</f>
        <v>0</v>
      </c>
      <c r="E213">
        <f t="shared" si="55"/>
        <v>3605</v>
      </c>
      <c r="F213">
        <f>SUMIFS(Weekly_Product_Demand!$D:$D,Weekly_Product_Demand!$A:$A,A213,Weekly_Product_Demand!$B:$B,B213)</f>
        <v>12440</v>
      </c>
      <c r="G213">
        <f t="shared" si="43"/>
        <v>3554</v>
      </c>
      <c r="H213">
        <f t="shared" si="44"/>
        <v>12389</v>
      </c>
      <c r="I213">
        <f t="shared" si="45"/>
        <v>12400</v>
      </c>
      <c r="J213">
        <f t="shared" si="46"/>
        <v>3565</v>
      </c>
      <c r="K213">
        <v>1</v>
      </c>
      <c r="L213">
        <f t="shared" si="47"/>
        <v>12400</v>
      </c>
      <c r="M213">
        <f t="shared" si="48"/>
        <v>3565</v>
      </c>
      <c r="N213">
        <f t="shared" si="49"/>
        <v>0</v>
      </c>
      <c r="O213">
        <f t="shared" si="50"/>
        <v>3565</v>
      </c>
      <c r="P213">
        <f t="shared" si="51"/>
        <v>0</v>
      </c>
      <c r="Q213" s="2">
        <f t="shared" si="52"/>
        <v>1</v>
      </c>
      <c r="R213" t="str">
        <f>_xlfn.XLOOKUP(B213,Product_Line_Map!$A$2:$A$6,Product_Line_Map!$B$2:$B$6,"")</f>
        <v>L02</v>
      </c>
      <c r="S213" s="24">
        <f t="shared" si="53"/>
        <v>2.0060289389067525</v>
      </c>
      <c r="T213" t="str">
        <f t="shared" si="54"/>
        <v>OK</v>
      </c>
    </row>
    <row r="214" spans="1:20">
      <c r="A214" s="1">
        <f>Weekly_Product_Demand!A214</f>
        <v>46321</v>
      </c>
      <c r="B214" t="str">
        <f>Weekly_Product_Demand!B214</f>
        <v>P003</v>
      </c>
      <c r="C214">
        <f t="shared" si="56"/>
        <v>2692</v>
      </c>
      <c r="D214">
        <f>0</f>
        <v>0</v>
      </c>
      <c r="E214">
        <f t="shared" si="55"/>
        <v>2692</v>
      </c>
      <c r="F214">
        <f>SUMIFS(Weekly_Product_Demand!$D:$D,Weekly_Product_Demand!$A:$A,A214,Weekly_Product_Demand!$B:$B,B214)</f>
        <v>10772</v>
      </c>
      <c r="G214">
        <f t="shared" si="43"/>
        <v>3078</v>
      </c>
      <c r="H214">
        <f t="shared" si="44"/>
        <v>11158</v>
      </c>
      <c r="I214">
        <f t="shared" si="45"/>
        <v>11200</v>
      </c>
      <c r="J214">
        <f t="shared" si="46"/>
        <v>3120</v>
      </c>
      <c r="K214">
        <v>1</v>
      </c>
      <c r="L214">
        <f t="shared" si="47"/>
        <v>11200</v>
      </c>
      <c r="M214">
        <f t="shared" si="48"/>
        <v>3120</v>
      </c>
      <c r="N214">
        <f t="shared" si="49"/>
        <v>0</v>
      </c>
      <c r="O214">
        <f t="shared" si="50"/>
        <v>3120</v>
      </c>
      <c r="P214">
        <f t="shared" si="51"/>
        <v>0</v>
      </c>
      <c r="Q214" s="2">
        <f t="shared" si="52"/>
        <v>1</v>
      </c>
      <c r="R214" t="str">
        <f>_xlfn.XLOOKUP(B214,Product_Line_Map!$A$2:$A$6,Product_Line_Map!$B$2:$B$6,"")</f>
        <v>L03</v>
      </c>
      <c r="S214" s="24">
        <f t="shared" si="53"/>
        <v>2.0274786483475675</v>
      </c>
      <c r="T214" t="str">
        <f t="shared" si="54"/>
        <v>OK</v>
      </c>
    </row>
    <row r="215" spans="1:20">
      <c r="A215" s="1">
        <f>Weekly_Product_Demand!A215</f>
        <v>46321</v>
      </c>
      <c r="B215" t="str">
        <f>Weekly_Product_Demand!B215</f>
        <v>P004</v>
      </c>
      <c r="C215">
        <f t="shared" si="56"/>
        <v>3268</v>
      </c>
      <c r="D215">
        <f>0</f>
        <v>0</v>
      </c>
      <c r="E215">
        <f t="shared" si="55"/>
        <v>3268</v>
      </c>
      <c r="F215">
        <f>SUMIFS(Weekly_Product_Demand!$D:$D,Weekly_Product_Demand!$A:$A,A215,Weekly_Product_Demand!$B:$B,B215)</f>
        <v>11555</v>
      </c>
      <c r="G215">
        <f t="shared" si="43"/>
        <v>3301</v>
      </c>
      <c r="H215">
        <f t="shared" si="44"/>
        <v>11588</v>
      </c>
      <c r="I215">
        <f t="shared" si="45"/>
        <v>11600</v>
      </c>
      <c r="J215">
        <f t="shared" si="46"/>
        <v>3313</v>
      </c>
      <c r="K215">
        <v>0.99</v>
      </c>
      <c r="L215">
        <f t="shared" si="47"/>
        <v>11484</v>
      </c>
      <c r="M215">
        <f t="shared" si="48"/>
        <v>3197</v>
      </c>
      <c r="N215">
        <f t="shared" si="49"/>
        <v>0</v>
      </c>
      <c r="O215">
        <f t="shared" si="50"/>
        <v>3197</v>
      </c>
      <c r="P215">
        <f t="shared" si="51"/>
        <v>-116</v>
      </c>
      <c r="Q215" s="2">
        <f t="shared" si="52"/>
        <v>0.99</v>
      </c>
      <c r="R215" t="str">
        <f>_xlfn.XLOOKUP(B215,Product_Line_Map!$A$2:$A$6,Product_Line_Map!$B$2:$B$6,"")</f>
        <v>L02</v>
      </c>
      <c r="S215" s="24">
        <f t="shared" si="53"/>
        <v>1.9367373431414971</v>
      </c>
      <c r="T215" t="str">
        <f t="shared" si="54"/>
        <v>LOW COVER</v>
      </c>
    </row>
    <row r="216" spans="1:20">
      <c r="A216" s="1">
        <f>Weekly_Product_Demand!A216</f>
        <v>46321</v>
      </c>
      <c r="B216" t="str">
        <f>Weekly_Product_Demand!B216</f>
        <v>P005</v>
      </c>
      <c r="C216">
        <f t="shared" si="56"/>
        <v>2243</v>
      </c>
      <c r="D216">
        <f>0</f>
        <v>0</v>
      </c>
      <c r="E216">
        <f t="shared" si="55"/>
        <v>2243</v>
      </c>
      <c r="F216">
        <f>SUMIFS(Weekly_Product_Demand!$D:$D,Weekly_Product_Demand!$A:$A,A216,Weekly_Product_Demand!$B:$B,B216)</f>
        <v>8700</v>
      </c>
      <c r="G216">
        <f t="shared" si="43"/>
        <v>2486</v>
      </c>
      <c r="H216">
        <f t="shared" si="44"/>
        <v>8943</v>
      </c>
      <c r="I216">
        <f t="shared" si="45"/>
        <v>9000</v>
      </c>
      <c r="J216">
        <f t="shared" si="46"/>
        <v>2543</v>
      </c>
      <c r="K216">
        <v>1.02</v>
      </c>
      <c r="L216">
        <f t="shared" si="47"/>
        <v>9180</v>
      </c>
      <c r="M216">
        <f t="shared" si="48"/>
        <v>2723</v>
      </c>
      <c r="N216">
        <f t="shared" si="49"/>
        <v>0</v>
      </c>
      <c r="O216">
        <f t="shared" si="50"/>
        <v>2723</v>
      </c>
      <c r="P216">
        <f t="shared" si="51"/>
        <v>180</v>
      </c>
      <c r="Q216" s="2">
        <f t="shared" si="52"/>
        <v>1.02</v>
      </c>
      <c r="R216" t="str">
        <f>_xlfn.XLOOKUP(B216,Product_Line_Map!$A$2:$A$6,Product_Line_Map!$B$2:$B$6,"")</f>
        <v>L03</v>
      </c>
      <c r="S216" s="24">
        <f t="shared" si="53"/>
        <v>2.1909195402298849</v>
      </c>
      <c r="T216" t="str">
        <f t="shared" si="54"/>
        <v>OK</v>
      </c>
    </row>
    <row r="217" spans="1:20">
      <c r="A217" s="1">
        <f>Weekly_Product_Demand!A217</f>
        <v>46328</v>
      </c>
      <c r="B217" t="str">
        <f>Weekly_Product_Demand!B217</f>
        <v>P001</v>
      </c>
      <c r="C217">
        <f t="shared" si="56"/>
        <v>3785</v>
      </c>
      <c r="D217">
        <f>0</f>
        <v>0</v>
      </c>
      <c r="E217">
        <f t="shared" si="55"/>
        <v>3785</v>
      </c>
      <c r="F217">
        <f>SUMIFS(Weekly_Product_Demand!$D:$D,Weekly_Product_Demand!$A:$A,A217,Weekly_Product_Demand!$B:$B,B217)</f>
        <v>15330</v>
      </c>
      <c r="G217">
        <f t="shared" si="43"/>
        <v>4380</v>
      </c>
      <c r="H217">
        <f t="shared" si="44"/>
        <v>15925</v>
      </c>
      <c r="I217">
        <f t="shared" si="45"/>
        <v>16000</v>
      </c>
      <c r="J217">
        <f t="shared" si="46"/>
        <v>4455</v>
      </c>
      <c r="K217">
        <v>0.99</v>
      </c>
      <c r="L217">
        <f t="shared" si="47"/>
        <v>15840</v>
      </c>
      <c r="M217">
        <f t="shared" si="48"/>
        <v>4295</v>
      </c>
      <c r="N217">
        <f t="shared" si="49"/>
        <v>0</v>
      </c>
      <c r="O217">
        <f t="shared" si="50"/>
        <v>4295</v>
      </c>
      <c r="P217">
        <f t="shared" si="51"/>
        <v>-160</v>
      </c>
      <c r="Q217" s="2">
        <f t="shared" si="52"/>
        <v>0.99</v>
      </c>
      <c r="R217" t="str">
        <f>_xlfn.XLOOKUP(B217,Product_Line_Map!$A$2:$A$6,Product_Line_Map!$B$2:$B$6,"")</f>
        <v>L01</v>
      </c>
      <c r="S217" s="24">
        <f t="shared" si="53"/>
        <v>1.9611872146118721</v>
      </c>
      <c r="T217" t="str">
        <f t="shared" si="54"/>
        <v>LOW COVER</v>
      </c>
    </row>
    <row r="218" spans="1:20">
      <c r="A218" s="1">
        <f>Weekly_Product_Demand!A218</f>
        <v>46328</v>
      </c>
      <c r="B218" t="str">
        <f>Weekly_Product_Demand!B218</f>
        <v>P002</v>
      </c>
      <c r="C218">
        <f t="shared" si="56"/>
        <v>3565</v>
      </c>
      <c r="D218">
        <f>0</f>
        <v>0</v>
      </c>
      <c r="E218">
        <f t="shared" si="55"/>
        <v>3565</v>
      </c>
      <c r="F218">
        <f>SUMIFS(Weekly_Product_Demand!$D:$D,Weekly_Product_Demand!$A:$A,A218,Weekly_Product_Demand!$B:$B,B218)</f>
        <v>12764</v>
      </c>
      <c r="G218">
        <f t="shared" si="43"/>
        <v>3647</v>
      </c>
      <c r="H218">
        <f t="shared" si="44"/>
        <v>12846</v>
      </c>
      <c r="I218">
        <f t="shared" si="45"/>
        <v>12900</v>
      </c>
      <c r="J218">
        <f t="shared" si="46"/>
        <v>3701</v>
      </c>
      <c r="K218">
        <v>0.99</v>
      </c>
      <c r="L218">
        <f t="shared" si="47"/>
        <v>12771</v>
      </c>
      <c r="M218">
        <f t="shared" si="48"/>
        <v>3572</v>
      </c>
      <c r="N218">
        <f t="shared" si="49"/>
        <v>0</v>
      </c>
      <c r="O218">
        <f t="shared" si="50"/>
        <v>3572</v>
      </c>
      <c r="P218">
        <f t="shared" si="51"/>
        <v>-129</v>
      </c>
      <c r="Q218" s="2">
        <f t="shared" si="52"/>
        <v>0.99</v>
      </c>
      <c r="R218" t="str">
        <f>_xlfn.XLOOKUP(B218,Product_Line_Map!$A$2:$A$6,Product_Line_Map!$B$2:$B$6,"")</f>
        <v>L02</v>
      </c>
      <c r="S218" s="24">
        <f t="shared" si="53"/>
        <v>1.9589470385459105</v>
      </c>
      <c r="T218" t="str">
        <f t="shared" si="54"/>
        <v>LOW COVER</v>
      </c>
    </row>
    <row r="219" spans="1:20">
      <c r="A219" s="1">
        <f>Weekly_Product_Demand!A219</f>
        <v>46328</v>
      </c>
      <c r="B219" t="str">
        <f>Weekly_Product_Demand!B219</f>
        <v>P003</v>
      </c>
      <c r="C219">
        <f t="shared" si="56"/>
        <v>3120</v>
      </c>
      <c r="D219">
        <f>0</f>
        <v>0</v>
      </c>
      <c r="E219">
        <f t="shared" si="55"/>
        <v>3120</v>
      </c>
      <c r="F219">
        <f>SUMIFS(Weekly_Product_Demand!$D:$D,Weekly_Product_Demand!$A:$A,A219,Weekly_Product_Demand!$B:$B,B219)</f>
        <v>11278</v>
      </c>
      <c r="G219">
        <f t="shared" si="43"/>
        <v>3222</v>
      </c>
      <c r="H219">
        <f t="shared" si="44"/>
        <v>11380</v>
      </c>
      <c r="I219">
        <f t="shared" si="45"/>
        <v>11400</v>
      </c>
      <c r="J219">
        <f t="shared" si="46"/>
        <v>3242</v>
      </c>
      <c r="K219">
        <v>0.98</v>
      </c>
      <c r="L219">
        <f t="shared" si="47"/>
        <v>11172</v>
      </c>
      <c r="M219">
        <f t="shared" si="48"/>
        <v>3014</v>
      </c>
      <c r="N219">
        <f t="shared" si="49"/>
        <v>0</v>
      </c>
      <c r="O219">
        <f t="shared" si="50"/>
        <v>3014</v>
      </c>
      <c r="P219">
        <f t="shared" si="51"/>
        <v>-228</v>
      </c>
      <c r="Q219" s="2">
        <f t="shared" si="52"/>
        <v>0.98</v>
      </c>
      <c r="R219" t="str">
        <f>_xlfn.XLOOKUP(B219,Product_Line_Map!$A$2:$A$6,Product_Line_Map!$B$2:$B$6,"")</f>
        <v>L03</v>
      </c>
      <c r="S219" s="24">
        <f t="shared" si="53"/>
        <v>1.8707217591771592</v>
      </c>
      <c r="T219" t="str">
        <f t="shared" si="54"/>
        <v>LOW COVER</v>
      </c>
    </row>
    <row r="220" spans="1:20">
      <c r="A220" s="1">
        <f>Weekly_Product_Demand!A220</f>
        <v>46328</v>
      </c>
      <c r="B220" t="str">
        <f>Weekly_Product_Demand!B220</f>
        <v>P004</v>
      </c>
      <c r="C220">
        <f t="shared" si="56"/>
        <v>3197</v>
      </c>
      <c r="D220">
        <f>0</f>
        <v>0</v>
      </c>
      <c r="E220">
        <f t="shared" si="55"/>
        <v>3197</v>
      </c>
      <c r="F220">
        <f>SUMIFS(Weekly_Product_Demand!$D:$D,Weekly_Product_Demand!$A:$A,A220,Weekly_Product_Demand!$B:$B,B220)</f>
        <v>12220</v>
      </c>
      <c r="G220">
        <f t="shared" si="43"/>
        <v>3491</v>
      </c>
      <c r="H220">
        <f t="shared" si="44"/>
        <v>12514</v>
      </c>
      <c r="I220">
        <f t="shared" si="45"/>
        <v>12600</v>
      </c>
      <c r="J220">
        <f t="shared" si="46"/>
        <v>3577</v>
      </c>
      <c r="K220">
        <v>1.02</v>
      </c>
      <c r="L220">
        <f t="shared" si="47"/>
        <v>12852</v>
      </c>
      <c r="M220">
        <f t="shared" si="48"/>
        <v>3829</v>
      </c>
      <c r="N220">
        <f t="shared" si="49"/>
        <v>0</v>
      </c>
      <c r="O220">
        <f t="shared" si="50"/>
        <v>3829</v>
      </c>
      <c r="P220">
        <f t="shared" si="51"/>
        <v>252</v>
      </c>
      <c r="Q220" s="2">
        <f t="shared" si="52"/>
        <v>1.02</v>
      </c>
      <c r="R220" t="str">
        <f>_xlfn.XLOOKUP(B220,Product_Line_Map!$A$2:$A$6,Product_Line_Map!$B$2:$B$6,"")</f>
        <v>L02</v>
      </c>
      <c r="S220" s="24">
        <f t="shared" si="53"/>
        <v>2.1933715220949264</v>
      </c>
      <c r="T220" t="str">
        <f t="shared" si="54"/>
        <v>OK</v>
      </c>
    </row>
    <row r="221" spans="1:20">
      <c r="A221" s="1">
        <f>Weekly_Product_Demand!A221</f>
        <v>46328</v>
      </c>
      <c r="B221" t="str">
        <f>Weekly_Product_Demand!B221</f>
        <v>P005</v>
      </c>
      <c r="C221">
        <f t="shared" si="56"/>
        <v>2723</v>
      </c>
      <c r="D221">
        <f>0</f>
        <v>0</v>
      </c>
      <c r="E221">
        <f t="shared" si="55"/>
        <v>2723</v>
      </c>
      <c r="F221">
        <f>SUMIFS(Weekly_Product_Demand!$D:$D,Weekly_Product_Demand!$A:$A,A221,Weekly_Product_Demand!$B:$B,B221)</f>
        <v>9283</v>
      </c>
      <c r="G221">
        <f t="shared" si="43"/>
        <v>2652</v>
      </c>
      <c r="H221">
        <f t="shared" si="44"/>
        <v>9212</v>
      </c>
      <c r="I221">
        <f t="shared" si="45"/>
        <v>9300</v>
      </c>
      <c r="J221">
        <f t="shared" si="46"/>
        <v>2740</v>
      </c>
      <c r="K221">
        <v>0.99</v>
      </c>
      <c r="L221">
        <f t="shared" si="47"/>
        <v>9207</v>
      </c>
      <c r="M221">
        <f t="shared" si="48"/>
        <v>2647</v>
      </c>
      <c r="N221">
        <f t="shared" si="49"/>
        <v>0</v>
      </c>
      <c r="O221">
        <f t="shared" si="50"/>
        <v>2647</v>
      </c>
      <c r="P221">
        <f t="shared" si="51"/>
        <v>-93</v>
      </c>
      <c r="Q221" s="2">
        <f t="shared" si="52"/>
        <v>0.99</v>
      </c>
      <c r="R221" t="str">
        <f>_xlfn.XLOOKUP(B221,Product_Line_Map!$A$2:$A$6,Product_Line_Map!$B$2:$B$6,"")</f>
        <v>L03</v>
      </c>
      <c r="S221" s="24">
        <f t="shared" si="53"/>
        <v>1.9960142195410966</v>
      </c>
      <c r="T221" t="str">
        <f t="shared" si="54"/>
        <v>LOW COVER</v>
      </c>
    </row>
    <row r="222" spans="1:20">
      <c r="A222" s="1">
        <f>Weekly_Product_Demand!A222</f>
        <v>46335</v>
      </c>
      <c r="B222" t="str">
        <f>Weekly_Product_Demand!B222</f>
        <v>P001</v>
      </c>
      <c r="C222">
        <f t="shared" si="56"/>
        <v>4295</v>
      </c>
      <c r="D222">
        <f>0</f>
        <v>0</v>
      </c>
      <c r="E222">
        <f t="shared" si="55"/>
        <v>4295</v>
      </c>
      <c r="F222">
        <f>SUMIFS(Weekly_Product_Demand!$D:$D,Weekly_Product_Demand!$A:$A,A222,Weekly_Product_Demand!$B:$B,B222)</f>
        <v>14359</v>
      </c>
      <c r="G222">
        <f t="shared" si="43"/>
        <v>4103</v>
      </c>
      <c r="H222">
        <f t="shared" si="44"/>
        <v>14167</v>
      </c>
      <c r="I222">
        <f t="shared" si="45"/>
        <v>14200</v>
      </c>
      <c r="J222">
        <f t="shared" si="46"/>
        <v>4136</v>
      </c>
      <c r="K222">
        <v>0.97</v>
      </c>
      <c r="L222">
        <f t="shared" si="47"/>
        <v>13774</v>
      </c>
      <c r="M222">
        <f t="shared" si="48"/>
        <v>3710</v>
      </c>
      <c r="N222">
        <f t="shared" si="49"/>
        <v>0</v>
      </c>
      <c r="O222">
        <f t="shared" si="50"/>
        <v>3710</v>
      </c>
      <c r="P222">
        <f t="shared" si="51"/>
        <v>-426</v>
      </c>
      <c r="Q222" s="2">
        <f t="shared" si="52"/>
        <v>0.97</v>
      </c>
      <c r="R222" t="str">
        <f>_xlfn.XLOOKUP(B222,Product_Line_Map!$A$2:$A$6,Product_Line_Map!$B$2:$B$6,"")</f>
        <v>L01</v>
      </c>
      <c r="S222" s="24">
        <f t="shared" si="53"/>
        <v>1.8086217703182674</v>
      </c>
      <c r="T222" t="str">
        <f t="shared" si="54"/>
        <v>LOW COVER</v>
      </c>
    </row>
    <row r="223" spans="1:20">
      <c r="A223" s="1">
        <f>Weekly_Product_Demand!A223</f>
        <v>46335</v>
      </c>
      <c r="B223" t="str">
        <f>Weekly_Product_Demand!B223</f>
        <v>P002</v>
      </c>
      <c r="C223">
        <f t="shared" si="56"/>
        <v>3572</v>
      </c>
      <c r="D223">
        <f>0</f>
        <v>0</v>
      </c>
      <c r="E223">
        <f t="shared" si="55"/>
        <v>3572</v>
      </c>
      <c r="F223">
        <f>SUMIFS(Weekly_Product_Demand!$D:$D,Weekly_Product_Demand!$A:$A,A223,Weekly_Product_Demand!$B:$B,B223)</f>
        <v>13109</v>
      </c>
      <c r="G223">
        <f t="shared" si="43"/>
        <v>3745</v>
      </c>
      <c r="H223">
        <f t="shared" si="44"/>
        <v>13282</v>
      </c>
      <c r="I223">
        <f t="shared" si="45"/>
        <v>13300</v>
      </c>
      <c r="J223">
        <f t="shared" si="46"/>
        <v>3763</v>
      </c>
      <c r="K223">
        <v>1</v>
      </c>
      <c r="L223">
        <f t="shared" si="47"/>
        <v>13300</v>
      </c>
      <c r="M223">
        <f t="shared" si="48"/>
        <v>3763</v>
      </c>
      <c r="N223">
        <f t="shared" si="49"/>
        <v>0</v>
      </c>
      <c r="O223">
        <f t="shared" si="50"/>
        <v>3763</v>
      </c>
      <c r="P223">
        <f t="shared" si="51"/>
        <v>0</v>
      </c>
      <c r="Q223" s="2">
        <f t="shared" si="52"/>
        <v>1</v>
      </c>
      <c r="R223" t="str">
        <f>_xlfn.XLOOKUP(B223,Product_Line_Map!$A$2:$A$6,Product_Line_Map!$B$2:$B$6,"")</f>
        <v>L02</v>
      </c>
      <c r="S223" s="24">
        <f t="shared" si="53"/>
        <v>2.0093828667327789</v>
      </c>
      <c r="T223" t="str">
        <f t="shared" si="54"/>
        <v>OK</v>
      </c>
    </row>
    <row r="224" spans="1:20">
      <c r="A224" s="1">
        <f>Weekly_Product_Demand!A224</f>
        <v>46335</v>
      </c>
      <c r="B224" t="str">
        <f>Weekly_Product_Demand!B224</f>
        <v>P003</v>
      </c>
      <c r="C224">
        <f t="shared" si="56"/>
        <v>3014</v>
      </c>
      <c r="D224">
        <f>0</f>
        <v>0</v>
      </c>
      <c r="E224">
        <f t="shared" si="55"/>
        <v>3014</v>
      </c>
      <c r="F224">
        <f>SUMIFS(Weekly_Product_Demand!$D:$D,Weekly_Product_Demand!$A:$A,A224,Weekly_Product_Demand!$B:$B,B224)</f>
        <v>11603</v>
      </c>
      <c r="G224">
        <f t="shared" si="43"/>
        <v>3315</v>
      </c>
      <c r="H224">
        <f t="shared" si="44"/>
        <v>11904</v>
      </c>
      <c r="I224">
        <f t="shared" si="45"/>
        <v>12000</v>
      </c>
      <c r="J224">
        <f t="shared" si="46"/>
        <v>3411</v>
      </c>
      <c r="K224">
        <v>0.98</v>
      </c>
      <c r="L224">
        <f t="shared" si="47"/>
        <v>11760</v>
      </c>
      <c r="M224">
        <f t="shared" si="48"/>
        <v>3171</v>
      </c>
      <c r="N224">
        <f t="shared" si="49"/>
        <v>0</v>
      </c>
      <c r="O224">
        <f t="shared" si="50"/>
        <v>3171</v>
      </c>
      <c r="P224">
        <f t="shared" si="51"/>
        <v>-240</v>
      </c>
      <c r="Q224" s="2">
        <f t="shared" si="52"/>
        <v>0.98</v>
      </c>
      <c r="R224" t="str">
        <f>_xlfn.XLOOKUP(B224,Product_Line_Map!$A$2:$A$6,Product_Line_Map!$B$2:$B$6,"")</f>
        <v>L03</v>
      </c>
      <c r="S224" s="24">
        <f t="shared" si="53"/>
        <v>1.9130397311040248</v>
      </c>
      <c r="T224" t="str">
        <f t="shared" si="54"/>
        <v>LOW COVER</v>
      </c>
    </row>
    <row r="225" spans="1:20">
      <c r="A225" s="1">
        <f>Weekly_Product_Demand!A225</f>
        <v>46335</v>
      </c>
      <c r="B225" t="str">
        <f>Weekly_Product_Demand!B225</f>
        <v>P004</v>
      </c>
      <c r="C225">
        <f t="shared" si="56"/>
        <v>3829</v>
      </c>
      <c r="D225">
        <f>0</f>
        <v>0</v>
      </c>
      <c r="E225">
        <f t="shared" si="55"/>
        <v>3829</v>
      </c>
      <c r="F225">
        <f>SUMIFS(Weekly_Product_Demand!$D:$D,Weekly_Product_Demand!$A:$A,A225,Weekly_Product_Demand!$B:$B,B225)</f>
        <v>12013</v>
      </c>
      <c r="G225">
        <f t="shared" si="43"/>
        <v>3432</v>
      </c>
      <c r="H225">
        <f t="shared" si="44"/>
        <v>11616</v>
      </c>
      <c r="I225">
        <f t="shared" si="45"/>
        <v>11700</v>
      </c>
      <c r="J225">
        <f t="shared" si="46"/>
        <v>3516</v>
      </c>
      <c r="K225">
        <v>0.99</v>
      </c>
      <c r="L225">
        <f t="shared" si="47"/>
        <v>11583</v>
      </c>
      <c r="M225">
        <f t="shared" si="48"/>
        <v>3399</v>
      </c>
      <c r="N225">
        <f t="shared" si="49"/>
        <v>0</v>
      </c>
      <c r="O225">
        <f t="shared" si="50"/>
        <v>3399</v>
      </c>
      <c r="P225">
        <f t="shared" si="51"/>
        <v>-117</v>
      </c>
      <c r="Q225" s="2">
        <f t="shared" si="52"/>
        <v>0.99</v>
      </c>
      <c r="R225" t="str">
        <f>_xlfn.XLOOKUP(B225,Product_Line_Map!$A$2:$A$6,Product_Line_Map!$B$2:$B$6,"")</f>
        <v>L02</v>
      </c>
      <c r="S225" s="24">
        <f t="shared" si="53"/>
        <v>1.9806043452925997</v>
      </c>
      <c r="T225" t="str">
        <f t="shared" si="54"/>
        <v>LOW COVER</v>
      </c>
    </row>
    <row r="226" spans="1:20">
      <c r="A226" s="1">
        <f>Weekly_Product_Demand!A226</f>
        <v>46335</v>
      </c>
      <c r="B226" t="str">
        <f>Weekly_Product_Demand!B226</f>
        <v>P005</v>
      </c>
      <c r="C226">
        <f t="shared" si="56"/>
        <v>2647</v>
      </c>
      <c r="D226">
        <f>0</f>
        <v>0</v>
      </c>
      <c r="E226">
        <f t="shared" si="55"/>
        <v>2647</v>
      </c>
      <c r="F226">
        <f>SUMIFS(Weekly_Product_Demand!$D:$D,Weekly_Product_Demand!$A:$A,A226,Weekly_Product_Demand!$B:$B,B226)</f>
        <v>9083</v>
      </c>
      <c r="G226">
        <f t="shared" si="43"/>
        <v>2595</v>
      </c>
      <c r="H226">
        <f t="shared" si="44"/>
        <v>9031</v>
      </c>
      <c r="I226">
        <f t="shared" si="45"/>
        <v>9100</v>
      </c>
      <c r="J226">
        <f t="shared" si="46"/>
        <v>2664</v>
      </c>
      <c r="K226">
        <v>0.97</v>
      </c>
      <c r="L226">
        <f t="shared" si="47"/>
        <v>8827</v>
      </c>
      <c r="M226">
        <f t="shared" si="48"/>
        <v>2391</v>
      </c>
      <c r="N226">
        <f t="shared" si="49"/>
        <v>0</v>
      </c>
      <c r="O226">
        <f t="shared" si="50"/>
        <v>2391</v>
      </c>
      <c r="P226">
        <f t="shared" si="51"/>
        <v>-273</v>
      </c>
      <c r="Q226" s="2">
        <f t="shared" si="52"/>
        <v>0.97</v>
      </c>
      <c r="R226" t="str">
        <f>_xlfn.XLOOKUP(B226,Product_Line_Map!$A$2:$A$6,Product_Line_Map!$B$2:$B$6,"")</f>
        <v>L03</v>
      </c>
      <c r="S226" s="24">
        <f t="shared" si="53"/>
        <v>1.8426731256192885</v>
      </c>
      <c r="T226" t="str">
        <f t="shared" si="54"/>
        <v>LOW COVER</v>
      </c>
    </row>
    <row r="227" spans="1:20">
      <c r="A227" s="1">
        <f>Weekly_Product_Demand!A227</f>
        <v>46342</v>
      </c>
      <c r="B227" t="str">
        <f>Weekly_Product_Demand!B227</f>
        <v>P001</v>
      </c>
      <c r="C227">
        <f t="shared" si="56"/>
        <v>3710</v>
      </c>
      <c r="D227">
        <f>0</f>
        <v>0</v>
      </c>
      <c r="E227">
        <f t="shared" si="55"/>
        <v>3710</v>
      </c>
      <c r="F227">
        <f>SUMIFS(Weekly_Product_Demand!$D:$D,Weekly_Product_Demand!$A:$A,A227,Weekly_Product_Demand!$B:$B,B227)</f>
        <v>15257</v>
      </c>
      <c r="G227">
        <f t="shared" si="43"/>
        <v>4359</v>
      </c>
      <c r="H227">
        <f t="shared" si="44"/>
        <v>15906</v>
      </c>
      <c r="I227">
        <f t="shared" si="45"/>
        <v>16000</v>
      </c>
      <c r="J227">
        <f t="shared" si="46"/>
        <v>4453</v>
      </c>
      <c r="K227">
        <v>0.98</v>
      </c>
      <c r="L227">
        <f t="shared" si="47"/>
        <v>15680</v>
      </c>
      <c r="M227">
        <f t="shared" si="48"/>
        <v>4133</v>
      </c>
      <c r="N227">
        <f t="shared" si="49"/>
        <v>0</v>
      </c>
      <c r="O227">
        <f t="shared" si="50"/>
        <v>4133</v>
      </c>
      <c r="P227">
        <f t="shared" si="51"/>
        <v>-320</v>
      </c>
      <c r="Q227" s="2">
        <f t="shared" si="52"/>
        <v>0.98</v>
      </c>
      <c r="R227" t="str">
        <f>_xlfn.XLOOKUP(B227,Product_Line_Map!$A$2:$A$6,Product_Line_Map!$B$2:$B$6,"")</f>
        <v>L01</v>
      </c>
      <c r="S227" s="24">
        <f t="shared" si="53"/>
        <v>1.8962443468571804</v>
      </c>
      <c r="T227" t="str">
        <f t="shared" si="54"/>
        <v>LOW COVER</v>
      </c>
    </row>
    <row r="228" spans="1:20">
      <c r="A228" s="1">
        <f>Weekly_Product_Demand!A228</f>
        <v>46342</v>
      </c>
      <c r="B228" t="str">
        <f>Weekly_Product_Demand!B228</f>
        <v>P002</v>
      </c>
      <c r="C228">
        <f t="shared" si="56"/>
        <v>3763</v>
      </c>
      <c r="D228">
        <f>0</f>
        <v>0</v>
      </c>
      <c r="E228">
        <f t="shared" si="55"/>
        <v>3763</v>
      </c>
      <c r="F228">
        <f>SUMIFS(Weekly_Product_Demand!$D:$D,Weekly_Product_Demand!$A:$A,A228,Weekly_Product_Demand!$B:$B,B228)</f>
        <v>13077</v>
      </c>
      <c r="G228">
        <f t="shared" si="43"/>
        <v>3736</v>
      </c>
      <c r="H228">
        <f t="shared" si="44"/>
        <v>13050</v>
      </c>
      <c r="I228">
        <f t="shared" si="45"/>
        <v>13100</v>
      </c>
      <c r="J228">
        <f t="shared" si="46"/>
        <v>3786</v>
      </c>
      <c r="K228">
        <v>0.99</v>
      </c>
      <c r="L228">
        <f t="shared" si="47"/>
        <v>12969</v>
      </c>
      <c r="M228">
        <f t="shared" si="48"/>
        <v>3655</v>
      </c>
      <c r="N228">
        <f t="shared" si="49"/>
        <v>0</v>
      </c>
      <c r="O228">
        <f t="shared" si="50"/>
        <v>3655</v>
      </c>
      <c r="P228">
        <f t="shared" si="51"/>
        <v>-131</v>
      </c>
      <c r="Q228" s="2">
        <f t="shared" si="52"/>
        <v>0.99</v>
      </c>
      <c r="R228" t="str">
        <f>_xlfn.XLOOKUP(B228,Product_Line_Map!$A$2:$A$6,Product_Line_Map!$B$2:$B$6,"")</f>
        <v>L02</v>
      </c>
      <c r="S228" s="24">
        <f t="shared" si="53"/>
        <v>1.9564884912441691</v>
      </c>
      <c r="T228" t="str">
        <f t="shared" si="54"/>
        <v>LOW COVER</v>
      </c>
    </row>
    <row r="229" spans="1:20">
      <c r="A229" s="1">
        <f>Weekly_Product_Demand!A229</f>
        <v>46342</v>
      </c>
      <c r="B229" t="str">
        <f>Weekly_Product_Demand!B229</f>
        <v>P003</v>
      </c>
      <c r="C229">
        <f t="shared" si="56"/>
        <v>3171</v>
      </c>
      <c r="D229">
        <f>0</f>
        <v>0</v>
      </c>
      <c r="E229">
        <f t="shared" si="55"/>
        <v>3171</v>
      </c>
      <c r="F229">
        <f>SUMIFS(Weekly_Product_Demand!$D:$D,Weekly_Product_Demand!$A:$A,A229,Weekly_Product_Demand!$B:$B,B229)</f>
        <v>11603</v>
      </c>
      <c r="G229">
        <f t="shared" si="43"/>
        <v>3315</v>
      </c>
      <c r="H229">
        <f t="shared" si="44"/>
        <v>11747</v>
      </c>
      <c r="I229">
        <f t="shared" si="45"/>
        <v>11800</v>
      </c>
      <c r="J229">
        <f t="shared" si="46"/>
        <v>3368</v>
      </c>
      <c r="K229">
        <v>0.97</v>
      </c>
      <c r="L229">
        <f t="shared" si="47"/>
        <v>11446</v>
      </c>
      <c r="M229">
        <f t="shared" si="48"/>
        <v>3014</v>
      </c>
      <c r="N229">
        <f t="shared" si="49"/>
        <v>0</v>
      </c>
      <c r="O229">
        <f t="shared" si="50"/>
        <v>3014</v>
      </c>
      <c r="P229">
        <f t="shared" si="51"/>
        <v>-354</v>
      </c>
      <c r="Q229" s="2">
        <f t="shared" si="52"/>
        <v>0.97</v>
      </c>
      <c r="R229" t="str">
        <f>_xlfn.XLOOKUP(B229,Product_Line_Map!$A$2:$A$6,Product_Line_Map!$B$2:$B$6,"")</f>
        <v>L03</v>
      </c>
      <c r="S229" s="24">
        <f t="shared" si="53"/>
        <v>1.8183228475394293</v>
      </c>
      <c r="T229" t="str">
        <f t="shared" si="54"/>
        <v>LOW COVER</v>
      </c>
    </row>
    <row r="230" spans="1:20">
      <c r="A230" s="1">
        <f>Weekly_Product_Demand!A230</f>
        <v>46342</v>
      </c>
      <c r="B230" t="str">
        <f>Weekly_Product_Demand!B230</f>
        <v>P004</v>
      </c>
      <c r="C230">
        <f t="shared" si="56"/>
        <v>3399</v>
      </c>
      <c r="D230">
        <f>0</f>
        <v>0</v>
      </c>
      <c r="E230">
        <f t="shared" si="55"/>
        <v>3399</v>
      </c>
      <c r="F230">
        <f>SUMIFS(Weekly_Product_Demand!$D:$D,Weekly_Product_Demand!$A:$A,A230,Weekly_Product_Demand!$B:$B,B230)</f>
        <v>12276</v>
      </c>
      <c r="G230">
        <f t="shared" si="43"/>
        <v>3507</v>
      </c>
      <c r="H230">
        <f t="shared" si="44"/>
        <v>12384</v>
      </c>
      <c r="I230">
        <f t="shared" si="45"/>
        <v>12400</v>
      </c>
      <c r="J230">
        <f t="shared" si="46"/>
        <v>3523</v>
      </c>
      <c r="K230">
        <v>1.02</v>
      </c>
      <c r="L230">
        <f t="shared" si="47"/>
        <v>12648</v>
      </c>
      <c r="M230">
        <f t="shared" si="48"/>
        <v>3771</v>
      </c>
      <c r="N230">
        <f t="shared" si="49"/>
        <v>0</v>
      </c>
      <c r="O230">
        <f t="shared" si="50"/>
        <v>3771</v>
      </c>
      <c r="P230">
        <f t="shared" si="51"/>
        <v>248</v>
      </c>
      <c r="Q230" s="2">
        <f t="shared" si="52"/>
        <v>1.02</v>
      </c>
      <c r="R230" t="str">
        <f>_xlfn.XLOOKUP(B230,Product_Line_Map!$A$2:$A$6,Product_Line_Map!$B$2:$B$6,"")</f>
        <v>L02</v>
      </c>
      <c r="S230" s="24">
        <f t="shared" si="53"/>
        <v>2.1502932551319649</v>
      </c>
      <c r="T230" t="str">
        <f t="shared" si="54"/>
        <v>OK</v>
      </c>
    </row>
    <row r="231" spans="1:20">
      <c r="A231" s="1">
        <f>Weekly_Product_Demand!A231</f>
        <v>46342</v>
      </c>
      <c r="B231" t="str">
        <f>Weekly_Product_Demand!B231</f>
        <v>P005</v>
      </c>
      <c r="C231">
        <f t="shared" si="56"/>
        <v>2391</v>
      </c>
      <c r="D231">
        <f>0</f>
        <v>0</v>
      </c>
      <c r="E231">
        <f t="shared" si="55"/>
        <v>2391</v>
      </c>
      <c r="F231">
        <f>SUMIFS(Weekly_Product_Demand!$D:$D,Weekly_Product_Demand!$A:$A,A231,Weekly_Product_Demand!$B:$B,B231)</f>
        <v>9103</v>
      </c>
      <c r="G231">
        <f t="shared" si="43"/>
        <v>2601</v>
      </c>
      <c r="H231">
        <f t="shared" si="44"/>
        <v>9313</v>
      </c>
      <c r="I231">
        <f t="shared" si="45"/>
        <v>9400</v>
      </c>
      <c r="J231">
        <f t="shared" si="46"/>
        <v>2688</v>
      </c>
      <c r="K231">
        <v>1</v>
      </c>
      <c r="L231">
        <f t="shared" si="47"/>
        <v>9400</v>
      </c>
      <c r="M231">
        <f t="shared" si="48"/>
        <v>2688</v>
      </c>
      <c r="N231">
        <f t="shared" si="49"/>
        <v>0</v>
      </c>
      <c r="O231">
        <f t="shared" si="50"/>
        <v>2688</v>
      </c>
      <c r="P231">
        <f t="shared" si="51"/>
        <v>0</v>
      </c>
      <c r="Q231" s="2">
        <f t="shared" si="52"/>
        <v>1</v>
      </c>
      <c r="R231" t="str">
        <f>_xlfn.XLOOKUP(B231,Product_Line_Map!$A$2:$A$6,Product_Line_Map!$B$2:$B$6,"")</f>
        <v>L03</v>
      </c>
      <c r="S231" s="24">
        <f t="shared" si="53"/>
        <v>2.0670108755355381</v>
      </c>
      <c r="T231" t="str">
        <f t="shared" si="54"/>
        <v>OK</v>
      </c>
    </row>
    <row r="232" spans="1:20">
      <c r="A232" s="1">
        <f>Weekly_Product_Demand!A232</f>
        <v>46349</v>
      </c>
      <c r="B232" t="str">
        <f>Weekly_Product_Demand!B232</f>
        <v>P001</v>
      </c>
      <c r="C232">
        <f t="shared" si="56"/>
        <v>4133</v>
      </c>
      <c r="D232">
        <f>0</f>
        <v>0</v>
      </c>
      <c r="E232">
        <f t="shared" si="55"/>
        <v>4133</v>
      </c>
      <c r="F232">
        <f>SUMIFS(Weekly_Product_Demand!$D:$D,Weekly_Product_Demand!$A:$A,A232,Weekly_Product_Demand!$B:$B,B232)</f>
        <v>15042</v>
      </c>
      <c r="G232">
        <f t="shared" si="43"/>
        <v>4298</v>
      </c>
      <c r="H232">
        <f t="shared" si="44"/>
        <v>15207</v>
      </c>
      <c r="I232">
        <f t="shared" si="45"/>
        <v>15300</v>
      </c>
      <c r="J232">
        <f t="shared" si="46"/>
        <v>4391</v>
      </c>
      <c r="K232">
        <v>0.99</v>
      </c>
      <c r="L232">
        <f t="shared" si="47"/>
        <v>15147</v>
      </c>
      <c r="M232">
        <f t="shared" si="48"/>
        <v>4238</v>
      </c>
      <c r="N232">
        <f t="shared" si="49"/>
        <v>0</v>
      </c>
      <c r="O232">
        <f t="shared" si="50"/>
        <v>4238</v>
      </c>
      <c r="P232">
        <f t="shared" si="51"/>
        <v>-153</v>
      </c>
      <c r="Q232" s="2">
        <f t="shared" si="52"/>
        <v>0.99</v>
      </c>
      <c r="R232" t="str">
        <f>_xlfn.XLOOKUP(B232,Product_Line_Map!$A$2:$A$6,Product_Line_Map!$B$2:$B$6,"")</f>
        <v>L01</v>
      </c>
      <c r="S232" s="24">
        <f t="shared" si="53"/>
        <v>1.9722111421353545</v>
      </c>
      <c r="T232" t="str">
        <f t="shared" si="54"/>
        <v>LOW COVER</v>
      </c>
    </row>
    <row r="233" spans="1:20">
      <c r="A233" s="1">
        <f>Weekly_Product_Demand!A233</f>
        <v>46349</v>
      </c>
      <c r="B233" t="str">
        <f>Weekly_Product_Demand!B233</f>
        <v>P002</v>
      </c>
      <c r="C233">
        <f t="shared" si="56"/>
        <v>3655</v>
      </c>
      <c r="D233">
        <f>0</f>
        <v>0</v>
      </c>
      <c r="E233">
        <f t="shared" si="55"/>
        <v>3655</v>
      </c>
      <c r="F233">
        <f>SUMIFS(Weekly_Product_Demand!$D:$D,Weekly_Product_Demand!$A:$A,A233,Weekly_Product_Demand!$B:$B,B233)</f>
        <v>12710</v>
      </c>
      <c r="G233">
        <f t="shared" si="43"/>
        <v>3631</v>
      </c>
      <c r="H233">
        <f t="shared" si="44"/>
        <v>12686</v>
      </c>
      <c r="I233">
        <f t="shared" si="45"/>
        <v>12700</v>
      </c>
      <c r="J233">
        <f t="shared" si="46"/>
        <v>3645</v>
      </c>
      <c r="K233">
        <v>1.02</v>
      </c>
      <c r="L233">
        <f t="shared" si="47"/>
        <v>12954</v>
      </c>
      <c r="M233">
        <f t="shared" si="48"/>
        <v>3899</v>
      </c>
      <c r="N233">
        <f t="shared" si="49"/>
        <v>0</v>
      </c>
      <c r="O233">
        <f t="shared" si="50"/>
        <v>3899</v>
      </c>
      <c r="P233">
        <f t="shared" si="51"/>
        <v>254</v>
      </c>
      <c r="Q233" s="2">
        <f t="shared" si="52"/>
        <v>1.02</v>
      </c>
      <c r="R233" t="str">
        <f>_xlfn.XLOOKUP(B233,Product_Line_Map!$A$2:$A$6,Product_Line_Map!$B$2:$B$6,"")</f>
        <v>L02</v>
      </c>
      <c r="S233" s="24">
        <f t="shared" si="53"/>
        <v>2.1473642800944139</v>
      </c>
      <c r="T233" t="str">
        <f t="shared" si="54"/>
        <v>OK</v>
      </c>
    </row>
    <row r="234" spans="1:20">
      <c r="A234" s="1">
        <f>Weekly_Product_Demand!A234</f>
        <v>46349</v>
      </c>
      <c r="B234" t="str">
        <f>Weekly_Product_Demand!B234</f>
        <v>P003</v>
      </c>
      <c r="C234">
        <f t="shared" si="56"/>
        <v>3014</v>
      </c>
      <c r="D234">
        <f>0</f>
        <v>0</v>
      </c>
      <c r="E234">
        <f t="shared" si="55"/>
        <v>3014</v>
      </c>
      <c r="F234">
        <f>SUMIFS(Weekly_Product_Demand!$D:$D,Weekly_Product_Demand!$A:$A,A234,Weekly_Product_Demand!$B:$B,B234)</f>
        <v>11289</v>
      </c>
      <c r="G234">
        <f t="shared" si="43"/>
        <v>3225</v>
      </c>
      <c r="H234">
        <f t="shared" si="44"/>
        <v>11500</v>
      </c>
      <c r="I234">
        <f t="shared" si="45"/>
        <v>11500</v>
      </c>
      <c r="J234">
        <f t="shared" si="46"/>
        <v>3225</v>
      </c>
      <c r="K234">
        <v>0.98</v>
      </c>
      <c r="L234">
        <f t="shared" si="47"/>
        <v>11270</v>
      </c>
      <c r="M234">
        <f t="shared" si="48"/>
        <v>2995</v>
      </c>
      <c r="N234">
        <f t="shared" si="49"/>
        <v>0</v>
      </c>
      <c r="O234">
        <f t="shared" si="50"/>
        <v>2995</v>
      </c>
      <c r="P234">
        <f t="shared" si="51"/>
        <v>-230</v>
      </c>
      <c r="Q234" s="2">
        <f t="shared" si="52"/>
        <v>0.98</v>
      </c>
      <c r="R234" t="str">
        <f>_xlfn.XLOOKUP(B234,Product_Line_Map!$A$2:$A$6,Product_Line_Map!$B$2:$B$6,"")</f>
        <v>L03</v>
      </c>
      <c r="S234" s="24">
        <f t="shared" si="53"/>
        <v>1.8571175480556292</v>
      </c>
      <c r="T234" t="str">
        <f t="shared" si="54"/>
        <v>LOW COVER</v>
      </c>
    </row>
    <row r="235" spans="1:20">
      <c r="A235" s="1">
        <f>Weekly_Product_Demand!A235</f>
        <v>46349</v>
      </c>
      <c r="B235" t="str">
        <f>Weekly_Product_Demand!B235</f>
        <v>P004</v>
      </c>
      <c r="C235">
        <f t="shared" si="56"/>
        <v>3771</v>
      </c>
      <c r="D235">
        <f>0</f>
        <v>0</v>
      </c>
      <c r="E235">
        <f t="shared" si="55"/>
        <v>3771</v>
      </c>
      <c r="F235">
        <f>SUMIFS(Weekly_Product_Demand!$D:$D,Weekly_Product_Demand!$A:$A,A235,Weekly_Product_Demand!$B:$B,B235)</f>
        <v>12183</v>
      </c>
      <c r="G235">
        <f t="shared" si="43"/>
        <v>3481</v>
      </c>
      <c r="H235">
        <f t="shared" si="44"/>
        <v>11893</v>
      </c>
      <c r="I235">
        <f t="shared" si="45"/>
        <v>11900</v>
      </c>
      <c r="J235">
        <f t="shared" si="46"/>
        <v>3488</v>
      </c>
      <c r="K235">
        <v>0.98</v>
      </c>
      <c r="L235">
        <f t="shared" si="47"/>
        <v>11662</v>
      </c>
      <c r="M235">
        <f t="shared" si="48"/>
        <v>3250</v>
      </c>
      <c r="N235">
        <f t="shared" si="49"/>
        <v>0</v>
      </c>
      <c r="O235">
        <f t="shared" si="50"/>
        <v>3250</v>
      </c>
      <c r="P235">
        <f t="shared" si="51"/>
        <v>-238</v>
      </c>
      <c r="Q235" s="2">
        <f t="shared" si="52"/>
        <v>0.98</v>
      </c>
      <c r="R235" t="str">
        <f>_xlfn.XLOOKUP(B235,Product_Line_Map!$A$2:$A$6,Product_Line_Map!$B$2:$B$6,"")</f>
        <v>L02</v>
      </c>
      <c r="S235" s="24">
        <f t="shared" si="53"/>
        <v>1.8673561520151032</v>
      </c>
      <c r="T235" t="str">
        <f t="shared" si="54"/>
        <v>LOW COVER</v>
      </c>
    </row>
    <row r="236" spans="1:20">
      <c r="A236" s="1">
        <f>Weekly_Product_Demand!A236</f>
        <v>46349</v>
      </c>
      <c r="B236" t="str">
        <f>Weekly_Product_Demand!B236</f>
        <v>P005</v>
      </c>
      <c r="C236">
        <f t="shared" si="56"/>
        <v>2688</v>
      </c>
      <c r="D236">
        <f>0</f>
        <v>0</v>
      </c>
      <c r="E236">
        <f t="shared" si="55"/>
        <v>2688</v>
      </c>
      <c r="F236">
        <f>SUMIFS(Weekly_Product_Demand!$D:$D,Weekly_Product_Demand!$A:$A,A236,Weekly_Product_Demand!$B:$B,B236)</f>
        <v>9269</v>
      </c>
      <c r="G236">
        <f t="shared" si="43"/>
        <v>2648</v>
      </c>
      <c r="H236">
        <f t="shared" si="44"/>
        <v>9229</v>
      </c>
      <c r="I236">
        <f t="shared" si="45"/>
        <v>9300</v>
      </c>
      <c r="J236">
        <f t="shared" si="46"/>
        <v>2719</v>
      </c>
      <c r="K236">
        <v>1</v>
      </c>
      <c r="L236">
        <f t="shared" si="47"/>
        <v>9300</v>
      </c>
      <c r="M236">
        <f t="shared" si="48"/>
        <v>2719</v>
      </c>
      <c r="N236">
        <f t="shared" si="49"/>
        <v>0</v>
      </c>
      <c r="O236">
        <f t="shared" si="50"/>
        <v>2719</v>
      </c>
      <c r="P236">
        <f t="shared" si="51"/>
        <v>0</v>
      </c>
      <c r="Q236" s="2">
        <f t="shared" si="52"/>
        <v>1</v>
      </c>
      <c r="R236" t="str">
        <f>_xlfn.XLOOKUP(B236,Product_Line_Map!$A$2:$A$6,Product_Line_Map!$B$2:$B$6,"")</f>
        <v>L03</v>
      </c>
      <c r="S236" s="24">
        <f t="shared" si="53"/>
        <v>2.0534038191822201</v>
      </c>
      <c r="T236" t="str">
        <f t="shared" si="54"/>
        <v>OK</v>
      </c>
    </row>
    <row r="237" spans="1:20">
      <c r="A237" s="1">
        <f>Weekly_Product_Demand!A237</f>
        <v>46356</v>
      </c>
      <c r="B237" t="str">
        <f>Weekly_Product_Demand!B237</f>
        <v>P001</v>
      </c>
      <c r="C237">
        <f t="shared" si="56"/>
        <v>4238</v>
      </c>
      <c r="D237">
        <f>0</f>
        <v>0</v>
      </c>
      <c r="E237">
        <f t="shared" si="55"/>
        <v>4238</v>
      </c>
      <c r="F237">
        <f>SUMIFS(Weekly_Product_Demand!$D:$D,Weekly_Product_Demand!$A:$A,A237,Weekly_Product_Demand!$B:$B,B237)</f>
        <v>15181</v>
      </c>
      <c r="G237">
        <f t="shared" si="43"/>
        <v>4337</v>
      </c>
      <c r="H237">
        <f t="shared" si="44"/>
        <v>15280</v>
      </c>
      <c r="I237">
        <f t="shared" si="45"/>
        <v>15300</v>
      </c>
      <c r="J237">
        <f t="shared" si="46"/>
        <v>4357</v>
      </c>
      <c r="K237">
        <v>1</v>
      </c>
      <c r="L237">
        <f t="shared" si="47"/>
        <v>15300</v>
      </c>
      <c r="M237">
        <f t="shared" si="48"/>
        <v>4357</v>
      </c>
      <c r="N237">
        <f t="shared" si="49"/>
        <v>0</v>
      </c>
      <c r="O237">
        <f t="shared" si="50"/>
        <v>4357</v>
      </c>
      <c r="P237">
        <f t="shared" si="51"/>
        <v>0</v>
      </c>
      <c r="Q237" s="2">
        <f t="shared" si="52"/>
        <v>1</v>
      </c>
      <c r="R237" t="str">
        <f>_xlfn.XLOOKUP(B237,Product_Line_Map!$A$2:$A$6,Product_Line_Map!$B$2:$B$6,"")</f>
        <v>L01</v>
      </c>
      <c r="S237" s="24">
        <f t="shared" si="53"/>
        <v>2.0090244384427902</v>
      </c>
      <c r="T237" t="str">
        <f t="shared" si="54"/>
        <v>OK</v>
      </c>
    </row>
    <row r="238" spans="1:20">
      <c r="A238" s="1">
        <f>Weekly_Product_Demand!A238</f>
        <v>46356</v>
      </c>
      <c r="B238" t="str">
        <f>Weekly_Product_Demand!B238</f>
        <v>P002</v>
      </c>
      <c r="C238">
        <f t="shared" si="56"/>
        <v>3899</v>
      </c>
      <c r="D238">
        <f>0</f>
        <v>0</v>
      </c>
      <c r="E238">
        <f t="shared" si="55"/>
        <v>3899</v>
      </c>
      <c r="F238">
        <f>SUMIFS(Weekly_Product_Demand!$D:$D,Weekly_Product_Demand!$A:$A,A238,Weekly_Product_Demand!$B:$B,B238)</f>
        <v>13088</v>
      </c>
      <c r="G238">
        <f t="shared" si="43"/>
        <v>3739</v>
      </c>
      <c r="H238">
        <f t="shared" si="44"/>
        <v>12928</v>
      </c>
      <c r="I238">
        <f t="shared" si="45"/>
        <v>13000</v>
      </c>
      <c r="J238">
        <f t="shared" si="46"/>
        <v>3811</v>
      </c>
      <c r="K238">
        <v>0.97</v>
      </c>
      <c r="L238">
        <f t="shared" si="47"/>
        <v>12610</v>
      </c>
      <c r="M238">
        <f t="shared" si="48"/>
        <v>3421</v>
      </c>
      <c r="N238">
        <f t="shared" si="49"/>
        <v>0</v>
      </c>
      <c r="O238">
        <f t="shared" si="50"/>
        <v>3421</v>
      </c>
      <c r="P238">
        <f t="shared" si="51"/>
        <v>-390</v>
      </c>
      <c r="Q238" s="2">
        <f t="shared" si="52"/>
        <v>0.97</v>
      </c>
      <c r="R238" t="str">
        <f>_xlfn.XLOOKUP(B238,Product_Line_Map!$A$2:$A$6,Product_Line_Map!$B$2:$B$6,"")</f>
        <v>L02</v>
      </c>
      <c r="S238" s="24">
        <f t="shared" si="53"/>
        <v>1.8296913202933984</v>
      </c>
      <c r="T238" t="str">
        <f t="shared" si="54"/>
        <v>LOW COVER</v>
      </c>
    </row>
    <row r="239" spans="1:20">
      <c r="A239" s="1">
        <f>Weekly_Product_Demand!A239</f>
        <v>46356</v>
      </c>
      <c r="B239" t="str">
        <f>Weekly_Product_Demand!B239</f>
        <v>P003</v>
      </c>
      <c r="C239">
        <f t="shared" si="56"/>
        <v>2995</v>
      </c>
      <c r="D239">
        <f>0</f>
        <v>0</v>
      </c>
      <c r="E239">
        <f t="shared" si="55"/>
        <v>2995</v>
      </c>
      <c r="F239">
        <f>SUMIFS(Weekly_Product_Demand!$D:$D,Weekly_Product_Demand!$A:$A,A239,Weekly_Product_Demand!$B:$B,B239)</f>
        <v>11223</v>
      </c>
      <c r="G239">
        <f t="shared" si="43"/>
        <v>3207</v>
      </c>
      <c r="H239">
        <f t="shared" si="44"/>
        <v>11435</v>
      </c>
      <c r="I239">
        <f t="shared" si="45"/>
        <v>11500</v>
      </c>
      <c r="J239">
        <f t="shared" si="46"/>
        <v>3272</v>
      </c>
      <c r="K239">
        <v>1.02</v>
      </c>
      <c r="L239">
        <f t="shared" si="47"/>
        <v>11730</v>
      </c>
      <c r="M239">
        <f t="shared" si="48"/>
        <v>3502</v>
      </c>
      <c r="N239">
        <f t="shared" si="49"/>
        <v>0</v>
      </c>
      <c r="O239">
        <f t="shared" si="50"/>
        <v>3502</v>
      </c>
      <c r="P239">
        <f t="shared" si="51"/>
        <v>230</v>
      </c>
      <c r="Q239" s="2">
        <f t="shared" si="52"/>
        <v>1.02</v>
      </c>
      <c r="R239" t="str">
        <f>_xlfn.XLOOKUP(B239,Product_Line_Map!$A$2:$A$6,Product_Line_Map!$B$2:$B$6,"")</f>
        <v>L03</v>
      </c>
      <c r="S239" s="24">
        <f t="shared" si="53"/>
        <v>2.1842644569188274</v>
      </c>
      <c r="T239" t="str">
        <f t="shared" si="54"/>
        <v>OK</v>
      </c>
    </row>
    <row r="240" spans="1:20">
      <c r="A240" s="1">
        <f>Weekly_Product_Demand!A240</f>
        <v>46356</v>
      </c>
      <c r="B240" t="str">
        <f>Weekly_Product_Demand!B240</f>
        <v>P004</v>
      </c>
      <c r="C240">
        <f t="shared" si="56"/>
        <v>3250</v>
      </c>
      <c r="D240">
        <f>0</f>
        <v>0</v>
      </c>
      <c r="E240">
        <f t="shared" si="55"/>
        <v>3250</v>
      </c>
      <c r="F240">
        <f>SUMIFS(Weekly_Product_Demand!$D:$D,Weekly_Product_Demand!$A:$A,A240,Weekly_Product_Demand!$B:$B,B240)</f>
        <v>12161</v>
      </c>
      <c r="G240">
        <f t="shared" si="43"/>
        <v>3475</v>
      </c>
      <c r="H240">
        <f t="shared" si="44"/>
        <v>12386</v>
      </c>
      <c r="I240">
        <f t="shared" si="45"/>
        <v>12400</v>
      </c>
      <c r="J240">
        <f t="shared" si="46"/>
        <v>3489</v>
      </c>
      <c r="K240">
        <v>1.02</v>
      </c>
      <c r="L240">
        <f t="shared" si="47"/>
        <v>12648</v>
      </c>
      <c r="M240">
        <f t="shared" si="48"/>
        <v>3737</v>
      </c>
      <c r="N240">
        <f t="shared" si="49"/>
        <v>0</v>
      </c>
      <c r="O240">
        <f t="shared" si="50"/>
        <v>3737</v>
      </c>
      <c r="P240">
        <f t="shared" si="51"/>
        <v>248</v>
      </c>
      <c r="Q240" s="2">
        <f t="shared" si="52"/>
        <v>1.02</v>
      </c>
      <c r="R240" t="str">
        <f>_xlfn.XLOOKUP(B240,Product_Line_Map!$A$2:$A$6,Product_Line_Map!$B$2:$B$6,"")</f>
        <v>L02</v>
      </c>
      <c r="S240" s="24">
        <f t="shared" si="53"/>
        <v>2.1510566565249567</v>
      </c>
      <c r="T240" t="str">
        <f t="shared" si="54"/>
        <v>OK</v>
      </c>
    </row>
    <row r="241" spans="1:20">
      <c r="A241" s="1">
        <f>Weekly_Product_Demand!A241</f>
        <v>46356</v>
      </c>
      <c r="B241" t="str">
        <f>Weekly_Product_Demand!B241</f>
        <v>P005</v>
      </c>
      <c r="C241">
        <f t="shared" si="56"/>
        <v>2719</v>
      </c>
      <c r="D241">
        <f>0</f>
        <v>0</v>
      </c>
      <c r="E241">
        <f t="shared" si="55"/>
        <v>2719</v>
      </c>
      <c r="F241">
        <f>SUMIFS(Weekly_Product_Demand!$D:$D,Weekly_Product_Demand!$A:$A,A241,Weekly_Product_Demand!$B:$B,B241)</f>
        <v>9371</v>
      </c>
      <c r="G241">
        <f t="shared" si="43"/>
        <v>2677</v>
      </c>
      <c r="H241">
        <f t="shared" si="44"/>
        <v>9329</v>
      </c>
      <c r="I241">
        <f t="shared" si="45"/>
        <v>9400</v>
      </c>
      <c r="J241">
        <f t="shared" si="46"/>
        <v>2748</v>
      </c>
      <c r="K241">
        <v>0.98</v>
      </c>
      <c r="L241">
        <f t="shared" si="47"/>
        <v>9212</v>
      </c>
      <c r="M241">
        <f t="shared" si="48"/>
        <v>2560</v>
      </c>
      <c r="N241">
        <f t="shared" si="49"/>
        <v>0</v>
      </c>
      <c r="O241">
        <f t="shared" si="50"/>
        <v>2560</v>
      </c>
      <c r="P241">
        <f t="shared" si="51"/>
        <v>-188</v>
      </c>
      <c r="Q241" s="2">
        <f t="shared" si="52"/>
        <v>0.98</v>
      </c>
      <c r="R241" t="str">
        <f>_xlfn.XLOOKUP(B241,Product_Line_Map!$A$2:$A$6,Product_Line_Map!$B$2:$B$6,"")</f>
        <v>L03</v>
      </c>
      <c r="S241" s="24">
        <f t="shared" si="53"/>
        <v>1.9122825738981966</v>
      </c>
      <c r="T241" t="str">
        <f t="shared" si="54"/>
        <v>LOW COVER</v>
      </c>
    </row>
    <row r="242" spans="1:20">
      <c r="A242" s="1">
        <f>Weekly_Product_Demand!A242</f>
        <v>46363</v>
      </c>
      <c r="B242" t="str">
        <f>Weekly_Product_Demand!B242</f>
        <v>P001</v>
      </c>
      <c r="C242">
        <f t="shared" si="56"/>
        <v>4357</v>
      </c>
      <c r="D242">
        <f>0</f>
        <v>0</v>
      </c>
      <c r="E242">
        <f t="shared" si="55"/>
        <v>4357</v>
      </c>
      <c r="F242">
        <f>SUMIFS(Weekly_Product_Demand!$D:$D,Weekly_Product_Demand!$A:$A,A242,Weekly_Product_Demand!$B:$B,B242)</f>
        <v>16879</v>
      </c>
      <c r="G242">
        <f t="shared" si="43"/>
        <v>4823</v>
      </c>
      <c r="H242">
        <f t="shared" si="44"/>
        <v>17345</v>
      </c>
      <c r="I242">
        <f t="shared" si="45"/>
        <v>17400</v>
      </c>
      <c r="J242">
        <f t="shared" si="46"/>
        <v>4878</v>
      </c>
      <c r="K242">
        <v>1.01</v>
      </c>
      <c r="L242">
        <f t="shared" si="47"/>
        <v>17574</v>
      </c>
      <c r="M242">
        <f t="shared" si="48"/>
        <v>5052</v>
      </c>
      <c r="N242">
        <f t="shared" si="49"/>
        <v>0</v>
      </c>
      <c r="O242">
        <f t="shared" si="50"/>
        <v>5052</v>
      </c>
      <c r="P242">
        <f t="shared" si="51"/>
        <v>174</v>
      </c>
      <c r="Q242" s="2">
        <f t="shared" si="52"/>
        <v>1.01</v>
      </c>
      <c r="R242" t="str">
        <f>_xlfn.XLOOKUP(B242,Product_Line_Map!$A$2:$A$6,Product_Line_Map!$B$2:$B$6,"")</f>
        <v>L01</v>
      </c>
      <c r="S242" s="24">
        <f t="shared" si="53"/>
        <v>2.0951478168137925</v>
      </c>
      <c r="T242" t="str">
        <f t="shared" si="54"/>
        <v>OK</v>
      </c>
    </row>
    <row r="243" spans="1:20">
      <c r="A243" s="1">
        <f>Weekly_Product_Demand!A243</f>
        <v>46363</v>
      </c>
      <c r="B243" t="str">
        <f>Weekly_Product_Demand!B243</f>
        <v>P002</v>
      </c>
      <c r="C243">
        <f t="shared" si="56"/>
        <v>3421</v>
      </c>
      <c r="D243">
        <f>0</f>
        <v>0</v>
      </c>
      <c r="E243">
        <f t="shared" si="55"/>
        <v>3421</v>
      </c>
      <c r="F243">
        <f>SUMIFS(Weekly_Product_Demand!$D:$D,Weekly_Product_Demand!$A:$A,A243,Weekly_Product_Demand!$B:$B,B243)</f>
        <v>14765</v>
      </c>
      <c r="G243">
        <f t="shared" si="43"/>
        <v>4219</v>
      </c>
      <c r="H243">
        <f t="shared" si="44"/>
        <v>15563</v>
      </c>
      <c r="I243">
        <f t="shared" si="45"/>
        <v>15600</v>
      </c>
      <c r="J243">
        <f t="shared" si="46"/>
        <v>4256</v>
      </c>
      <c r="K243">
        <v>0.98</v>
      </c>
      <c r="L243">
        <f t="shared" si="47"/>
        <v>15288</v>
      </c>
      <c r="M243">
        <f t="shared" si="48"/>
        <v>3944</v>
      </c>
      <c r="N243">
        <f t="shared" si="49"/>
        <v>0</v>
      </c>
      <c r="O243">
        <f t="shared" si="50"/>
        <v>3944</v>
      </c>
      <c r="P243">
        <f t="shared" si="51"/>
        <v>-312</v>
      </c>
      <c r="Q243" s="2">
        <f t="shared" si="52"/>
        <v>0.98</v>
      </c>
      <c r="R243" t="str">
        <f>_xlfn.XLOOKUP(B243,Product_Line_Map!$A$2:$A$6,Product_Line_Map!$B$2:$B$6,"")</f>
        <v>L02</v>
      </c>
      <c r="S243" s="24">
        <f t="shared" si="53"/>
        <v>1.8698272942770064</v>
      </c>
      <c r="T243" t="str">
        <f t="shared" si="54"/>
        <v>LOW COVER</v>
      </c>
    </row>
    <row r="244" spans="1:20">
      <c r="A244" s="1">
        <f>Weekly_Product_Demand!A244</f>
        <v>46363</v>
      </c>
      <c r="B244" t="str">
        <f>Weekly_Product_Demand!B244</f>
        <v>P003</v>
      </c>
      <c r="C244">
        <f t="shared" si="56"/>
        <v>3502</v>
      </c>
      <c r="D244">
        <f>0</f>
        <v>0</v>
      </c>
      <c r="E244">
        <f t="shared" si="55"/>
        <v>3502</v>
      </c>
      <c r="F244">
        <f>SUMIFS(Weekly_Product_Demand!$D:$D,Weekly_Product_Demand!$A:$A,A244,Weekly_Product_Demand!$B:$B,B244)</f>
        <v>13311</v>
      </c>
      <c r="G244">
        <f t="shared" si="43"/>
        <v>3803</v>
      </c>
      <c r="H244">
        <f t="shared" si="44"/>
        <v>13612</v>
      </c>
      <c r="I244">
        <f t="shared" si="45"/>
        <v>13700</v>
      </c>
      <c r="J244">
        <f t="shared" si="46"/>
        <v>3891</v>
      </c>
      <c r="K244">
        <v>1.01</v>
      </c>
      <c r="L244">
        <f t="shared" si="47"/>
        <v>13837</v>
      </c>
      <c r="M244">
        <f t="shared" si="48"/>
        <v>4028</v>
      </c>
      <c r="N244">
        <f t="shared" si="49"/>
        <v>0</v>
      </c>
      <c r="O244">
        <f t="shared" si="50"/>
        <v>4028</v>
      </c>
      <c r="P244">
        <f t="shared" si="51"/>
        <v>137</v>
      </c>
      <c r="Q244" s="2">
        <f t="shared" si="52"/>
        <v>1.01</v>
      </c>
      <c r="R244" t="str">
        <f>_xlfn.XLOOKUP(B244,Product_Line_Map!$A$2:$A$6,Product_Line_Map!$B$2:$B$6,"")</f>
        <v>L03</v>
      </c>
      <c r="S244" s="24">
        <f t="shared" si="53"/>
        <v>2.1182480655097287</v>
      </c>
      <c r="T244" t="str">
        <f t="shared" si="54"/>
        <v>OK</v>
      </c>
    </row>
    <row r="245" spans="1:20">
      <c r="A245" s="1">
        <f>Weekly_Product_Demand!A245</f>
        <v>46363</v>
      </c>
      <c r="B245" t="str">
        <f>Weekly_Product_Demand!B245</f>
        <v>P004</v>
      </c>
      <c r="C245">
        <f t="shared" si="56"/>
        <v>3737</v>
      </c>
      <c r="D245">
        <f>0</f>
        <v>0</v>
      </c>
      <c r="E245">
        <f t="shared" si="55"/>
        <v>3737</v>
      </c>
      <c r="F245">
        <f>SUMIFS(Weekly_Product_Demand!$D:$D,Weekly_Product_Demand!$A:$A,A245,Weekly_Product_Demand!$B:$B,B245)</f>
        <v>13899</v>
      </c>
      <c r="G245">
        <f t="shared" si="43"/>
        <v>3971</v>
      </c>
      <c r="H245">
        <f t="shared" si="44"/>
        <v>14133</v>
      </c>
      <c r="I245">
        <f t="shared" si="45"/>
        <v>14200</v>
      </c>
      <c r="J245">
        <f t="shared" si="46"/>
        <v>4038</v>
      </c>
      <c r="K245">
        <v>0.98</v>
      </c>
      <c r="L245">
        <f t="shared" si="47"/>
        <v>13916</v>
      </c>
      <c r="M245">
        <f t="shared" si="48"/>
        <v>3754</v>
      </c>
      <c r="N245">
        <f t="shared" si="49"/>
        <v>0</v>
      </c>
      <c r="O245">
        <f t="shared" si="50"/>
        <v>3754</v>
      </c>
      <c r="P245">
        <f t="shared" si="51"/>
        <v>-284</v>
      </c>
      <c r="Q245" s="2">
        <f t="shared" si="52"/>
        <v>0.98</v>
      </c>
      <c r="R245" t="str">
        <f>_xlfn.XLOOKUP(B245,Product_Line_Map!$A$2:$A$6,Product_Line_Map!$B$2:$B$6,"")</f>
        <v>L02</v>
      </c>
      <c r="S245" s="24">
        <f t="shared" si="53"/>
        <v>1.8906396143607453</v>
      </c>
      <c r="T245" t="str">
        <f t="shared" si="54"/>
        <v>LOW COVER</v>
      </c>
    </row>
    <row r="246" spans="1:20">
      <c r="A246" s="1">
        <f>Weekly_Product_Demand!A246</f>
        <v>46363</v>
      </c>
      <c r="B246" t="str">
        <f>Weekly_Product_Demand!B246</f>
        <v>P005</v>
      </c>
      <c r="C246">
        <f t="shared" si="56"/>
        <v>2560</v>
      </c>
      <c r="D246">
        <f>0</f>
        <v>0</v>
      </c>
      <c r="E246">
        <f t="shared" si="55"/>
        <v>2560</v>
      </c>
      <c r="F246">
        <f>SUMIFS(Weekly_Product_Demand!$D:$D,Weekly_Product_Demand!$A:$A,A246,Weekly_Product_Demand!$B:$B,B246)</f>
        <v>10341</v>
      </c>
      <c r="G246">
        <f t="shared" si="43"/>
        <v>2955</v>
      </c>
      <c r="H246">
        <f t="shared" si="44"/>
        <v>10736</v>
      </c>
      <c r="I246">
        <f t="shared" si="45"/>
        <v>10800</v>
      </c>
      <c r="J246">
        <f t="shared" si="46"/>
        <v>3019</v>
      </c>
      <c r="K246">
        <v>0.7</v>
      </c>
      <c r="L246">
        <f t="shared" si="47"/>
        <v>7560</v>
      </c>
      <c r="M246">
        <f t="shared" si="48"/>
        <v>-221</v>
      </c>
      <c r="N246">
        <f t="shared" si="49"/>
        <v>221</v>
      </c>
      <c r="O246">
        <f t="shared" si="50"/>
        <v>0</v>
      </c>
      <c r="P246">
        <f t="shared" si="51"/>
        <v>-3240</v>
      </c>
      <c r="Q246" s="2">
        <f t="shared" si="52"/>
        <v>0.7</v>
      </c>
      <c r="R246" t="str">
        <f>_xlfn.XLOOKUP(B246,Product_Line_Map!$A$2:$A$6,Product_Line_Map!$B$2:$B$6,"")</f>
        <v>L03</v>
      </c>
      <c r="S246" s="24">
        <f t="shared" si="53"/>
        <v>0</v>
      </c>
      <c r="T246" t="str">
        <f t="shared" si="54"/>
        <v>STOCKOUT</v>
      </c>
    </row>
    <row r="247" spans="1:20">
      <c r="A247" s="1">
        <f>Weekly_Product_Demand!A247</f>
        <v>46370</v>
      </c>
      <c r="B247" t="str">
        <f>Weekly_Product_Demand!B247</f>
        <v>P001</v>
      </c>
      <c r="C247">
        <f t="shared" si="56"/>
        <v>5052</v>
      </c>
      <c r="D247">
        <f>0</f>
        <v>0</v>
      </c>
      <c r="E247">
        <f t="shared" si="55"/>
        <v>5052</v>
      </c>
      <c r="F247">
        <f>SUMIFS(Weekly_Product_Demand!$D:$D,Weekly_Product_Demand!$A:$A,A247,Weekly_Product_Demand!$B:$B,B247)</f>
        <v>16941</v>
      </c>
      <c r="G247">
        <f t="shared" si="43"/>
        <v>4840</v>
      </c>
      <c r="H247">
        <f t="shared" si="44"/>
        <v>16729</v>
      </c>
      <c r="I247">
        <f t="shared" si="45"/>
        <v>16800</v>
      </c>
      <c r="J247">
        <f t="shared" si="46"/>
        <v>4911</v>
      </c>
      <c r="K247">
        <v>0.97</v>
      </c>
      <c r="L247">
        <f t="shared" si="47"/>
        <v>16296</v>
      </c>
      <c r="M247">
        <f t="shared" si="48"/>
        <v>4407</v>
      </c>
      <c r="N247">
        <f t="shared" si="49"/>
        <v>0</v>
      </c>
      <c r="O247">
        <f t="shared" si="50"/>
        <v>4407</v>
      </c>
      <c r="P247">
        <f t="shared" si="51"/>
        <v>-504</v>
      </c>
      <c r="Q247" s="2">
        <f t="shared" si="52"/>
        <v>0.97</v>
      </c>
      <c r="R247" t="str">
        <f>_xlfn.XLOOKUP(B247,Product_Line_Map!$A$2:$A$6,Product_Line_Map!$B$2:$B$6,"")</f>
        <v>L01</v>
      </c>
      <c r="S247" s="24">
        <f t="shared" si="53"/>
        <v>1.8209668850717193</v>
      </c>
      <c r="T247" t="str">
        <f t="shared" si="54"/>
        <v>LOW COVER</v>
      </c>
    </row>
    <row r="248" spans="1:20">
      <c r="A248" s="1">
        <f>Weekly_Product_Demand!A248</f>
        <v>46370</v>
      </c>
      <c r="B248" t="str">
        <f>Weekly_Product_Demand!B248</f>
        <v>P002</v>
      </c>
      <c r="C248">
        <f t="shared" si="56"/>
        <v>3944</v>
      </c>
      <c r="D248">
        <f>0</f>
        <v>0</v>
      </c>
      <c r="E248">
        <f t="shared" si="55"/>
        <v>3944</v>
      </c>
      <c r="F248">
        <f>SUMIFS(Weekly_Product_Demand!$D:$D,Weekly_Product_Demand!$A:$A,A248,Weekly_Product_Demand!$B:$B,B248)</f>
        <v>14723</v>
      </c>
      <c r="G248">
        <f t="shared" si="43"/>
        <v>4207</v>
      </c>
      <c r="H248">
        <f t="shared" si="44"/>
        <v>14986</v>
      </c>
      <c r="I248">
        <f t="shared" si="45"/>
        <v>15000</v>
      </c>
      <c r="J248">
        <f t="shared" si="46"/>
        <v>4221</v>
      </c>
      <c r="K248">
        <v>0.97</v>
      </c>
      <c r="L248">
        <f t="shared" si="47"/>
        <v>14550</v>
      </c>
      <c r="M248">
        <f t="shared" si="48"/>
        <v>3771</v>
      </c>
      <c r="N248">
        <f t="shared" si="49"/>
        <v>0</v>
      </c>
      <c r="O248">
        <f t="shared" si="50"/>
        <v>3771</v>
      </c>
      <c r="P248">
        <f t="shared" si="51"/>
        <v>-450</v>
      </c>
      <c r="Q248" s="2">
        <f t="shared" si="52"/>
        <v>0.97</v>
      </c>
      <c r="R248" t="str">
        <f>_xlfn.XLOOKUP(B248,Product_Line_Map!$A$2:$A$6,Product_Line_Map!$B$2:$B$6,"")</f>
        <v>L02</v>
      </c>
      <c r="S248" s="24">
        <f t="shared" si="53"/>
        <v>1.7929090538613055</v>
      </c>
      <c r="T248" t="str">
        <f t="shared" si="54"/>
        <v>LOW COVER</v>
      </c>
    </row>
    <row r="249" spans="1:20">
      <c r="A249" s="1">
        <f>Weekly_Product_Demand!A249</f>
        <v>46370</v>
      </c>
      <c r="B249" t="str">
        <f>Weekly_Product_Demand!B249</f>
        <v>P003</v>
      </c>
      <c r="C249">
        <f t="shared" si="56"/>
        <v>4028</v>
      </c>
      <c r="D249">
        <f>0</f>
        <v>0</v>
      </c>
      <c r="E249">
        <f t="shared" si="55"/>
        <v>4028</v>
      </c>
      <c r="F249">
        <f>SUMIFS(Weekly_Product_Demand!$D:$D,Weekly_Product_Demand!$A:$A,A249,Weekly_Product_Demand!$B:$B,B249)</f>
        <v>12781</v>
      </c>
      <c r="G249">
        <f t="shared" si="43"/>
        <v>3652</v>
      </c>
      <c r="H249">
        <f t="shared" si="44"/>
        <v>12405</v>
      </c>
      <c r="I249">
        <f t="shared" si="45"/>
        <v>12500</v>
      </c>
      <c r="J249">
        <f t="shared" si="46"/>
        <v>3747</v>
      </c>
      <c r="K249">
        <v>1.01</v>
      </c>
      <c r="L249">
        <f t="shared" si="47"/>
        <v>12625</v>
      </c>
      <c r="M249">
        <f t="shared" si="48"/>
        <v>3872</v>
      </c>
      <c r="N249">
        <f t="shared" si="49"/>
        <v>0</v>
      </c>
      <c r="O249">
        <f t="shared" si="50"/>
        <v>3872</v>
      </c>
      <c r="P249">
        <f t="shared" si="51"/>
        <v>125</v>
      </c>
      <c r="Q249" s="2">
        <f t="shared" si="52"/>
        <v>1.01</v>
      </c>
      <c r="R249" t="str">
        <f>_xlfn.XLOOKUP(B249,Product_Line_Map!$A$2:$A$6,Product_Line_Map!$B$2:$B$6,"")</f>
        <v>L03</v>
      </c>
      <c r="S249" s="24">
        <f t="shared" si="53"/>
        <v>2.1206478366325014</v>
      </c>
      <c r="T249" t="str">
        <f t="shared" si="54"/>
        <v>OK</v>
      </c>
    </row>
    <row r="250" spans="1:20">
      <c r="A250" s="1">
        <f>Weekly_Product_Demand!A250</f>
        <v>46370</v>
      </c>
      <c r="B250" t="str">
        <f>Weekly_Product_Demand!B250</f>
        <v>P004</v>
      </c>
      <c r="C250">
        <f t="shared" si="56"/>
        <v>3754</v>
      </c>
      <c r="D250">
        <f>0</f>
        <v>0</v>
      </c>
      <c r="E250">
        <f t="shared" si="55"/>
        <v>3754</v>
      </c>
      <c r="F250">
        <f>SUMIFS(Weekly_Product_Demand!$D:$D,Weekly_Product_Demand!$A:$A,A250,Weekly_Product_Demand!$B:$B,B250)</f>
        <v>13987</v>
      </c>
      <c r="G250">
        <f t="shared" si="43"/>
        <v>3996</v>
      </c>
      <c r="H250">
        <f t="shared" si="44"/>
        <v>14229</v>
      </c>
      <c r="I250">
        <f t="shared" si="45"/>
        <v>14300</v>
      </c>
      <c r="J250">
        <f t="shared" si="46"/>
        <v>4067</v>
      </c>
      <c r="K250">
        <v>0.99</v>
      </c>
      <c r="L250">
        <f t="shared" si="47"/>
        <v>14157</v>
      </c>
      <c r="M250">
        <f t="shared" si="48"/>
        <v>3924</v>
      </c>
      <c r="N250">
        <f t="shared" si="49"/>
        <v>0</v>
      </c>
      <c r="O250">
        <f t="shared" si="50"/>
        <v>3924</v>
      </c>
      <c r="P250">
        <f t="shared" si="51"/>
        <v>-143</v>
      </c>
      <c r="Q250" s="2">
        <f t="shared" si="52"/>
        <v>0.99</v>
      </c>
      <c r="R250" t="str">
        <f>_xlfn.XLOOKUP(B250,Product_Line_Map!$A$2:$A$6,Product_Line_Map!$B$2:$B$6,"")</f>
        <v>L02</v>
      </c>
      <c r="S250" s="24">
        <f t="shared" si="53"/>
        <v>1.9638235504396941</v>
      </c>
      <c r="T250" t="str">
        <f t="shared" si="54"/>
        <v>LOW COVER</v>
      </c>
    </row>
    <row r="251" spans="1:20">
      <c r="A251" s="1">
        <f>Weekly_Product_Demand!A251</f>
        <v>46370</v>
      </c>
      <c r="B251" t="str">
        <f>Weekly_Product_Demand!B251</f>
        <v>P005</v>
      </c>
      <c r="C251">
        <f t="shared" si="56"/>
        <v>0</v>
      </c>
      <c r="D251">
        <f>0</f>
        <v>0</v>
      </c>
      <c r="E251">
        <f t="shared" si="55"/>
        <v>0</v>
      </c>
      <c r="F251">
        <f>SUMIFS(Weekly_Product_Demand!$D:$D,Weekly_Product_Demand!$A:$A,A251,Weekly_Product_Demand!$B:$B,B251)</f>
        <v>10343</v>
      </c>
      <c r="G251">
        <f t="shared" si="43"/>
        <v>2955</v>
      </c>
      <c r="H251">
        <f t="shared" si="44"/>
        <v>13298</v>
      </c>
      <c r="I251">
        <f t="shared" si="45"/>
        <v>13300</v>
      </c>
      <c r="J251">
        <f t="shared" si="46"/>
        <v>2957</v>
      </c>
      <c r="K251">
        <v>1.02</v>
      </c>
      <c r="L251">
        <f t="shared" si="47"/>
        <v>13566</v>
      </c>
      <c r="M251">
        <f t="shared" si="48"/>
        <v>3223</v>
      </c>
      <c r="N251">
        <f t="shared" si="49"/>
        <v>0</v>
      </c>
      <c r="O251">
        <f t="shared" si="50"/>
        <v>3223</v>
      </c>
      <c r="P251">
        <f t="shared" si="51"/>
        <v>266</v>
      </c>
      <c r="Q251" s="2">
        <f t="shared" si="52"/>
        <v>1.02</v>
      </c>
      <c r="R251" t="str">
        <f>_xlfn.XLOOKUP(B251,Product_Line_Map!$A$2:$A$6,Product_Line_Map!$B$2:$B$6,"")</f>
        <v>L03</v>
      </c>
      <c r="S251" s="24">
        <f t="shared" si="53"/>
        <v>2.1812820264913468</v>
      </c>
      <c r="T251" t="str">
        <f t="shared" si="54"/>
        <v>OK</v>
      </c>
    </row>
    <row r="252" spans="1:20">
      <c r="A252" s="1">
        <f>Weekly_Product_Demand!A252</f>
        <v>46377</v>
      </c>
      <c r="B252" t="str">
        <f>Weekly_Product_Demand!B252</f>
        <v>P001</v>
      </c>
      <c r="C252">
        <f t="shared" si="56"/>
        <v>4407</v>
      </c>
      <c r="D252">
        <f>0</f>
        <v>0</v>
      </c>
      <c r="E252">
        <f t="shared" si="55"/>
        <v>4407</v>
      </c>
      <c r="F252">
        <f>SUMIFS(Weekly_Product_Demand!$D:$D,Weekly_Product_Demand!$A:$A,A252,Weekly_Product_Demand!$B:$B,B252)</f>
        <v>17309</v>
      </c>
      <c r="G252">
        <f t="shared" si="43"/>
        <v>4945</v>
      </c>
      <c r="H252">
        <f t="shared" si="44"/>
        <v>17847</v>
      </c>
      <c r="I252">
        <f t="shared" si="45"/>
        <v>17900</v>
      </c>
      <c r="J252">
        <f t="shared" si="46"/>
        <v>4998</v>
      </c>
      <c r="K252">
        <v>0.97</v>
      </c>
      <c r="L252">
        <f t="shared" si="47"/>
        <v>17363</v>
      </c>
      <c r="M252">
        <f t="shared" si="48"/>
        <v>4461</v>
      </c>
      <c r="N252">
        <f t="shared" si="49"/>
        <v>0</v>
      </c>
      <c r="O252">
        <f t="shared" si="50"/>
        <v>4461</v>
      </c>
      <c r="P252">
        <f t="shared" si="51"/>
        <v>-537</v>
      </c>
      <c r="Q252" s="2">
        <f t="shared" si="52"/>
        <v>0.97</v>
      </c>
      <c r="R252" t="str">
        <f>_xlfn.XLOOKUP(B252,Product_Line_Map!$A$2:$A$6,Product_Line_Map!$B$2:$B$6,"")</f>
        <v>L01</v>
      </c>
      <c r="S252" s="24">
        <f t="shared" si="53"/>
        <v>1.8040903576174243</v>
      </c>
      <c r="T252" t="str">
        <f t="shared" si="54"/>
        <v>LOW COVER</v>
      </c>
    </row>
    <row r="253" spans="1:20">
      <c r="A253" s="1">
        <f>Weekly_Product_Demand!A253</f>
        <v>46377</v>
      </c>
      <c r="B253" t="str">
        <f>Weekly_Product_Demand!B253</f>
        <v>P002</v>
      </c>
      <c r="C253">
        <f t="shared" si="56"/>
        <v>3771</v>
      </c>
      <c r="D253">
        <f>0</f>
        <v>0</v>
      </c>
      <c r="E253">
        <f t="shared" si="55"/>
        <v>3771</v>
      </c>
      <c r="F253">
        <f>SUMIFS(Weekly_Product_Demand!$D:$D,Weekly_Product_Demand!$A:$A,A253,Weekly_Product_Demand!$B:$B,B253)</f>
        <v>14668</v>
      </c>
      <c r="G253">
        <f t="shared" si="43"/>
        <v>4191</v>
      </c>
      <c r="H253">
        <f t="shared" si="44"/>
        <v>15088</v>
      </c>
      <c r="I253">
        <f t="shared" si="45"/>
        <v>15100</v>
      </c>
      <c r="J253">
        <f t="shared" si="46"/>
        <v>4203</v>
      </c>
      <c r="K253">
        <v>1</v>
      </c>
      <c r="L253">
        <f t="shared" si="47"/>
        <v>15100</v>
      </c>
      <c r="M253">
        <f t="shared" si="48"/>
        <v>4203</v>
      </c>
      <c r="N253">
        <f t="shared" si="49"/>
        <v>0</v>
      </c>
      <c r="O253">
        <f t="shared" si="50"/>
        <v>4203</v>
      </c>
      <c r="P253">
        <f t="shared" si="51"/>
        <v>0</v>
      </c>
      <c r="Q253" s="2">
        <f t="shared" si="52"/>
        <v>1</v>
      </c>
      <c r="R253" t="str">
        <f>_xlfn.XLOOKUP(B253,Product_Line_Map!$A$2:$A$6,Product_Line_Map!$B$2:$B$6,"")</f>
        <v>L02</v>
      </c>
      <c r="S253" s="24">
        <f t="shared" si="53"/>
        <v>2.005794927733842</v>
      </c>
      <c r="T253" t="str">
        <f t="shared" si="54"/>
        <v>OK</v>
      </c>
    </row>
    <row r="254" spans="1:20">
      <c r="A254" s="1">
        <f>Weekly_Product_Demand!A254</f>
        <v>46377</v>
      </c>
      <c r="B254" t="str">
        <f>Weekly_Product_Demand!B254</f>
        <v>P003</v>
      </c>
      <c r="C254">
        <f t="shared" si="56"/>
        <v>3872</v>
      </c>
      <c r="D254">
        <f>0</f>
        <v>0</v>
      </c>
      <c r="E254">
        <f t="shared" si="55"/>
        <v>3872</v>
      </c>
      <c r="F254">
        <f>SUMIFS(Weekly_Product_Demand!$D:$D,Weekly_Product_Demand!$A:$A,A254,Weekly_Product_Demand!$B:$B,B254)</f>
        <v>12840</v>
      </c>
      <c r="G254">
        <f t="shared" si="43"/>
        <v>3669</v>
      </c>
      <c r="H254">
        <f t="shared" si="44"/>
        <v>12637</v>
      </c>
      <c r="I254">
        <f t="shared" si="45"/>
        <v>12700</v>
      </c>
      <c r="J254">
        <f t="shared" si="46"/>
        <v>3732</v>
      </c>
      <c r="K254">
        <v>1.02</v>
      </c>
      <c r="L254">
        <f t="shared" si="47"/>
        <v>12954</v>
      </c>
      <c r="M254">
        <f t="shared" si="48"/>
        <v>3986</v>
      </c>
      <c r="N254">
        <f t="shared" si="49"/>
        <v>0</v>
      </c>
      <c r="O254">
        <f t="shared" si="50"/>
        <v>3986</v>
      </c>
      <c r="P254">
        <f t="shared" si="51"/>
        <v>254</v>
      </c>
      <c r="Q254" s="2">
        <f t="shared" si="52"/>
        <v>1.02</v>
      </c>
      <c r="R254" t="str">
        <f>_xlfn.XLOOKUP(B254,Product_Line_Map!$A$2:$A$6,Product_Line_Map!$B$2:$B$6,"")</f>
        <v>L03</v>
      </c>
      <c r="S254" s="24">
        <f t="shared" si="53"/>
        <v>2.1730529595015575</v>
      </c>
      <c r="T254" t="str">
        <f t="shared" si="54"/>
        <v>OK</v>
      </c>
    </row>
    <row r="255" spans="1:20">
      <c r="A255" s="1">
        <f>Weekly_Product_Demand!A255</f>
        <v>46377</v>
      </c>
      <c r="B255" t="str">
        <f>Weekly_Product_Demand!B255</f>
        <v>P004</v>
      </c>
      <c r="C255">
        <f t="shared" si="56"/>
        <v>3924</v>
      </c>
      <c r="D255">
        <f>0</f>
        <v>0</v>
      </c>
      <c r="E255">
        <f t="shared" si="55"/>
        <v>3924</v>
      </c>
      <c r="F255">
        <f>SUMIFS(Weekly_Product_Demand!$D:$D,Weekly_Product_Demand!$A:$A,A255,Weekly_Product_Demand!$B:$B,B255)</f>
        <v>13724</v>
      </c>
      <c r="G255">
        <f t="shared" si="43"/>
        <v>3921</v>
      </c>
      <c r="H255">
        <f t="shared" si="44"/>
        <v>13721</v>
      </c>
      <c r="I255">
        <f t="shared" si="45"/>
        <v>13800</v>
      </c>
      <c r="J255">
        <f t="shared" si="46"/>
        <v>4000</v>
      </c>
      <c r="K255">
        <v>0.98</v>
      </c>
      <c r="L255">
        <f t="shared" si="47"/>
        <v>13524</v>
      </c>
      <c r="M255">
        <f t="shared" si="48"/>
        <v>3724</v>
      </c>
      <c r="N255">
        <f t="shared" si="49"/>
        <v>0</v>
      </c>
      <c r="O255">
        <f t="shared" si="50"/>
        <v>3724</v>
      </c>
      <c r="P255">
        <f t="shared" si="51"/>
        <v>-276</v>
      </c>
      <c r="Q255" s="2">
        <f t="shared" si="52"/>
        <v>0.98</v>
      </c>
      <c r="R255" t="str">
        <f>_xlfn.XLOOKUP(B255,Product_Line_Map!$A$2:$A$6,Product_Line_Map!$B$2:$B$6,"")</f>
        <v>L02</v>
      </c>
      <c r="S255" s="24">
        <f t="shared" si="53"/>
        <v>1.8994462255902069</v>
      </c>
      <c r="T255" t="str">
        <f t="shared" si="54"/>
        <v>LOW COVER</v>
      </c>
    </row>
    <row r="256" spans="1:20">
      <c r="A256" s="1">
        <f>Weekly_Product_Demand!A256</f>
        <v>46377</v>
      </c>
      <c r="B256" t="str">
        <f>Weekly_Product_Demand!B256</f>
        <v>P005</v>
      </c>
      <c r="C256">
        <f t="shared" si="56"/>
        <v>3223</v>
      </c>
      <c r="D256">
        <f>0</f>
        <v>0</v>
      </c>
      <c r="E256">
        <f t="shared" si="55"/>
        <v>3223</v>
      </c>
      <c r="F256">
        <f>SUMIFS(Weekly_Product_Demand!$D:$D,Weekly_Product_Demand!$A:$A,A256,Weekly_Product_Demand!$B:$B,B256)</f>
        <v>10398</v>
      </c>
      <c r="G256">
        <f t="shared" si="43"/>
        <v>2971</v>
      </c>
      <c r="H256">
        <f t="shared" si="44"/>
        <v>10146</v>
      </c>
      <c r="I256">
        <f t="shared" si="45"/>
        <v>10200</v>
      </c>
      <c r="J256">
        <f t="shared" si="46"/>
        <v>3025</v>
      </c>
      <c r="K256">
        <v>1</v>
      </c>
      <c r="L256">
        <f t="shared" si="47"/>
        <v>10200</v>
      </c>
      <c r="M256">
        <f t="shared" si="48"/>
        <v>3025</v>
      </c>
      <c r="N256">
        <f t="shared" si="49"/>
        <v>0</v>
      </c>
      <c r="O256">
        <f t="shared" si="50"/>
        <v>3025</v>
      </c>
      <c r="P256">
        <f t="shared" si="51"/>
        <v>0</v>
      </c>
      <c r="Q256" s="2">
        <f t="shared" si="52"/>
        <v>1</v>
      </c>
      <c r="R256" t="str">
        <f>_xlfn.XLOOKUP(B256,Product_Line_Map!$A$2:$A$6,Product_Line_Map!$B$2:$B$6,"")</f>
        <v>L03</v>
      </c>
      <c r="S256" s="24">
        <f t="shared" si="53"/>
        <v>2.03644931717638</v>
      </c>
      <c r="T256" t="str">
        <f t="shared" si="54"/>
        <v>OK</v>
      </c>
    </row>
    <row r="257" spans="1:20">
      <c r="A257" s="1">
        <f>Weekly_Product_Demand!A257</f>
        <v>46384</v>
      </c>
      <c r="B257" t="str">
        <f>Weekly_Product_Demand!B257</f>
        <v>P001</v>
      </c>
      <c r="C257">
        <f t="shared" si="56"/>
        <v>4461</v>
      </c>
      <c r="D257">
        <f>0</f>
        <v>0</v>
      </c>
      <c r="E257">
        <f t="shared" si="55"/>
        <v>4461</v>
      </c>
      <c r="F257">
        <f>SUMIFS(Weekly_Product_Demand!$D:$D,Weekly_Product_Demand!$A:$A,A257,Weekly_Product_Demand!$B:$B,B257)</f>
        <v>17214</v>
      </c>
      <c r="G257">
        <f t="shared" si="43"/>
        <v>4918</v>
      </c>
      <c r="H257">
        <f t="shared" si="44"/>
        <v>17671</v>
      </c>
      <c r="I257">
        <f t="shared" si="45"/>
        <v>17700</v>
      </c>
      <c r="J257">
        <f t="shared" si="46"/>
        <v>4947</v>
      </c>
      <c r="K257">
        <v>0.98</v>
      </c>
      <c r="L257">
        <f t="shared" si="47"/>
        <v>17346</v>
      </c>
      <c r="M257">
        <f t="shared" si="48"/>
        <v>4593</v>
      </c>
      <c r="N257">
        <f t="shared" si="49"/>
        <v>0</v>
      </c>
      <c r="O257">
        <f t="shared" si="50"/>
        <v>4593</v>
      </c>
      <c r="P257">
        <f t="shared" si="51"/>
        <v>-354</v>
      </c>
      <c r="Q257" s="2">
        <f t="shared" si="52"/>
        <v>0.98</v>
      </c>
      <c r="R257" t="str">
        <f>_xlfn.XLOOKUP(B257,Product_Line_Map!$A$2:$A$6,Product_Line_Map!$B$2:$B$6,"")</f>
        <v>L01</v>
      </c>
      <c r="S257" s="24">
        <f t="shared" si="53"/>
        <v>1.8677239456256534</v>
      </c>
      <c r="T257" t="str">
        <f t="shared" si="54"/>
        <v>LOW COVER</v>
      </c>
    </row>
    <row r="258" spans="1:20">
      <c r="A258" s="1">
        <f>Weekly_Product_Demand!A258</f>
        <v>46384</v>
      </c>
      <c r="B258" t="str">
        <f>Weekly_Product_Demand!B258</f>
        <v>P002</v>
      </c>
      <c r="C258">
        <f t="shared" si="56"/>
        <v>4203</v>
      </c>
      <c r="D258">
        <f>0</f>
        <v>0</v>
      </c>
      <c r="E258">
        <f t="shared" si="55"/>
        <v>4203</v>
      </c>
      <c r="F258">
        <f>SUMIFS(Weekly_Product_Demand!$D:$D,Weekly_Product_Demand!$A:$A,A258,Weekly_Product_Demand!$B:$B,B258)</f>
        <v>14935</v>
      </c>
      <c r="G258">
        <f t="shared" ref="G258:G261" si="57">ROUND(F258/7*2,0)</f>
        <v>4267</v>
      </c>
      <c r="H258">
        <f t="shared" ref="H258:H261" si="58">MAX(0,F258+G258-E258)</f>
        <v>14999</v>
      </c>
      <c r="I258">
        <f t="shared" ref="I258:I261" si="59">CEILING(H258,100)</f>
        <v>15000</v>
      </c>
      <c r="J258">
        <f t="shared" ref="J258:J261" si="60">E258+I258-F258</f>
        <v>4268</v>
      </c>
      <c r="K258">
        <v>0.98</v>
      </c>
      <c r="L258">
        <f t="shared" ref="L258:L261" si="61">ROUND(I258*K258,0)</f>
        <v>14700</v>
      </c>
      <c r="M258">
        <f t="shared" ref="M258:M261" si="62">E258+L258-F258</f>
        <v>3968</v>
      </c>
      <c r="N258">
        <f t="shared" ref="N258:N261" si="63">MAX(0,-M258)</f>
        <v>0</v>
      </c>
      <c r="O258">
        <f t="shared" si="50"/>
        <v>3968</v>
      </c>
      <c r="P258">
        <f t="shared" si="51"/>
        <v>-300</v>
      </c>
      <c r="Q258" s="2">
        <f t="shared" si="52"/>
        <v>0.98</v>
      </c>
      <c r="R258" t="str">
        <f>_xlfn.XLOOKUP(B258,Product_Line_Map!$A$2:$A$6,Product_Line_Map!$B$2:$B$6,"")</f>
        <v>L02</v>
      </c>
      <c r="S258" s="24">
        <f t="shared" ref="S258:S261" si="64">IF(F258=0,0,O258/(F258/7))</f>
        <v>1.8597924338801475</v>
      </c>
      <c r="T258" t="str">
        <f t="shared" ref="T258:T261" si="65">IF(N258&gt;0,"STOCKOUT",IF(S258&lt;1,"CRITICAL LOW COVER",IF(S258&lt;2,"LOW COVER","OK")))</f>
        <v>LOW COVER</v>
      </c>
    </row>
    <row r="259" spans="1:20">
      <c r="A259" s="1">
        <f>Weekly_Product_Demand!A259</f>
        <v>46384</v>
      </c>
      <c r="B259" t="str">
        <f>Weekly_Product_Demand!B259</f>
        <v>P003</v>
      </c>
      <c r="C259">
        <f t="shared" si="56"/>
        <v>3986</v>
      </c>
      <c r="D259">
        <f>0</f>
        <v>0</v>
      </c>
      <c r="E259">
        <f t="shared" si="55"/>
        <v>3986</v>
      </c>
      <c r="F259">
        <f>SUMIFS(Weekly_Product_Demand!$D:$D,Weekly_Product_Demand!$A:$A,A259,Weekly_Product_Demand!$B:$B,B259)</f>
        <v>12928</v>
      </c>
      <c r="G259">
        <f t="shared" si="57"/>
        <v>3694</v>
      </c>
      <c r="H259">
        <f t="shared" si="58"/>
        <v>12636</v>
      </c>
      <c r="I259">
        <f t="shared" si="59"/>
        <v>12700</v>
      </c>
      <c r="J259">
        <f t="shared" si="60"/>
        <v>3758</v>
      </c>
      <c r="K259">
        <v>0.97</v>
      </c>
      <c r="L259">
        <f t="shared" si="61"/>
        <v>12319</v>
      </c>
      <c r="M259">
        <f t="shared" si="62"/>
        <v>3377</v>
      </c>
      <c r="N259">
        <f t="shared" si="63"/>
        <v>0</v>
      </c>
      <c r="O259">
        <f t="shared" si="50"/>
        <v>3377</v>
      </c>
      <c r="P259">
        <f t="shared" si="51"/>
        <v>-381</v>
      </c>
      <c r="Q259" s="2">
        <f t="shared" si="52"/>
        <v>0.97</v>
      </c>
      <c r="R259" t="str">
        <f>_xlfn.XLOOKUP(B259,Product_Line_Map!$A$2:$A$6,Product_Line_Map!$B$2:$B$6,"")</f>
        <v>L03</v>
      </c>
      <c r="S259" s="24">
        <f t="shared" si="64"/>
        <v>1.8285117574257426</v>
      </c>
      <c r="T259" t="str">
        <f t="shared" si="65"/>
        <v>LOW COVER</v>
      </c>
    </row>
    <row r="260" spans="1:20">
      <c r="A260" s="1">
        <f>Weekly_Product_Demand!A260</f>
        <v>46384</v>
      </c>
      <c r="B260" t="str">
        <f>Weekly_Product_Demand!B260</f>
        <v>P004</v>
      </c>
      <c r="C260">
        <f t="shared" si="56"/>
        <v>3724</v>
      </c>
      <c r="D260">
        <f>0</f>
        <v>0</v>
      </c>
      <c r="E260">
        <f t="shared" si="55"/>
        <v>3724</v>
      </c>
      <c r="F260">
        <f>SUMIFS(Weekly_Product_Demand!$D:$D,Weekly_Product_Demand!$A:$A,A260,Weekly_Product_Demand!$B:$B,B260)</f>
        <v>13924</v>
      </c>
      <c r="G260">
        <f t="shared" si="57"/>
        <v>3978</v>
      </c>
      <c r="H260">
        <f t="shared" si="58"/>
        <v>14178</v>
      </c>
      <c r="I260">
        <f t="shared" si="59"/>
        <v>14200</v>
      </c>
      <c r="J260">
        <f t="shared" si="60"/>
        <v>4000</v>
      </c>
      <c r="K260">
        <v>1</v>
      </c>
      <c r="L260">
        <f t="shared" si="61"/>
        <v>14200</v>
      </c>
      <c r="M260">
        <f t="shared" si="62"/>
        <v>4000</v>
      </c>
      <c r="N260">
        <f t="shared" si="63"/>
        <v>0</v>
      </c>
      <c r="O260">
        <f t="shared" si="50"/>
        <v>4000</v>
      </c>
      <c r="P260">
        <f t="shared" si="51"/>
        <v>0</v>
      </c>
      <c r="Q260" s="2">
        <f t="shared" si="52"/>
        <v>1</v>
      </c>
      <c r="R260" t="str">
        <f>_xlfn.XLOOKUP(B260,Product_Line_Map!$A$2:$A$6,Product_Line_Map!$B$2:$B$6,"")</f>
        <v>L02</v>
      </c>
      <c r="S260" s="24">
        <f t="shared" si="64"/>
        <v>2.0109164033323759</v>
      </c>
      <c r="T260" t="str">
        <f t="shared" si="65"/>
        <v>OK</v>
      </c>
    </row>
    <row r="261" spans="1:20">
      <c r="A261" s="1">
        <f>Weekly_Product_Demand!A261</f>
        <v>46384</v>
      </c>
      <c r="B261" t="str">
        <f>Weekly_Product_Demand!B261</f>
        <v>P005</v>
      </c>
      <c r="C261">
        <f t="shared" si="56"/>
        <v>3025</v>
      </c>
      <c r="D261">
        <f>0</f>
        <v>0</v>
      </c>
      <c r="E261">
        <f t="shared" si="55"/>
        <v>3025</v>
      </c>
      <c r="F261">
        <f>SUMIFS(Weekly_Product_Demand!$D:$D,Weekly_Product_Demand!$A:$A,A261,Weekly_Product_Demand!$B:$B,B261)</f>
        <v>10617</v>
      </c>
      <c r="G261">
        <f t="shared" si="57"/>
        <v>3033</v>
      </c>
      <c r="H261">
        <f t="shared" si="58"/>
        <v>10625</v>
      </c>
      <c r="I261">
        <f t="shared" si="59"/>
        <v>10700</v>
      </c>
      <c r="J261">
        <f t="shared" si="60"/>
        <v>3108</v>
      </c>
      <c r="K261">
        <v>1</v>
      </c>
      <c r="L261">
        <f t="shared" si="61"/>
        <v>10700</v>
      </c>
      <c r="M261">
        <f t="shared" si="62"/>
        <v>3108</v>
      </c>
      <c r="N261">
        <f t="shared" si="63"/>
        <v>0</v>
      </c>
      <c r="O261">
        <f t="shared" si="50"/>
        <v>3108</v>
      </c>
      <c r="P261">
        <f t="shared" si="51"/>
        <v>0</v>
      </c>
      <c r="Q261" s="2">
        <f t="shared" si="52"/>
        <v>1</v>
      </c>
      <c r="R261" t="str">
        <f>_xlfn.XLOOKUP(B261,Product_Line_Map!$A$2:$A$6,Product_Line_Map!$B$2:$B$6,"")</f>
        <v>L03</v>
      </c>
      <c r="S261" s="24">
        <f t="shared" si="64"/>
        <v>2.0491664311952529</v>
      </c>
      <c r="T261" t="str">
        <f t="shared" si="65"/>
        <v>OK</v>
      </c>
    </row>
    <row r="262" spans="1:20">
      <c r="A262" s="1"/>
    </row>
    <row r="263" spans="1:20">
      <c r="A263" s="1"/>
    </row>
    <row r="264" spans="1:20">
      <c r="A264" s="1"/>
    </row>
    <row r="265" spans="1:20">
      <c r="A265" s="1"/>
    </row>
    <row r="266" spans="1:20">
      <c r="A266" s="1"/>
    </row>
    <row r="267" spans="1:20">
      <c r="A267" s="1"/>
    </row>
    <row r="268" spans="1:20">
      <c r="A268" s="1"/>
    </row>
    <row r="269" spans="1:20">
      <c r="A269" s="1"/>
    </row>
    <row r="270" spans="1:20">
      <c r="A270" s="1"/>
    </row>
    <row r="271" spans="1:20">
      <c r="A271" s="1"/>
    </row>
    <row r="272" spans="1:20">
      <c r="A272" s="1"/>
    </row>
    <row r="273" spans="1:1">
      <c r="A273" s="1"/>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E8D2-82F6-4794-A888-EBCDF415A02D}">
  <dimension ref="A1:F1041"/>
  <sheetViews>
    <sheetView workbookViewId="0">
      <selection activeCell="F8" sqref="F8"/>
    </sheetView>
  </sheetViews>
  <sheetFormatPr defaultRowHeight="14.4"/>
  <cols>
    <col min="1" max="1" width="12.6640625" customWidth="1"/>
    <col min="2" max="2" width="12.33203125" customWidth="1"/>
    <col min="3" max="3" width="12.6640625" customWidth="1"/>
    <col min="4" max="4" width="24.109375" customWidth="1"/>
    <col min="5" max="5" width="14.6640625" customWidth="1"/>
    <col min="6" max="6" width="22.44140625" customWidth="1"/>
  </cols>
  <sheetData>
    <row r="1" spans="1:6">
      <c r="A1" t="s">
        <v>68</v>
      </c>
      <c r="B1" t="s">
        <v>24</v>
      </c>
      <c r="C1" t="s">
        <v>43</v>
      </c>
      <c r="D1" t="s">
        <v>74</v>
      </c>
      <c r="E1" t="s">
        <v>67</v>
      </c>
      <c r="F1" t="s">
        <v>118</v>
      </c>
    </row>
    <row r="2" spans="1:6">
      <c r="A2" s="1" cm="1">
        <f t="array" ref="A2">INDEX(Weekly_Inventory_Flow!$A$2:$A$261,INT((ROW()-2)/4)+1)</f>
        <v>46027</v>
      </c>
      <c r="B2" t="str" cm="1">
        <f t="array" ref="B2">INDEX(Weekly_Inventory_Flow!$B$2:$B$261,INT((ROW()-2)/4)+1)</f>
        <v>P001</v>
      </c>
      <c r="C2" t="str" cm="1">
        <f t="array" ref="C2">INDEX(BOM!$B$2:$B$21,MATCH(B2,BOM!$A$2:$A$21,0)+MOD(ROW()-2,4))</f>
        <v>M001</v>
      </c>
      <c r="D2" cm="1">
        <f t="array" ref="D2">INDEX(Weekly_Inventory_Flow!$I$2:$I$261,INT((ROW()-2)/4)+1)</f>
        <v>10500</v>
      </c>
      <c r="E2" cm="1">
        <f t="array" ref="E2">INDEX(BOM!$C$2:$C$21,MATCH(B2,BOM!$A$2:$A$21,0)+MOD(ROW()-2,4))</f>
        <v>0.35</v>
      </c>
      <c r="F2">
        <f>D2*E2</f>
        <v>3674.9999999999995</v>
      </c>
    </row>
    <row r="3" spans="1:6">
      <c r="A3" s="1" cm="1">
        <f t="array" ref="A3">INDEX(Weekly_Inventory_Flow!$A$2:$A$261,INT((ROW()-2)/4)+1)</f>
        <v>46027</v>
      </c>
      <c r="B3" t="str" cm="1">
        <f t="array" ref="B3">INDEX(Weekly_Inventory_Flow!$B$2:$B$261,INT((ROW()-2)/4)+1)</f>
        <v>P001</v>
      </c>
      <c r="C3" t="str" cm="1">
        <f t="array" ref="C3">INDEX(BOM!$B$2:$B$21,MATCH(B3,BOM!$A$2:$A$21,0)+MOD(ROW()-2,4))</f>
        <v>M006</v>
      </c>
      <c r="D3" cm="1">
        <f t="array" ref="D3">INDEX(Weekly_Inventory_Flow!$I$2:$I$261,INT((ROW()-2)/4)+1)</f>
        <v>10500</v>
      </c>
      <c r="E3" cm="1">
        <f t="array" ref="E3">INDEX(BOM!$C$2:$C$21,MATCH(B3,BOM!$A$2:$A$21,0)+MOD(ROW()-2,4))</f>
        <v>0.01</v>
      </c>
      <c r="F3">
        <f t="shared" ref="F3:F66" si="0">D3*E3</f>
        <v>105</v>
      </c>
    </row>
    <row r="4" spans="1:6">
      <c r="A4" s="1" cm="1">
        <f t="array" ref="A4">INDEX(Weekly_Inventory_Flow!$A$2:$A$261,INT((ROW()-2)/4)+1)</f>
        <v>46027</v>
      </c>
      <c r="B4" t="str" cm="1">
        <f t="array" ref="B4">INDEX(Weekly_Inventory_Flow!$B$2:$B$261,INT((ROW()-2)/4)+1)</f>
        <v>P001</v>
      </c>
      <c r="C4" t="str" cm="1">
        <f t="array" ref="C4">INDEX(BOM!$B$2:$B$21,MATCH(B4,BOM!$A$2:$A$21,0)+MOD(ROW()-2,4))</f>
        <v>M007</v>
      </c>
      <c r="D4" cm="1">
        <f t="array" ref="D4">INDEX(Weekly_Inventory_Flow!$I$2:$I$261,INT((ROW()-2)/4)+1)</f>
        <v>10500</v>
      </c>
      <c r="E4" cm="1">
        <f t="array" ref="E4">INDEX(BOM!$C$2:$C$21,MATCH(B4,BOM!$A$2:$A$21,0)+MOD(ROW()-2,4))</f>
        <v>1</v>
      </c>
      <c r="F4">
        <f t="shared" si="0"/>
        <v>10500</v>
      </c>
    </row>
    <row r="5" spans="1:6">
      <c r="A5" s="1" cm="1">
        <f t="array" ref="A5">INDEX(Weekly_Inventory_Flow!$A$2:$A$261,INT((ROW()-2)/4)+1)</f>
        <v>46027</v>
      </c>
      <c r="B5" t="str" cm="1">
        <f t="array" ref="B5">INDEX(Weekly_Inventory_Flow!$B$2:$B$261,INT((ROW()-2)/4)+1)</f>
        <v>P001</v>
      </c>
      <c r="C5" t="str" cm="1">
        <f t="array" ref="C5">INDEX(BOM!$B$2:$B$21,MATCH(B5,BOM!$A$2:$A$21,0)+MOD(ROW()-2,4))</f>
        <v>M008</v>
      </c>
      <c r="D5" cm="1">
        <f t="array" ref="D5">INDEX(Weekly_Inventory_Flow!$I$2:$I$261,INT((ROW()-2)/4)+1)</f>
        <v>10500</v>
      </c>
      <c r="E5" cm="1">
        <f t="array" ref="E5">INDEX(BOM!$C$2:$C$21,MATCH(B5,BOM!$A$2:$A$21,0)+MOD(ROW()-2,4))</f>
        <v>1</v>
      </c>
      <c r="F5">
        <f t="shared" si="0"/>
        <v>10500</v>
      </c>
    </row>
    <row r="6" spans="1:6">
      <c r="A6" s="1" cm="1">
        <f t="array" ref="A6">INDEX(Weekly_Inventory_Flow!$A$2:$A$261,INT((ROW()-2)/4)+1)</f>
        <v>46027</v>
      </c>
      <c r="B6" t="str" cm="1">
        <f t="array" ref="B6">INDEX(Weekly_Inventory_Flow!$B$2:$B$261,INT((ROW()-2)/4)+1)</f>
        <v>P002</v>
      </c>
      <c r="C6" t="str" cm="1">
        <f t="array" ref="C6">INDEX(BOM!$B$2:$B$21,MATCH(B6,BOM!$A$2:$A$21,0)+MOD(ROW()-2,4))</f>
        <v>M002</v>
      </c>
      <c r="D6" cm="1">
        <f t="array" ref="D6">INDEX(Weekly_Inventory_Flow!$I$2:$I$261,INT((ROW()-2)/4)+1)</f>
        <v>9500</v>
      </c>
      <c r="E6" cm="1">
        <f t="array" ref="E6">INDEX(BOM!$C$2:$C$21,MATCH(B6,BOM!$A$2:$A$21,0)+MOD(ROW()-2,4))</f>
        <v>0.3</v>
      </c>
      <c r="F6">
        <f t="shared" si="0"/>
        <v>2850</v>
      </c>
    </row>
    <row r="7" spans="1:6">
      <c r="A7" s="1" cm="1">
        <f t="array" ref="A7">INDEX(Weekly_Inventory_Flow!$A$2:$A$261,INT((ROW()-2)/4)+1)</f>
        <v>46027</v>
      </c>
      <c r="B7" t="str" cm="1">
        <f t="array" ref="B7">INDEX(Weekly_Inventory_Flow!$B$2:$B$261,INT((ROW()-2)/4)+1)</f>
        <v>P002</v>
      </c>
      <c r="C7" t="str" cm="1">
        <f t="array" ref="C7">INDEX(BOM!$B$2:$B$21,MATCH(B7,BOM!$A$2:$A$21,0)+MOD(ROW()-2,4))</f>
        <v>M006</v>
      </c>
      <c r="D7" cm="1">
        <f t="array" ref="D7">INDEX(Weekly_Inventory_Flow!$I$2:$I$261,INT((ROW()-2)/4)+1)</f>
        <v>9500</v>
      </c>
      <c r="E7" cm="1">
        <f t="array" ref="E7">INDEX(BOM!$C$2:$C$21,MATCH(B7,BOM!$A$2:$A$21,0)+MOD(ROW()-2,4))</f>
        <v>8.0000000000000002E-3</v>
      </c>
      <c r="F7">
        <f t="shared" si="0"/>
        <v>76</v>
      </c>
    </row>
    <row r="8" spans="1:6">
      <c r="A8" s="1" cm="1">
        <f t="array" ref="A8">INDEX(Weekly_Inventory_Flow!$A$2:$A$261,INT((ROW()-2)/4)+1)</f>
        <v>46027</v>
      </c>
      <c r="B8" t="str" cm="1">
        <f t="array" ref="B8">INDEX(Weekly_Inventory_Flow!$B$2:$B$261,INT((ROW()-2)/4)+1)</f>
        <v>P002</v>
      </c>
      <c r="C8" t="str" cm="1">
        <f t="array" ref="C8">INDEX(BOM!$B$2:$B$21,MATCH(B8,BOM!$A$2:$A$21,0)+MOD(ROW()-2,4))</f>
        <v>M007</v>
      </c>
      <c r="D8" cm="1">
        <f t="array" ref="D8">INDEX(Weekly_Inventory_Flow!$I$2:$I$261,INT((ROW()-2)/4)+1)</f>
        <v>9500</v>
      </c>
      <c r="E8" cm="1">
        <f t="array" ref="E8">INDEX(BOM!$C$2:$C$21,MATCH(B8,BOM!$A$2:$A$21,0)+MOD(ROW()-2,4))</f>
        <v>1</v>
      </c>
      <c r="F8">
        <f t="shared" si="0"/>
        <v>9500</v>
      </c>
    </row>
    <row r="9" spans="1:6">
      <c r="A9" s="1" cm="1">
        <f t="array" ref="A9">INDEX(Weekly_Inventory_Flow!$A$2:$A$261,INT((ROW()-2)/4)+1)</f>
        <v>46027</v>
      </c>
      <c r="B9" t="str" cm="1">
        <f t="array" ref="B9">INDEX(Weekly_Inventory_Flow!$B$2:$B$261,INT((ROW()-2)/4)+1)</f>
        <v>P002</v>
      </c>
      <c r="C9" t="str" cm="1">
        <f t="array" ref="C9">INDEX(BOM!$B$2:$B$21,MATCH(B9,BOM!$A$2:$A$21,0)+MOD(ROW()-2,4))</f>
        <v>M008</v>
      </c>
      <c r="D9" cm="1">
        <f t="array" ref="D9">INDEX(Weekly_Inventory_Flow!$I$2:$I$261,INT((ROW()-2)/4)+1)</f>
        <v>9500</v>
      </c>
      <c r="E9" cm="1">
        <f t="array" ref="E9">INDEX(BOM!$C$2:$C$21,MATCH(B9,BOM!$A$2:$A$21,0)+MOD(ROW()-2,4))</f>
        <v>1</v>
      </c>
      <c r="F9">
        <f t="shared" si="0"/>
        <v>9500</v>
      </c>
    </row>
    <row r="10" spans="1:6">
      <c r="A10" s="1" cm="1">
        <f t="array" ref="A10">INDEX(Weekly_Inventory_Flow!$A$2:$A$261,INT((ROW()-2)/4)+1)</f>
        <v>46027</v>
      </c>
      <c r="B10" t="str" cm="1">
        <f t="array" ref="B10">INDEX(Weekly_Inventory_Flow!$B$2:$B$261,INT((ROW()-2)/4)+1)</f>
        <v>P003</v>
      </c>
      <c r="C10" t="str" cm="1">
        <f t="array" ref="C10">INDEX(BOM!$B$2:$B$21,MATCH(B10,BOM!$A$2:$A$21,0)+MOD(ROW()-2,4))</f>
        <v>M003</v>
      </c>
      <c r="D10" cm="1">
        <f t="array" ref="D10">INDEX(Weekly_Inventory_Flow!$I$2:$I$261,INT((ROW()-2)/4)+1)</f>
        <v>8200</v>
      </c>
      <c r="E10" cm="1">
        <f t="array" ref="E10">INDEX(BOM!$C$2:$C$21,MATCH(B10,BOM!$A$2:$A$21,0)+MOD(ROW()-2,4))</f>
        <v>0.25</v>
      </c>
      <c r="F10">
        <f t="shared" si="0"/>
        <v>2050</v>
      </c>
    </row>
    <row r="11" spans="1:6">
      <c r="A11" s="1" cm="1">
        <f t="array" ref="A11">INDEX(Weekly_Inventory_Flow!$A$2:$A$261,INT((ROW()-2)/4)+1)</f>
        <v>46027</v>
      </c>
      <c r="B11" t="str" cm="1">
        <f t="array" ref="B11">INDEX(Weekly_Inventory_Flow!$B$2:$B$261,INT((ROW()-2)/4)+1)</f>
        <v>P003</v>
      </c>
      <c r="C11" t="str" cm="1">
        <f t="array" ref="C11">INDEX(BOM!$B$2:$B$21,MATCH(B11,BOM!$A$2:$A$21,0)+MOD(ROW()-2,4))</f>
        <v>M006</v>
      </c>
      <c r="D11" cm="1">
        <f t="array" ref="D11">INDEX(Weekly_Inventory_Flow!$I$2:$I$261,INT((ROW()-2)/4)+1)</f>
        <v>8200</v>
      </c>
      <c r="E11" cm="1">
        <f t="array" ref="E11">INDEX(BOM!$C$2:$C$21,MATCH(B11,BOM!$A$2:$A$21,0)+MOD(ROW()-2,4))</f>
        <v>6.0000000000000001E-3</v>
      </c>
      <c r="F11">
        <f t="shared" si="0"/>
        <v>49.2</v>
      </c>
    </row>
    <row r="12" spans="1:6">
      <c r="A12" s="1" cm="1">
        <f t="array" ref="A12">INDEX(Weekly_Inventory_Flow!$A$2:$A$261,INT((ROW()-2)/4)+1)</f>
        <v>46027</v>
      </c>
      <c r="B12" t="str" cm="1">
        <f t="array" ref="B12">INDEX(Weekly_Inventory_Flow!$B$2:$B$261,INT((ROW()-2)/4)+1)</f>
        <v>P003</v>
      </c>
      <c r="C12" t="str" cm="1">
        <f t="array" ref="C12">INDEX(BOM!$B$2:$B$21,MATCH(B12,BOM!$A$2:$A$21,0)+MOD(ROW()-2,4))</f>
        <v>M007</v>
      </c>
      <c r="D12" cm="1">
        <f t="array" ref="D12">INDEX(Weekly_Inventory_Flow!$I$2:$I$261,INT((ROW()-2)/4)+1)</f>
        <v>8200</v>
      </c>
      <c r="E12" cm="1">
        <f t="array" ref="E12">INDEX(BOM!$C$2:$C$21,MATCH(B12,BOM!$A$2:$A$21,0)+MOD(ROW()-2,4))</f>
        <v>1</v>
      </c>
      <c r="F12">
        <f t="shared" si="0"/>
        <v>8200</v>
      </c>
    </row>
    <row r="13" spans="1:6">
      <c r="A13" s="1" cm="1">
        <f t="array" ref="A13">INDEX(Weekly_Inventory_Flow!$A$2:$A$261,INT((ROW()-2)/4)+1)</f>
        <v>46027</v>
      </c>
      <c r="B13" t="str" cm="1">
        <f t="array" ref="B13">INDEX(Weekly_Inventory_Flow!$B$2:$B$261,INT((ROW()-2)/4)+1)</f>
        <v>P003</v>
      </c>
      <c r="C13" t="str" cm="1">
        <f t="array" ref="C13">INDEX(BOM!$B$2:$B$21,MATCH(B13,BOM!$A$2:$A$21,0)+MOD(ROW()-2,4))</f>
        <v>M008</v>
      </c>
      <c r="D13" cm="1">
        <f t="array" ref="D13">INDEX(Weekly_Inventory_Flow!$I$2:$I$261,INT((ROW()-2)/4)+1)</f>
        <v>8200</v>
      </c>
      <c r="E13" cm="1">
        <f t="array" ref="E13">INDEX(BOM!$C$2:$C$21,MATCH(B13,BOM!$A$2:$A$21,0)+MOD(ROW()-2,4))</f>
        <v>1</v>
      </c>
      <c r="F13">
        <f t="shared" si="0"/>
        <v>8200</v>
      </c>
    </row>
    <row r="14" spans="1:6">
      <c r="A14" s="1" cm="1">
        <f t="array" ref="A14">INDEX(Weekly_Inventory_Flow!$A$2:$A$261,INT((ROW()-2)/4)+1)</f>
        <v>46027</v>
      </c>
      <c r="B14" t="str" cm="1">
        <f t="array" ref="B14">INDEX(Weekly_Inventory_Flow!$B$2:$B$261,INT((ROW()-2)/4)+1)</f>
        <v>P004</v>
      </c>
      <c r="C14" t="str" cm="1">
        <f t="array" ref="C14">INDEX(BOM!$B$2:$B$21,MATCH(B14,BOM!$A$2:$A$21,0)+MOD(ROW()-2,4))</f>
        <v>M004</v>
      </c>
      <c r="D14" cm="1">
        <f t="array" ref="D14">INDEX(Weekly_Inventory_Flow!$I$2:$I$261,INT((ROW()-2)/4)+1)</f>
        <v>8800</v>
      </c>
      <c r="E14" cm="1">
        <f t="array" ref="E14">INDEX(BOM!$C$2:$C$21,MATCH(B14,BOM!$A$2:$A$21,0)+MOD(ROW()-2,4))</f>
        <v>0.34</v>
      </c>
      <c r="F14">
        <f t="shared" si="0"/>
        <v>2992</v>
      </c>
    </row>
    <row r="15" spans="1:6">
      <c r="A15" s="1" cm="1">
        <f t="array" ref="A15">INDEX(Weekly_Inventory_Flow!$A$2:$A$261,INT((ROW()-2)/4)+1)</f>
        <v>46027</v>
      </c>
      <c r="B15" t="str" cm="1">
        <f t="array" ref="B15">INDEX(Weekly_Inventory_Flow!$B$2:$B$261,INT((ROW()-2)/4)+1)</f>
        <v>P004</v>
      </c>
      <c r="C15" t="str" cm="1">
        <f t="array" ref="C15">INDEX(BOM!$B$2:$B$21,MATCH(B15,BOM!$A$2:$A$21,0)+MOD(ROW()-2,4))</f>
        <v>M006</v>
      </c>
      <c r="D15" cm="1">
        <f t="array" ref="D15">INDEX(Weekly_Inventory_Flow!$I$2:$I$261,INT((ROW()-2)/4)+1)</f>
        <v>8800</v>
      </c>
      <c r="E15" cm="1">
        <f t="array" ref="E15">INDEX(BOM!$C$2:$C$21,MATCH(B15,BOM!$A$2:$A$21,0)+MOD(ROW()-2,4))</f>
        <v>8.9999999999999993E-3</v>
      </c>
      <c r="F15">
        <f t="shared" si="0"/>
        <v>79.199999999999989</v>
      </c>
    </row>
    <row r="16" spans="1:6">
      <c r="A16" s="1" cm="1">
        <f t="array" ref="A16">INDEX(Weekly_Inventory_Flow!$A$2:$A$261,INT((ROW()-2)/4)+1)</f>
        <v>46027</v>
      </c>
      <c r="B16" t="str" cm="1">
        <f t="array" ref="B16">INDEX(Weekly_Inventory_Flow!$B$2:$B$261,INT((ROW()-2)/4)+1)</f>
        <v>P004</v>
      </c>
      <c r="C16" t="str" cm="1">
        <f t="array" ref="C16">INDEX(BOM!$B$2:$B$21,MATCH(B16,BOM!$A$2:$A$21,0)+MOD(ROW()-2,4))</f>
        <v>M007</v>
      </c>
      <c r="D16" cm="1">
        <f t="array" ref="D16">INDEX(Weekly_Inventory_Flow!$I$2:$I$261,INT((ROW()-2)/4)+1)</f>
        <v>8800</v>
      </c>
      <c r="E16" cm="1">
        <f t="array" ref="E16">INDEX(BOM!$C$2:$C$21,MATCH(B16,BOM!$A$2:$A$21,0)+MOD(ROW()-2,4))</f>
        <v>1</v>
      </c>
      <c r="F16">
        <f t="shared" si="0"/>
        <v>8800</v>
      </c>
    </row>
    <row r="17" spans="1:6">
      <c r="A17" s="1" cm="1">
        <f t="array" ref="A17">INDEX(Weekly_Inventory_Flow!$A$2:$A$261,INT((ROW()-2)/4)+1)</f>
        <v>46027</v>
      </c>
      <c r="B17" t="str" cm="1">
        <f t="array" ref="B17">INDEX(Weekly_Inventory_Flow!$B$2:$B$261,INT((ROW()-2)/4)+1)</f>
        <v>P004</v>
      </c>
      <c r="C17" t="str" cm="1">
        <f t="array" ref="C17">INDEX(BOM!$B$2:$B$21,MATCH(B17,BOM!$A$2:$A$21,0)+MOD(ROW()-2,4))</f>
        <v>M008</v>
      </c>
      <c r="D17" cm="1">
        <f t="array" ref="D17">INDEX(Weekly_Inventory_Flow!$I$2:$I$261,INT((ROW()-2)/4)+1)</f>
        <v>8800</v>
      </c>
      <c r="E17" cm="1">
        <f t="array" ref="E17">INDEX(BOM!$C$2:$C$21,MATCH(B17,BOM!$A$2:$A$21,0)+MOD(ROW()-2,4))</f>
        <v>1</v>
      </c>
      <c r="F17">
        <f t="shared" si="0"/>
        <v>8800</v>
      </c>
    </row>
    <row r="18" spans="1:6">
      <c r="A18" s="1" cm="1">
        <f t="array" ref="A18">INDEX(Weekly_Inventory_Flow!$A$2:$A$261,INT((ROW()-2)/4)+1)</f>
        <v>46027</v>
      </c>
      <c r="B18" t="str" cm="1">
        <f t="array" ref="B18">INDEX(Weekly_Inventory_Flow!$B$2:$B$261,INT((ROW()-2)/4)+1)</f>
        <v>P005</v>
      </c>
      <c r="C18" t="str" cm="1">
        <f t="array" ref="C18">INDEX(BOM!$B$2:$B$21,MATCH(B18,BOM!$A$2:$A$21,0)+MOD(ROW()-2,4))</f>
        <v>M005</v>
      </c>
      <c r="D18" cm="1">
        <f t="array" ref="D18">INDEX(Weekly_Inventory_Flow!$I$2:$I$261,INT((ROW()-2)/4)+1)</f>
        <v>6700</v>
      </c>
      <c r="E18" cm="1">
        <f t="array" ref="E18">INDEX(BOM!$C$2:$C$21,MATCH(B18,BOM!$A$2:$A$21,0)+MOD(ROW()-2,4))</f>
        <v>0.52</v>
      </c>
      <c r="F18">
        <f t="shared" si="0"/>
        <v>3484</v>
      </c>
    </row>
    <row r="19" spans="1:6">
      <c r="A19" s="1" cm="1">
        <f t="array" ref="A19">INDEX(Weekly_Inventory_Flow!$A$2:$A$261,INT((ROW()-2)/4)+1)</f>
        <v>46027</v>
      </c>
      <c r="B19" t="str" cm="1">
        <f t="array" ref="B19">INDEX(Weekly_Inventory_Flow!$B$2:$B$261,INT((ROW()-2)/4)+1)</f>
        <v>P005</v>
      </c>
      <c r="C19" t="str" cm="1">
        <f t="array" ref="C19">INDEX(BOM!$B$2:$B$21,MATCH(B19,BOM!$A$2:$A$21,0)+MOD(ROW()-2,4))</f>
        <v>M006</v>
      </c>
      <c r="D19" cm="1">
        <f t="array" ref="D19">INDEX(Weekly_Inventory_Flow!$I$2:$I$261,INT((ROW()-2)/4)+1)</f>
        <v>6700</v>
      </c>
      <c r="E19" cm="1">
        <f t="array" ref="E19">INDEX(BOM!$C$2:$C$21,MATCH(B19,BOM!$A$2:$A$21,0)+MOD(ROW()-2,4))</f>
        <v>1.2E-2</v>
      </c>
      <c r="F19">
        <f t="shared" si="0"/>
        <v>80.400000000000006</v>
      </c>
    </row>
    <row r="20" spans="1:6">
      <c r="A20" s="1" cm="1">
        <f t="array" ref="A20">INDEX(Weekly_Inventory_Flow!$A$2:$A$261,INT((ROW()-2)/4)+1)</f>
        <v>46027</v>
      </c>
      <c r="B20" t="str" cm="1">
        <f t="array" ref="B20">INDEX(Weekly_Inventory_Flow!$B$2:$B$261,INT((ROW()-2)/4)+1)</f>
        <v>P005</v>
      </c>
      <c r="C20" t="str" cm="1">
        <f t="array" ref="C20">INDEX(BOM!$B$2:$B$21,MATCH(B20,BOM!$A$2:$A$21,0)+MOD(ROW()-2,4))</f>
        <v>M007</v>
      </c>
      <c r="D20" cm="1">
        <f t="array" ref="D20">INDEX(Weekly_Inventory_Flow!$I$2:$I$261,INT((ROW()-2)/4)+1)</f>
        <v>6700</v>
      </c>
      <c r="E20" cm="1">
        <f t="array" ref="E20">INDEX(BOM!$C$2:$C$21,MATCH(B20,BOM!$A$2:$A$21,0)+MOD(ROW()-2,4))</f>
        <v>1</v>
      </c>
      <c r="F20">
        <f t="shared" si="0"/>
        <v>6700</v>
      </c>
    </row>
    <row r="21" spans="1:6">
      <c r="A21" s="1" cm="1">
        <f t="array" ref="A21">INDEX(Weekly_Inventory_Flow!$A$2:$A$261,INT((ROW()-2)/4)+1)</f>
        <v>46027</v>
      </c>
      <c r="B21" t="str" cm="1">
        <f t="array" ref="B21">INDEX(Weekly_Inventory_Flow!$B$2:$B$261,INT((ROW()-2)/4)+1)</f>
        <v>P005</v>
      </c>
      <c r="C21" t="str" cm="1">
        <f t="array" ref="C21">INDEX(BOM!$B$2:$B$21,MATCH(B21,BOM!$A$2:$A$21,0)+MOD(ROW()-2,4))</f>
        <v>M008</v>
      </c>
      <c r="D21" cm="1">
        <f t="array" ref="D21">INDEX(Weekly_Inventory_Flow!$I$2:$I$261,INT((ROW()-2)/4)+1)</f>
        <v>6700</v>
      </c>
      <c r="E21" cm="1">
        <f t="array" ref="E21">INDEX(BOM!$C$2:$C$21,MATCH(B21,BOM!$A$2:$A$21,0)+MOD(ROW()-2,4))</f>
        <v>1</v>
      </c>
      <c r="F21">
        <f t="shared" si="0"/>
        <v>6700</v>
      </c>
    </row>
    <row r="22" spans="1:6">
      <c r="A22" s="1" cm="1">
        <f t="array" ref="A22">INDEX(Weekly_Inventory_Flow!$A$2:$A$261,INT((ROW()-2)/4)+1)</f>
        <v>46034</v>
      </c>
      <c r="B22" t="str" cm="1">
        <f t="array" ref="B22">INDEX(Weekly_Inventory_Flow!$B$2:$B$261,INT((ROW()-2)/4)+1)</f>
        <v>P001</v>
      </c>
      <c r="C22" t="str" cm="1">
        <f t="array" ref="C22">INDEX(BOM!$B$2:$B$21,MATCH(B22,BOM!$A$2:$A$21,0)+MOD(ROW()-2,4))</f>
        <v>M001</v>
      </c>
      <c r="D22" cm="1">
        <f t="array" ref="D22">INDEX(Weekly_Inventory_Flow!$I$2:$I$261,INT((ROW()-2)/4)+1)</f>
        <v>13900</v>
      </c>
      <c r="E22" cm="1">
        <f t="array" ref="E22">INDEX(BOM!$C$2:$C$21,MATCH(B22,BOM!$A$2:$A$21,0)+MOD(ROW()-2,4))</f>
        <v>0.35</v>
      </c>
      <c r="F22">
        <f t="shared" si="0"/>
        <v>4865</v>
      </c>
    </row>
    <row r="23" spans="1:6">
      <c r="A23" s="1" cm="1">
        <f t="array" ref="A23">INDEX(Weekly_Inventory_Flow!$A$2:$A$261,INT((ROW()-2)/4)+1)</f>
        <v>46034</v>
      </c>
      <c r="B23" t="str" cm="1">
        <f t="array" ref="B23">INDEX(Weekly_Inventory_Flow!$B$2:$B$261,INT((ROW()-2)/4)+1)</f>
        <v>P001</v>
      </c>
      <c r="C23" t="str" cm="1">
        <f t="array" ref="C23">INDEX(BOM!$B$2:$B$21,MATCH(B23,BOM!$A$2:$A$21,0)+MOD(ROW()-2,4))</f>
        <v>M006</v>
      </c>
      <c r="D23" cm="1">
        <f t="array" ref="D23">INDEX(Weekly_Inventory_Flow!$I$2:$I$261,INT((ROW()-2)/4)+1)</f>
        <v>13900</v>
      </c>
      <c r="E23" cm="1">
        <f t="array" ref="E23">INDEX(BOM!$C$2:$C$21,MATCH(B23,BOM!$A$2:$A$21,0)+MOD(ROW()-2,4))</f>
        <v>0.01</v>
      </c>
      <c r="F23">
        <f t="shared" si="0"/>
        <v>139</v>
      </c>
    </row>
    <row r="24" spans="1:6">
      <c r="A24" s="1" cm="1">
        <f t="array" ref="A24">INDEX(Weekly_Inventory_Flow!$A$2:$A$261,INT((ROW()-2)/4)+1)</f>
        <v>46034</v>
      </c>
      <c r="B24" t="str" cm="1">
        <f t="array" ref="B24">INDEX(Weekly_Inventory_Flow!$B$2:$B$261,INT((ROW()-2)/4)+1)</f>
        <v>P001</v>
      </c>
      <c r="C24" t="str" cm="1">
        <f t="array" ref="C24">INDEX(BOM!$B$2:$B$21,MATCH(B24,BOM!$A$2:$A$21,0)+MOD(ROW()-2,4))</f>
        <v>M007</v>
      </c>
      <c r="D24" cm="1">
        <f t="array" ref="D24">INDEX(Weekly_Inventory_Flow!$I$2:$I$261,INT((ROW()-2)/4)+1)</f>
        <v>13900</v>
      </c>
      <c r="E24" cm="1">
        <f t="array" ref="E24">INDEX(BOM!$C$2:$C$21,MATCH(B24,BOM!$A$2:$A$21,0)+MOD(ROW()-2,4))</f>
        <v>1</v>
      </c>
      <c r="F24">
        <f t="shared" si="0"/>
        <v>13900</v>
      </c>
    </row>
    <row r="25" spans="1:6">
      <c r="A25" s="1" cm="1">
        <f t="array" ref="A25">INDEX(Weekly_Inventory_Flow!$A$2:$A$261,INT((ROW()-2)/4)+1)</f>
        <v>46034</v>
      </c>
      <c r="B25" t="str" cm="1">
        <f t="array" ref="B25">INDEX(Weekly_Inventory_Flow!$B$2:$B$261,INT((ROW()-2)/4)+1)</f>
        <v>P001</v>
      </c>
      <c r="C25" t="str" cm="1">
        <f t="array" ref="C25">INDEX(BOM!$B$2:$B$21,MATCH(B25,BOM!$A$2:$A$21,0)+MOD(ROW()-2,4))</f>
        <v>M008</v>
      </c>
      <c r="D25" cm="1">
        <f t="array" ref="D25">INDEX(Weekly_Inventory_Flow!$I$2:$I$261,INT((ROW()-2)/4)+1)</f>
        <v>13900</v>
      </c>
      <c r="E25" cm="1">
        <f t="array" ref="E25">INDEX(BOM!$C$2:$C$21,MATCH(B25,BOM!$A$2:$A$21,0)+MOD(ROW()-2,4))</f>
        <v>1</v>
      </c>
      <c r="F25">
        <f t="shared" si="0"/>
        <v>13900</v>
      </c>
    </row>
    <row r="26" spans="1:6">
      <c r="A26" s="1" cm="1">
        <f t="array" ref="A26">INDEX(Weekly_Inventory_Flow!$A$2:$A$261,INT((ROW()-2)/4)+1)</f>
        <v>46034</v>
      </c>
      <c r="B26" t="str" cm="1">
        <f t="array" ref="B26">INDEX(Weekly_Inventory_Flow!$B$2:$B$261,INT((ROW()-2)/4)+1)</f>
        <v>P002</v>
      </c>
      <c r="C26" t="str" cm="1">
        <f t="array" ref="C26">INDEX(BOM!$B$2:$B$21,MATCH(B26,BOM!$A$2:$A$21,0)+MOD(ROW()-2,4))</f>
        <v>M002</v>
      </c>
      <c r="D26" cm="1">
        <f t="array" ref="D26">INDEX(Weekly_Inventory_Flow!$I$2:$I$261,INT((ROW()-2)/4)+1)</f>
        <v>11700</v>
      </c>
      <c r="E26" cm="1">
        <f t="array" ref="E26">INDEX(BOM!$C$2:$C$21,MATCH(B26,BOM!$A$2:$A$21,0)+MOD(ROW()-2,4))</f>
        <v>0.3</v>
      </c>
      <c r="F26">
        <f t="shared" si="0"/>
        <v>3510</v>
      </c>
    </row>
    <row r="27" spans="1:6">
      <c r="A27" s="1" cm="1">
        <f t="array" ref="A27">INDEX(Weekly_Inventory_Flow!$A$2:$A$261,INT((ROW()-2)/4)+1)</f>
        <v>46034</v>
      </c>
      <c r="B27" t="str" cm="1">
        <f t="array" ref="B27">INDEX(Weekly_Inventory_Flow!$B$2:$B$261,INT((ROW()-2)/4)+1)</f>
        <v>P002</v>
      </c>
      <c r="C27" t="str" cm="1">
        <f t="array" ref="C27">INDEX(BOM!$B$2:$B$21,MATCH(B27,BOM!$A$2:$A$21,0)+MOD(ROW()-2,4))</f>
        <v>M006</v>
      </c>
      <c r="D27" cm="1">
        <f t="array" ref="D27">INDEX(Weekly_Inventory_Flow!$I$2:$I$261,INT((ROW()-2)/4)+1)</f>
        <v>11700</v>
      </c>
      <c r="E27" cm="1">
        <f t="array" ref="E27">INDEX(BOM!$C$2:$C$21,MATCH(B27,BOM!$A$2:$A$21,0)+MOD(ROW()-2,4))</f>
        <v>8.0000000000000002E-3</v>
      </c>
      <c r="F27">
        <f t="shared" si="0"/>
        <v>93.600000000000009</v>
      </c>
    </row>
    <row r="28" spans="1:6">
      <c r="A28" s="1" cm="1">
        <f t="array" ref="A28">INDEX(Weekly_Inventory_Flow!$A$2:$A$261,INT((ROW()-2)/4)+1)</f>
        <v>46034</v>
      </c>
      <c r="B28" t="str" cm="1">
        <f t="array" ref="B28">INDEX(Weekly_Inventory_Flow!$B$2:$B$261,INT((ROW()-2)/4)+1)</f>
        <v>P002</v>
      </c>
      <c r="C28" t="str" cm="1">
        <f t="array" ref="C28">INDEX(BOM!$B$2:$B$21,MATCH(B28,BOM!$A$2:$A$21,0)+MOD(ROW()-2,4))</f>
        <v>M007</v>
      </c>
      <c r="D28" cm="1">
        <f t="array" ref="D28">INDEX(Weekly_Inventory_Flow!$I$2:$I$261,INT((ROW()-2)/4)+1)</f>
        <v>11700</v>
      </c>
      <c r="E28" cm="1">
        <f t="array" ref="E28">INDEX(BOM!$C$2:$C$21,MATCH(B28,BOM!$A$2:$A$21,0)+MOD(ROW()-2,4))</f>
        <v>1</v>
      </c>
      <c r="F28">
        <f t="shared" si="0"/>
        <v>11700</v>
      </c>
    </row>
    <row r="29" spans="1:6">
      <c r="A29" s="1" cm="1">
        <f t="array" ref="A29">INDEX(Weekly_Inventory_Flow!$A$2:$A$261,INT((ROW()-2)/4)+1)</f>
        <v>46034</v>
      </c>
      <c r="B29" t="str" cm="1">
        <f t="array" ref="B29">INDEX(Weekly_Inventory_Flow!$B$2:$B$261,INT((ROW()-2)/4)+1)</f>
        <v>P002</v>
      </c>
      <c r="C29" t="str" cm="1">
        <f t="array" ref="C29">INDEX(BOM!$B$2:$B$21,MATCH(B29,BOM!$A$2:$A$21,0)+MOD(ROW()-2,4))</f>
        <v>M008</v>
      </c>
      <c r="D29" cm="1">
        <f t="array" ref="D29">INDEX(Weekly_Inventory_Flow!$I$2:$I$261,INT((ROW()-2)/4)+1)</f>
        <v>11700</v>
      </c>
      <c r="E29" cm="1">
        <f t="array" ref="E29">INDEX(BOM!$C$2:$C$21,MATCH(B29,BOM!$A$2:$A$21,0)+MOD(ROW()-2,4))</f>
        <v>1</v>
      </c>
      <c r="F29">
        <f t="shared" si="0"/>
        <v>11700</v>
      </c>
    </row>
    <row r="30" spans="1:6">
      <c r="A30" s="1" cm="1">
        <f t="array" ref="A30">INDEX(Weekly_Inventory_Flow!$A$2:$A$261,INT((ROW()-2)/4)+1)</f>
        <v>46034</v>
      </c>
      <c r="B30" t="str" cm="1">
        <f t="array" ref="B30">INDEX(Weekly_Inventory_Flow!$B$2:$B$261,INT((ROW()-2)/4)+1)</f>
        <v>P003</v>
      </c>
      <c r="C30" t="str" cm="1">
        <f t="array" ref="C30">INDEX(BOM!$B$2:$B$21,MATCH(B30,BOM!$A$2:$A$21,0)+MOD(ROW()-2,4))</f>
        <v>M003</v>
      </c>
      <c r="D30" cm="1">
        <f t="array" ref="D30">INDEX(Weekly_Inventory_Flow!$I$2:$I$261,INT((ROW()-2)/4)+1)</f>
        <v>10700</v>
      </c>
      <c r="E30" cm="1">
        <f t="array" ref="E30">INDEX(BOM!$C$2:$C$21,MATCH(B30,BOM!$A$2:$A$21,0)+MOD(ROW()-2,4))</f>
        <v>0.25</v>
      </c>
      <c r="F30">
        <f t="shared" si="0"/>
        <v>2675</v>
      </c>
    </row>
    <row r="31" spans="1:6">
      <c r="A31" s="1" cm="1">
        <f t="array" ref="A31">INDEX(Weekly_Inventory_Flow!$A$2:$A$261,INT((ROW()-2)/4)+1)</f>
        <v>46034</v>
      </c>
      <c r="B31" t="str" cm="1">
        <f t="array" ref="B31">INDEX(Weekly_Inventory_Flow!$B$2:$B$261,INT((ROW()-2)/4)+1)</f>
        <v>P003</v>
      </c>
      <c r="C31" t="str" cm="1">
        <f t="array" ref="C31">INDEX(BOM!$B$2:$B$21,MATCH(B31,BOM!$A$2:$A$21,0)+MOD(ROW()-2,4))</f>
        <v>M006</v>
      </c>
      <c r="D31" cm="1">
        <f t="array" ref="D31">INDEX(Weekly_Inventory_Flow!$I$2:$I$261,INT((ROW()-2)/4)+1)</f>
        <v>10700</v>
      </c>
      <c r="E31" cm="1">
        <f t="array" ref="E31">INDEX(BOM!$C$2:$C$21,MATCH(B31,BOM!$A$2:$A$21,0)+MOD(ROW()-2,4))</f>
        <v>6.0000000000000001E-3</v>
      </c>
      <c r="F31">
        <f t="shared" si="0"/>
        <v>64.2</v>
      </c>
    </row>
    <row r="32" spans="1:6">
      <c r="A32" s="1" cm="1">
        <f t="array" ref="A32">INDEX(Weekly_Inventory_Flow!$A$2:$A$261,INT((ROW()-2)/4)+1)</f>
        <v>46034</v>
      </c>
      <c r="B32" t="str" cm="1">
        <f t="array" ref="B32">INDEX(Weekly_Inventory_Flow!$B$2:$B$261,INT((ROW()-2)/4)+1)</f>
        <v>P003</v>
      </c>
      <c r="C32" t="str" cm="1">
        <f t="array" ref="C32">INDEX(BOM!$B$2:$B$21,MATCH(B32,BOM!$A$2:$A$21,0)+MOD(ROW()-2,4))</f>
        <v>M007</v>
      </c>
      <c r="D32" cm="1">
        <f t="array" ref="D32">INDEX(Weekly_Inventory_Flow!$I$2:$I$261,INT((ROW()-2)/4)+1)</f>
        <v>10700</v>
      </c>
      <c r="E32" cm="1">
        <f t="array" ref="E32">INDEX(BOM!$C$2:$C$21,MATCH(B32,BOM!$A$2:$A$21,0)+MOD(ROW()-2,4))</f>
        <v>1</v>
      </c>
      <c r="F32">
        <f t="shared" si="0"/>
        <v>10700</v>
      </c>
    </row>
    <row r="33" spans="1:6">
      <c r="A33" s="1" cm="1">
        <f t="array" ref="A33">INDEX(Weekly_Inventory_Flow!$A$2:$A$261,INT((ROW()-2)/4)+1)</f>
        <v>46034</v>
      </c>
      <c r="B33" t="str" cm="1">
        <f t="array" ref="B33">INDEX(Weekly_Inventory_Flow!$B$2:$B$261,INT((ROW()-2)/4)+1)</f>
        <v>P003</v>
      </c>
      <c r="C33" t="str" cm="1">
        <f t="array" ref="C33">INDEX(BOM!$B$2:$B$21,MATCH(B33,BOM!$A$2:$A$21,0)+MOD(ROW()-2,4))</f>
        <v>M008</v>
      </c>
      <c r="D33" cm="1">
        <f t="array" ref="D33">INDEX(Weekly_Inventory_Flow!$I$2:$I$261,INT((ROW()-2)/4)+1)</f>
        <v>10700</v>
      </c>
      <c r="E33" cm="1">
        <f t="array" ref="E33">INDEX(BOM!$C$2:$C$21,MATCH(B33,BOM!$A$2:$A$21,0)+MOD(ROW()-2,4))</f>
        <v>1</v>
      </c>
      <c r="F33">
        <f t="shared" si="0"/>
        <v>10700</v>
      </c>
    </row>
    <row r="34" spans="1:6">
      <c r="A34" s="1" cm="1">
        <f t="array" ref="A34">INDEX(Weekly_Inventory_Flow!$A$2:$A$261,INT((ROW()-2)/4)+1)</f>
        <v>46034</v>
      </c>
      <c r="B34" t="str" cm="1">
        <f t="array" ref="B34">INDEX(Weekly_Inventory_Flow!$B$2:$B$261,INT((ROW()-2)/4)+1)</f>
        <v>P004</v>
      </c>
      <c r="C34" t="str" cm="1">
        <f t="array" ref="C34">INDEX(BOM!$B$2:$B$21,MATCH(B34,BOM!$A$2:$A$21,0)+MOD(ROW()-2,4))</f>
        <v>M004</v>
      </c>
      <c r="D34" cm="1">
        <f t="array" ref="D34">INDEX(Weekly_Inventory_Flow!$I$2:$I$261,INT((ROW()-2)/4)+1)</f>
        <v>10800</v>
      </c>
      <c r="E34" cm="1">
        <f t="array" ref="E34">INDEX(BOM!$C$2:$C$21,MATCH(B34,BOM!$A$2:$A$21,0)+MOD(ROW()-2,4))</f>
        <v>0.34</v>
      </c>
      <c r="F34">
        <f t="shared" si="0"/>
        <v>3672.0000000000005</v>
      </c>
    </row>
    <row r="35" spans="1:6">
      <c r="A35" s="1" cm="1">
        <f t="array" ref="A35">INDEX(Weekly_Inventory_Flow!$A$2:$A$261,INT((ROW()-2)/4)+1)</f>
        <v>46034</v>
      </c>
      <c r="B35" t="str" cm="1">
        <f t="array" ref="B35">INDEX(Weekly_Inventory_Flow!$B$2:$B$261,INT((ROW()-2)/4)+1)</f>
        <v>P004</v>
      </c>
      <c r="C35" t="str" cm="1">
        <f t="array" ref="C35">INDEX(BOM!$B$2:$B$21,MATCH(B35,BOM!$A$2:$A$21,0)+MOD(ROW()-2,4))</f>
        <v>M006</v>
      </c>
      <c r="D35" cm="1">
        <f t="array" ref="D35">INDEX(Weekly_Inventory_Flow!$I$2:$I$261,INT((ROW()-2)/4)+1)</f>
        <v>10800</v>
      </c>
      <c r="E35" cm="1">
        <f t="array" ref="E35">INDEX(BOM!$C$2:$C$21,MATCH(B35,BOM!$A$2:$A$21,0)+MOD(ROW()-2,4))</f>
        <v>8.9999999999999993E-3</v>
      </c>
      <c r="F35">
        <f t="shared" si="0"/>
        <v>97.199999999999989</v>
      </c>
    </row>
    <row r="36" spans="1:6">
      <c r="A36" s="1" cm="1">
        <f t="array" ref="A36">INDEX(Weekly_Inventory_Flow!$A$2:$A$261,INT((ROW()-2)/4)+1)</f>
        <v>46034</v>
      </c>
      <c r="B36" t="str" cm="1">
        <f t="array" ref="B36">INDEX(Weekly_Inventory_Flow!$B$2:$B$261,INT((ROW()-2)/4)+1)</f>
        <v>P004</v>
      </c>
      <c r="C36" t="str" cm="1">
        <f t="array" ref="C36">INDEX(BOM!$B$2:$B$21,MATCH(B36,BOM!$A$2:$A$21,0)+MOD(ROW()-2,4))</f>
        <v>M007</v>
      </c>
      <c r="D36" cm="1">
        <f t="array" ref="D36">INDEX(Weekly_Inventory_Flow!$I$2:$I$261,INT((ROW()-2)/4)+1)</f>
        <v>10800</v>
      </c>
      <c r="E36" cm="1">
        <f t="array" ref="E36">INDEX(BOM!$C$2:$C$21,MATCH(B36,BOM!$A$2:$A$21,0)+MOD(ROW()-2,4))</f>
        <v>1</v>
      </c>
      <c r="F36">
        <f t="shared" si="0"/>
        <v>10800</v>
      </c>
    </row>
    <row r="37" spans="1:6">
      <c r="A37" s="1" cm="1">
        <f t="array" ref="A37">INDEX(Weekly_Inventory_Flow!$A$2:$A$261,INT((ROW()-2)/4)+1)</f>
        <v>46034</v>
      </c>
      <c r="B37" t="str" cm="1">
        <f t="array" ref="B37">INDEX(Weekly_Inventory_Flow!$B$2:$B$261,INT((ROW()-2)/4)+1)</f>
        <v>P004</v>
      </c>
      <c r="C37" t="str" cm="1">
        <f t="array" ref="C37">INDEX(BOM!$B$2:$B$21,MATCH(B37,BOM!$A$2:$A$21,0)+MOD(ROW()-2,4))</f>
        <v>M008</v>
      </c>
      <c r="D37" cm="1">
        <f t="array" ref="D37">INDEX(Weekly_Inventory_Flow!$I$2:$I$261,INT((ROW()-2)/4)+1)</f>
        <v>10800</v>
      </c>
      <c r="E37" cm="1">
        <f t="array" ref="E37">INDEX(BOM!$C$2:$C$21,MATCH(B37,BOM!$A$2:$A$21,0)+MOD(ROW()-2,4))</f>
        <v>1</v>
      </c>
      <c r="F37">
        <f t="shared" si="0"/>
        <v>10800</v>
      </c>
    </row>
    <row r="38" spans="1:6">
      <c r="A38" s="1" cm="1">
        <f t="array" ref="A38">INDEX(Weekly_Inventory_Flow!$A$2:$A$261,INT((ROW()-2)/4)+1)</f>
        <v>46034</v>
      </c>
      <c r="B38" t="str" cm="1">
        <f t="array" ref="B38">INDEX(Weekly_Inventory_Flow!$B$2:$B$261,INT((ROW()-2)/4)+1)</f>
        <v>P005</v>
      </c>
      <c r="C38" t="str" cm="1">
        <f t="array" ref="C38">INDEX(BOM!$B$2:$B$21,MATCH(B38,BOM!$A$2:$A$21,0)+MOD(ROW()-2,4))</f>
        <v>M005</v>
      </c>
      <c r="D38" cm="1">
        <f t="array" ref="D38">INDEX(Weekly_Inventory_Flow!$I$2:$I$261,INT((ROW()-2)/4)+1)</f>
        <v>8300</v>
      </c>
      <c r="E38" cm="1">
        <f t="array" ref="E38">INDEX(BOM!$C$2:$C$21,MATCH(B38,BOM!$A$2:$A$21,0)+MOD(ROW()-2,4))</f>
        <v>0.52</v>
      </c>
      <c r="F38">
        <f t="shared" si="0"/>
        <v>4316</v>
      </c>
    </row>
    <row r="39" spans="1:6">
      <c r="A39" s="1" cm="1">
        <f t="array" ref="A39">INDEX(Weekly_Inventory_Flow!$A$2:$A$261,INT((ROW()-2)/4)+1)</f>
        <v>46034</v>
      </c>
      <c r="B39" t="str" cm="1">
        <f t="array" ref="B39">INDEX(Weekly_Inventory_Flow!$B$2:$B$261,INT((ROW()-2)/4)+1)</f>
        <v>P005</v>
      </c>
      <c r="C39" t="str" cm="1">
        <f t="array" ref="C39">INDEX(BOM!$B$2:$B$21,MATCH(B39,BOM!$A$2:$A$21,0)+MOD(ROW()-2,4))</f>
        <v>M006</v>
      </c>
      <c r="D39" cm="1">
        <f t="array" ref="D39">INDEX(Weekly_Inventory_Flow!$I$2:$I$261,INT((ROW()-2)/4)+1)</f>
        <v>8300</v>
      </c>
      <c r="E39" cm="1">
        <f t="array" ref="E39">INDEX(BOM!$C$2:$C$21,MATCH(B39,BOM!$A$2:$A$21,0)+MOD(ROW()-2,4))</f>
        <v>1.2E-2</v>
      </c>
      <c r="F39">
        <f t="shared" si="0"/>
        <v>99.600000000000009</v>
      </c>
    </row>
    <row r="40" spans="1:6">
      <c r="A40" s="1" cm="1">
        <f t="array" ref="A40">INDEX(Weekly_Inventory_Flow!$A$2:$A$261,INT((ROW()-2)/4)+1)</f>
        <v>46034</v>
      </c>
      <c r="B40" t="str" cm="1">
        <f t="array" ref="B40">INDEX(Weekly_Inventory_Flow!$B$2:$B$261,INT((ROW()-2)/4)+1)</f>
        <v>P005</v>
      </c>
      <c r="C40" t="str" cm="1">
        <f t="array" ref="C40">INDEX(BOM!$B$2:$B$21,MATCH(B40,BOM!$A$2:$A$21,0)+MOD(ROW()-2,4))</f>
        <v>M007</v>
      </c>
      <c r="D40" cm="1">
        <f t="array" ref="D40">INDEX(Weekly_Inventory_Flow!$I$2:$I$261,INT((ROW()-2)/4)+1)</f>
        <v>8300</v>
      </c>
      <c r="E40" cm="1">
        <f t="array" ref="E40">INDEX(BOM!$C$2:$C$21,MATCH(B40,BOM!$A$2:$A$21,0)+MOD(ROW()-2,4))</f>
        <v>1</v>
      </c>
      <c r="F40">
        <f t="shared" si="0"/>
        <v>8300</v>
      </c>
    </row>
    <row r="41" spans="1:6">
      <c r="A41" s="1" cm="1">
        <f t="array" ref="A41">INDEX(Weekly_Inventory_Flow!$A$2:$A$261,INT((ROW()-2)/4)+1)</f>
        <v>46034</v>
      </c>
      <c r="B41" t="str" cm="1">
        <f t="array" ref="B41">INDEX(Weekly_Inventory_Flow!$B$2:$B$261,INT((ROW()-2)/4)+1)</f>
        <v>P005</v>
      </c>
      <c r="C41" t="str" cm="1">
        <f t="array" ref="C41">INDEX(BOM!$B$2:$B$21,MATCH(B41,BOM!$A$2:$A$21,0)+MOD(ROW()-2,4))</f>
        <v>M008</v>
      </c>
      <c r="D41" cm="1">
        <f t="array" ref="D41">INDEX(Weekly_Inventory_Flow!$I$2:$I$261,INT((ROW()-2)/4)+1)</f>
        <v>8300</v>
      </c>
      <c r="E41" cm="1">
        <f t="array" ref="E41">INDEX(BOM!$C$2:$C$21,MATCH(B41,BOM!$A$2:$A$21,0)+MOD(ROW()-2,4))</f>
        <v>1</v>
      </c>
      <c r="F41">
        <f t="shared" si="0"/>
        <v>8300</v>
      </c>
    </row>
    <row r="42" spans="1:6">
      <c r="A42" s="1" cm="1">
        <f t="array" ref="A42">INDEX(Weekly_Inventory_Flow!$A$2:$A$261,INT((ROW()-2)/4)+1)</f>
        <v>46041</v>
      </c>
      <c r="B42" t="str" cm="1">
        <f t="array" ref="B42">INDEX(Weekly_Inventory_Flow!$B$2:$B$261,INT((ROW()-2)/4)+1)</f>
        <v>P001</v>
      </c>
      <c r="C42" t="str" cm="1">
        <f t="array" ref="C42">INDEX(BOM!$B$2:$B$21,MATCH(B42,BOM!$A$2:$A$21,0)+MOD(ROW()-2,4))</f>
        <v>M001</v>
      </c>
      <c r="D42" cm="1">
        <f t="array" ref="D42">INDEX(Weekly_Inventory_Flow!$I$2:$I$261,INT((ROW()-2)/4)+1)</f>
        <v>13700</v>
      </c>
      <c r="E42" cm="1">
        <f t="array" ref="E42">INDEX(BOM!$C$2:$C$21,MATCH(B42,BOM!$A$2:$A$21,0)+MOD(ROW()-2,4))</f>
        <v>0.35</v>
      </c>
      <c r="F42">
        <f t="shared" si="0"/>
        <v>4795</v>
      </c>
    </row>
    <row r="43" spans="1:6">
      <c r="A43" s="1" cm="1">
        <f t="array" ref="A43">INDEX(Weekly_Inventory_Flow!$A$2:$A$261,INT((ROW()-2)/4)+1)</f>
        <v>46041</v>
      </c>
      <c r="B43" t="str" cm="1">
        <f t="array" ref="B43">INDEX(Weekly_Inventory_Flow!$B$2:$B$261,INT((ROW()-2)/4)+1)</f>
        <v>P001</v>
      </c>
      <c r="C43" t="str" cm="1">
        <f t="array" ref="C43">INDEX(BOM!$B$2:$B$21,MATCH(B43,BOM!$A$2:$A$21,0)+MOD(ROW()-2,4))</f>
        <v>M006</v>
      </c>
      <c r="D43" cm="1">
        <f t="array" ref="D43">INDEX(Weekly_Inventory_Flow!$I$2:$I$261,INT((ROW()-2)/4)+1)</f>
        <v>13700</v>
      </c>
      <c r="E43" cm="1">
        <f t="array" ref="E43">INDEX(BOM!$C$2:$C$21,MATCH(B43,BOM!$A$2:$A$21,0)+MOD(ROW()-2,4))</f>
        <v>0.01</v>
      </c>
      <c r="F43">
        <f t="shared" si="0"/>
        <v>137</v>
      </c>
    </row>
    <row r="44" spans="1:6">
      <c r="A44" s="1" cm="1">
        <f t="array" ref="A44">INDEX(Weekly_Inventory_Flow!$A$2:$A$261,INT((ROW()-2)/4)+1)</f>
        <v>46041</v>
      </c>
      <c r="B44" t="str" cm="1">
        <f t="array" ref="B44">INDEX(Weekly_Inventory_Flow!$B$2:$B$261,INT((ROW()-2)/4)+1)</f>
        <v>P001</v>
      </c>
      <c r="C44" t="str" cm="1">
        <f t="array" ref="C44">INDEX(BOM!$B$2:$B$21,MATCH(B44,BOM!$A$2:$A$21,0)+MOD(ROW()-2,4))</f>
        <v>M007</v>
      </c>
      <c r="D44" cm="1">
        <f t="array" ref="D44">INDEX(Weekly_Inventory_Flow!$I$2:$I$261,INT((ROW()-2)/4)+1)</f>
        <v>13700</v>
      </c>
      <c r="E44" cm="1">
        <f t="array" ref="E44">INDEX(BOM!$C$2:$C$21,MATCH(B44,BOM!$A$2:$A$21,0)+MOD(ROW()-2,4))</f>
        <v>1</v>
      </c>
      <c r="F44">
        <f t="shared" si="0"/>
        <v>13700</v>
      </c>
    </row>
    <row r="45" spans="1:6">
      <c r="A45" s="1" cm="1">
        <f t="array" ref="A45">INDEX(Weekly_Inventory_Flow!$A$2:$A$261,INT((ROW()-2)/4)+1)</f>
        <v>46041</v>
      </c>
      <c r="B45" t="str" cm="1">
        <f t="array" ref="B45">INDEX(Weekly_Inventory_Flow!$B$2:$B$261,INT((ROW()-2)/4)+1)</f>
        <v>P001</v>
      </c>
      <c r="C45" t="str" cm="1">
        <f t="array" ref="C45">INDEX(BOM!$B$2:$B$21,MATCH(B45,BOM!$A$2:$A$21,0)+MOD(ROW()-2,4))</f>
        <v>M008</v>
      </c>
      <c r="D45" cm="1">
        <f t="array" ref="D45">INDEX(Weekly_Inventory_Flow!$I$2:$I$261,INT((ROW()-2)/4)+1)</f>
        <v>13700</v>
      </c>
      <c r="E45" cm="1">
        <f t="array" ref="E45">INDEX(BOM!$C$2:$C$21,MATCH(B45,BOM!$A$2:$A$21,0)+MOD(ROW()-2,4))</f>
        <v>1</v>
      </c>
      <c r="F45">
        <f t="shared" si="0"/>
        <v>13700</v>
      </c>
    </row>
    <row r="46" spans="1:6">
      <c r="A46" s="1" cm="1">
        <f t="array" ref="A46">INDEX(Weekly_Inventory_Flow!$A$2:$A$261,INT((ROW()-2)/4)+1)</f>
        <v>46041</v>
      </c>
      <c r="B46" t="str" cm="1">
        <f t="array" ref="B46">INDEX(Weekly_Inventory_Flow!$B$2:$B$261,INT((ROW()-2)/4)+1)</f>
        <v>P002</v>
      </c>
      <c r="C46" t="str" cm="1">
        <f t="array" ref="C46">INDEX(BOM!$B$2:$B$21,MATCH(B46,BOM!$A$2:$A$21,0)+MOD(ROW()-2,4))</f>
        <v>M002</v>
      </c>
      <c r="D46" cm="1">
        <f t="array" ref="D46">INDEX(Weekly_Inventory_Flow!$I$2:$I$261,INT((ROW()-2)/4)+1)</f>
        <v>11800</v>
      </c>
      <c r="E46" cm="1">
        <f t="array" ref="E46">INDEX(BOM!$C$2:$C$21,MATCH(B46,BOM!$A$2:$A$21,0)+MOD(ROW()-2,4))</f>
        <v>0.3</v>
      </c>
      <c r="F46">
        <f t="shared" si="0"/>
        <v>3540</v>
      </c>
    </row>
    <row r="47" spans="1:6">
      <c r="A47" s="1" cm="1">
        <f t="array" ref="A47">INDEX(Weekly_Inventory_Flow!$A$2:$A$261,INT((ROW()-2)/4)+1)</f>
        <v>46041</v>
      </c>
      <c r="B47" t="str" cm="1">
        <f t="array" ref="B47">INDEX(Weekly_Inventory_Flow!$B$2:$B$261,INT((ROW()-2)/4)+1)</f>
        <v>P002</v>
      </c>
      <c r="C47" t="str" cm="1">
        <f t="array" ref="C47">INDEX(BOM!$B$2:$B$21,MATCH(B47,BOM!$A$2:$A$21,0)+MOD(ROW()-2,4))</f>
        <v>M006</v>
      </c>
      <c r="D47" cm="1">
        <f t="array" ref="D47">INDEX(Weekly_Inventory_Flow!$I$2:$I$261,INT((ROW()-2)/4)+1)</f>
        <v>11800</v>
      </c>
      <c r="E47" cm="1">
        <f t="array" ref="E47">INDEX(BOM!$C$2:$C$21,MATCH(B47,BOM!$A$2:$A$21,0)+MOD(ROW()-2,4))</f>
        <v>8.0000000000000002E-3</v>
      </c>
      <c r="F47">
        <f t="shared" si="0"/>
        <v>94.4</v>
      </c>
    </row>
    <row r="48" spans="1:6">
      <c r="A48" s="1" cm="1">
        <f t="array" ref="A48">INDEX(Weekly_Inventory_Flow!$A$2:$A$261,INT((ROW()-2)/4)+1)</f>
        <v>46041</v>
      </c>
      <c r="B48" t="str" cm="1">
        <f t="array" ref="B48">INDEX(Weekly_Inventory_Flow!$B$2:$B$261,INT((ROW()-2)/4)+1)</f>
        <v>P002</v>
      </c>
      <c r="C48" t="str" cm="1">
        <f t="array" ref="C48">INDEX(BOM!$B$2:$B$21,MATCH(B48,BOM!$A$2:$A$21,0)+MOD(ROW()-2,4))</f>
        <v>M007</v>
      </c>
      <c r="D48" cm="1">
        <f t="array" ref="D48">INDEX(Weekly_Inventory_Flow!$I$2:$I$261,INT((ROW()-2)/4)+1)</f>
        <v>11800</v>
      </c>
      <c r="E48" cm="1">
        <f t="array" ref="E48">INDEX(BOM!$C$2:$C$21,MATCH(B48,BOM!$A$2:$A$21,0)+MOD(ROW()-2,4))</f>
        <v>1</v>
      </c>
      <c r="F48">
        <f t="shared" si="0"/>
        <v>11800</v>
      </c>
    </row>
    <row r="49" spans="1:6">
      <c r="A49" s="1" cm="1">
        <f t="array" ref="A49">INDEX(Weekly_Inventory_Flow!$A$2:$A$261,INT((ROW()-2)/4)+1)</f>
        <v>46041</v>
      </c>
      <c r="B49" t="str" cm="1">
        <f t="array" ref="B49">INDEX(Weekly_Inventory_Flow!$B$2:$B$261,INT((ROW()-2)/4)+1)</f>
        <v>P002</v>
      </c>
      <c r="C49" t="str" cm="1">
        <f t="array" ref="C49">INDEX(BOM!$B$2:$B$21,MATCH(B49,BOM!$A$2:$A$21,0)+MOD(ROW()-2,4))</f>
        <v>M008</v>
      </c>
      <c r="D49" cm="1">
        <f t="array" ref="D49">INDEX(Weekly_Inventory_Flow!$I$2:$I$261,INT((ROW()-2)/4)+1)</f>
        <v>11800</v>
      </c>
      <c r="E49" cm="1">
        <f t="array" ref="E49">INDEX(BOM!$C$2:$C$21,MATCH(B49,BOM!$A$2:$A$21,0)+MOD(ROW()-2,4))</f>
        <v>1</v>
      </c>
      <c r="F49">
        <f t="shared" si="0"/>
        <v>11800</v>
      </c>
    </row>
    <row r="50" spans="1:6">
      <c r="A50" s="1" cm="1">
        <f t="array" ref="A50">INDEX(Weekly_Inventory_Flow!$A$2:$A$261,INT((ROW()-2)/4)+1)</f>
        <v>46041</v>
      </c>
      <c r="B50" t="str" cm="1">
        <f t="array" ref="B50">INDEX(Weekly_Inventory_Flow!$B$2:$B$261,INT((ROW()-2)/4)+1)</f>
        <v>P003</v>
      </c>
      <c r="C50" t="str" cm="1">
        <f t="array" ref="C50">INDEX(BOM!$B$2:$B$21,MATCH(B50,BOM!$A$2:$A$21,0)+MOD(ROW()-2,4))</f>
        <v>M003</v>
      </c>
      <c r="D50" cm="1">
        <f t="array" ref="D50">INDEX(Weekly_Inventory_Flow!$I$2:$I$261,INT((ROW()-2)/4)+1)</f>
        <v>10200</v>
      </c>
      <c r="E50" cm="1">
        <f t="array" ref="E50">INDEX(BOM!$C$2:$C$21,MATCH(B50,BOM!$A$2:$A$21,0)+MOD(ROW()-2,4))</f>
        <v>0.25</v>
      </c>
      <c r="F50">
        <f t="shared" si="0"/>
        <v>2550</v>
      </c>
    </row>
    <row r="51" spans="1:6">
      <c r="A51" s="1" cm="1">
        <f t="array" ref="A51">INDEX(Weekly_Inventory_Flow!$A$2:$A$261,INT((ROW()-2)/4)+1)</f>
        <v>46041</v>
      </c>
      <c r="B51" t="str" cm="1">
        <f t="array" ref="B51">INDEX(Weekly_Inventory_Flow!$B$2:$B$261,INT((ROW()-2)/4)+1)</f>
        <v>P003</v>
      </c>
      <c r="C51" t="str" cm="1">
        <f t="array" ref="C51">INDEX(BOM!$B$2:$B$21,MATCH(B51,BOM!$A$2:$A$21,0)+MOD(ROW()-2,4))</f>
        <v>M006</v>
      </c>
      <c r="D51" cm="1">
        <f t="array" ref="D51">INDEX(Weekly_Inventory_Flow!$I$2:$I$261,INT((ROW()-2)/4)+1)</f>
        <v>10200</v>
      </c>
      <c r="E51" cm="1">
        <f t="array" ref="E51">INDEX(BOM!$C$2:$C$21,MATCH(B51,BOM!$A$2:$A$21,0)+MOD(ROW()-2,4))</f>
        <v>6.0000000000000001E-3</v>
      </c>
      <c r="F51">
        <f t="shared" si="0"/>
        <v>61.2</v>
      </c>
    </row>
    <row r="52" spans="1:6">
      <c r="A52" s="1" cm="1">
        <f t="array" ref="A52">INDEX(Weekly_Inventory_Flow!$A$2:$A$261,INT((ROW()-2)/4)+1)</f>
        <v>46041</v>
      </c>
      <c r="B52" t="str" cm="1">
        <f t="array" ref="B52">INDEX(Weekly_Inventory_Flow!$B$2:$B$261,INT((ROW()-2)/4)+1)</f>
        <v>P003</v>
      </c>
      <c r="C52" t="str" cm="1">
        <f t="array" ref="C52">INDEX(BOM!$B$2:$B$21,MATCH(B52,BOM!$A$2:$A$21,0)+MOD(ROW()-2,4))</f>
        <v>M007</v>
      </c>
      <c r="D52" cm="1">
        <f t="array" ref="D52">INDEX(Weekly_Inventory_Flow!$I$2:$I$261,INT((ROW()-2)/4)+1)</f>
        <v>10200</v>
      </c>
      <c r="E52" cm="1">
        <f t="array" ref="E52">INDEX(BOM!$C$2:$C$21,MATCH(B52,BOM!$A$2:$A$21,0)+MOD(ROW()-2,4))</f>
        <v>1</v>
      </c>
      <c r="F52">
        <f t="shared" si="0"/>
        <v>10200</v>
      </c>
    </row>
    <row r="53" spans="1:6">
      <c r="A53" s="1" cm="1">
        <f t="array" ref="A53">INDEX(Weekly_Inventory_Flow!$A$2:$A$261,INT((ROW()-2)/4)+1)</f>
        <v>46041</v>
      </c>
      <c r="B53" t="str" cm="1">
        <f t="array" ref="B53">INDEX(Weekly_Inventory_Flow!$B$2:$B$261,INT((ROW()-2)/4)+1)</f>
        <v>P003</v>
      </c>
      <c r="C53" t="str" cm="1">
        <f t="array" ref="C53">INDEX(BOM!$B$2:$B$21,MATCH(B53,BOM!$A$2:$A$21,0)+MOD(ROW()-2,4))</f>
        <v>M008</v>
      </c>
      <c r="D53" cm="1">
        <f t="array" ref="D53">INDEX(Weekly_Inventory_Flow!$I$2:$I$261,INT((ROW()-2)/4)+1)</f>
        <v>10200</v>
      </c>
      <c r="E53" cm="1">
        <f t="array" ref="E53">INDEX(BOM!$C$2:$C$21,MATCH(B53,BOM!$A$2:$A$21,0)+MOD(ROW()-2,4))</f>
        <v>1</v>
      </c>
      <c r="F53">
        <f t="shared" si="0"/>
        <v>10200</v>
      </c>
    </row>
    <row r="54" spans="1:6">
      <c r="A54" s="1" cm="1">
        <f t="array" ref="A54">INDEX(Weekly_Inventory_Flow!$A$2:$A$261,INT((ROW()-2)/4)+1)</f>
        <v>46041</v>
      </c>
      <c r="B54" t="str" cm="1">
        <f t="array" ref="B54">INDEX(Weekly_Inventory_Flow!$B$2:$B$261,INT((ROW()-2)/4)+1)</f>
        <v>P004</v>
      </c>
      <c r="C54" t="str" cm="1">
        <f t="array" ref="C54">INDEX(BOM!$B$2:$B$21,MATCH(B54,BOM!$A$2:$A$21,0)+MOD(ROW()-2,4))</f>
        <v>M004</v>
      </c>
      <c r="D54" cm="1">
        <f t="array" ref="D54">INDEX(Weekly_Inventory_Flow!$I$2:$I$261,INT((ROW()-2)/4)+1)</f>
        <v>11500</v>
      </c>
      <c r="E54" cm="1">
        <f t="array" ref="E54">INDEX(BOM!$C$2:$C$21,MATCH(B54,BOM!$A$2:$A$21,0)+MOD(ROW()-2,4))</f>
        <v>0.34</v>
      </c>
      <c r="F54">
        <f t="shared" si="0"/>
        <v>3910.0000000000005</v>
      </c>
    </row>
    <row r="55" spans="1:6">
      <c r="A55" s="1" cm="1">
        <f t="array" ref="A55">INDEX(Weekly_Inventory_Flow!$A$2:$A$261,INT((ROW()-2)/4)+1)</f>
        <v>46041</v>
      </c>
      <c r="B55" t="str" cm="1">
        <f t="array" ref="B55">INDEX(Weekly_Inventory_Flow!$B$2:$B$261,INT((ROW()-2)/4)+1)</f>
        <v>P004</v>
      </c>
      <c r="C55" t="str" cm="1">
        <f t="array" ref="C55">INDEX(BOM!$B$2:$B$21,MATCH(B55,BOM!$A$2:$A$21,0)+MOD(ROW()-2,4))</f>
        <v>M006</v>
      </c>
      <c r="D55" cm="1">
        <f t="array" ref="D55">INDEX(Weekly_Inventory_Flow!$I$2:$I$261,INT((ROW()-2)/4)+1)</f>
        <v>11500</v>
      </c>
      <c r="E55" cm="1">
        <f t="array" ref="E55">INDEX(BOM!$C$2:$C$21,MATCH(B55,BOM!$A$2:$A$21,0)+MOD(ROW()-2,4))</f>
        <v>8.9999999999999993E-3</v>
      </c>
      <c r="F55">
        <f t="shared" si="0"/>
        <v>103.49999999999999</v>
      </c>
    </row>
    <row r="56" spans="1:6">
      <c r="A56" s="1" cm="1">
        <f t="array" ref="A56">INDEX(Weekly_Inventory_Flow!$A$2:$A$261,INT((ROW()-2)/4)+1)</f>
        <v>46041</v>
      </c>
      <c r="B56" t="str" cm="1">
        <f t="array" ref="B56">INDEX(Weekly_Inventory_Flow!$B$2:$B$261,INT((ROW()-2)/4)+1)</f>
        <v>P004</v>
      </c>
      <c r="C56" t="str" cm="1">
        <f t="array" ref="C56">INDEX(BOM!$B$2:$B$21,MATCH(B56,BOM!$A$2:$A$21,0)+MOD(ROW()-2,4))</f>
        <v>M007</v>
      </c>
      <c r="D56" cm="1">
        <f t="array" ref="D56">INDEX(Weekly_Inventory_Flow!$I$2:$I$261,INT((ROW()-2)/4)+1)</f>
        <v>11500</v>
      </c>
      <c r="E56" cm="1">
        <f t="array" ref="E56">INDEX(BOM!$C$2:$C$21,MATCH(B56,BOM!$A$2:$A$21,0)+MOD(ROW()-2,4))</f>
        <v>1</v>
      </c>
      <c r="F56">
        <f t="shared" si="0"/>
        <v>11500</v>
      </c>
    </row>
    <row r="57" spans="1:6">
      <c r="A57" s="1" cm="1">
        <f t="array" ref="A57">INDEX(Weekly_Inventory_Flow!$A$2:$A$261,INT((ROW()-2)/4)+1)</f>
        <v>46041</v>
      </c>
      <c r="B57" t="str" cm="1">
        <f t="array" ref="B57">INDEX(Weekly_Inventory_Flow!$B$2:$B$261,INT((ROW()-2)/4)+1)</f>
        <v>P004</v>
      </c>
      <c r="C57" t="str" cm="1">
        <f t="array" ref="C57">INDEX(BOM!$B$2:$B$21,MATCH(B57,BOM!$A$2:$A$21,0)+MOD(ROW()-2,4))</f>
        <v>M008</v>
      </c>
      <c r="D57" cm="1">
        <f t="array" ref="D57">INDEX(Weekly_Inventory_Flow!$I$2:$I$261,INT((ROW()-2)/4)+1)</f>
        <v>11500</v>
      </c>
      <c r="E57" cm="1">
        <f t="array" ref="E57">INDEX(BOM!$C$2:$C$21,MATCH(B57,BOM!$A$2:$A$21,0)+MOD(ROW()-2,4))</f>
        <v>1</v>
      </c>
      <c r="F57">
        <f t="shared" si="0"/>
        <v>11500</v>
      </c>
    </row>
    <row r="58" spans="1:6">
      <c r="A58" s="1" cm="1">
        <f t="array" ref="A58">INDEX(Weekly_Inventory_Flow!$A$2:$A$261,INT((ROW()-2)/4)+1)</f>
        <v>46041</v>
      </c>
      <c r="B58" t="str" cm="1">
        <f t="array" ref="B58">INDEX(Weekly_Inventory_Flow!$B$2:$B$261,INT((ROW()-2)/4)+1)</f>
        <v>P005</v>
      </c>
      <c r="C58" t="str" cm="1">
        <f t="array" ref="C58">INDEX(BOM!$B$2:$B$21,MATCH(B58,BOM!$A$2:$A$21,0)+MOD(ROW()-2,4))</f>
        <v>M005</v>
      </c>
      <c r="D58" cm="1">
        <f t="array" ref="D58">INDEX(Weekly_Inventory_Flow!$I$2:$I$261,INT((ROW()-2)/4)+1)</f>
        <v>8200</v>
      </c>
      <c r="E58" cm="1">
        <f t="array" ref="E58">INDEX(BOM!$C$2:$C$21,MATCH(B58,BOM!$A$2:$A$21,0)+MOD(ROW()-2,4))</f>
        <v>0.52</v>
      </c>
      <c r="F58">
        <f t="shared" si="0"/>
        <v>4264</v>
      </c>
    </row>
    <row r="59" spans="1:6">
      <c r="A59" s="1" cm="1">
        <f t="array" ref="A59">INDEX(Weekly_Inventory_Flow!$A$2:$A$261,INT((ROW()-2)/4)+1)</f>
        <v>46041</v>
      </c>
      <c r="B59" t="str" cm="1">
        <f t="array" ref="B59">INDEX(Weekly_Inventory_Flow!$B$2:$B$261,INT((ROW()-2)/4)+1)</f>
        <v>P005</v>
      </c>
      <c r="C59" t="str" cm="1">
        <f t="array" ref="C59">INDEX(BOM!$B$2:$B$21,MATCH(B59,BOM!$A$2:$A$21,0)+MOD(ROW()-2,4))</f>
        <v>M006</v>
      </c>
      <c r="D59" cm="1">
        <f t="array" ref="D59">INDEX(Weekly_Inventory_Flow!$I$2:$I$261,INT((ROW()-2)/4)+1)</f>
        <v>8200</v>
      </c>
      <c r="E59" cm="1">
        <f t="array" ref="E59">INDEX(BOM!$C$2:$C$21,MATCH(B59,BOM!$A$2:$A$21,0)+MOD(ROW()-2,4))</f>
        <v>1.2E-2</v>
      </c>
      <c r="F59">
        <f t="shared" si="0"/>
        <v>98.4</v>
      </c>
    </row>
    <row r="60" spans="1:6">
      <c r="A60" s="1" cm="1">
        <f t="array" ref="A60">INDEX(Weekly_Inventory_Flow!$A$2:$A$261,INT((ROW()-2)/4)+1)</f>
        <v>46041</v>
      </c>
      <c r="B60" t="str" cm="1">
        <f t="array" ref="B60">INDEX(Weekly_Inventory_Flow!$B$2:$B$261,INT((ROW()-2)/4)+1)</f>
        <v>P005</v>
      </c>
      <c r="C60" t="str" cm="1">
        <f t="array" ref="C60">INDEX(BOM!$B$2:$B$21,MATCH(B60,BOM!$A$2:$A$21,0)+MOD(ROW()-2,4))</f>
        <v>M007</v>
      </c>
      <c r="D60" cm="1">
        <f t="array" ref="D60">INDEX(Weekly_Inventory_Flow!$I$2:$I$261,INT((ROW()-2)/4)+1)</f>
        <v>8200</v>
      </c>
      <c r="E60" cm="1">
        <f t="array" ref="E60">INDEX(BOM!$C$2:$C$21,MATCH(B60,BOM!$A$2:$A$21,0)+MOD(ROW()-2,4))</f>
        <v>1</v>
      </c>
      <c r="F60">
        <f t="shared" si="0"/>
        <v>8200</v>
      </c>
    </row>
    <row r="61" spans="1:6">
      <c r="A61" s="1" cm="1">
        <f t="array" ref="A61">INDEX(Weekly_Inventory_Flow!$A$2:$A$261,INT((ROW()-2)/4)+1)</f>
        <v>46041</v>
      </c>
      <c r="B61" t="str" cm="1">
        <f t="array" ref="B61">INDEX(Weekly_Inventory_Flow!$B$2:$B$261,INT((ROW()-2)/4)+1)</f>
        <v>P005</v>
      </c>
      <c r="C61" t="str" cm="1">
        <f t="array" ref="C61">INDEX(BOM!$B$2:$B$21,MATCH(B61,BOM!$A$2:$A$21,0)+MOD(ROW()-2,4))</f>
        <v>M008</v>
      </c>
      <c r="D61" cm="1">
        <f t="array" ref="D61">INDEX(Weekly_Inventory_Flow!$I$2:$I$261,INT((ROW()-2)/4)+1)</f>
        <v>8200</v>
      </c>
      <c r="E61" cm="1">
        <f t="array" ref="E61">INDEX(BOM!$C$2:$C$21,MATCH(B61,BOM!$A$2:$A$21,0)+MOD(ROW()-2,4))</f>
        <v>1</v>
      </c>
      <c r="F61">
        <f t="shared" si="0"/>
        <v>8200</v>
      </c>
    </row>
    <row r="62" spans="1:6">
      <c r="A62" s="1" cm="1">
        <f t="array" ref="A62">INDEX(Weekly_Inventory_Flow!$A$2:$A$261,INT((ROW()-2)/4)+1)</f>
        <v>46048</v>
      </c>
      <c r="B62" t="str" cm="1">
        <f t="array" ref="B62">INDEX(Weekly_Inventory_Flow!$B$2:$B$261,INT((ROW()-2)/4)+1)</f>
        <v>P001</v>
      </c>
      <c r="C62" t="str" cm="1">
        <f t="array" ref="C62">INDEX(BOM!$B$2:$B$21,MATCH(B62,BOM!$A$2:$A$21,0)+MOD(ROW()-2,4))</f>
        <v>M001</v>
      </c>
      <c r="D62" cm="1">
        <f t="array" ref="D62">INDEX(Weekly_Inventory_Flow!$I$2:$I$261,INT((ROW()-2)/4)+1)</f>
        <v>13300</v>
      </c>
      <c r="E62" cm="1">
        <f t="array" ref="E62">INDEX(BOM!$C$2:$C$21,MATCH(B62,BOM!$A$2:$A$21,0)+MOD(ROW()-2,4))</f>
        <v>0.35</v>
      </c>
      <c r="F62">
        <f t="shared" si="0"/>
        <v>4655</v>
      </c>
    </row>
    <row r="63" spans="1:6">
      <c r="A63" s="1" cm="1">
        <f t="array" ref="A63">INDEX(Weekly_Inventory_Flow!$A$2:$A$261,INT((ROW()-2)/4)+1)</f>
        <v>46048</v>
      </c>
      <c r="B63" t="str" cm="1">
        <f t="array" ref="B63">INDEX(Weekly_Inventory_Flow!$B$2:$B$261,INT((ROW()-2)/4)+1)</f>
        <v>P001</v>
      </c>
      <c r="C63" t="str" cm="1">
        <f t="array" ref="C63">INDEX(BOM!$B$2:$B$21,MATCH(B63,BOM!$A$2:$A$21,0)+MOD(ROW()-2,4))</f>
        <v>M006</v>
      </c>
      <c r="D63" cm="1">
        <f t="array" ref="D63">INDEX(Weekly_Inventory_Flow!$I$2:$I$261,INT((ROW()-2)/4)+1)</f>
        <v>13300</v>
      </c>
      <c r="E63" cm="1">
        <f t="array" ref="E63">INDEX(BOM!$C$2:$C$21,MATCH(B63,BOM!$A$2:$A$21,0)+MOD(ROW()-2,4))</f>
        <v>0.01</v>
      </c>
      <c r="F63">
        <f t="shared" si="0"/>
        <v>133</v>
      </c>
    </row>
    <row r="64" spans="1:6">
      <c r="A64" s="1" cm="1">
        <f t="array" ref="A64">INDEX(Weekly_Inventory_Flow!$A$2:$A$261,INT((ROW()-2)/4)+1)</f>
        <v>46048</v>
      </c>
      <c r="B64" t="str" cm="1">
        <f t="array" ref="B64">INDEX(Weekly_Inventory_Flow!$B$2:$B$261,INT((ROW()-2)/4)+1)</f>
        <v>P001</v>
      </c>
      <c r="C64" t="str" cm="1">
        <f t="array" ref="C64">INDEX(BOM!$B$2:$B$21,MATCH(B64,BOM!$A$2:$A$21,0)+MOD(ROW()-2,4))</f>
        <v>M007</v>
      </c>
      <c r="D64" cm="1">
        <f t="array" ref="D64">INDEX(Weekly_Inventory_Flow!$I$2:$I$261,INT((ROW()-2)/4)+1)</f>
        <v>13300</v>
      </c>
      <c r="E64" cm="1">
        <f t="array" ref="E64">INDEX(BOM!$C$2:$C$21,MATCH(B64,BOM!$A$2:$A$21,0)+MOD(ROW()-2,4))</f>
        <v>1</v>
      </c>
      <c r="F64">
        <f t="shared" si="0"/>
        <v>13300</v>
      </c>
    </row>
    <row r="65" spans="1:6">
      <c r="A65" s="1" cm="1">
        <f t="array" ref="A65">INDEX(Weekly_Inventory_Flow!$A$2:$A$261,INT((ROW()-2)/4)+1)</f>
        <v>46048</v>
      </c>
      <c r="B65" t="str" cm="1">
        <f t="array" ref="B65">INDEX(Weekly_Inventory_Flow!$B$2:$B$261,INT((ROW()-2)/4)+1)</f>
        <v>P001</v>
      </c>
      <c r="C65" t="str" cm="1">
        <f t="array" ref="C65">INDEX(BOM!$B$2:$B$21,MATCH(B65,BOM!$A$2:$A$21,0)+MOD(ROW()-2,4))</f>
        <v>M008</v>
      </c>
      <c r="D65" cm="1">
        <f t="array" ref="D65">INDEX(Weekly_Inventory_Flow!$I$2:$I$261,INT((ROW()-2)/4)+1)</f>
        <v>13300</v>
      </c>
      <c r="E65" cm="1">
        <f t="array" ref="E65">INDEX(BOM!$C$2:$C$21,MATCH(B65,BOM!$A$2:$A$21,0)+MOD(ROW()-2,4))</f>
        <v>1</v>
      </c>
      <c r="F65">
        <f t="shared" si="0"/>
        <v>13300</v>
      </c>
    </row>
    <row r="66" spans="1:6">
      <c r="A66" s="1" cm="1">
        <f t="array" ref="A66">INDEX(Weekly_Inventory_Flow!$A$2:$A$261,INT((ROW()-2)/4)+1)</f>
        <v>46048</v>
      </c>
      <c r="B66" t="str" cm="1">
        <f t="array" ref="B66">INDEX(Weekly_Inventory_Flow!$B$2:$B$261,INT((ROW()-2)/4)+1)</f>
        <v>P002</v>
      </c>
      <c r="C66" t="str" cm="1">
        <f t="array" ref="C66">INDEX(BOM!$B$2:$B$21,MATCH(B66,BOM!$A$2:$A$21,0)+MOD(ROW()-2,4))</f>
        <v>M002</v>
      </c>
      <c r="D66" cm="1">
        <f t="array" ref="D66">INDEX(Weekly_Inventory_Flow!$I$2:$I$261,INT((ROW()-2)/4)+1)</f>
        <v>12100</v>
      </c>
      <c r="E66" cm="1">
        <f t="array" ref="E66">INDEX(BOM!$C$2:$C$21,MATCH(B66,BOM!$A$2:$A$21,0)+MOD(ROW()-2,4))</f>
        <v>0.3</v>
      </c>
      <c r="F66">
        <f t="shared" si="0"/>
        <v>3630</v>
      </c>
    </row>
    <row r="67" spans="1:6">
      <c r="A67" s="1" cm="1">
        <f t="array" ref="A67">INDEX(Weekly_Inventory_Flow!$A$2:$A$261,INT((ROW()-2)/4)+1)</f>
        <v>46048</v>
      </c>
      <c r="B67" t="str" cm="1">
        <f t="array" ref="B67">INDEX(Weekly_Inventory_Flow!$B$2:$B$261,INT((ROW()-2)/4)+1)</f>
        <v>P002</v>
      </c>
      <c r="C67" t="str" cm="1">
        <f t="array" ref="C67">INDEX(BOM!$B$2:$B$21,MATCH(B67,BOM!$A$2:$A$21,0)+MOD(ROW()-2,4))</f>
        <v>M006</v>
      </c>
      <c r="D67" cm="1">
        <f t="array" ref="D67">INDEX(Weekly_Inventory_Flow!$I$2:$I$261,INT((ROW()-2)/4)+1)</f>
        <v>12100</v>
      </c>
      <c r="E67" cm="1">
        <f t="array" ref="E67">INDEX(BOM!$C$2:$C$21,MATCH(B67,BOM!$A$2:$A$21,0)+MOD(ROW()-2,4))</f>
        <v>8.0000000000000002E-3</v>
      </c>
      <c r="F67">
        <f t="shared" ref="F67:F130" si="1">D67*E67</f>
        <v>96.8</v>
      </c>
    </row>
    <row r="68" spans="1:6">
      <c r="A68" s="1" cm="1">
        <f t="array" ref="A68">INDEX(Weekly_Inventory_Flow!$A$2:$A$261,INT((ROW()-2)/4)+1)</f>
        <v>46048</v>
      </c>
      <c r="B68" t="str" cm="1">
        <f t="array" ref="B68">INDEX(Weekly_Inventory_Flow!$B$2:$B$261,INT((ROW()-2)/4)+1)</f>
        <v>P002</v>
      </c>
      <c r="C68" t="str" cm="1">
        <f t="array" ref="C68">INDEX(BOM!$B$2:$B$21,MATCH(B68,BOM!$A$2:$A$21,0)+MOD(ROW()-2,4))</f>
        <v>M007</v>
      </c>
      <c r="D68" cm="1">
        <f t="array" ref="D68">INDEX(Weekly_Inventory_Flow!$I$2:$I$261,INT((ROW()-2)/4)+1)</f>
        <v>12100</v>
      </c>
      <c r="E68" cm="1">
        <f t="array" ref="E68">INDEX(BOM!$C$2:$C$21,MATCH(B68,BOM!$A$2:$A$21,0)+MOD(ROW()-2,4))</f>
        <v>1</v>
      </c>
      <c r="F68">
        <f t="shared" si="1"/>
        <v>12100</v>
      </c>
    </row>
    <row r="69" spans="1:6">
      <c r="A69" s="1" cm="1">
        <f t="array" ref="A69">INDEX(Weekly_Inventory_Flow!$A$2:$A$261,INT((ROW()-2)/4)+1)</f>
        <v>46048</v>
      </c>
      <c r="B69" t="str" cm="1">
        <f t="array" ref="B69">INDEX(Weekly_Inventory_Flow!$B$2:$B$261,INT((ROW()-2)/4)+1)</f>
        <v>P002</v>
      </c>
      <c r="C69" t="str" cm="1">
        <f t="array" ref="C69">INDEX(BOM!$B$2:$B$21,MATCH(B69,BOM!$A$2:$A$21,0)+MOD(ROW()-2,4))</f>
        <v>M008</v>
      </c>
      <c r="D69" cm="1">
        <f t="array" ref="D69">INDEX(Weekly_Inventory_Flow!$I$2:$I$261,INT((ROW()-2)/4)+1)</f>
        <v>12100</v>
      </c>
      <c r="E69" cm="1">
        <f t="array" ref="E69">INDEX(BOM!$C$2:$C$21,MATCH(B69,BOM!$A$2:$A$21,0)+MOD(ROW()-2,4))</f>
        <v>1</v>
      </c>
      <c r="F69">
        <f t="shared" si="1"/>
        <v>12100</v>
      </c>
    </row>
    <row r="70" spans="1:6">
      <c r="A70" s="1" cm="1">
        <f t="array" ref="A70">INDEX(Weekly_Inventory_Flow!$A$2:$A$261,INT((ROW()-2)/4)+1)</f>
        <v>46048</v>
      </c>
      <c r="B70" t="str" cm="1">
        <f t="array" ref="B70">INDEX(Weekly_Inventory_Flow!$B$2:$B$261,INT((ROW()-2)/4)+1)</f>
        <v>P003</v>
      </c>
      <c r="C70" t="str" cm="1">
        <f t="array" ref="C70">INDEX(BOM!$B$2:$B$21,MATCH(B70,BOM!$A$2:$A$21,0)+MOD(ROW()-2,4))</f>
        <v>M003</v>
      </c>
      <c r="D70" cm="1">
        <f t="array" ref="D70">INDEX(Weekly_Inventory_Flow!$I$2:$I$261,INT((ROW()-2)/4)+1)</f>
        <v>10400</v>
      </c>
      <c r="E70" cm="1">
        <f t="array" ref="E70">INDEX(BOM!$C$2:$C$21,MATCH(B70,BOM!$A$2:$A$21,0)+MOD(ROW()-2,4))</f>
        <v>0.25</v>
      </c>
      <c r="F70">
        <f t="shared" si="1"/>
        <v>2600</v>
      </c>
    </row>
    <row r="71" spans="1:6">
      <c r="A71" s="1" cm="1">
        <f t="array" ref="A71">INDEX(Weekly_Inventory_Flow!$A$2:$A$261,INT((ROW()-2)/4)+1)</f>
        <v>46048</v>
      </c>
      <c r="B71" t="str" cm="1">
        <f t="array" ref="B71">INDEX(Weekly_Inventory_Flow!$B$2:$B$261,INT((ROW()-2)/4)+1)</f>
        <v>P003</v>
      </c>
      <c r="C71" t="str" cm="1">
        <f t="array" ref="C71">INDEX(BOM!$B$2:$B$21,MATCH(B71,BOM!$A$2:$A$21,0)+MOD(ROW()-2,4))</f>
        <v>M006</v>
      </c>
      <c r="D71" cm="1">
        <f t="array" ref="D71">INDEX(Weekly_Inventory_Flow!$I$2:$I$261,INT((ROW()-2)/4)+1)</f>
        <v>10400</v>
      </c>
      <c r="E71" cm="1">
        <f t="array" ref="E71">INDEX(BOM!$C$2:$C$21,MATCH(B71,BOM!$A$2:$A$21,0)+MOD(ROW()-2,4))</f>
        <v>6.0000000000000001E-3</v>
      </c>
      <c r="F71">
        <f t="shared" si="1"/>
        <v>62.4</v>
      </c>
    </row>
    <row r="72" spans="1:6">
      <c r="A72" s="1" cm="1">
        <f t="array" ref="A72">INDEX(Weekly_Inventory_Flow!$A$2:$A$261,INT((ROW()-2)/4)+1)</f>
        <v>46048</v>
      </c>
      <c r="B72" t="str" cm="1">
        <f t="array" ref="B72">INDEX(Weekly_Inventory_Flow!$B$2:$B$261,INT((ROW()-2)/4)+1)</f>
        <v>P003</v>
      </c>
      <c r="C72" t="str" cm="1">
        <f t="array" ref="C72">INDEX(BOM!$B$2:$B$21,MATCH(B72,BOM!$A$2:$A$21,0)+MOD(ROW()-2,4))</f>
        <v>M007</v>
      </c>
      <c r="D72" cm="1">
        <f t="array" ref="D72">INDEX(Weekly_Inventory_Flow!$I$2:$I$261,INT((ROW()-2)/4)+1)</f>
        <v>10400</v>
      </c>
      <c r="E72" cm="1">
        <f t="array" ref="E72">INDEX(BOM!$C$2:$C$21,MATCH(B72,BOM!$A$2:$A$21,0)+MOD(ROW()-2,4))</f>
        <v>1</v>
      </c>
      <c r="F72">
        <f t="shared" si="1"/>
        <v>10400</v>
      </c>
    </row>
    <row r="73" spans="1:6">
      <c r="A73" s="1" cm="1">
        <f t="array" ref="A73">INDEX(Weekly_Inventory_Flow!$A$2:$A$261,INT((ROW()-2)/4)+1)</f>
        <v>46048</v>
      </c>
      <c r="B73" t="str" cm="1">
        <f t="array" ref="B73">INDEX(Weekly_Inventory_Flow!$B$2:$B$261,INT((ROW()-2)/4)+1)</f>
        <v>P003</v>
      </c>
      <c r="C73" t="str" cm="1">
        <f t="array" ref="C73">INDEX(BOM!$B$2:$B$21,MATCH(B73,BOM!$A$2:$A$21,0)+MOD(ROW()-2,4))</f>
        <v>M008</v>
      </c>
      <c r="D73" cm="1">
        <f t="array" ref="D73">INDEX(Weekly_Inventory_Flow!$I$2:$I$261,INT((ROW()-2)/4)+1)</f>
        <v>10400</v>
      </c>
      <c r="E73" cm="1">
        <f t="array" ref="E73">INDEX(BOM!$C$2:$C$21,MATCH(B73,BOM!$A$2:$A$21,0)+MOD(ROW()-2,4))</f>
        <v>1</v>
      </c>
      <c r="F73">
        <f t="shared" si="1"/>
        <v>10400</v>
      </c>
    </row>
    <row r="74" spans="1:6">
      <c r="A74" s="1" cm="1">
        <f t="array" ref="A74">INDEX(Weekly_Inventory_Flow!$A$2:$A$261,INT((ROW()-2)/4)+1)</f>
        <v>46048</v>
      </c>
      <c r="B74" t="str" cm="1">
        <f t="array" ref="B74">INDEX(Weekly_Inventory_Flow!$B$2:$B$261,INT((ROW()-2)/4)+1)</f>
        <v>P004</v>
      </c>
      <c r="C74" t="str" cm="1">
        <f t="array" ref="C74">INDEX(BOM!$B$2:$B$21,MATCH(B74,BOM!$A$2:$A$21,0)+MOD(ROW()-2,4))</f>
        <v>M004</v>
      </c>
      <c r="D74" cm="1">
        <f t="array" ref="D74">INDEX(Weekly_Inventory_Flow!$I$2:$I$261,INT((ROW()-2)/4)+1)</f>
        <v>10900</v>
      </c>
      <c r="E74" cm="1">
        <f t="array" ref="E74">INDEX(BOM!$C$2:$C$21,MATCH(B74,BOM!$A$2:$A$21,0)+MOD(ROW()-2,4))</f>
        <v>0.34</v>
      </c>
      <c r="F74">
        <f t="shared" si="1"/>
        <v>3706.0000000000005</v>
      </c>
    </row>
    <row r="75" spans="1:6">
      <c r="A75" s="1" cm="1">
        <f t="array" ref="A75">INDEX(Weekly_Inventory_Flow!$A$2:$A$261,INT((ROW()-2)/4)+1)</f>
        <v>46048</v>
      </c>
      <c r="B75" t="str" cm="1">
        <f t="array" ref="B75">INDEX(Weekly_Inventory_Flow!$B$2:$B$261,INT((ROW()-2)/4)+1)</f>
        <v>P004</v>
      </c>
      <c r="C75" t="str" cm="1">
        <f t="array" ref="C75">INDEX(BOM!$B$2:$B$21,MATCH(B75,BOM!$A$2:$A$21,0)+MOD(ROW()-2,4))</f>
        <v>M006</v>
      </c>
      <c r="D75" cm="1">
        <f t="array" ref="D75">INDEX(Weekly_Inventory_Flow!$I$2:$I$261,INT((ROW()-2)/4)+1)</f>
        <v>10900</v>
      </c>
      <c r="E75" cm="1">
        <f t="array" ref="E75">INDEX(BOM!$C$2:$C$21,MATCH(B75,BOM!$A$2:$A$21,0)+MOD(ROW()-2,4))</f>
        <v>8.9999999999999993E-3</v>
      </c>
      <c r="F75">
        <f t="shared" si="1"/>
        <v>98.1</v>
      </c>
    </row>
    <row r="76" spans="1:6">
      <c r="A76" s="1" cm="1">
        <f t="array" ref="A76">INDEX(Weekly_Inventory_Flow!$A$2:$A$261,INT((ROW()-2)/4)+1)</f>
        <v>46048</v>
      </c>
      <c r="B76" t="str" cm="1">
        <f t="array" ref="B76">INDEX(Weekly_Inventory_Flow!$B$2:$B$261,INT((ROW()-2)/4)+1)</f>
        <v>P004</v>
      </c>
      <c r="C76" t="str" cm="1">
        <f t="array" ref="C76">INDEX(BOM!$B$2:$B$21,MATCH(B76,BOM!$A$2:$A$21,0)+MOD(ROW()-2,4))</f>
        <v>M007</v>
      </c>
      <c r="D76" cm="1">
        <f t="array" ref="D76">INDEX(Weekly_Inventory_Flow!$I$2:$I$261,INT((ROW()-2)/4)+1)</f>
        <v>10900</v>
      </c>
      <c r="E76" cm="1">
        <f t="array" ref="E76">INDEX(BOM!$C$2:$C$21,MATCH(B76,BOM!$A$2:$A$21,0)+MOD(ROW()-2,4))</f>
        <v>1</v>
      </c>
      <c r="F76">
        <f t="shared" si="1"/>
        <v>10900</v>
      </c>
    </row>
    <row r="77" spans="1:6">
      <c r="A77" s="1" cm="1">
        <f t="array" ref="A77">INDEX(Weekly_Inventory_Flow!$A$2:$A$261,INT((ROW()-2)/4)+1)</f>
        <v>46048</v>
      </c>
      <c r="B77" t="str" cm="1">
        <f t="array" ref="B77">INDEX(Weekly_Inventory_Flow!$B$2:$B$261,INT((ROW()-2)/4)+1)</f>
        <v>P004</v>
      </c>
      <c r="C77" t="str" cm="1">
        <f t="array" ref="C77">INDEX(BOM!$B$2:$B$21,MATCH(B77,BOM!$A$2:$A$21,0)+MOD(ROW()-2,4))</f>
        <v>M008</v>
      </c>
      <c r="D77" cm="1">
        <f t="array" ref="D77">INDEX(Weekly_Inventory_Flow!$I$2:$I$261,INT((ROW()-2)/4)+1)</f>
        <v>10900</v>
      </c>
      <c r="E77" cm="1">
        <f t="array" ref="E77">INDEX(BOM!$C$2:$C$21,MATCH(B77,BOM!$A$2:$A$21,0)+MOD(ROW()-2,4))</f>
        <v>1</v>
      </c>
      <c r="F77">
        <f t="shared" si="1"/>
        <v>10900</v>
      </c>
    </row>
    <row r="78" spans="1:6">
      <c r="A78" s="1" cm="1">
        <f t="array" ref="A78">INDEX(Weekly_Inventory_Flow!$A$2:$A$261,INT((ROW()-2)/4)+1)</f>
        <v>46048</v>
      </c>
      <c r="B78" t="str" cm="1">
        <f t="array" ref="B78">INDEX(Weekly_Inventory_Flow!$B$2:$B$261,INT((ROW()-2)/4)+1)</f>
        <v>P005</v>
      </c>
      <c r="C78" t="str" cm="1">
        <f t="array" ref="C78">INDEX(BOM!$B$2:$B$21,MATCH(B78,BOM!$A$2:$A$21,0)+MOD(ROW()-2,4))</f>
        <v>M005</v>
      </c>
      <c r="D78" cm="1">
        <f t="array" ref="D78">INDEX(Weekly_Inventory_Flow!$I$2:$I$261,INT((ROW()-2)/4)+1)</f>
        <v>8700</v>
      </c>
      <c r="E78" cm="1">
        <f t="array" ref="E78">INDEX(BOM!$C$2:$C$21,MATCH(B78,BOM!$A$2:$A$21,0)+MOD(ROW()-2,4))</f>
        <v>0.52</v>
      </c>
      <c r="F78">
        <f t="shared" si="1"/>
        <v>4524</v>
      </c>
    </row>
    <row r="79" spans="1:6">
      <c r="A79" s="1" cm="1">
        <f t="array" ref="A79">INDEX(Weekly_Inventory_Flow!$A$2:$A$261,INT((ROW()-2)/4)+1)</f>
        <v>46048</v>
      </c>
      <c r="B79" t="str" cm="1">
        <f t="array" ref="B79">INDEX(Weekly_Inventory_Flow!$B$2:$B$261,INT((ROW()-2)/4)+1)</f>
        <v>P005</v>
      </c>
      <c r="C79" t="str" cm="1">
        <f t="array" ref="C79">INDEX(BOM!$B$2:$B$21,MATCH(B79,BOM!$A$2:$A$21,0)+MOD(ROW()-2,4))</f>
        <v>M006</v>
      </c>
      <c r="D79" cm="1">
        <f t="array" ref="D79">INDEX(Weekly_Inventory_Flow!$I$2:$I$261,INT((ROW()-2)/4)+1)</f>
        <v>8700</v>
      </c>
      <c r="E79" cm="1">
        <f t="array" ref="E79">INDEX(BOM!$C$2:$C$21,MATCH(B79,BOM!$A$2:$A$21,0)+MOD(ROW()-2,4))</f>
        <v>1.2E-2</v>
      </c>
      <c r="F79">
        <f t="shared" si="1"/>
        <v>104.4</v>
      </c>
    </row>
    <row r="80" spans="1:6">
      <c r="A80" s="1" cm="1">
        <f t="array" ref="A80">INDEX(Weekly_Inventory_Flow!$A$2:$A$261,INT((ROW()-2)/4)+1)</f>
        <v>46048</v>
      </c>
      <c r="B80" t="str" cm="1">
        <f t="array" ref="B80">INDEX(Weekly_Inventory_Flow!$B$2:$B$261,INT((ROW()-2)/4)+1)</f>
        <v>P005</v>
      </c>
      <c r="C80" t="str" cm="1">
        <f t="array" ref="C80">INDEX(BOM!$B$2:$B$21,MATCH(B80,BOM!$A$2:$A$21,0)+MOD(ROW()-2,4))</f>
        <v>M007</v>
      </c>
      <c r="D80" cm="1">
        <f t="array" ref="D80">INDEX(Weekly_Inventory_Flow!$I$2:$I$261,INT((ROW()-2)/4)+1)</f>
        <v>8700</v>
      </c>
      <c r="E80" cm="1">
        <f t="array" ref="E80">INDEX(BOM!$C$2:$C$21,MATCH(B80,BOM!$A$2:$A$21,0)+MOD(ROW()-2,4))</f>
        <v>1</v>
      </c>
      <c r="F80">
        <f t="shared" si="1"/>
        <v>8700</v>
      </c>
    </row>
    <row r="81" spans="1:6">
      <c r="A81" s="1" cm="1">
        <f t="array" ref="A81">INDEX(Weekly_Inventory_Flow!$A$2:$A$261,INT((ROW()-2)/4)+1)</f>
        <v>46048</v>
      </c>
      <c r="B81" t="str" cm="1">
        <f t="array" ref="B81">INDEX(Weekly_Inventory_Flow!$B$2:$B$261,INT((ROW()-2)/4)+1)</f>
        <v>P005</v>
      </c>
      <c r="C81" t="str" cm="1">
        <f t="array" ref="C81">INDEX(BOM!$B$2:$B$21,MATCH(B81,BOM!$A$2:$A$21,0)+MOD(ROW()-2,4))</f>
        <v>M008</v>
      </c>
      <c r="D81" cm="1">
        <f t="array" ref="D81">INDEX(Weekly_Inventory_Flow!$I$2:$I$261,INT((ROW()-2)/4)+1)</f>
        <v>8700</v>
      </c>
      <c r="E81" cm="1">
        <f t="array" ref="E81">INDEX(BOM!$C$2:$C$21,MATCH(B81,BOM!$A$2:$A$21,0)+MOD(ROW()-2,4))</f>
        <v>1</v>
      </c>
      <c r="F81">
        <f t="shared" si="1"/>
        <v>8700</v>
      </c>
    </row>
    <row r="82" spans="1:6">
      <c r="A82" s="1" cm="1">
        <f t="array" ref="A82">INDEX(Weekly_Inventory_Flow!$A$2:$A$261,INT((ROW()-2)/4)+1)</f>
        <v>46055</v>
      </c>
      <c r="B82" t="str" cm="1">
        <f t="array" ref="B82">INDEX(Weekly_Inventory_Flow!$B$2:$B$261,INT((ROW()-2)/4)+1)</f>
        <v>P001</v>
      </c>
      <c r="C82" t="str" cm="1">
        <f t="array" ref="C82">INDEX(BOM!$B$2:$B$21,MATCH(B82,BOM!$A$2:$A$21,0)+MOD(ROW()-2,4))</f>
        <v>M001</v>
      </c>
      <c r="D82" cm="1">
        <f t="array" ref="D82">INDEX(Weekly_Inventory_Flow!$I$2:$I$261,INT((ROW()-2)/4)+1)</f>
        <v>13700</v>
      </c>
      <c r="E82" cm="1">
        <f t="array" ref="E82">INDEX(BOM!$C$2:$C$21,MATCH(B82,BOM!$A$2:$A$21,0)+MOD(ROW()-2,4))</f>
        <v>0.35</v>
      </c>
      <c r="F82">
        <f t="shared" si="1"/>
        <v>4795</v>
      </c>
    </row>
    <row r="83" spans="1:6">
      <c r="A83" s="1" cm="1">
        <f t="array" ref="A83">INDEX(Weekly_Inventory_Flow!$A$2:$A$261,INT((ROW()-2)/4)+1)</f>
        <v>46055</v>
      </c>
      <c r="B83" t="str" cm="1">
        <f t="array" ref="B83">INDEX(Weekly_Inventory_Flow!$B$2:$B$261,INT((ROW()-2)/4)+1)</f>
        <v>P001</v>
      </c>
      <c r="C83" t="str" cm="1">
        <f t="array" ref="C83">INDEX(BOM!$B$2:$B$21,MATCH(B83,BOM!$A$2:$A$21,0)+MOD(ROW()-2,4))</f>
        <v>M006</v>
      </c>
      <c r="D83" cm="1">
        <f t="array" ref="D83">INDEX(Weekly_Inventory_Flow!$I$2:$I$261,INT((ROW()-2)/4)+1)</f>
        <v>13700</v>
      </c>
      <c r="E83" cm="1">
        <f t="array" ref="E83">INDEX(BOM!$C$2:$C$21,MATCH(B83,BOM!$A$2:$A$21,0)+MOD(ROW()-2,4))</f>
        <v>0.01</v>
      </c>
      <c r="F83">
        <f t="shared" si="1"/>
        <v>137</v>
      </c>
    </row>
    <row r="84" spans="1:6">
      <c r="A84" s="1" cm="1">
        <f t="array" ref="A84">INDEX(Weekly_Inventory_Flow!$A$2:$A$261,INT((ROW()-2)/4)+1)</f>
        <v>46055</v>
      </c>
      <c r="B84" t="str" cm="1">
        <f t="array" ref="B84">INDEX(Weekly_Inventory_Flow!$B$2:$B$261,INT((ROW()-2)/4)+1)</f>
        <v>P001</v>
      </c>
      <c r="C84" t="str" cm="1">
        <f t="array" ref="C84">INDEX(BOM!$B$2:$B$21,MATCH(B84,BOM!$A$2:$A$21,0)+MOD(ROW()-2,4))</f>
        <v>M007</v>
      </c>
      <c r="D84" cm="1">
        <f t="array" ref="D84">INDEX(Weekly_Inventory_Flow!$I$2:$I$261,INT((ROW()-2)/4)+1)</f>
        <v>13700</v>
      </c>
      <c r="E84" cm="1">
        <f t="array" ref="E84">INDEX(BOM!$C$2:$C$21,MATCH(B84,BOM!$A$2:$A$21,0)+MOD(ROW()-2,4))</f>
        <v>1</v>
      </c>
      <c r="F84">
        <f t="shared" si="1"/>
        <v>13700</v>
      </c>
    </row>
    <row r="85" spans="1:6">
      <c r="A85" s="1" cm="1">
        <f t="array" ref="A85">INDEX(Weekly_Inventory_Flow!$A$2:$A$261,INT((ROW()-2)/4)+1)</f>
        <v>46055</v>
      </c>
      <c r="B85" t="str" cm="1">
        <f t="array" ref="B85">INDEX(Weekly_Inventory_Flow!$B$2:$B$261,INT((ROW()-2)/4)+1)</f>
        <v>P001</v>
      </c>
      <c r="C85" t="str" cm="1">
        <f t="array" ref="C85">INDEX(BOM!$B$2:$B$21,MATCH(B85,BOM!$A$2:$A$21,0)+MOD(ROW()-2,4))</f>
        <v>M008</v>
      </c>
      <c r="D85" cm="1">
        <f t="array" ref="D85">INDEX(Weekly_Inventory_Flow!$I$2:$I$261,INT((ROW()-2)/4)+1)</f>
        <v>13700</v>
      </c>
      <c r="E85" cm="1">
        <f t="array" ref="E85">INDEX(BOM!$C$2:$C$21,MATCH(B85,BOM!$A$2:$A$21,0)+MOD(ROW()-2,4))</f>
        <v>1</v>
      </c>
      <c r="F85">
        <f t="shared" si="1"/>
        <v>13700</v>
      </c>
    </row>
    <row r="86" spans="1:6">
      <c r="A86" s="1" cm="1">
        <f t="array" ref="A86">INDEX(Weekly_Inventory_Flow!$A$2:$A$261,INT((ROW()-2)/4)+1)</f>
        <v>46055</v>
      </c>
      <c r="B86" t="str" cm="1">
        <f t="array" ref="B86">INDEX(Weekly_Inventory_Flow!$B$2:$B$261,INT((ROW()-2)/4)+1)</f>
        <v>P002</v>
      </c>
      <c r="C86" t="str" cm="1">
        <f t="array" ref="C86">INDEX(BOM!$B$2:$B$21,MATCH(B86,BOM!$A$2:$A$21,0)+MOD(ROW()-2,4))</f>
        <v>M002</v>
      </c>
      <c r="D86" cm="1">
        <f t="array" ref="D86">INDEX(Weekly_Inventory_Flow!$I$2:$I$261,INT((ROW()-2)/4)+1)</f>
        <v>11900</v>
      </c>
      <c r="E86" cm="1">
        <f t="array" ref="E86">INDEX(BOM!$C$2:$C$21,MATCH(B86,BOM!$A$2:$A$21,0)+MOD(ROW()-2,4))</f>
        <v>0.3</v>
      </c>
      <c r="F86">
        <f t="shared" si="1"/>
        <v>3570</v>
      </c>
    </row>
    <row r="87" spans="1:6">
      <c r="A87" s="1" cm="1">
        <f t="array" ref="A87">INDEX(Weekly_Inventory_Flow!$A$2:$A$261,INT((ROW()-2)/4)+1)</f>
        <v>46055</v>
      </c>
      <c r="B87" t="str" cm="1">
        <f t="array" ref="B87">INDEX(Weekly_Inventory_Flow!$B$2:$B$261,INT((ROW()-2)/4)+1)</f>
        <v>P002</v>
      </c>
      <c r="C87" t="str" cm="1">
        <f t="array" ref="C87">INDEX(BOM!$B$2:$B$21,MATCH(B87,BOM!$A$2:$A$21,0)+MOD(ROW()-2,4))</f>
        <v>M006</v>
      </c>
      <c r="D87" cm="1">
        <f t="array" ref="D87">INDEX(Weekly_Inventory_Flow!$I$2:$I$261,INT((ROW()-2)/4)+1)</f>
        <v>11900</v>
      </c>
      <c r="E87" cm="1">
        <f t="array" ref="E87">INDEX(BOM!$C$2:$C$21,MATCH(B87,BOM!$A$2:$A$21,0)+MOD(ROW()-2,4))</f>
        <v>8.0000000000000002E-3</v>
      </c>
      <c r="F87">
        <f t="shared" si="1"/>
        <v>95.2</v>
      </c>
    </row>
    <row r="88" spans="1:6">
      <c r="A88" s="1" cm="1">
        <f t="array" ref="A88">INDEX(Weekly_Inventory_Flow!$A$2:$A$261,INT((ROW()-2)/4)+1)</f>
        <v>46055</v>
      </c>
      <c r="B88" t="str" cm="1">
        <f t="array" ref="B88">INDEX(Weekly_Inventory_Flow!$B$2:$B$261,INT((ROW()-2)/4)+1)</f>
        <v>P002</v>
      </c>
      <c r="C88" t="str" cm="1">
        <f t="array" ref="C88">INDEX(BOM!$B$2:$B$21,MATCH(B88,BOM!$A$2:$A$21,0)+MOD(ROW()-2,4))</f>
        <v>M007</v>
      </c>
      <c r="D88" cm="1">
        <f t="array" ref="D88">INDEX(Weekly_Inventory_Flow!$I$2:$I$261,INT((ROW()-2)/4)+1)</f>
        <v>11900</v>
      </c>
      <c r="E88" cm="1">
        <f t="array" ref="E88">INDEX(BOM!$C$2:$C$21,MATCH(B88,BOM!$A$2:$A$21,0)+MOD(ROW()-2,4))</f>
        <v>1</v>
      </c>
      <c r="F88">
        <f t="shared" si="1"/>
        <v>11900</v>
      </c>
    </row>
    <row r="89" spans="1:6">
      <c r="A89" s="1" cm="1">
        <f t="array" ref="A89">INDEX(Weekly_Inventory_Flow!$A$2:$A$261,INT((ROW()-2)/4)+1)</f>
        <v>46055</v>
      </c>
      <c r="B89" t="str" cm="1">
        <f t="array" ref="B89">INDEX(Weekly_Inventory_Flow!$B$2:$B$261,INT((ROW()-2)/4)+1)</f>
        <v>P002</v>
      </c>
      <c r="C89" t="str" cm="1">
        <f t="array" ref="C89">INDEX(BOM!$B$2:$B$21,MATCH(B89,BOM!$A$2:$A$21,0)+MOD(ROW()-2,4))</f>
        <v>M008</v>
      </c>
      <c r="D89" cm="1">
        <f t="array" ref="D89">INDEX(Weekly_Inventory_Flow!$I$2:$I$261,INT((ROW()-2)/4)+1)</f>
        <v>11900</v>
      </c>
      <c r="E89" cm="1">
        <f t="array" ref="E89">INDEX(BOM!$C$2:$C$21,MATCH(B89,BOM!$A$2:$A$21,0)+MOD(ROW()-2,4))</f>
        <v>1</v>
      </c>
      <c r="F89">
        <f t="shared" si="1"/>
        <v>11900</v>
      </c>
    </row>
    <row r="90" spans="1:6">
      <c r="A90" s="1" cm="1">
        <f t="array" ref="A90">INDEX(Weekly_Inventory_Flow!$A$2:$A$261,INT((ROW()-2)/4)+1)</f>
        <v>46055</v>
      </c>
      <c r="B90" t="str" cm="1">
        <f t="array" ref="B90">INDEX(Weekly_Inventory_Flow!$B$2:$B$261,INT((ROW()-2)/4)+1)</f>
        <v>P003</v>
      </c>
      <c r="C90" t="str" cm="1">
        <f t="array" ref="C90">INDEX(BOM!$B$2:$B$21,MATCH(B90,BOM!$A$2:$A$21,0)+MOD(ROW()-2,4))</f>
        <v>M003</v>
      </c>
      <c r="D90" cm="1">
        <f t="array" ref="D90">INDEX(Weekly_Inventory_Flow!$I$2:$I$261,INT((ROW()-2)/4)+1)</f>
        <v>10400</v>
      </c>
      <c r="E90" cm="1">
        <f t="array" ref="E90">INDEX(BOM!$C$2:$C$21,MATCH(B90,BOM!$A$2:$A$21,0)+MOD(ROW()-2,4))</f>
        <v>0.25</v>
      </c>
      <c r="F90">
        <f t="shared" si="1"/>
        <v>2600</v>
      </c>
    </row>
    <row r="91" spans="1:6">
      <c r="A91" s="1" cm="1">
        <f t="array" ref="A91">INDEX(Weekly_Inventory_Flow!$A$2:$A$261,INT((ROW()-2)/4)+1)</f>
        <v>46055</v>
      </c>
      <c r="B91" t="str" cm="1">
        <f t="array" ref="B91">INDEX(Weekly_Inventory_Flow!$B$2:$B$261,INT((ROW()-2)/4)+1)</f>
        <v>P003</v>
      </c>
      <c r="C91" t="str" cm="1">
        <f t="array" ref="C91">INDEX(BOM!$B$2:$B$21,MATCH(B91,BOM!$A$2:$A$21,0)+MOD(ROW()-2,4))</f>
        <v>M006</v>
      </c>
      <c r="D91" cm="1">
        <f t="array" ref="D91">INDEX(Weekly_Inventory_Flow!$I$2:$I$261,INT((ROW()-2)/4)+1)</f>
        <v>10400</v>
      </c>
      <c r="E91" cm="1">
        <f t="array" ref="E91">INDEX(BOM!$C$2:$C$21,MATCH(B91,BOM!$A$2:$A$21,0)+MOD(ROW()-2,4))</f>
        <v>6.0000000000000001E-3</v>
      </c>
      <c r="F91">
        <f t="shared" si="1"/>
        <v>62.4</v>
      </c>
    </row>
    <row r="92" spans="1:6">
      <c r="A92" s="1" cm="1">
        <f t="array" ref="A92">INDEX(Weekly_Inventory_Flow!$A$2:$A$261,INT((ROW()-2)/4)+1)</f>
        <v>46055</v>
      </c>
      <c r="B92" t="str" cm="1">
        <f t="array" ref="B92">INDEX(Weekly_Inventory_Flow!$B$2:$B$261,INT((ROW()-2)/4)+1)</f>
        <v>P003</v>
      </c>
      <c r="C92" t="str" cm="1">
        <f t="array" ref="C92">INDEX(BOM!$B$2:$B$21,MATCH(B92,BOM!$A$2:$A$21,0)+MOD(ROW()-2,4))</f>
        <v>M007</v>
      </c>
      <c r="D92" cm="1">
        <f t="array" ref="D92">INDEX(Weekly_Inventory_Flow!$I$2:$I$261,INT((ROW()-2)/4)+1)</f>
        <v>10400</v>
      </c>
      <c r="E92" cm="1">
        <f t="array" ref="E92">INDEX(BOM!$C$2:$C$21,MATCH(B92,BOM!$A$2:$A$21,0)+MOD(ROW()-2,4))</f>
        <v>1</v>
      </c>
      <c r="F92">
        <f t="shared" si="1"/>
        <v>10400</v>
      </c>
    </row>
    <row r="93" spans="1:6">
      <c r="A93" s="1" cm="1">
        <f t="array" ref="A93">INDEX(Weekly_Inventory_Flow!$A$2:$A$261,INT((ROW()-2)/4)+1)</f>
        <v>46055</v>
      </c>
      <c r="B93" t="str" cm="1">
        <f t="array" ref="B93">INDEX(Weekly_Inventory_Flow!$B$2:$B$261,INT((ROW()-2)/4)+1)</f>
        <v>P003</v>
      </c>
      <c r="C93" t="str" cm="1">
        <f t="array" ref="C93">INDEX(BOM!$B$2:$B$21,MATCH(B93,BOM!$A$2:$A$21,0)+MOD(ROW()-2,4))</f>
        <v>M008</v>
      </c>
      <c r="D93" cm="1">
        <f t="array" ref="D93">INDEX(Weekly_Inventory_Flow!$I$2:$I$261,INT((ROW()-2)/4)+1)</f>
        <v>10400</v>
      </c>
      <c r="E93" cm="1">
        <f t="array" ref="E93">INDEX(BOM!$C$2:$C$21,MATCH(B93,BOM!$A$2:$A$21,0)+MOD(ROW()-2,4))</f>
        <v>1</v>
      </c>
      <c r="F93">
        <f t="shared" si="1"/>
        <v>10400</v>
      </c>
    </row>
    <row r="94" spans="1:6">
      <c r="A94" s="1" cm="1">
        <f t="array" ref="A94">INDEX(Weekly_Inventory_Flow!$A$2:$A$261,INT((ROW()-2)/4)+1)</f>
        <v>46055</v>
      </c>
      <c r="B94" t="str" cm="1">
        <f t="array" ref="B94">INDEX(Weekly_Inventory_Flow!$B$2:$B$261,INT((ROW()-2)/4)+1)</f>
        <v>P004</v>
      </c>
      <c r="C94" t="str" cm="1">
        <f t="array" ref="C94">INDEX(BOM!$B$2:$B$21,MATCH(B94,BOM!$A$2:$A$21,0)+MOD(ROW()-2,4))</f>
        <v>M004</v>
      </c>
      <c r="D94" cm="1">
        <f t="array" ref="D94">INDEX(Weekly_Inventory_Flow!$I$2:$I$261,INT((ROW()-2)/4)+1)</f>
        <v>11300</v>
      </c>
      <c r="E94" cm="1">
        <f t="array" ref="E94">INDEX(BOM!$C$2:$C$21,MATCH(B94,BOM!$A$2:$A$21,0)+MOD(ROW()-2,4))</f>
        <v>0.34</v>
      </c>
      <c r="F94">
        <f t="shared" si="1"/>
        <v>3842.0000000000005</v>
      </c>
    </row>
    <row r="95" spans="1:6">
      <c r="A95" s="1" cm="1">
        <f t="array" ref="A95">INDEX(Weekly_Inventory_Flow!$A$2:$A$261,INT((ROW()-2)/4)+1)</f>
        <v>46055</v>
      </c>
      <c r="B95" t="str" cm="1">
        <f t="array" ref="B95">INDEX(Weekly_Inventory_Flow!$B$2:$B$261,INT((ROW()-2)/4)+1)</f>
        <v>P004</v>
      </c>
      <c r="C95" t="str" cm="1">
        <f t="array" ref="C95">INDEX(BOM!$B$2:$B$21,MATCH(B95,BOM!$A$2:$A$21,0)+MOD(ROW()-2,4))</f>
        <v>M006</v>
      </c>
      <c r="D95" cm="1">
        <f t="array" ref="D95">INDEX(Weekly_Inventory_Flow!$I$2:$I$261,INT((ROW()-2)/4)+1)</f>
        <v>11300</v>
      </c>
      <c r="E95" cm="1">
        <f t="array" ref="E95">INDEX(BOM!$C$2:$C$21,MATCH(B95,BOM!$A$2:$A$21,0)+MOD(ROW()-2,4))</f>
        <v>8.9999999999999993E-3</v>
      </c>
      <c r="F95">
        <f t="shared" si="1"/>
        <v>101.69999999999999</v>
      </c>
    </row>
    <row r="96" spans="1:6">
      <c r="A96" s="1" cm="1">
        <f t="array" ref="A96">INDEX(Weekly_Inventory_Flow!$A$2:$A$261,INT((ROW()-2)/4)+1)</f>
        <v>46055</v>
      </c>
      <c r="B96" t="str" cm="1">
        <f t="array" ref="B96">INDEX(Weekly_Inventory_Flow!$B$2:$B$261,INT((ROW()-2)/4)+1)</f>
        <v>P004</v>
      </c>
      <c r="C96" t="str" cm="1">
        <f t="array" ref="C96">INDEX(BOM!$B$2:$B$21,MATCH(B96,BOM!$A$2:$A$21,0)+MOD(ROW()-2,4))</f>
        <v>M007</v>
      </c>
      <c r="D96" cm="1">
        <f t="array" ref="D96">INDEX(Weekly_Inventory_Flow!$I$2:$I$261,INT((ROW()-2)/4)+1)</f>
        <v>11300</v>
      </c>
      <c r="E96" cm="1">
        <f t="array" ref="E96">INDEX(BOM!$C$2:$C$21,MATCH(B96,BOM!$A$2:$A$21,0)+MOD(ROW()-2,4))</f>
        <v>1</v>
      </c>
      <c r="F96">
        <f t="shared" si="1"/>
        <v>11300</v>
      </c>
    </row>
    <row r="97" spans="1:6">
      <c r="A97" s="1" cm="1">
        <f t="array" ref="A97">INDEX(Weekly_Inventory_Flow!$A$2:$A$261,INT((ROW()-2)/4)+1)</f>
        <v>46055</v>
      </c>
      <c r="B97" t="str" cm="1">
        <f t="array" ref="B97">INDEX(Weekly_Inventory_Flow!$B$2:$B$261,INT((ROW()-2)/4)+1)</f>
        <v>P004</v>
      </c>
      <c r="C97" t="str" cm="1">
        <f t="array" ref="C97">INDEX(BOM!$B$2:$B$21,MATCH(B97,BOM!$A$2:$A$21,0)+MOD(ROW()-2,4))</f>
        <v>M008</v>
      </c>
      <c r="D97" cm="1">
        <f t="array" ref="D97">INDEX(Weekly_Inventory_Flow!$I$2:$I$261,INT((ROW()-2)/4)+1)</f>
        <v>11300</v>
      </c>
      <c r="E97" cm="1">
        <f t="array" ref="E97">INDEX(BOM!$C$2:$C$21,MATCH(B97,BOM!$A$2:$A$21,0)+MOD(ROW()-2,4))</f>
        <v>1</v>
      </c>
      <c r="F97">
        <f t="shared" si="1"/>
        <v>11300</v>
      </c>
    </row>
    <row r="98" spans="1:6">
      <c r="A98" s="1" cm="1">
        <f t="array" ref="A98">INDEX(Weekly_Inventory_Flow!$A$2:$A$261,INT((ROW()-2)/4)+1)</f>
        <v>46055</v>
      </c>
      <c r="B98" t="str" cm="1">
        <f t="array" ref="B98">INDEX(Weekly_Inventory_Flow!$B$2:$B$261,INT((ROW()-2)/4)+1)</f>
        <v>P005</v>
      </c>
      <c r="C98" t="str" cm="1">
        <f t="array" ref="C98">INDEX(BOM!$B$2:$B$21,MATCH(B98,BOM!$A$2:$A$21,0)+MOD(ROW()-2,4))</f>
        <v>M005</v>
      </c>
      <c r="D98" cm="1">
        <f t="array" ref="D98">INDEX(Weekly_Inventory_Flow!$I$2:$I$261,INT((ROW()-2)/4)+1)</f>
        <v>8500</v>
      </c>
      <c r="E98" cm="1">
        <f t="array" ref="E98">INDEX(BOM!$C$2:$C$21,MATCH(B98,BOM!$A$2:$A$21,0)+MOD(ROW()-2,4))</f>
        <v>0.52</v>
      </c>
      <c r="F98">
        <f t="shared" si="1"/>
        <v>4420</v>
      </c>
    </row>
    <row r="99" spans="1:6">
      <c r="A99" s="1" cm="1">
        <f t="array" ref="A99">INDEX(Weekly_Inventory_Flow!$A$2:$A$261,INT((ROW()-2)/4)+1)</f>
        <v>46055</v>
      </c>
      <c r="B99" t="str" cm="1">
        <f t="array" ref="B99">INDEX(Weekly_Inventory_Flow!$B$2:$B$261,INT((ROW()-2)/4)+1)</f>
        <v>P005</v>
      </c>
      <c r="C99" t="str" cm="1">
        <f t="array" ref="C99">INDEX(BOM!$B$2:$B$21,MATCH(B99,BOM!$A$2:$A$21,0)+MOD(ROW()-2,4))</f>
        <v>M006</v>
      </c>
      <c r="D99" cm="1">
        <f t="array" ref="D99">INDEX(Weekly_Inventory_Flow!$I$2:$I$261,INT((ROW()-2)/4)+1)</f>
        <v>8500</v>
      </c>
      <c r="E99" cm="1">
        <f t="array" ref="E99">INDEX(BOM!$C$2:$C$21,MATCH(B99,BOM!$A$2:$A$21,0)+MOD(ROW()-2,4))</f>
        <v>1.2E-2</v>
      </c>
      <c r="F99">
        <f t="shared" si="1"/>
        <v>102</v>
      </c>
    </row>
    <row r="100" spans="1:6">
      <c r="A100" s="1" cm="1">
        <f t="array" ref="A100">INDEX(Weekly_Inventory_Flow!$A$2:$A$261,INT((ROW()-2)/4)+1)</f>
        <v>46055</v>
      </c>
      <c r="B100" t="str" cm="1">
        <f t="array" ref="B100">INDEX(Weekly_Inventory_Flow!$B$2:$B$261,INT((ROW()-2)/4)+1)</f>
        <v>P005</v>
      </c>
      <c r="C100" t="str" cm="1">
        <f t="array" ref="C100">INDEX(BOM!$B$2:$B$21,MATCH(B100,BOM!$A$2:$A$21,0)+MOD(ROW()-2,4))</f>
        <v>M007</v>
      </c>
      <c r="D100" cm="1">
        <f t="array" ref="D100">INDEX(Weekly_Inventory_Flow!$I$2:$I$261,INT((ROW()-2)/4)+1)</f>
        <v>8500</v>
      </c>
      <c r="E100" cm="1">
        <f t="array" ref="E100">INDEX(BOM!$C$2:$C$21,MATCH(B100,BOM!$A$2:$A$21,0)+MOD(ROW()-2,4))</f>
        <v>1</v>
      </c>
      <c r="F100">
        <f t="shared" si="1"/>
        <v>8500</v>
      </c>
    </row>
    <row r="101" spans="1:6">
      <c r="A101" s="1" cm="1">
        <f t="array" ref="A101">INDEX(Weekly_Inventory_Flow!$A$2:$A$261,INT((ROW()-2)/4)+1)</f>
        <v>46055</v>
      </c>
      <c r="B101" t="str" cm="1">
        <f t="array" ref="B101">INDEX(Weekly_Inventory_Flow!$B$2:$B$261,INT((ROW()-2)/4)+1)</f>
        <v>P005</v>
      </c>
      <c r="C101" t="str" cm="1">
        <f t="array" ref="C101">INDEX(BOM!$B$2:$B$21,MATCH(B101,BOM!$A$2:$A$21,0)+MOD(ROW()-2,4))</f>
        <v>M008</v>
      </c>
      <c r="D101" cm="1">
        <f t="array" ref="D101">INDEX(Weekly_Inventory_Flow!$I$2:$I$261,INT((ROW()-2)/4)+1)</f>
        <v>8500</v>
      </c>
      <c r="E101" cm="1">
        <f t="array" ref="E101">INDEX(BOM!$C$2:$C$21,MATCH(B101,BOM!$A$2:$A$21,0)+MOD(ROW()-2,4))</f>
        <v>1</v>
      </c>
      <c r="F101">
        <f t="shared" si="1"/>
        <v>8500</v>
      </c>
    </row>
    <row r="102" spans="1:6">
      <c r="A102" s="1" cm="1">
        <f t="array" ref="A102">INDEX(Weekly_Inventory_Flow!$A$2:$A$261,INT((ROW()-2)/4)+1)</f>
        <v>46062</v>
      </c>
      <c r="B102" t="str" cm="1">
        <f t="array" ref="B102">INDEX(Weekly_Inventory_Flow!$B$2:$B$261,INT((ROW()-2)/4)+1)</f>
        <v>P001</v>
      </c>
      <c r="C102" t="str" cm="1">
        <f t="array" ref="C102">INDEX(BOM!$B$2:$B$21,MATCH(B102,BOM!$A$2:$A$21,0)+MOD(ROW()-2,4))</f>
        <v>M001</v>
      </c>
      <c r="D102" cm="1">
        <f t="array" ref="D102">INDEX(Weekly_Inventory_Flow!$I$2:$I$261,INT((ROW()-2)/4)+1)</f>
        <v>13800</v>
      </c>
      <c r="E102" cm="1">
        <f t="array" ref="E102">INDEX(BOM!$C$2:$C$21,MATCH(B102,BOM!$A$2:$A$21,0)+MOD(ROW()-2,4))</f>
        <v>0.35</v>
      </c>
      <c r="F102">
        <f t="shared" si="1"/>
        <v>4830</v>
      </c>
    </row>
    <row r="103" spans="1:6">
      <c r="A103" s="1" cm="1">
        <f t="array" ref="A103">INDEX(Weekly_Inventory_Flow!$A$2:$A$261,INT((ROW()-2)/4)+1)</f>
        <v>46062</v>
      </c>
      <c r="B103" t="str" cm="1">
        <f t="array" ref="B103">INDEX(Weekly_Inventory_Flow!$B$2:$B$261,INT((ROW()-2)/4)+1)</f>
        <v>P001</v>
      </c>
      <c r="C103" t="str" cm="1">
        <f t="array" ref="C103">INDEX(BOM!$B$2:$B$21,MATCH(B103,BOM!$A$2:$A$21,0)+MOD(ROW()-2,4))</f>
        <v>M006</v>
      </c>
      <c r="D103" cm="1">
        <f t="array" ref="D103">INDEX(Weekly_Inventory_Flow!$I$2:$I$261,INT((ROW()-2)/4)+1)</f>
        <v>13800</v>
      </c>
      <c r="E103" cm="1">
        <f t="array" ref="E103">INDEX(BOM!$C$2:$C$21,MATCH(B103,BOM!$A$2:$A$21,0)+MOD(ROW()-2,4))</f>
        <v>0.01</v>
      </c>
      <c r="F103">
        <f t="shared" si="1"/>
        <v>138</v>
      </c>
    </row>
    <row r="104" spans="1:6">
      <c r="A104" s="1" cm="1">
        <f t="array" ref="A104">INDEX(Weekly_Inventory_Flow!$A$2:$A$261,INT((ROW()-2)/4)+1)</f>
        <v>46062</v>
      </c>
      <c r="B104" t="str" cm="1">
        <f t="array" ref="B104">INDEX(Weekly_Inventory_Flow!$B$2:$B$261,INT((ROW()-2)/4)+1)</f>
        <v>P001</v>
      </c>
      <c r="C104" t="str" cm="1">
        <f t="array" ref="C104">INDEX(BOM!$B$2:$B$21,MATCH(B104,BOM!$A$2:$A$21,0)+MOD(ROW()-2,4))</f>
        <v>M007</v>
      </c>
      <c r="D104" cm="1">
        <f t="array" ref="D104">INDEX(Weekly_Inventory_Flow!$I$2:$I$261,INT((ROW()-2)/4)+1)</f>
        <v>13800</v>
      </c>
      <c r="E104" cm="1">
        <f t="array" ref="E104">INDEX(BOM!$C$2:$C$21,MATCH(B104,BOM!$A$2:$A$21,0)+MOD(ROW()-2,4))</f>
        <v>1</v>
      </c>
      <c r="F104">
        <f t="shared" si="1"/>
        <v>13800</v>
      </c>
    </row>
    <row r="105" spans="1:6">
      <c r="A105" s="1" cm="1">
        <f t="array" ref="A105">INDEX(Weekly_Inventory_Flow!$A$2:$A$261,INT((ROW()-2)/4)+1)</f>
        <v>46062</v>
      </c>
      <c r="B105" t="str" cm="1">
        <f t="array" ref="B105">INDEX(Weekly_Inventory_Flow!$B$2:$B$261,INT((ROW()-2)/4)+1)</f>
        <v>P001</v>
      </c>
      <c r="C105" t="str" cm="1">
        <f t="array" ref="C105">INDEX(BOM!$B$2:$B$21,MATCH(B105,BOM!$A$2:$A$21,0)+MOD(ROW()-2,4))</f>
        <v>M008</v>
      </c>
      <c r="D105" cm="1">
        <f t="array" ref="D105">INDEX(Weekly_Inventory_Flow!$I$2:$I$261,INT((ROW()-2)/4)+1)</f>
        <v>13800</v>
      </c>
      <c r="E105" cm="1">
        <f t="array" ref="E105">INDEX(BOM!$C$2:$C$21,MATCH(B105,BOM!$A$2:$A$21,0)+MOD(ROW()-2,4))</f>
        <v>1</v>
      </c>
      <c r="F105">
        <f t="shared" si="1"/>
        <v>13800</v>
      </c>
    </row>
    <row r="106" spans="1:6">
      <c r="A106" s="1" cm="1">
        <f t="array" ref="A106">INDEX(Weekly_Inventory_Flow!$A$2:$A$261,INT((ROW()-2)/4)+1)</f>
        <v>46062</v>
      </c>
      <c r="B106" t="str" cm="1">
        <f t="array" ref="B106">INDEX(Weekly_Inventory_Flow!$B$2:$B$261,INT((ROW()-2)/4)+1)</f>
        <v>P002</v>
      </c>
      <c r="C106" t="str" cm="1">
        <f t="array" ref="C106">INDEX(BOM!$B$2:$B$21,MATCH(B106,BOM!$A$2:$A$21,0)+MOD(ROW()-2,4))</f>
        <v>M002</v>
      </c>
      <c r="D106" cm="1">
        <f t="array" ref="D106">INDEX(Weekly_Inventory_Flow!$I$2:$I$261,INT((ROW()-2)/4)+1)</f>
        <v>12100</v>
      </c>
      <c r="E106" cm="1">
        <f t="array" ref="E106">INDEX(BOM!$C$2:$C$21,MATCH(B106,BOM!$A$2:$A$21,0)+MOD(ROW()-2,4))</f>
        <v>0.3</v>
      </c>
      <c r="F106">
        <f t="shared" si="1"/>
        <v>3630</v>
      </c>
    </row>
    <row r="107" spans="1:6">
      <c r="A107" s="1" cm="1">
        <f t="array" ref="A107">INDEX(Weekly_Inventory_Flow!$A$2:$A$261,INT((ROW()-2)/4)+1)</f>
        <v>46062</v>
      </c>
      <c r="B107" t="str" cm="1">
        <f t="array" ref="B107">INDEX(Weekly_Inventory_Flow!$B$2:$B$261,INT((ROW()-2)/4)+1)</f>
        <v>P002</v>
      </c>
      <c r="C107" t="str" cm="1">
        <f t="array" ref="C107">INDEX(BOM!$B$2:$B$21,MATCH(B107,BOM!$A$2:$A$21,0)+MOD(ROW()-2,4))</f>
        <v>M006</v>
      </c>
      <c r="D107" cm="1">
        <f t="array" ref="D107">INDEX(Weekly_Inventory_Flow!$I$2:$I$261,INT((ROW()-2)/4)+1)</f>
        <v>12100</v>
      </c>
      <c r="E107" cm="1">
        <f t="array" ref="E107">INDEX(BOM!$C$2:$C$21,MATCH(B107,BOM!$A$2:$A$21,0)+MOD(ROW()-2,4))</f>
        <v>8.0000000000000002E-3</v>
      </c>
      <c r="F107">
        <f t="shared" si="1"/>
        <v>96.8</v>
      </c>
    </row>
    <row r="108" spans="1:6">
      <c r="A108" s="1" cm="1">
        <f t="array" ref="A108">INDEX(Weekly_Inventory_Flow!$A$2:$A$261,INT((ROW()-2)/4)+1)</f>
        <v>46062</v>
      </c>
      <c r="B108" t="str" cm="1">
        <f t="array" ref="B108">INDEX(Weekly_Inventory_Flow!$B$2:$B$261,INT((ROW()-2)/4)+1)</f>
        <v>P002</v>
      </c>
      <c r="C108" t="str" cm="1">
        <f t="array" ref="C108">INDEX(BOM!$B$2:$B$21,MATCH(B108,BOM!$A$2:$A$21,0)+MOD(ROW()-2,4))</f>
        <v>M007</v>
      </c>
      <c r="D108" cm="1">
        <f t="array" ref="D108">INDEX(Weekly_Inventory_Flow!$I$2:$I$261,INT((ROW()-2)/4)+1)</f>
        <v>12100</v>
      </c>
      <c r="E108" cm="1">
        <f t="array" ref="E108">INDEX(BOM!$C$2:$C$21,MATCH(B108,BOM!$A$2:$A$21,0)+MOD(ROW()-2,4))</f>
        <v>1</v>
      </c>
      <c r="F108">
        <f t="shared" si="1"/>
        <v>12100</v>
      </c>
    </row>
    <row r="109" spans="1:6">
      <c r="A109" s="1" cm="1">
        <f t="array" ref="A109">INDEX(Weekly_Inventory_Flow!$A$2:$A$261,INT((ROW()-2)/4)+1)</f>
        <v>46062</v>
      </c>
      <c r="B109" t="str" cm="1">
        <f t="array" ref="B109">INDEX(Weekly_Inventory_Flow!$B$2:$B$261,INT((ROW()-2)/4)+1)</f>
        <v>P002</v>
      </c>
      <c r="C109" t="str" cm="1">
        <f t="array" ref="C109">INDEX(BOM!$B$2:$B$21,MATCH(B109,BOM!$A$2:$A$21,0)+MOD(ROW()-2,4))</f>
        <v>M008</v>
      </c>
      <c r="D109" cm="1">
        <f t="array" ref="D109">INDEX(Weekly_Inventory_Flow!$I$2:$I$261,INT((ROW()-2)/4)+1)</f>
        <v>12100</v>
      </c>
      <c r="E109" cm="1">
        <f t="array" ref="E109">INDEX(BOM!$C$2:$C$21,MATCH(B109,BOM!$A$2:$A$21,0)+MOD(ROW()-2,4))</f>
        <v>1</v>
      </c>
      <c r="F109">
        <f t="shared" si="1"/>
        <v>12100</v>
      </c>
    </row>
    <row r="110" spans="1:6">
      <c r="A110" s="1" cm="1">
        <f t="array" ref="A110">INDEX(Weekly_Inventory_Flow!$A$2:$A$261,INT((ROW()-2)/4)+1)</f>
        <v>46062</v>
      </c>
      <c r="B110" t="str" cm="1">
        <f t="array" ref="B110">INDEX(Weekly_Inventory_Flow!$B$2:$B$261,INT((ROW()-2)/4)+1)</f>
        <v>P003</v>
      </c>
      <c r="C110" t="str" cm="1">
        <f t="array" ref="C110">INDEX(BOM!$B$2:$B$21,MATCH(B110,BOM!$A$2:$A$21,0)+MOD(ROW()-2,4))</f>
        <v>M003</v>
      </c>
      <c r="D110" cm="1">
        <f t="array" ref="D110">INDEX(Weekly_Inventory_Flow!$I$2:$I$261,INT((ROW()-2)/4)+1)</f>
        <v>10300</v>
      </c>
      <c r="E110" cm="1">
        <f t="array" ref="E110">INDEX(BOM!$C$2:$C$21,MATCH(B110,BOM!$A$2:$A$21,0)+MOD(ROW()-2,4))</f>
        <v>0.25</v>
      </c>
      <c r="F110">
        <f t="shared" si="1"/>
        <v>2575</v>
      </c>
    </row>
    <row r="111" spans="1:6">
      <c r="A111" s="1" cm="1">
        <f t="array" ref="A111">INDEX(Weekly_Inventory_Flow!$A$2:$A$261,INT((ROW()-2)/4)+1)</f>
        <v>46062</v>
      </c>
      <c r="B111" t="str" cm="1">
        <f t="array" ref="B111">INDEX(Weekly_Inventory_Flow!$B$2:$B$261,INT((ROW()-2)/4)+1)</f>
        <v>P003</v>
      </c>
      <c r="C111" t="str" cm="1">
        <f t="array" ref="C111">INDEX(BOM!$B$2:$B$21,MATCH(B111,BOM!$A$2:$A$21,0)+MOD(ROW()-2,4))</f>
        <v>M006</v>
      </c>
      <c r="D111" cm="1">
        <f t="array" ref="D111">INDEX(Weekly_Inventory_Flow!$I$2:$I$261,INT((ROW()-2)/4)+1)</f>
        <v>10300</v>
      </c>
      <c r="E111" cm="1">
        <f t="array" ref="E111">INDEX(BOM!$C$2:$C$21,MATCH(B111,BOM!$A$2:$A$21,0)+MOD(ROW()-2,4))</f>
        <v>6.0000000000000001E-3</v>
      </c>
      <c r="F111">
        <f t="shared" si="1"/>
        <v>61.800000000000004</v>
      </c>
    </row>
    <row r="112" spans="1:6">
      <c r="A112" s="1" cm="1">
        <f t="array" ref="A112">INDEX(Weekly_Inventory_Flow!$A$2:$A$261,INT((ROW()-2)/4)+1)</f>
        <v>46062</v>
      </c>
      <c r="B112" t="str" cm="1">
        <f t="array" ref="B112">INDEX(Weekly_Inventory_Flow!$B$2:$B$261,INT((ROW()-2)/4)+1)</f>
        <v>P003</v>
      </c>
      <c r="C112" t="str" cm="1">
        <f t="array" ref="C112">INDEX(BOM!$B$2:$B$21,MATCH(B112,BOM!$A$2:$A$21,0)+MOD(ROW()-2,4))</f>
        <v>M007</v>
      </c>
      <c r="D112" cm="1">
        <f t="array" ref="D112">INDEX(Weekly_Inventory_Flow!$I$2:$I$261,INT((ROW()-2)/4)+1)</f>
        <v>10300</v>
      </c>
      <c r="E112" cm="1">
        <f t="array" ref="E112">INDEX(BOM!$C$2:$C$21,MATCH(B112,BOM!$A$2:$A$21,0)+MOD(ROW()-2,4))</f>
        <v>1</v>
      </c>
      <c r="F112">
        <f t="shared" si="1"/>
        <v>10300</v>
      </c>
    </row>
    <row r="113" spans="1:6">
      <c r="A113" s="1" cm="1">
        <f t="array" ref="A113">INDEX(Weekly_Inventory_Flow!$A$2:$A$261,INT((ROW()-2)/4)+1)</f>
        <v>46062</v>
      </c>
      <c r="B113" t="str" cm="1">
        <f t="array" ref="B113">INDEX(Weekly_Inventory_Flow!$B$2:$B$261,INT((ROW()-2)/4)+1)</f>
        <v>P003</v>
      </c>
      <c r="C113" t="str" cm="1">
        <f t="array" ref="C113">INDEX(BOM!$B$2:$B$21,MATCH(B113,BOM!$A$2:$A$21,0)+MOD(ROW()-2,4))</f>
        <v>M008</v>
      </c>
      <c r="D113" cm="1">
        <f t="array" ref="D113">INDEX(Weekly_Inventory_Flow!$I$2:$I$261,INT((ROW()-2)/4)+1)</f>
        <v>10300</v>
      </c>
      <c r="E113" cm="1">
        <f t="array" ref="E113">INDEX(BOM!$C$2:$C$21,MATCH(B113,BOM!$A$2:$A$21,0)+MOD(ROW()-2,4))</f>
        <v>1</v>
      </c>
      <c r="F113">
        <f t="shared" si="1"/>
        <v>10300</v>
      </c>
    </row>
    <row r="114" spans="1:6">
      <c r="A114" s="1" cm="1">
        <f t="array" ref="A114">INDEX(Weekly_Inventory_Flow!$A$2:$A$261,INT((ROW()-2)/4)+1)</f>
        <v>46062</v>
      </c>
      <c r="B114" t="str" cm="1">
        <f t="array" ref="B114">INDEX(Weekly_Inventory_Flow!$B$2:$B$261,INT((ROW()-2)/4)+1)</f>
        <v>P004</v>
      </c>
      <c r="C114" t="str" cm="1">
        <f t="array" ref="C114">INDEX(BOM!$B$2:$B$21,MATCH(B114,BOM!$A$2:$A$21,0)+MOD(ROW()-2,4))</f>
        <v>M004</v>
      </c>
      <c r="D114" cm="1">
        <f t="array" ref="D114">INDEX(Weekly_Inventory_Flow!$I$2:$I$261,INT((ROW()-2)/4)+1)</f>
        <v>11100</v>
      </c>
      <c r="E114" cm="1">
        <f t="array" ref="E114">INDEX(BOM!$C$2:$C$21,MATCH(B114,BOM!$A$2:$A$21,0)+MOD(ROW()-2,4))</f>
        <v>0.34</v>
      </c>
      <c r="F114">
        <f t="shared" si="1"/>
        <v>3774.0000000000005</v>
      </c>
    </row>
    <row r="115" spans="1:6">
      <c r="A115" s="1" cm="1">
        <f t="array" ref="A115">INDEX(Weekly_Inventory_Flow!$A$2:$A$261,INT((ROW()-2)/4)+1)</f>
        <v>46062</v>
      </c>
      <c r="B115" t="str" cm="1">
        <f t="array" ref="B115">INDEX(Weekly_Inventory_Flow!$B$2:$B$261,INT((ROW()-2)/4)+1)</f>
        <v>P004</v>
      </c>
      <c r="C115" t="str" cm="1">
        <f t="array" ref="C115">INDEX(BOM!$B$2:$B$21,MATCH(B115,BOM!$A$2:$A$21,0)+MOD(ROW()-2,4))</f>
        <v>M006</v>
      </c>
      <c r="D115" cm="1">
        <f t="array" ref="D115">INDEX(Weekly_Inventory_Flow!$I$2:$I$261,INT((ROW()-2)/4)+1)</f>
        <v>11100</v>
      </c>
      <c r="E115" cm="1">
        <f t="array" ref="E115">INDEX(BOM!$C$2:$C$21,MATCH(B115,BOM!$A$2:$A$21,0)+MOD(ROW()-2,4))</f>
        <v>8.9999999999999993E-3</v>
      </c>
      <c r="F115">
        <f t="shared" si="1"/>
        <v>99.899999999999991</v>
      </c>
    </row>
    <row r="116" spans="1:6">
      <c r="A116" s="1" cm="1">
        <f t="array" ref="A116">INDEX(Weekly_Inventory_Flow!$A$2:$A$261,INT((ROW()-2)/4)+1)</f>
        <v>46062</v>
      </c>
      <c r="B116" t="str" cm="1">
        <f t="array" ref="B116">INDEX(Weekly_Inventory_Flow!$B$2:$B$261,INT((ROW()-2)/4)+1)</f>
        <v>P004</v>
      </c>
      <c r="C116" t="str" cm="1">
        <f t="array" ref="C116">INDEX(BOM!$B$2:$B$21,MATCH(B116,BOM!$A$2:$A$21,0)+MOD(ROW()-2,4))</f>
        <v>M007</v>
      </c>
      <c r="D116" cm="1">
        <f t="array" ref="D116">INDEX(Weekly_Inventory_Flow!$I$2:$I$261,INT((ROW()-2)/4)+1)</f>
        <v>11100</v>
      </c>
      <c r="E116" cm="1">
        <f t="array" ref="E116">INDEX(BOM!$C$2:$C$21,MATCH(B116,BOM!$A$2:$A$21,0)+MOD(ROW()-2,4))</f>
        <v>1</v>
      </c>
      <c r="F116">
        <f t="shared" si="1"/>
        <v>11100</v>
      </c>
    </row>
    <row r="117" spans="1:6">
      <c r="A117" s="1" cm="1">
        <f t="array" ref="A117">INDEX(Weekly_Inventory_Flow!$A$2:$A$261,INT((ROW()-2)/4)+1)</f>
        <v>46062</v>
      </c>
      <c r="B117" t="str" cm="1">
        <f t="array" ref="B117">INDEX(Weekly_Inventory_Flow!$B$2:$B$261,INT((ROW()-2)/4)+1)</f>
        <v>P004</v>
      </c>
      <c r="C117" t="str" cm="1">
        <f t="array" ref="C117">INDEX(BOM!$B$2:$B$21,MATCH(B117,BOM!$A$2:$A$21,0)+MOD(ROW()-2,4))</f>
        <v>M008</v>
      </c>
      <c r="D117" cm="1">
        <f t="array" ref="D117">INDEX(Weekly_Inventory_Flow!$I$2:$I$261,INT((ROW()-2)/4)+1)</f>
        <v>11100</v>
      </c>
      <c r="E117" cm="1">
        <f t="array" ref="E117">INDEX(BOM!$C$2:$C$21,MATCH(B117,BOM!$A$2:$A$21,0)+MOD(ROW()-2,4))</f>
        <v>1</v>
      </c>
      <c r="F117">
        <f t="shared" si="1"/>
        <v>11100</v>
      </c>
    </row>
    <row r="118" spans="1:6">
      <c r="A118" s="1" cm="1">
        <f t="array" ref="A118">INDEX(Weekly_Inventory_Flow!$A$2:$A$261,INT((ROW()-2)/4)+1)</f>
        <v>46062</v>
      </c>
      <c r="B118" t="str" cm="1">
        <f t="array" ref="B118">INDEX(Weekly_Inventory_Flow!$B$2:$B$261,INT((ROW()-2)/4)+1)</f>
        <v>P005</v>
      </c>
      <c r="C118" t="str" cm="1">
        <f t="array" ref="C118">INDEX(BOM!$B$2:$B$21,MATCH(B118,BOM!$A$2:$A$21,0)+MOD(ROW()-2,4))</f>
        <v>M005</v>
      </c>
      <c r="D118" cm="1">
        <f t="array" ref="D118">INDEX(Weekly_Inventory_Flow!$I$2:$I$261,INT((ROW()-2)/4)+1)</f>
        <v>8100</v>
      </c>
      <c r="E118" cm="1">
        <f t="array" ref="E118">INDEX(BOM!$C$2:$C$21,MATCH(B118,BOM!$A$2:$A$21,0)+MOD(ROW()-2,4))</f>
        <v>0.52</v>
      </c>
      <c r="F118">
        <f t="shared" si="1"/>
        <v>4212</v>
      </c>
    </row>
    <row r="119" spans="1:6">
      <c r="A119" s="1" cm="1">
        <f t="array" ref="A119">INDEX(Weekly_Inventory_Flow!$A$2:$A$261,INT((ROW()-2)/4)+1)</f>
        <v>46062</v>
      </c>
      <c r="B119" t="str" cm="1">
        <f t="array" ref="B119">INDEX(Weekly_Inventory_Flow!$B$2:$B$261,INT((ROW()-2)/4)+1)</f>
        <v>P005</v>
      </c>
      <c r="C119" t="str" cm="1">
        <f t="array" ref="C119">INDEX(BOM!$B$2:$B$21,MATCH(B119,BOM!$A$2:$A$21,0)+MOD(ROW()-2,4))</f>
        <v>M006</v>
      </c>
      <c r="D119" cm="1">
        <f t="array" ref="D119">INDEX(Weekly_Inventory_Flow!$I$2:$I$261,INT((ROW()-2)/4)+1)</f>
        <v>8100</v>
      </c>
      <c r="E119" cm="1">
        <f t="array" ref="E119">INDEX(BOM!$C$2:$C$21,MATCH(B119,BOM!$A$2:$A$21,0)+MOD(ROW()-2,4))</f>
        <v>1.2E-2</v>
      </c>
      <c r="F119">
        <f t="shared" si="1"/>
        <v>97.2</v>
      </c>
    </row>
    <row r="120" spans="1:6">
      <c r="A120" s="1" cm="1">
        <f t="array" ref="A120">INDEX(Weekly_Inventory_Flow!$A$2:$A$261,INT((ROW()-2)/4)+1)</f>
        <v>46062</v>
      </c>
      <c r="B120" t="str" cm="1">
        <f t="array" ref="B120">INDEX(Weekly_Inventory_Flow!$B$2:$B$261,INT((ROW()-2)/4)+1)</f>
        <v>P005</v>
      </c>
      <c r="C120" t="str" cm="1">
        <f t="array" ref="C120">INDEX(BOM!$B$2:$B$21,MATCH(B120,BOM!$A$2:$A$21,0)+MOD(ROW()-2,4))</f>
        <v>M007</v>
      </c>
      <c r="D120" cm="1">
        <f t="array" ref="D120">INDEX(Weekly_Inventory_Flow!$I$2:$I$261,INT((ROW()-2)/4)+1)</f>
        <v>8100</v>
      </c>
      <c r="E120" cm="1">
        <f t="array" ref="E120">INDEX(BOM!$C$2:$C$21,MATCH(B120,BOM!$A$2:$A$21,0)+MOD(ROW()-2,4))</f>
        <v>1</v>
      </c>
      <c r="F120">
        <f t="shared" si="1"/>
        <v>8100</v>
      </c>
    </row>
    <row r="121" spans="1:6">
      <c r="A121" s="1" cm="1">
        <f t="array" ref="A121">INDEX(Weekly_Inventory_Flow!$A$2:$A$261,INT((ROW()-2)/4)+1)</f>
        <v>46062</v>
      </c>
      <c r="B121" t="str" cm="1">
        <f t="array" ref="B121">INDEX(Weekly_Inventory_Flow!$B$2:$B$261,INT((ROW()-2)/4)+1)</f>
        <v>P005</v>
      </c>
      <c r="C121" t="str" cm="1">
        <f t="array" ref="C121">INDEX(BOM!$B$2:$B$21,MATCH(B121,BOM!$A$2:$A$21,0)+MOD(ROW()-2,4))</f>
        <v>M008</v>
      </c>
      <c r="D121" cm="1">
        <f t="array" ref="D121">INDEX(Weekly_Inventory_Flow!$I$2:$I$261,INT((ROW()-2)/4)+1)</f>
        <v>8100</v>
      </c>
      <c r="E121" cm="1">
        <f t="array" ref="E121">INDEX(BOM!$C$2:$C$21,MATCH(B121,BOM!$A$2:$A$21,0)+MOD(ROW()-2,4))</f>
        <v>1</v>
      </c>
      <c r="F121">
        <f t="shared" si="1"/>
        <v>8100</v>
      </c>
    </row>
    <row r="122" spans="1:6">
      <c r="A122" s="1" cm="1">
        <f t="array" ref="A122">INDEX(Weekly_Inventory_Flow!$A$2:$A$261,INT((ROW()-2)/4)+1)</f>
        <v>46069</v>
      </c>
      <c r="B122" t="str" cm="1">
        <f t="array" ref="B122">INDEX(Weekly_Inventory_Flow!$B$2:$B$261,INT((ROW()-2)/4)+1)</f>
        <v>P001</v>
      </c>
      <c r="C122" t="str" cm="1">
        <f t="array" ref="C122">INDEX(BOM!$B$2:$B$21,MATCH(B122,BOM!$A$2:$A$21,0)+MOD(ROW()-2,4))</f>
        <v>M001</v>
      </c>
      <c r="D122" cm="1">
        <f t="array" ref="D122">INDEX(Weekly_Inventory_Flow!$I$2:$I$261,INT((ROW()-2)/4)+1)</f>
        <v>13300</v>
      </c>
      <c r="E122" cm="1">
        <f t="array" ref="E122">INDEX(BOM!$C$2:$C$21,MATCH(B122,BOM!$A$2:$A$21,0)+MOD(ROW()-2,4))</f>
        <v>0.35</v>
      </c>
      <c r="F122">
        <f t="shared" si="1"/>
        <v>4655</v>
      </c>
    </row>
    <row r="123" spans="1:6">
      <c r="A123" s="1" cm="1">
        <f t="array" ref="A123">INDEX(Weekly_Inventory_Flow!$A$2:$A$261,INT((ROW()-2)/4)+1)</f>
        <v>46069</v>
      </c>
      <c r="B123" t="str" cm="1">
        <f t="array" ref="B123">INDEX(Weekly_Inventory_Flow!$B$2:$B$261,INT((ROW()-2)/4)+1)</f>
        <v>P001</v>
      </c>
      <c r="C123" t="str" cm="1">
        <f t="array" ref="C123">INDEX(BOM!$B$2:$B$21,MATCH(B123,BOM!$A$2:$A$21,0)+MOD(ROW()-2,4))</f>
        <v>M006</v>
      </c>
      <c r="D123" cm="1">
        <f t="array" ref="D123">INDEX(Weekly_Inventory_Flow!$I$2:$I$261,INT((ROW()-2)/4)+1)</f>
        <v>13300</v>
      </c>
      <c r="E123" cm="1">
        <f t="array" ref="E123">INDEX(BOM!$C$2:$C$21,MATCH(B123,BOM!$A$2:$A$21,0)+MOD(ROW()-2,4))</f>
        <v>0.01</v>
      </c>
      <c r="F123">
        <f t="shared" si="1"/>
        <v>133</v>
      </c>
    </row>
    <row r="124" spans="1:6">
      <c r="A124" s="1" cm="1">
        <f t="array" ref="A124">INDEX(Weekly_Inventory_Flow!$A$2:$A$261,INT((ROW()-2)/4)+1)</f>
        <v>46069</v>
      </c>
      <c r="B124" t="str" cm="1">
        <f t="array" ref="B124">INDEX(Weekly_Inventory_Flow!$B$2:$B$261,INT((ROW()-2)/4)+1)</f>
        <v>P001</v>
      </c>
      <c r="C124" t="str" cm="1">
        <f t="array" ref="C124">INDEX(BOM!$B$2:$B$21,MATCH(B124,BOM!$A$2:$A$21,0)+MOD(ROW()-2,4))</f>
        <v>M007</v>
      </c>
      <c r="D124" cm="1">
        <f t="array" ref="D124">INDEX(Weekly_Inventory_Flow!$I$2:$I$261,INT((ROW()-2)/4)+1)</f>
        <v>13300</v>
      </c>
      <c r="E124" cm="1">
        <f t="array" ref="E124">INDEX(BOM!$C$2:$C$21,MATCH(B124,BOM!$A$2:$A$21,0)+MOD(ROW()-2,4))</f>
        <v>1</v>
      </c>
      <c r="F124">
        <f t="shared" si="1"/>
        <v>13300</v>
      </c>
    </row>
    <row r="125" spans="1:6">
      <c r="A125" s="1" cm="1">
        <f t="array" ref="A125">INDEX(Weekly_Inventory_Flow!$A$2:$A$261,INT((ROW()-2)/4)+1)</f>
        <v>46069</v>
      </c>
      <c r="B125" t="str" cm="1">
        <f t="array" ref="B125">INDEX(Weekly_Inventory_Flow!$B$2:$B$261,INT((ROW()-2)/4)+1)</f>
        <v>P001</v>
      </c>
      <c r="C125" t="str" cm="1">
        <f t="array" ref="C125">INDEX(BOM!$B$2:$B$21,MATCH(B125,BOM!$A$2:$A$21,0)+MOD(ROW()-2,4))</f>
        <v>M008</v>
      </c>
      <c r="D125" cm="1">
        <f t="array" ref="D125">INDEX(Weekly_Inventory_Flow!$I$2:$I$261,INT((ROW()-2)/4)+1)</f>
        <v>13300</v>
      </c>
      <c r="E125" cm="1">
        <f t="array" ref="E125">INDEX(BOM!$C$2:$C$21,MATCH(B125,BOM!$A$2:$A$21,0)+MOD(ROW()-2,4))</f>
        <v>1</v>
      </c>
      <c r="F125">
        <f t="shared" si="1"/>
        <v>13300</v>
      </c>
    </row>
    <row r="126" spans="1:6">
      <c r="A126" s="1" cm="1">
        <f t="array" ref="A126">INDEX(Weekly_Inventory_Flow!$A$2:$A$261,INT((ROW()-2)/4)+1)</f>
        <v>46069</v>
      </c>
      <c r="B126" t="str" cm="1">
        <f t="array" ref="B126">INDEX(Weekly_Inventory_Flow!$B$2:$B$261,INT((ROW()-2)/4)+1)</f>
        <v>P002</v>
      </c>
      <c r="C126" t="str" cm="1">
        <f t="array" ref="C126">INDEX(BOM!$B$2:$B$21,MATCH(B126,BOM!$A$2:$A$21,0)+MOD(ROW()-2,4))</f>
        <v>M002</v>
      </c>
      <c r="D126" cm="1">
        <f t="array" ref="D126">INDEX(Weekly_Inventory_Flow!$I$2:$I$261,INT((ROW()-2)/4)+1)</f>
        <v>11100</v>
      </c>
      <c r="E126" cm="1">
        <f t="array" ref="E126">INDEX(BOM!$C$2:$C$21,MATCH(B126,BOM!$A$2:$A$21,0)+MOD(ROW()-2,4))</f>
        <v>0.3</v>
      </c>
      <c r="F126">
        <f t="shared" si="1"/>
        <v>3330</v>
      </c>
    </row>
    <row r="127" spans="1:6">
      <c r="A127" s="1" cm="1">
        <f t="array" ref="A127">INDEX(Weekly_Inventory_Flow!$A$2:$A$261,INT((ROW()-2)/4)+1)</f>
        <v>46069</v>
      </c>
      <c r="B127" t="str" cm="1">
        <f t="array" ref="B127">INDEX(Weekly_Inventory_Flow!$B$2:$B$261,INT((ROW()-2)/4)+1)</f>
        <v>P002</v>
      </c>
      <c r="C127" t="str" cm="1">
        <f t="array" ref="C127">INDEX(BOM!$B$2:$B$21,MATCH(B127,BOM!$A$2:$A$21,0)+MOD(ROW()-2,4))</f>
        <v>M006</v>
      </c>
      <c r="D127" cm="1">
        <f t="array" ref="D127">INDEX(Weekly_Inventory_Flow!$I$2:$I$261,INT((ROW()-2)/4)+1)</f>
        <v>11100</v>
      </c>
      <c r="E127" cm="1">
        <f t="array" ref="E127">INDEX(BOM!$C$2:$C$21,MATCH(B127,BOM!$A$2:$A$21,0)+MOD(ROW()-2,4))</f>
        <v>8.0000000000000002E-3</v>
      </c>
      <c r="F127">
        <f t="shared" si="1"/>
        <v>88.8</v>
      </c>
    </row>
    <row r="128" spans="1:6">
      <c r="A128" s="1" cm="1">
        <f t="array" ref="A128">INDEX(Weekly_Inventory_Flow!$A$2:$A$261,INT((ROW()-2)/4)+1)</f>
        <v>46069</v>
      </c>
      <c r="B128" t="str" cm="1">
        <f t="array" ref="B128">INDEX(Weekly_Inventory_Flow!$B$2:$B$261,INT((ROW()-2)/4)+1)</f>
        <v>P002</v>
      </c>
      <c r="C128" t="str" cm="1">
        <f t="array" ref="C128">INDEX(BOM!$B$2:$B$21,MATCH(B128,BOM!$A$2:$A$21,0)+MOD(ROW()-2,4))</f>
        <v>M007</v>
      </c>
      <c r="D128" cm="1">
        <f t="array" ref="D128">INDEX(Weekly_Inventory_Flow!$I$2:$I$261,INT((ROW()-2)/4)+1)</f>
        <v>11100</v>
      </c>
      <c r="E128" cm="1">
        <f t="array" ref="E128">INDEX(BOM!$C$2:$C$21,MATCH(B128,BOM!$A$2:$A$21,0)+MOD(ROW()-2,4))</f>
        <v>1</v>
      </c>
      <c r="F128">
        <f t="shared" si="1"/>
        <v>11100</v>
      </c>
    </row>
    <row r="129" spans="1:6">
      <c r="A129" s="1" cm="1">
        <f t="array" ref="A129">INDEX(Weekly_Inventory_Flow!$A$2:$A$261,INT((ROW()-2)/4)+1)</f>
        <v>46069</v>
      </c>
      <c r="B129" t="str" cm="1">
        <f t="array" ref="B129">INDEX(Weekly_Inventory_Flow!$B$2:$B$261,INT((ROW()-2)/4)+1)</f>
        <v>P002</v>
      </c>
      <c r="C129" t="str" cm="1">
        <f t="array" ref="C129">INDEX(BOM!$B$2:$B$21,MATCH(B129,BOM!$A$2:$A$21,0)+MOD(ROW()-2,4))</f>
        <v>M008</v>
      </c>
      <c r="D129" cm="1">
        <f t="array" ref="D129">INDEX(Weekly_Inventory_Flow!$I$2:$I$261,INT((ROW()-2)/4)+1)</f>
        <v>11100</v>
      </c>
      <c r="E129" cm="1">
        <f t="array" ref="E129">INDEX(BOM!$C$2:$C$21,MATCH(B129,BOM!$A$2:$A$21,0)+MOD(ROW()-2,4))</f>
        <v>1</v>
      </c>
      <c r="F129">
        <f t="shared" si="1"/>
        <v>11100</v>
      </c>
    </row>
    <row r="130" spans="1:6">
      <c r="A130" s="1" cm="1">
        <f t="array" ref="A130">INDEX(Weekly_Inventory_Flow!$A$2:$A$261,INT((ROW()-2)/4)+1)</f>
        <v>46069</v>
      </c>
      <c r="B130" t="str" cm="1">
        <f t="array" ref="B130">INDEX(Weekly_Inventory_Flow!$B$2:$B$261,INT((ROW()-2)/4)+1)</f>
        <v>P003</v>
      </c>
      <c r="C130" t="str" cm="1">
        <f t="array" ref="C130">INDEX(BOM!$B$2:$B$21,MATCH(B130,BOM!$A$2:$A$21,0)+MOD(ROW()-2,4))</f>
        <v>M003</v>
      </c>
      <c r="D130" cm="1">
        <f t="array" ref="D130">INDEX(Weekly_Inventory_Flow!$I$2:$I$261,INT((ROW()-2)/4)+1)</f>
        <v>10100</v>
      </c>
      <c r="E130" cm="1">
        <f t="array" ref="E130">INDEX(BOM!$C$2:$C$21,MATCH(B130,BOM!$A$2:$A$21,0)+MOD(ROW()-2,4))</f>
        <v>0.25</v>
      </c>
      <c r="F130">
        <f t="shared" si="1"/>
        <v>2525</v>
      </c>
    </row>
    <row r="131" spans="1:6">
      <c r="A131" s="1" cm="1">
        <f t="array" ref="A131">INDEX(Weekly_Inventory_Flow!$A$2:$A$261,INT((ROW()-2)/4)+1)</f>
        <v>46069</v>
      </c>
      <c r="B131" t="str" cm="1">
        <f t="array" ref="B131">INDEX(Weekly_Inventory_Flow!$B$2:$B$261,INT((ROW()-2)/4)+1)</f>
        <v>P003</v>
      </c>
      <c r="C131" t="str" cm="1">
        <f t="array" ref="C131">INDEX(BOM!$B$2:$B$21,MATCH(B131,BOM!$A$2:$A$21,0)+MOD(ROW()-2,4))</f>
        <v>M006</v>
      </c>
      <c r="D131" cm="1">
        <f t="array" ref="D131">INDEX(Weekly_Inventory_Flow!$I$2:$I$261,INT((ROW()-2)/4)+1)</f>
        <v>10100</v>
      </c>
      <c r="E131" cm="1">
        <f t="array" ref="E131">INDEX(BOM!$C$2:$C$21,MATCH(B131,BOM!$A$2:$A$21,0)+MOD(ROW()-2,4))</f>
        <v>6.0000000000000001E-3</v>
      </c>
      <c r="F131">
        <f t="shared" ref="F131:F194" si="2">D131*E131</f>
        <v>60.6</v>
      </c>
    </row>
    <row r="132" spans="1:6">
      <c r="A132" s="1" cm="1">
        <f t="array" ref="A132">INDEX(Weekly_Inventory_Flow!$A$2:$A$261,INT((ROW()-2)/4)+1)</f>
        <v>46069</v>
      </c>
      <c r="B132" t="str" cm="1">
        <f t="array" ref="B132">INDEX(Weekly_Inventory_Flow!$B$2:$B$261,INT((ROW()-2)/4)+1)</f>
        <v>P003</v>
      </c>
      <c r="C132" t="str" cm="1">
        <f t="array" ref="C132">INDEX(BOM!$B$2:$B$21,MATCH(B132,BOM!$A$2:$A$21,0)+MOD(ROW()-2,4))</f>
        <v>M007</v>
      </c>
      <c r="D132" cm="1">
        <f t="array" ref="D132">INDEX(Weekly_Inventory_Flow!$I$2:$I$261,INT((ROW()-2)/4)+1)</f>
        <v>10100</v>
      </c>
      <c r="E132" cm="1">
        <f t="array" ref="E132">INDEX(BOM!$C$2:$C$21,MATCH(B132,BOM!$A$2:$A$21,0)+MOD(ROW()-2,4))</f>
        <v>1</v>
      </c>
      <c r="F132">
        <f t="shared" si="2"/>
        <v>10100</v>
      </c>
    </row>
    <row r="133" spans="1:6">
      <c r="A133" s="1" cm="1">
        <f t="array" ref="A133">INDEX(Weekly_Inventory_Flow!$A$2:$A$261,INT((ROW()-2)/4)+1)</f>
        <v>46069</v>
      </c>
      <c r="B133" t="str" cm="1">
        <f t="array" ref="B133">INDEX(Weekly_Inventory_Flow!$B$2:$B$261,INT((ROW()-2)/4)+1)</f>
        <v>P003</v>
      </c>
      <c r="C133" t="str" cm="1">
        <f t="array" ref="C133">INDEX(BOM!$B$2:$B$21,MATCH(B133,BOM!$A$2:$A$21,0)+MOD(ROW()-2,4))</f>
        <v>M008</v>
      </c>
      <c r="D133" cm="1">
        <f t="array" ref="D133">INDEX(Weekly_Inventory_Flow!$I$2:$I$261,INT((ROW()-2)/4)+1)</f>
        <v>10100</v>
      </c>
      <c r="E133" cm="1">
        <f t="array" ref="E133">INDEX(BOM!$C$2:$C$21,MATCH(B133,BOM!$A$2:$A$21,0)+MOD(ROW()-2,4))</f>
        <v>1</v>
      </c>
      <c r="F133">
        <f t="shared" si="2"/>
        <v>10100</v>
      </c>
    </row>
    <row r="134" spans="1:6">
      <c r="A134" s="1" cm="1">
        <f t="array" ref="A134">INDEX(Weekly_Inventory_Flow!$A$2:$A$261,INT((ROW()-2)/4)+1)</f>
        <v>46069</v>
      </c>
      <c r="B134" t="str" cm="1">
        <f t="array" ref="B134">INDEX(Weekly_Inventory_Flow!$B$2:$B$261,INT((ROW()-2)/4)+1)</f>
        <v>P004</v>
      </c>
      <c r="C134" t="str" cm="1">
        <f t="array" ref="C134">INDEX(BOM!$B$2:$B$21,MATCH(B134,BOM!$A$2:$A$21,0)+MOD(ROW()-2,4))</f>
        <v>M004</v>
      </c>
      <c r="D134" cm="1">
        <f t="array" ref="D134">INDEX(Weekly_Inventory_Flow!$I$2:$I$261,INT((ROW()-2)/4)+1)</f>
        <v>11200</v>
      </c>
      <c r="E134" cm="1">
        <f t="array" ref="E134">INDEX(BOM!$C$2:$C$21,MATCH(B134,BOM!$A$2:$A$21,0)+MOD(ROW()-2,4))</f>
        <v>0.34</v>
      </c>
      <c r="F134">
        <f t="shared" si="2"/>
        <v>3808.0000000000005</v>
      </c>
    </row>
    <row r="135" spans="1:6">
      <c r="A135" s="1" cm="1">
        <f t="array" ref="A135">INDEX(Weekly_Inventory_Flow!$A$2:$A$261,INT((ROW()-2)/4)+1)</f>
        <v>46069</v>
      </c>
      <c r="B135" t="str" cm="1">
        <f t="array" ref="B135">INDEX(Weekly_Inventory_Flow!$B$2:$B$261,INT((ROW()-2)/4)+1)</f>
        <v>P004</v>
      </c>
      <c r="C135" t="str" cm="1">
        <f t="array" ref="C135">INDEX(BOM!$B$2:$B$21,MATCH(B135,BOM!$A$2:$A$21,0)+MOD(ROW()-2,4))</f>
        <v>M006</v>
      </c>
      <c r="D135" cm="1">
        <f t="array" ref="D135">INDEX(Weekly_Inventory_Flow!$I$2:$I$261,INT((ROW()-2)/4)+1)</f>
        <v>11200</v>
      </c>
      <c r="E135" cm="1">
        <f t="array" ref="E135">INDEX(BOM!$C$2:$C$21,MATCH(B135,BOM!$A$2:$A$21,0)+MOD(ROW()-2,4))</f>
        <v>8.9999999999999993E-3</v>
      </c>
      <c r="F135">
        <f t="shared" si="2"/>
        <v>100.8</v>
      </c>
    </row>
    <row r="136" spans="1:6">
      <c r="A136" s="1" cm="1">
        <f t="array" ref="A136">INDEX(Weekly_Inventory_Flow!$A$2:$A$261,INT((ROW()-2)/4)+1)</f>
        <v>46069</v>
      </c>
      <c r="B136" t="str" cm="1">
        <f t="array" ref="B136">INDEX(Weekly_Inventory_Flow!$B$2:$B$261,INT((ROW()-2)/4)+1)</f>
        <v>P004</v>
      </c>
      <c r="C136" t="str" cm="1">
        <f t="array" ref="C136">INDEX(BOM!$B$2:$B$21,MATCH(B136,BOM!$A$2:$A$21,0)+MOD(ROW()-2,4))</f>
        <v>M007</v>
      </c>
      <c r="D136" cm="1">
        <f t="array" ref="D136">INDEX(Weekly_Inventory_Flow!$I$2:$I$261,INT((ROW()-2)/4)+1)</f>
        <v>11200</v>
      </c>
      <c r="E136" cm="1">
        <f t="array" ref="E136">INDEX(BOM!$C$2:$C$21,MATCH(B136,BOM!$A$2:$A$21,0)+MOD(ROW()-2,4))</f>
        <v>1</v>
      </c>
      <c r="F136">
        <f t="shared" si="2"/>
        <v>11200</v>
      </c>
    </row>
    <row r="137" spans="1:6">
      <c r="A137" s="1" cm="1">
        <f t="array" ref="A137">INDEX(Weekly_Inventory_Flow!$A$2:$A$261,INT((ROW()-2)/4)+1)</f>
        <v>46069</v>
      </c>
      <c r="B137" t="str" cm="1">
        <f t="array" ref="B137">INDEX(Weekly_Inventory_Flow!$B$2:$B$261,INT((ROW()-2)/4)+1)</f>
        <v>P004</v>
      </c>
      <c r="C137" t="str" cm="1">
        <f t="array" ref="C137">INDEX(BOM!$B$2:$B$21,MATCH(B137,BOM!$A$2:$A$21,0)+MOD(ROW()-2,4))</f>
        <v>M008</v>
      </c>
      <c r="D137" cm="1">
        <f t="array" ref="D137">INDEX(Weekly_Inventory_Flow!$I$2:$I$261,INT((ROW()-2)/4)+1)</f>
        <v>11200</v>
      </c>
      <c r="E137" cm="1">
        <f t="array" ref="E137">INDEX(BOM!$C$2:$C$21,MATCH(B137,BOM!$A$2:$A$21,0)+MOD(ROW()-2,4))</f>
        <v>1</v>
      </c>
      <c r="F137">
        <f t="shared" si="2"/>
        <v>11200</v>
      </c>
    </row>
    <row r="138" spans="1:6">
      <c r="A138" s="1" cm="1">
        <f t="array" ref="A138">INDEX(Weekly_Inventory_Flow!$A$2:$A$261,INT((ROW()-2)/4)+1)</f>
        <v>46069</v>
      </c>
      <c r="B138" t="str" cm="1">
        <f t="array" ref="B138">INDEX(Weekly_Inventory_Flow!$B$2:$B$261,INT((ROW()-2)/4)+1)</f>
        <v>P005</v>
      </c>
      <c r="C138" t="str" cm="1">
        <f t="array" ref="C138">INDEX(BOM!$B$2:$B$21,MATCH(B138,BOM!$A$2:$A$21,0)+MOD(ROW()-2,4))</f>
        <v>M005</v>
      </c>
      <c r="D138" cm="1">
        <f t="array" ref="D138">INDEX(Weekly_Inventory_Flow!$I$2:$I$261,INT((ROW()-2)/4)+1)</f>
        <v>8300</v>
      </c>
      <c r="E138" cm="1">
        <f t="array" ref="E138">INDEX(BOM!$C$2:$C$21,MATCH(B138,BOM!$A$2:$A$21,0)+MOD(ROW()-2,4))</f>
        <v>0.52</v>
      </c>
      <c r="F138">
        <f t="shared" si="2"/>
        <v>4316</v>
      </c>
    </row>
    <row r="139" spans="1:6">
      <c r="A139" s="1" cm="1">
        <f t="array" ref="A139">INDEX(Weekly_Inventory_Flow!$A$2:$A$261,INT((ROW()-2)/4)+1)</f>
        <v>46069</v>
      </c>
      <c r="B139" t="str" cm="1">
        <f t="array" ref="B139">INDEX(Weekly_Inventory_Flow!$B$2:$B$261,INT((ROW()-2)/4)+1)</f>
        <v>P005</v>
      </c>
      <c r="C139" t="str" cm="1">
        <f t="array" ref="C139">INDEX(BOM!$B$2:$B$21,MATCH(B139,BOM!$A$2:$A$21,0)+MOD(ROW()-2,4))</f>
        <v>M006</v>
      </c>
      <c r="D139" cm="1">
        <f t="array" ref="D139">INDEX(Weekly_Inventory_Flow!$I$2:$I$261,INT((ROW()-2)/4)+1)</f>
        <v>8300</v>
      </c>
      <c r="E139" cm="1">
        <f t="array" ref="E139">INDEX(BOM!$C$2:$C$21,MATCH(B139,BOM!$A$2:$A$21,0)+MOD(ROW()-2,4))</f>
        <v>1.2E-2</v>
      </c>
      <c r="F139">
        <f t="shared" si="2"/>
        <v>99.600000000000009</v>
      </c>
    </row>
    <row r="140" spans="1:6">
      <c r="A140" s="1" cm="1">
        <f t="array" ref="A140">INDEX(Weekly_Inventory_Flow!$A$2:$A$261,INT((ROW()-2)/4)+1)</f>
        <v>46069</v>
      </c>
      <c r="B140" t="str" cm="1">
        <f t="array" ref="B140">INDEX(Weekly_Inventory_Flow!$B$2:$B$261,INT((ROW()-2)/4)+1)</f>
        <v>P005</v>
      </c>
      <c r="C140" t="str" cm="1">
        <f t="array" ref="C140">INDEX(BOM!$B$2:$B$21,MATCH(B140,BOM!$A$2:$A$21,0)+MOD(ROW()-2,4))</f>
        <v>M007</v>
      </c>
      <c r="D140" cm="1">
        <f t="array" ref="D140">INDEX(Weekly_Inventory_Flow!$I$2:$I$261,INT((ROW()-2)/4)+1)</f>
        <v>8300</v>
      </c>
      <c r="E140" cm="1">
        <f t="array" ref="E140">INDEX(BOM!$C$2:$C$21,MATCH(B140,BOM!$A$2:$A$21,0)+MOD(ROW()-2,4))</f>
        <v>1</v>
      </c>
      <c r="F140">
        <f t="shared" si="2"/>
        <v>8300</v>
      </c>
    </row>
    <row r="141" spans="1:6">
      <c r="A141" s="1" cm="1">
        <f t="array" ref="A141">INDEX(Weekly_Inventory_Flow!$A$2:$A$261,INT((ROW()-2)/4)+1)</f>
        <v>46069</v>
      </c>
      <c r="B141" t="str" cm="1">
        <f t="array" ref="B141">INDEX(Weekly_Inventory_Flow!$B$2:$B$261,INT((ROW()-2)/4)+1)</f>
        <v>P005</v>
      </c>
      <c r="C141" t="str" cm="1">
        <f t="array" ref="C141">INDEX(BOM!$B$2:$B$21,MATCH(B141,BOM!$A$2:$A$21,0)+MOD(ROW()-2,4))</f>
        <v>M008</v>
      </c>
      <c r="D141" cm="1">
        <f t="array" ref="D141">INDEX(Weekly_Inventory_Flow!$I$2:$I$261,INT((ROW()-2)/4)+1)</f>
        <v>8300</v>
      </c>
      <c r="E141" cm="1">
        <f t="array" ref="E141">INDEX(BOM!$C$2:$C$21,MATCH(B141,BOM!$A$2:$A$21,0)+MOD(ROW()-2,4))</f>
        <v>1</v>
      </c>
      <c r="F141">
        <f t="shared" si="2"/>
        <v>8300</v>
      </c>
    </row>
    <row r="142" spans="1:6">
      <c r="A142" s="1" cm="1">
        <f t="array" ref="A142">INDEX(Weekly_Inventory_Flow!$A$2:$A$261,INT((ROW()-2)/4)+1)</f>
        <v>46076</v>
      </c>
      <c r="B142" t="str" cm="1">
        <f t="array" ref="B142">INDEX(Weekly_Inventory_Flow!$B$2:$B$261,INT((ROW()-2)/4)+1)</f>
        <v>P001</v>
      </c>
      <c r="C142" t="str" cm="1">
        <f t="array" ref="C142">INDEX(BOM!$B$2:$B$21,MATCH(B142,BOM!$A$2:$A$21,0)+MOD(ROW()-2,4))</f>
        <v>M001</v>
      </c>
      <c r="D142" cm="1">
        <f t="array" ref="D142">INDEX(Weekly_Inventory_Flow!$I$2:$I$261,INT((ROW()-2)/4)+1)</f>
        <v>13500</v>
      </c>
      <c r="E142" cm="1">
        <f t="array" ref="E142">INDEX(BOM!$C$2:$C$21,MATCH(B142,BOM!$A$2:$A$21,0)+MOD(ROW()-2,4))</f>
        <v>0.35</v>
      </c>
      <c r="F142">
        <f t="shared" si="2"/>
        <v>4725</v>
      </c>
    </row>
    <row r="143" spans="1:6">
      <c r="A143" s="1" cm="1">
        <f t="array" ref="A143">INDEX(Weekly_Inventory_Flow!$A$2:$A$261,INT((ROW()-2)/4)+1)</f>
        <v>46076</v>
      </c>
      <c r="B143" t="str" cm="1">
        <f t="array" ref="B143">INDEX(Weekly_Inventory_Flow!$B$2:$B$261,INT((ROW()-2)/4)+1)</f>
        <v>P001</v>
      </c>
      <c r="C143" t="str" cm="1">
        <f t="array" ref="C143">INDEX(BOM!$B$2:$B$21,MATCH(B143,BOM!$A$2:$A$21,0)+MOD(ROW()-2,4))</f>
        <v>M006</v>
      </c>
      <c r="D143" cm="1">
        <f t="array" ref="D143">INDEX(Weekly_Inventory_Flow!$I$2:$I$261,INT((ROW()-2)/4)+1)</f>
        <v>13500</v>
      </c>
      <c r="E143" cm="1">
        <f t="array" ref="E143">INDEX(BOM!$C$2:$C$21,MATCH(B143,BOM!$A$2:$A$21,0)+MOD(ROW()-2,4))</f>
        <v>0.01</v>
      </c>
      <c r="F143">
        <f t="shared" si="2"/>
        <v>135</v>
      </c>
    </row>
    <row r="144" spans="1:6">
      <c r="A144" s="1" cm="1">
        <f t="array" ref="A144">INDEX(Weekly_Inventory_Flow!$A$2:$A$261,INT((ROW()-2)/4)+1)</f>
        <v>46076</v>
      </c>
      <c r="B144" t="str" cm="1">
        <f t="array" ref="B144">INDEX(Weekly_Inventory_Flow!$B$2:$B$261,INT((ROW()-2)/4)+1)</f>
        <v>P001</v>
      </c>
      <c r="C144" t="str" cm="1">
        <f t="array" ref="C144">INDEX(BOM!$B$2:$B$21,MATCH(B144,BOM!$A$2:$A$21,0)+MOD(ROW()-2,4))</f>
        <v>M007</v>
      </c>
      <c r="D144" cm="1">
        <f t="array" ref="D144">INDEX(Weekly_Inventory_Flow!$I$2:$I$261,INT((ROW()-2)/4)+1)</f>
        <v>13500</v>
      </c>
      <c r="E144" cm="1">
        <f t="array" ref="E144">INDEX(BOM!$C$2:$C$21,MATCH(B144,BOM!$A$2:$A$21,0)+MOD(ROW()-2,4))</f>
        <v>1</v>
      </c>
      <c r="F144">
        <f t="shared" si="2"/>
        <v>13500</v>
      </c>
    </row>
    <row r="145" spans="1:6">
      <c r="A145" s="1" cm="1">
        <f t="array" ref="A145">INDEX(Weekly_Inventory_Flow!$A$2:$A$261,INT((ROW()-2)/4)+1)</f>
        <v>46076</v>
      </c>
      <c r="B145" t="str" cm="1">
        <f t="array" ref="B145">INDEX(Weekly_Inventory_Flow!$B$2:$B$261,INT((ROW()-2)/4)+1)</f>
        <v>P001</v>
      </c>
      <c r="C145" t="str" cm="1">
        <f t="array" ref="C145">INDEX(BOM!$B$2:$B$21,MATCH(B145,BOM!$A$2:$A$21,0)+MOD(ROW()-2,4))</f>
        <v>M008</v>
      </c>
      <c r="D145" cm="1">
        <f t="array" ref="D145">INDEX(Weekly_Inventory_Flow!$I$2:$I$261,INT((ROW()-2)/4)+1)</f>
        <v>13500</v>
      </c>
      <c r="E145" cm="1">
        <f t="array" ref="E145">INDEX(BOM!$C$2:$C$21,MATCH(B145,BOM!$A$2:$A$21,0)+MOD(ROW()-2,4))</f>
        <v>1</v>
      </c>
      <c r="F145">
        <f t="shared" si="2"/>
        <v>13500</v>
      </c>
    </row>
    <row r="146" spans="1:6">
      <c r="A146" s="1" cm="1">
        <f t="array" ref="A146">INDEX(Weekly_Inventory_Flow!$A$2:$A$261,INT((ROW()-2)/4)+1)</f>
        <v>46076</v>
      </c>
      <c r="B146" t="str" cm="1">
        <f t="array" ref="B146">INDEX(Weekly_Inventory_Flow!$B$2:$B$261,INT((ROW()-2)/4)+1)</f>
        <v>P002</v>
      </c>
      <c r="C146" t="str" cm="1">
        <f t="array" ref="C146">INDEX(BOM!$B$2:$B$21,MATCH(B146,BOM!$A$2:$A$21,0)+MOD(ROW()-2,4))</f>
        <v>M002</v>
      </c>
      <c r="D146" cm="1">
        <f t="array" ref="D146">INDEX(Weekly_Inventory_Flow!$I$2:$I$261,INT((ROW()-2)/4)+1)</f>
        <v>12200</v>
      </c>
      <c r="E146" cm="1">
        <f t="array" ref="E146">INDEX(BOM!$C$2:$C$21,MATCH(B146,BOM!$A$2:$A$21,0)+MOD(ROW()-2,4))</f>
        <v>0.3</v>
      </c>
      <c r="F146">
        <f t="shared" si="2"/>
        <v>3660</v>
      </c>
    </row>
    <row r="147" spans="1:6">
      <c r="A147" s="1" cm="1">
        <f t="array" ref="A147">INDEX(Weekly_Inventory_Flow!$A$2:$A$261,INT((ROW()-2)/4)+1)</f>
        <v>46076</v>
      </c>
      <c r="B147" t="str" cm="1">
        <f t="array" ref="B147">INDEX(Weekly_Inventory_Flow!$B$2:$B$261,INT((ROW()-2)/4)+1)</f>
        <v>P002</v>
      </c>
      <c r="C147" t="str" cm="1">
        <f t="array" ref="C147">INDEX(BOM!$B$2:$B$21,MATCH(B147,BOM!$A$2:$A$21,0)+MOD(ROW()-2,4))</f>
        <v>M006</v>
      </c>
      <c r="D147" cm="1">
        <f t="array" ref="D147">INDEX(Weekly_Inventory_Flow!$I$2:$I$261,INT((ROW()-2)/4)+1)</f>
        <v>12200</v>
      </c>
      <c r="E147" cm="1">
        <f t="array" ref="E147">INDEX(BOM!$C$2:$C$21,MATCH(B147,BOM!$A$2:$A$21,0)+MOD(ROW()-2,4))</f>
        <v>8.0000000000000002E-3</v>
      </c>
      <c r="F147">
        <f t="shared" si="2"/>
        <v>97.600000000000009</v>
      </c>
    </row>
    <row r="148" spans="1:6">
      <c r="A148" s="1" cm="1">
        <f t="array" ref="A148">INDEX(Weekly_Inventory_Flow!$A$2:$A$261,INT((ROW()-2)/4)+1)</f>
        <v>46076</v>
      </c>
      <c r="B148" t="str" cm="1">
        <f t="array" ref="B148">INDEX(Weekly_Inventory_Flow!$B$2:$B$261,INT((ROW()-2)/4)+1)</f>
        <v>P002</v>
      </c>
      <c r="C148" t="str" cm="1">
        <f t="array" ref="C148">INDEX(BOM!$B$2:$B$21,MATCH(B148,BOM!$A$2:$A$21,0)+MOD(ROW()-2,4))</f>
        <v>M007</v>
      </c>
      <c r="D148" cm="1">
        <f t="array" ref="D148">INDEX(Weekly_Inventory_Flow!$I$2:$I$261,INT((ROW()-2)/4)+1)</f>
        <v>12200</v>
      </c>
      <c r="E148" cm="1">
        <f t="array" ref="E148">INDEX(BOM!$C$2:$C$21,MATCH(B148,BOM!$A$2:$A$21,0)+MOD(ROW()-2,4))</f>
        <v>1</v>
      </c>
      <c r="F148">
        <f t="shared" si="2"/>
        <v>12200</v>
      </c>
    </row>
    <row r="149" spans="1:6">
      <c r="A149" s="1" cm="1">
        <f t="array" ref="A149">INDEX(Weekly_Inventory_Flow!$A$2:$A$261,INT((ROW()-2)/4)+1)</f>
        <v>46076</v>
      </c>
      <c r="B149" t="str" cm="1">
        <f t="array" ref="B149">INDEX(Weekly_Inventory_Flow!$B$2:$B$261,INT((ROW()-2)/4)+1)</f>
        <v>P002</v>
      </c>
      <c r="C149" t="str" cm="1">
        <f t="array" ref="C149">INDEX(BOM!$B$2:$B$21,MATCH(B149,BOM!$A$2:$A$21,0)+MOD(ROW()-2,4))</f>
        <v>M008</v>
      </c>
      <c r="D149" cm="1">
        <f t="array" ref="D149">INDEX(Weekly_Inventory_Flow!$I$2:$I$261,INT((ROW()-2)/4)+1)</f>
        <v>12200</v>
      </c>
      <c r="E149" cm="1">
        <f t="array" ref="E149">INDEX(BOM!$C$2:$C$21,MATCH(B149,BOM!$A$2:$A$21,0)+MOD(ROW()-2,4))</f>
        <v>1</v>
      </c>
      <c r="F149">
        <f t="shared" si="2"/>
        <v>12200</v>
      </c>
    </row>
    <row r="150" spans="1:6">
      <c r="A150" s="1" cm="1">
        <f t="array" ref="A150">INDEX(Weekly_Inventory_Flow!$A$2:$A$261,INT((ROW()-2)/4)+1)</f>
        <v>46076</v>
      </c>
      <c r="B150" t="str" cm="1">
        <f t="array" ref="B150">INDEX(Weekly_Inventory_Flow!$B$2:$B$261,INT((ROW()-2)/4)+1)</f>
        <v>P003</v>
      </c>
      <c r="C150" t="str" cm="1">
        <f t="array" ref="C150">INDEX(BOM!$B$2:$B$21,MATCH(B150,BOM!$A$2:$A$21,0)+MOD(ROW()-2,4))</f>
        <v>M003</v>
      </c>
      <c r="D150" cm="1">
        <f t="array" ref="D150">INDEX(Weekly_Inventory_Flow!$I$2:$I$261,INT((ROW()-2)/4)+1)</f>
        <v>10100</v>
      </c>
      <c r="E150" cm="1">
        <f t="array" ref="E150">INDEX(BOM!$C$2:$C$21,MATCH(B150,BOM!$A$2:$A$21,0)+MOD(ROW()-2,4))</f>
        <v>0.25</v>
      </c>
      <c r="F150">
        <f t="shared" si="2"/>
        <v>2525</v>
      </c>
    </row>
    <row r="151" spans="1:6">
      <c r="A151" s="1" cm="1">
        <f t="array" ref="A151">INDEX(Weekly_Inventory_Flow!$A$2:$A$261,INT((ROW()-2)/4)+1)</f>
        <v>46076</v>
      </c>
      <c r="B151" t="str" cm="1">
        <f t="array" ref="B151">INDEX(Weekly_Inventory_Flow!$B$2:$B$261,INT((ROW()-2)/4)+1)</f>
        <v>P003</v>
      </c>
      <c r="C151" t="str" cm="1">
        <f t="array" ref="C151">INDEX(BOM!$B$2:$B$21,MATCH(B151,BOM!$A$2:$A$21,0)+MOD(ROW()-2,4))</f>
        <v>M006</v>
      </c>
      <c r="D151" cm="1">
        <f t="array" ref="D151">INDEX(Weekly_Inventory_Flow!$I$2:$I$261,INT((ROW()-2)/4)+1)</f>
        <v>10100</v>
      </c>
      <c r="E151" cm="1">
        <f t="array" ref="E151">INDEX(BOM!$C$2:$C$21,MATCH(B151,BOM!$A$2:$A$21,0)+MOD(ROW()-2,4))</f>
        <v>6.0000000000000001E-3</v>
      </c>
      <c r="F151">
        <f t="shared" si="2"/>
        <v>60.6</v>
      </c>
    </row>
    <row r="152" spans="1:6">
      <c r="A152" s="1" cm="1">
        <f t="array" ref="A152">INDEX(Weekly_Inventory_Flow!$A$2:$A$261,INT((ROW()-2)/4)+1)</f>
        <v>46076</v>
      </c>
      <c r="B152" t="str" cm="1">
        <f t="array" ref="B152">INDEX(Weekly_Inventory_Flow!$B$2:$B$261,INT((ROW()-2)/4)+1)</f>
        <v>P003</v>
      </c>
      <c r="C152" t="str" cm="1">
        <f t="array" ref="C152">INDEX(BOM!$B$2:$B$21,MATCH(B152,BOM!$A$2:$A$21,0)+MOD(ROW()-2,4))</f>
        <v>M007</v>
      </c>
      <c r="D152" cm="1">
        <f t="array" ref="D152">INDEX(Weekly_Inventory_Flow!$I$2:$I$261,INT((ROW()-2)/4)+1)</f>
        <v>10100</v>
      </c>
      <c r="E152" cm="1">
        <f t="array" ref="E152">INDEX(BOM!$C$2:$C$21,MATCH(B152,BOM!$A$2:$A$21,0)+MOD(ROW()-2,4))</f>
        <v>1</v>
      </c>
      <c r="F152">
        <f t="shared" si="2"/>
        <v>10100</v>
      </c>
    </row>
    <row r="153" spans="1:6">
      <c r="A153" s="1" cm="1">
        <f t="array" ref="A153">INDEX(Weekly_Inventory_Flow!$A$2:$A$261,INT((ROW()-2)/4)+1)</f>
        <v>46076</v>
      </c>
      <c r="B153" t="str" cm="1">
        <f t="array" ref="B153">INDEX(Weekly_Inventory_Flow!$B$2:$B$261,INT((ROW()-2)/4)+1)</f>
        <v>P003</v>
      </c>
      <c r="C153" t="str" cm="1">
        <f t="array" ref="C153">INDEX(BOM!$B$2:$B$21,MATCH(B153,BOM!$A$2:$A$21,0)+MOD(ROW()-2,4))</f>
        <v>M008</v>
      </c>
      <c r="D153" cm="1">
        <f t="array" ref="D153">INDEX(Weekly_Inventory_Flow!$I$2:$I$261,INT((ROW()-2)/4)+1)</f>
        <v>10100</v>
      </c>
      <c r="E153" cm="1">
        <f t="array" ref="E153">INDEX(BOM!$C$2:$C$21,MATCH(B153,BOM!$A$2:$A$21,0)+MOD(ROW()-2,4))</f>
        <v>1</v>
      </c>
      <c r="F153">
        <f t="shared" si="2"/>
        <v>10100</v>
      </c>
    </row>
    <row r="154" spans="1:6">
      <c r="A154" s="1" cm="1">
        <f t="array" ref="A154">INDEX(Weekly_Inventory_Flow!$A$2:$A$261,INT((ROW()-2)/4)+1)</f>
        <v>46076</v>
      </c>
      <c r="B154" t="str" cm="1">
        <f t="array" ref="B154">INDEX(Weekly_Inventory_Flow!$B$2:$B$261,INT((ROW()-2)/4)+1)</f>
        <v>P004</v>
      </c>
      <c r="C154" t="str" cm="1">
        <f t="array" ref="C154">INDEX(BOM!$B$2:$B$21,MATCH(B154,BOM!$A$2:$A$21,0)+MOD(ROW()-2,4))</f>
        <v>M004</v>
      </c>
      <c r="D154" cm="1">
        <f t="array" ref="D154">INDEX(Weekly_Inventory_Flow!$I$2:$I$261,INT((ROW()-2)/4)+1)</f>
        <v>10300</v>
      </c>
      <c r="E154" cm="1">
        <f t="array" ref="E154">INDEX(BOM!$C$2:$C$21,MATCH(B154,BOM!$A$2:$A$21,0)+MOD(ROW()-2,4))</f>
        <v>0.34</v>
      </c>
      <c r="F154">
        <f t="shared" si="2"/>
        <v>3502.0000000000005</v>
      </c>
    </row>
    <row r="155" spans="1:6">
      <c r="A155" s="1" cm="1">
        <f t="array" ref="A155">INDEX(Weekly_Inventory_Flow!$A$2:$A$261,INT((ROW()-2)/4)+1)</f>
        <v>46076</v>
      </c>
      <c r="B155" t="str" cm="1">
        <f t="array" ref="B155">INDEX(Weekly_Inventory_Flow!$B$2:$B$261,INT((ROW()-2)/4)+1)</f>
        <v>P004</v>
      </c>
      <c r="C155" t="str" cm="1">
        <f t="array" ref="C155">INDEX(BOM!$B$2:$B$21,MATCH(B155,BOM!$A$2:$A$21,0)+MOD(ROW()-2,4))</f>
        <v>M006</v>
      </c>
      <c r="D155" cm="1">
        <f t="array" ref="D155">INDEX(Weekly_Inventory_Flow!$I$2:$I$261,INT((ROW()-2)/4)+1)</f>
        <v>10300</v>
      </c>
      <c r="E155" cm="1">
        <f t="array" ref="E155">INDEX(BOM!$C$2:$C$21,MATCH(B155,BOM!$A$2:$A$21,0)+MOD(ROW()-2,4))</f>
        <v>8.9999999999999993E-3</v>
      </c>
      <c r="F155">
        <f t="shared" si="2"/>
        <v>92.699999999999989</v>
      </c>
    </row>
    <row r="156" spans="1:6">
      <c r="A156" s="1" cm="1">
        <f t="array" ref="A156">INDEX(Weekly_Inventory_Flow!$A$2:$A$261,INT((ROW()-2)/4)+1)</f>
        <v>46076</v>
      </c>
      <c r="B156" t="str" cm="1">
        <f t="array" ref="B156">INDEX(Weekly_Inventory_Flow!$B$2:$B$261,INT((ROW()-2)/4)+1)</f>
        <v>P004</v>
      </c>
      <c r="C156" t="str" cm="1">
        <f t="array" ref="C156">INDEX(BOM!$B$2:$B$21,MATCH(B156,BOM!$A$2:$A$21,0)+MOD(ROW()-2,4))</f>
        <v>M007</v>
      </c>
      <c r="D156" cm="1">
        <f t="array" ref="D156">INDEX(Weekly_Inventory_Flow!$I$2:$I$261,INT((ROW()-2)/4)+1)</f>
        <v>10300</v>
      </c>
      <c r="E156" cm="1">
        <f t="array" ref="E156">INDEX(BOM!$C$2:$C$21,MATCH(B156,BOM!$A$2:$A$21,0)+MOD(ROW()-2,4))</f>
        <v>1</v>
      </c>
      <c r="F156">
        <f t="shared" si="2"/>
        <v>10300</v>
      </c>
    </row>
    <row r="157" spans="1:6">
      <c r="A157" s="1" cm="1">
        <f t="array" ref="A157">INDEX(Weekly_Inventory_Flow!$A$2:$A$261,INT((ROW()-2)/4)+1)</f>
        <v>46076</v>
      </c>
      <c r="B157" t="str" cm="1">
        <f t="array" ref="B157">INDEX(Weekly_Inventory_Flow!$B$2:$B$261,INT((ROW()-2)/4)+1)</f>
        <v>P004</v>
      </c>
      <c r="C157" t="str" cm="1">
        <f t="array" ref="C157">INDEX(BOM!$B$2:$B$21,MATCH(B157,BOM!$A$2:$A$21,0)+MOD(ROW()-2,4))</f>
        <v>M008</v>
      </c>
      <c r="D157" cm="1">
        <f t="array" ref="D157">INDEX(Weekly_Inventory_Flow!$I$2:$I$261,INT((ROW()-2)/4)+1)</f>
        <v>10300</v>
      </c>
      <c r="E157" cm="1">
        <f t="array" ref="E157">INDEX(BOM!$C$2:$C$21,MATCH(B157,BOM!$A$2:$A$21,0)+MOD(ROW()-2,4))</f>
        <v>1</v>
      </c>
      <c r="F157">
        <f t="shared" si="2"/>
        <v>10300</v>
      </c>
    </row>
    <row r="158" spans="1:6">
      <c r="A158" s="1" cm="1">
        <f t="array" ref="A158">INDEX(Weekly_Inventory_Flow!$A$2:$A$261,INT((ROW()-2)/4)+1)</f>
        <v>46076</v>
      </c>
      <c r="B158" t="str" cm="1">
        <f t="array" ref="B158">INDEX(Weekly_Inventory_Flow!$B$2:$B$261,INT((ROW()-2)/4)+1)</f>
        <v>P005</v>
      </c>
      <c r="C158" t="str" cm="1">
        <f t="array" ref="C158">INDEX(BOM!$B$2:$B$21,MATCH(B158,BOM!$A$2:$A$21,0)+MOD(ROW()-2,4))</f>
        <v>M005</v>
      </c>
      <c r="D158" cm="1">
        <f t="array" ref="D158">INDEX(Weekly_Inventory_Flow!$I$2:$I$261,INT((ROW()-2)/4)+1)</f>
        <v>8500</v>
      </c>
      <c r="E158" cm="1">
        <f t="array" ref="E158">INDEX(BOM!$C$2:$C$21,MATCH(B158,BOM!$A$2:$A$21,0)+MOD(ROW()-2,4))</f>
        <v>0.52</v>
      </c>
      <c r="F158">
        <f t="shared" si="2"/>
        <v>4420</v>
      </c>
    </row>
    <row r="159" spans="1:6">
      <c r="A159" s="1" cm="1">
        <f t="array" ref="A159">INDEX(Weekly_Inventory_Flow!$A$2:$A$261,INT((ROW()-2)/4)+1)</f>
        <v>46076</v>
      </c>
      <c r="B159" t="str" cm="1">
        <f t="array" ref="B159">INDEX(Weekly_Inventory_Flow!$B$2:$B$261,INT((ROW()-2)/4)+1)</f>
        <v>P005</v>
      </c>
      <c r="C159" t="str" cm="1">
        <f t="array" ref="C159">INDEX(BOM!$B$2:$B$21,MATCH(B159,BOM!$A$2:$A$21,0)+MOD(ROW()-2,4))</f>
        <v>M006</v>
      </c>
      <c r="D159" cm="1">
        <f t="array" ref="D159">INDEX(Weekly_Inventory_Flow!$I$2:$I$261,INT((ROW()-2)/4)+1)</f>
        <v>8500</v>
      </c>
      <c r="E159" cm="1">
        <f t="array" ref="E159">INDEX(BOM!$C$2:$C$21,MATCH(B159,BOM!$A$2:$A$21,0)+MOD(ROW()-2,4))</f>
        <v>1.2E-2</v>
      </c>
      <c r="F159">
        <f t="shared" si="2"/>
        <v>102</v>
      </c>
    </row>
    <row r="160" spans="1:6">
      <c r="A160" s="1" cm="1">
        <f t="array" ref="A160">INDEX(Weekly_Inventory_Flow!$A$2:$A$261,INT((ROW()-2)/4)+1)</f>
        <v>46076</v>
      </c>
      <c r="B160" t="str" cm="1">
        <f t="array" ref="B160">INDEX(Weekly_Inventory_Flow!$B$2:$B$261,INT((ROW()-2)/4)+1)</f>
        <v>P005</v>
      </c>
      <c r="C160" t="str" cm="1">
        <f t="array" ref="C160">INDEX(BOM!$B$2:$B$21,MATCH(B160,BOM!$A$2:$A$21,0)+MOD(ROW()-2,4))</f>
        <v>M007</v>
      </c>
      <c r="D160" cm="1">
        <f t="array" ref="D160">INDEX(Weekly_Inventory_Flow!$I$2:$I$261,INT((ROW()-2)/4)+1)</f>
        <v>8500</v>
      </c>
      <c r="E160" cm="1">
        <f t="array" ref="E160">INDEX(BOM!$C$2:$C$21,MATCH(B160,BOM!$A$2:$A$21,0)+MOD(ROW()-2,4))</f>
        <v>1</v>
      </c>
      <c r="F160">
        <f t="shared" si="2"/>
        <v>8500</v>
      </c>
    </row>
    <row r="161" spans="1:6">
      <c r="A161" s="1" cm="1">
        <f t="array" ref="A161">INDEX(Weekly_Inventory_Flow!$A$2:$A$261,INT((ROW()-2)/4)+1)</f>
        <v>46076</v>
      </c>
      <c r="B161" t="str" cm="1">
        <f t="array" ref="B161">INDEX(Weekly_Inventory_Flow!$B$2:$B$261,INT((ROW()-2)/4)+1)</f>
        <v>P005</v>
      </c>
      <c r="C161" t="str" cm="1">
        <f t="array" ref="C161">INDEX(BOM!$B$2:$B$21,MATCH(B161,BOM!$A$2:$A$21,0)+MOD(ROW()-2,4))</f>
        <v>M008</v>
      </c>
      <c r="D161" cm="1">
        <f t="array" ref="D161">INDEX(Weekly_Inventory_Flow!$I$2:$I$261,INT((ROW()-2)/4)+1)</f>
        <v>8500</v>
      </c>
      <c r="E161" cm="1">
        <f t="array" ref="E161">INDEX(BOM!$C$2:$C$21,MATCH(B161,BOM!$A$2:$A$21,0)+MOD(ROW()-2,4))</f>
        <v>1</v>
      </c>
      <c r="F161">
        <f t="shared" si="2"/>
        <v>8500</v>
      </c>
    </row>
    <row r="162" spans="1:6">
      <c r="A162" s="1" cm="1">
        <f t="array" ref="A162">INDEX(Weekly_Inventory_Flow!$A$2:$A$261,INT((ROW()-2)/4)+1)</f>
        <v>46083</v>
      </c>
      <c r="B162" t="str" cm="1">
        <f t="array" ref="B162">INDEX(Weekly_Inventory_Flow!$B$2:$B$261,INT((ROW()-2)/4)+1)</f>
        <v>P001</v>
      </c>
      <c r="C162" t="str" cm="1">
        <f t="array" ref="C162">INDEX(BOM!$B$2:$B$21,MATCH(B162,BOM!$A$2:$A$21,0)+MOD(ROW()-2,4))</f>
        <v>M001</v>
      </c>
      <c r="D162" cm="1">
        <f t="array" ref="D162">INDEX(Weekly_Inventory_Flow!$I$2:$I$261,INT((ROW()-2)/4)+1)</f>
        <v>14700</v>
      </c>
      <c r="E162" cm="1">
        <f t="array" ref="E162">INDEX(BOM!$C$2:$C$21,MATCH(B162,BOM!$A$2:$A$21,0)+MOD(ROW()-2,4))</f>
        <v>0.35</v>
      </c>
      <c r="F162">
        <f t="shared" si="2"/>
        <v>5145</v>
      </c>
    </row>
    <row r="163" spans="1:6">
      <c r="A163" s="1" cm="1">
        <f t="array" ref="A163">INDEX(Weekly_Inventory_Flow!$A$2:$A$261,INT((ROW()-2)/4)+1)</f>
        <v>46083</v>
      </c>
      <c r="B163" t="str" cm="1">
        <f t="array" ref="B163">INDEX(Weekly_Inventory_Flow!$B$2:$B$261,INT((ROW()-2)/4)+1)</f>
        <v>P001</v>
      </c>
      <c r="C163" t="str" cm="1">
        <f t="array" ref="C163">INDEX(BOM!$B$2:$B$21,MATCH(B163,BOM!$A$2:$A$21,0)+MOD(ROW()-2,4))</f>
        <v>M006</v>
      </c>
      <c r="D163" cm="1">
        <f t="array" ref="D163">INDEX(Weekly_Inventory_Flow!$I$2:$I$261,INT((ROW()-2)/4)+1)</f>
        <v>14700</v>
      </c>
      <c r="E163" cm="1">
        <f t="array" ref="E163">INDEX(BOM!$C$2:$C$21,MATCH(B163,BOM!$A$2:$A$21,0)+MOD(ROW()-2,4))</f>
        <v>0.01</v>
      </c>
      <c r="F163">
        <f t="shared" si="2"/>
        <v>147</v>
      </c>
    </row>
    <row r="164" spans="1:6">
      <c r="A164" s="1" cm="1">
        <f t="array" ref="A164">INDEX(Weekly_Inventory_Flow!$A$2:$A$261,INT((ROW()-2)/4)+1)</f>
        <v>46083</v>
      </c>
      <c r="B164" t="str" cm="1">
        <f t="array" ref="B164">INDEX(Weekly_Inventory_Flow!$B$2:$B$261,INT((ROW()-2)/4)+1)</f>
        <v>P001</v>
      </c>
      <c r="C164" t="str" cm="1">
        <f t="array" ref="C164">INDEX(BOM!$B$2:$B$21,MATCH(B164,BOM!$A$2:$A$21,0)+MOD(ROW()-2,4))</f>
        <v>M007</v>
      </c>
      <c r="D164" cm="1">
        <f t="array" ref="D164">INDEX(Weekly_Inventory_Flow!$I$2:$I$261,INT((ROW()-2)/4)+1)</f>
        <v>14700</v>
      </c>
      <c r="E164" cm="1">
        <f t="array" ref="E164">INDEX(BOM!$C$2:$C$21,MATCH(B164,BOM!$A$2:$A$21,0)+MOD(ROW()-2,4))</f>
        <v>1</v>
      </c>
      <c r="F164">
        <f t="shared" si="2"/>
        <v>14700</v>
      </c>
    </row>
    <row r="165" spans="1:6">
      <c r="A165" s="1" cm="1">
        <f t="array" ref="A165">INDEX(Weekly_Inventory_Flow!$A$2:$A$261,INT((ROW()-2)/4)+1)</f>
        <v>46083</v>
      </c>
      <c r="B165" t="str" cm="1">
        <f t="array" ref="B165">INDEX(Weekly_Inventory_Flow!$B$2:$B$261,INT((ROW()-2)/4)+1)</f>
        <v>P001</v>
      </c>
      <c r="C165" t="str" cm="1">
        <f t="array" ref="C165">INDEX(BOM!$B$2:$B$21,MATCH(B165,BOM!$A$2:$A$21,0)+MOD(ROW()-2,4))</f>
        <v>M008</v>
      </c>
      <c r="D165" cm="1">
        <f t="array" ref="D165">INDEX(Weekly_Inventory_Flow!$I$2:$I$261,INT((ROW()-2)/4)+1)</f>
        <v>14700</v>
      </c>
      <c r="E165" cm="1">
        <f t="array" ref="E165">INDEX(BOM!$C$2:$C$21,MATCH(B165,BOM!$A$2:$A$21,0)+MOD(ROW()-2,4))</f>
        <v>1</v>
      </c>
      <c r="F165">
        <f t="shared" si="2"/>
        <v>14700</v>
      </c>
    </row>
    <row r="166" spans="1:6">
      <c r="A166" s="1" cm="1">
        <f t="array" ref="A166">INDEX(Weekly_Inventory_Flow!$A$2:$A$261,INT((ROW()-2)/4)+1)</f>
        <v>46083</v>
      </c>
      <c r="B166" t="str" cm="1">
        <f t="array" ref="B166">INDEX(Weekly_Inventory_Flow!$B$2:$B$261,INT((ROW()-2)/4)+1)</f>
        <v>P002</v>
      </c>
      <c r="C166" t="str" cm="1">
        <f t="array" ref="C166">INDEX(BOM!$B$2:$B$21,MATCH(B166,BOM!$A$2:$A$21,0)+MOD(ROW()-2,4))</f>
        <v>M002</v>
      </c>
      <c r="D166" cm="1">
        <f t="array" ref="D166">INDEX(Weekly_Inventory_Flow!$I$2:$I$261,INT((ROW()-2)/4)+1)</f>
        <v>12900</v>
      </c>
      <c r="E166" cm="1">
        <f t="array" ref="E166">INDEX(BOM!$C$2:$C$21,MATCH(B166,BOM!$A$2:$A$21,0)+MOD(ROW()-2,4))</f>
        <v>0.3</v>
      </c>
      <c r="F166">
        <f t="shared" si="2"/>
        <v>3870</v>
      </c>
    </row>
    <row r="167" spans="1:6">
      <c r="A167" s="1" cm="1">
        <f t="array" ref="A167">INDEX(Weekly_Inventory_Flow!$A$2:$A$261,INT((ROW()-2)/4)+1)</f>
        <v>46083</v>
      </c>
      <c r="B167" t="str" cm="1">
        <f t="array" ref="B167">INDEX(Weekly_Inventory_Flow!$B$2:$B$261,INT((ROW()-2)/4)+1)</f>
        <v>P002</v>
      </c>
      <c r="C167" t="str" cm="1">
        <f t="array" ref="C167">INDEX(BOM!$B$2:$B$21,MATCH(B167,BOM!$A$2:$A$21,0)+MOD(ROW()-2,4))</f>
        <v>M006</v>
      </c>
      <c r="D167" cm="1">
        <f t="array" ref="D167">INDEX(Weekly_Inventory_Flow!$I$2:$I$261,INT((ROW()-2)/4)+1)</f>
        <v>12900</v>
      </c>
      <c r="E167" cm="1">
        <f t="array" ref="E167">INDEX(BOM!$C$2:$C$21,MATCH(B167,BOM!$A$2:$A$21,0)+MOD(ROW()-2,4))</f>
        <v>8.0000000000000002E-3</v>
      </c>
      <c r="F167">
        <f t="shared" si="2"/>
        <v>103.2</v>
      </c>
    </row>
    <row r="168" spans="1:6">
      <c r="A168" s="1" cm="1">
        <f t="array" ref="A168">INDEX(Weekly_Inventory_Flow!$A$2:$A$261,INT((ROW()-2)/4)+1)</f>
        <v>46083</v>
      </c>
      <c r="B168" t="str" cm="1">
        <f t="array" ref="B168">INDEX(Weekly_Inventory_Flow!$B$2:$B$261,INT((ROW()-2)/4)+1)</f>
        <v>P002</v>
      </c>
      <c r="C168" t="str" cm="1">
        <f t="array" ref="C168">INDEX(BOM!$B$2:$B$21,MATCH(B168,BOM!$A$2:$A$21,0)+MOD(ROW()-2,4))</f>
        <v>M007</v>
      </c>
      <c r="D168" cm="1">
        <f t="array" ref="D168">INDEX(Weekly_Inventory_Flow!$I$2:$I$261,INT((ROW()-2)/4)+1)</f>
        <v>12900</v>
      </c>
      <c r="E168" cm="1">
        <f t="array" ref="E168">INDEX(BOM!$C$2:$C$21,MATCH(B168,BOM!$A$2:$A$21,0)+MOD(ROW()-2,4))</f>
        <v>1</v>
      </c>
      <c r="F168">
        <f t="shared" si="2"/>
        <v>12900</v>
      </c>
    </row>
    <row r="169" spans="1:6">
      <c r="A169" s="1" cm="1">
        <f t="array" ref="A169">INDEX(Weekly_Inventory_Flow!$A$2:$A$261,INT((ROW()-2)/4)+1)</f>
        <v>46083</v>
      </c>
      <c r="B169" t="str" cm="1">
        <f t="array" ref="B169">INDEX(Weekly_Inventory_Flow!$B$2:$B$261,INT((ROW()-2)/4)+1)</f>
        <v>P002</v>
      </c>
      <c r="C169" t="str" cm="1">
        <f t="array" ref="C169">INDEX(BOM!$B$2:$B$21,MATCH(B169,BOM!$A$2:$A$21,0)+MOD(ROW()-2,4))</f>
        <v>M008</v>
      </c>
      <c r="D169" cm="1">
        <f t="array" ref="D169">INDEX(Weekly_Inventory_Flow!$I$2:$I$261,INT((ROW()-2)/4)+1)</f>
        <v>12900</v>
      </c>
      <c r="E169" cm="1">
        <f t="array" ref="E169">INDEX(BOM!$C$2:$C$21,MATCH(B169,BOM!$A$2:$A$21,0)+MOD(ROW()-2,4))</f>
        <v>1</v>
      </c>
      <c r="F169">
        <f t="shared" si="2"/>
        <v>12900</v>
      </c>
    </row>
    <row r="170" spans="1:6">
      <c r="A170" s="1" cm="1">
        <f t="array" ref="A170">INDEX(Weekly_Inventory_Flow!$A$2:$A$261,INT((ROW()-2)/4)+1)</f>
        <v>46083</v>
      </c>
      <c r="B170" t="str" cm="1">
        <f t="array" ref="B170">INDEX(Weekly_Inventory_Flow!$B$2:$B$261,INT((ROW()-2)/4)+1)</f>
        <v>P003</v>
      </c>
      <c r="C170" t="str" cm="1">
        <f t="array" ref="C170">INDEX(BOM!$B$2:$B$21,MATCH(B170,BOM!$A$2:$A$21,0)+MOD(ROW()-2,4))</f>
        <v>M003</v>
      </c>
      <c r="D170" cm="1">
        <f t="array" ref="D170">INDEX(Weekly_Inventory_Flow!$I$2:$I$261,INT((ROW()-2)/4)+1)</f>
        <v>11000</v>
      </c>
      <c r="E170" cm="1">
        <f t="array" ref="E170">INDEX(BOM!$C$2:$C$21,MATCH(B170,BOM!$A$2:$A$21,0)+MOD(ROW()-2,4))</f>
        <v>0.25</v>
      </c>
      <c r="F170">
        <f t="shared" si="2"/>
        <v>2750</v>
      </c>
    </row>
    <row r="171" spans="1:6">
      <c r="A171" s="1" cm="1">
        <f t="array" ref="A171">INDEX(Weekly_Inventory_Flow!$A$2:$A$261,INT((ROW()-2)/4)+1)</f>
        <v>46083</v>
      </c>
      <c r="B171" t="str" cm="1">
        <f t="array" ref="B171">INDEX(Weekly_Inventory_Flow!$B$2:$B$261,INT((ROW()-2)/4)+1)</f>
        <v>P003</v>
      </c>
      <c r="C171" t="str" cm="1">
        <f t="array" ref="C171">INDEX(BOM!$B$2:$B$21,MATCH(B171,BOM!$A$2:$A$21,0)+MOD(ROW()-2,4))</f>
        <v>M006</v>
      </c>
      <c r="D171" cm="1">
        <f t="array" ref="D171">INDEX(Weekly_Inventory_Flow!$I$2:$I$261,INT((ROW()-2)/4)+1)</f>
        <v>11000</v>
      </c>
      <c r="E171" cm="1">
        <f t="array" ref="E171">INDEX(BOM!$C$2:$C$21,MATCH(B171,BOM!$A$2:$A$21,0)+MOD(ROW()-2,4))</f>
        <v>6.0000000000000001E-3</v>
      </c>
      <c r="F171">
        <f t="shared" si="2"/>
        <v>66</v>
      </c>
    </row>
    <row r="172" spans="1:6">
      <c r="A172" s="1" cm="1">
        <f t="array" ref="A172">INDEX(Weekly_Inventory_Flow!$A$2:$A$261,INT((ROW()-2)/4)+1)</f>
        <v>46083</v>
      </c>
      <c r="B172" t="str" cm="1">
        <f t="array" ref="B172">INDEX(Weekly_Inventory_Flow!$B$2:$B$261,INT((ROW()-2)/4)+1)</f>
        <v>P003</v>
      </c>
      <c r="C172" t="str" cm="1">
        <f t="array" ref="C172">INDEX(BOM!$B$2:$B$21,MATCH(B172,BOM!$A$2:$A$21,0)+MOD(ROW()-2,4))</f>
        <v>M007</v>
      </c>
      <c r="D172" cm="1">
        <f t="array" ref="D172">INDEX(Weekly_Inventory_Flow!$I$2:$I$261,INT((ROW()-2)/4)+1)</f>
        <v>11000</v>
      </c>
      <c r="E172" cm="1">
        <f t="array" ref="E172">INDEX(BOM!$C$2:$C$21,MATCH(B172,BOM!$A$2:$A$21,0)+MOD(ROW()-2,4))</f>
        <v>1</v>
      </c>
      <c r="F172">
        <f t="shared" si="2"/>
        <v>11000</v>
      </c>
    </row>
    <row r="173" spans="1:6">
      <c r="A173" s="1" cm="1">
        <f t="array" ref="A173">INDEX(Weekly_Inventory_Flow!$A$2:$A$261,INT((ROW()-2)/4)+1)</f>
        <v>46083</v>
      </c>
      <c r="B173" t="str" cm="1">
        <f t="array" ref="B173">INDEX(Weekly_Inventory_Flow!$B$2:$B$261,INT((ROW()-2)/4)+1)</f>
        <v>P003</v>
      </c>
      <c r="C173" t="str" cm="1">
        <f t="array" ref="C173">INDEX(BOM!$B$2:$B$21,MATCH(B173,BOM!$A$2:$A$21,0)+MOD(ROW()-2,4))</f>
        <v>M008</v>
      </c>
      <c r="D173" cm="1">
        <f t="array" ref="D173">INDEX(Weekly_Inventory_Flow!$I$2:$I$261,INT((ROW()-2)/4)+1)</f>
        <v>11000</v>
      </c>
      <c r="E173" cm="1">
        <f t="array" ref="E173">INDEX(BOM!$C$2:$C$21,MATCH(B173,BOM!$A$2:$A$21,0)+MOD(ROW()-2,4))</f>
        <v>1</v>
      </c>
      <c r="F173">
        <f t="shared" si="2"/>
        <v>11000</v>
      </c>
    </row>
    <row r="174" spans="1:6">
      <c r="A174" s="1" cm="1">
        <f t="array" ref="A174">INDEX(Weekly_Inventory_Flow!$A$2:$A$261,INT((ROW()-2)/4)+1)</f>
        <v>46083</v>
      </c>
      <c r="B174" t="str" cm="1">
        <f t="array" ref="B174">INDEX(Weekly_Inventory_Flow!$B$2:$B$261,INT((ROW()-2)/4)+1)</f>
        <v>P004</v>
      </c>
      <c r="C174" t="str" cm="1">
        <f t="array" ref="C174">INDEX(BOM!$B$2:$B$21,MATCH(B174,BOM!$A$2:$A$21,0)+MOD(ROW()-2,4))</f>
        <v>M004</v>
      </c>
      <c r="D174" cm="1">
        <f t="array" ref="D174">INDEX(Weekly_Inventory_Flow!$I$2:$I$261,INT((ROW()-2)/4)+1)</f>
        <v>11700</v>
      </c>
      <c r="E174" cm="1">
        <f t="array" ref="E174">INDEX(BOM!$C$2:$C$21,MATCH(B174,BOM!$A$2:$A$21,0)+MOD(ROW()-2,4))</f>
        <v>0.34</v>
      </c>
      <c r="F174">
        <f t="shared" si="2"/>
        <v>3978.0000000000005</v>
      </c>
    </row>
    <row r="175" spans="1:6">
      <c r="A175" s="1" cm="1">
        <f t="array" ref="A175">INDEX(Weekly_Inventory_Flow!$A$2:$A$261,INT((ROW()-2)/4)+1)</f>
        <v>46083</v>
      </c>
      <c r="B175" t="str" cm="1">
        <f t="array" ref="B175">INDEX(Weekly_Inventory_Flow!$B$2:$B$261,INT((ROW()-2)/4)+1)</f>
        <v>P004</v>
      </c>
      <c r="C175" t="str" cm="1">
        <f t="array" ref="C175">INDEX(BOM!$B$2:$B$21,MATCH(B175,BOM!$A$2:$A$21,0)+MOD(ROW()-2,4))</f>
        <v>M006</v>
      </c>
      <c r="D175" cm="1">
        <f t="array" ref="D175">INDEX(Weekly_Inventory_Flow!$I$2:$I$261,INT((ROW()-2)/4)+1)</f>
        <v>11700</v>
      </c>
      <c r="E175" cm="1">
        <f t="array" ref="E175">INDEX(BOM!$C$2:$C$21,MATCH(B175,BOM!$A$2:$A$21,0)+MOD(ROW()-2,4))</f>
        <v>8.9999999999999993E-3</v>
      </c>
      <c r="F175">
        <f t="shared" si="2"/>
        <v>105.3</v>
      </c>
    </row>
    <row r="176" spans="1:6">
      <c r="A176" s="1" cm="1">
        <f t="array" ref="A176">INDEX(Weekly_Inventory_Flow!$A$2:$A$261,INT((ROW()-2)/4)+1)</f>
        <v>46083</v>
      </c>
      <c r="B176" t="str" cm="1">
        <f t="array" ref="B176">INDEX(Weekly_Inventory_Flow!$B$2:$B$261,INT((ROW()-2)/4)+1)</f>
        <v>P004</v>
      </c>
      <c r="C176" t="str" cm="1">
        <f t="array" ref="C176">INDEX(BOM!$B$2:$B$21,MATCH(B176,BOM!$A$2:$A$21,0)+MOD(ROW()-2,4))</f>
        <v>M007</v>
      </c>
      <c r="D176" cm="1">
        <f t="array" ref="D176">INDEX(Weekly_Inventory_Flow!$I$2:$I$261,INT((ROW()-2)/4)+1)</f>
        <v>11700</v>
      </c>
      <c r="E176" cm="1">
        <f t="array" ref="E176">INDEX(BOM!$C$2:$C$21,MATCH(B176,BOM!$A$2:$A$21,0)+MOD(ROW()-2,4))</f>
        <v>1</v>
      </c>
      <c r="F176">
        <f t="shared" si="2"/>
        <v>11700</v>
      </c>
    </row>
    <row r="177" spans="1:6">
      <c r="A177" s="1" cm="1">
        <f t="array" ref="A177">INDEX(Weekly_Inventory_Flow!$A$2:$A$261,INT((ROW()-2)/4)+1)</f>
        <v>46083</v>
      </c>
      <c r="B177" t="str" cm="1">
        <f t="array" ref="B177">INDEX(Weekly_Inventory_Flow!$B$2:$B$261,INT((ROW()-2)/4)+1)</f>
        <v>P004</v>
      </c>
      <c r="C177" t="str" cm="1">
        <f t="array" ref="C177">INDEX(BOM!$B$2:$B$21,MATCH(B177,BOM!$A$2:$A$21,0)+MOD(ROW()-2,4))</f>
        <v>M008</v>
      </c>
      <c r="D177" cm="1">
        <f t="array" ref="D177">INDEX(Weekly_Inventory_Flow!$I$2:$I$261,INT((ROW()-2)/4)+1)</f>
        <v>11700</v>
      </c>
      <c r="E177" cm="1">
        <f t="array" ref="E177">INDEX(BOM!$C$2:$C$21,MATCH(B177,BOM!$A$2:$A$21,0)+MOD(ROW()-2,4))</f>
        <v>1</v>
      </c>
      <c r="F177">
        <f t="shared" si="2"/>
        <v>11700</v>
      </c>
    </row>
    <row r="178" spans="1:6">
      <c r="A178" s="1" cm="1">
        <f t="array" ref="A178">INDEX(Weekly_Inventory_Flow!$A$2:$A$261,INT((ROW()-2)/4)+1)</f>
        <v>46083</v>
      </c>
      <c r="B178" t="str" cm="1">
        <f t="array" ref="B178">INDEX(Weekly_Inventory_Flow!$B$2:$B$261,INT((ROW()-2)/4)+1)</f>
        <v>P005</v>
      </c>
      <c r="C178" t="str" cm="1">
        <f t="array" ref="C178">INDEX(BOM!$B$2:$B$21,MATCH(B178,BOM!$A$2:$A$21,0)+MOD(ROW()-2,4))</f>
        <v>M005</v>
      </c>
      <c r="D178" cm="1">
        <f t="array" ref="D178">INDEX(Weekly_Inventory_Flow!$I$2:$I$261,INT((ROW()-2)/4)+1)</f>
        <v>9000</v>
      </c>
      <c r="E178" cm="1">
        <f t="array" ref="E178">INDEX(BOM!$C$2:$C$21,MATCH(B178,BOM!$A$2:$A$21,0)+MOD(ROW()-2,4))</f>
        <v>0.52</v>
      </c>
      <c r="F178">
        <f t="shared" si="2"/>
        <v>4680</v>
      </c>
    </row>
    <row r="179" spans="1:6">
      <c r="A179" s="1" cm="1">
        <f t="array" ref="A179">INDEX(Weekly_Inventory_Flow!$A$2:$A$261,INT((ROW()-2)/4)+1)</f>
        <v>46083</v>
      </c>
      <c r="B179" t="str" cm="1">
        <f t="array" ref="B179">INDEX(Weekly_Inventory_Flow!$B$2:$B$261,INT((ROW()-2)/4)+1)</f>
        <v>P005</v>
      </c>
      <c r="C179" t="str" cm="1">
        <f t="array" ref="C179">INDEX(BOM!$B$2:$B$21,MATCH(B179,BOM!$A$2:$A$21,0)+MOD(ROW()-2,4))</f>
        <v>M006</v>
      </c>
      <c r="D179" cm="1">
        <f t="array" ref="D179">INDEX(Weekly_Inventory_Flow!$I$2:$I$261,INT((ROW()-2)/4)+1)</f>
        <v>9000</v>
      </c>
      <c r="E179" cm="1">
        <f t="array" ref="E179">INDEX(BOM!$C$2:$C$21,MATCH(B179,BOM!$A$2:$A$21,0)+MOD(ROW()-2,4))</f>
        <v>1.2E-2</v>
      </c>
      <c r="F179">
        <f t="shared" si="2"/>
        <v>108</v>
      </c>
    </row>
    <row r="180" spans="1:6">
      <c r="A180" s="1" cm="1">
        <f t="array" ref="A180">INDEX(Weekly_Inventory_Flow!$A$2:$A$261,INT((ROW()-2)/4)+1)</f>
        <v>46083</v>
      </c>
      <c r="B180" t="str" cm="1">
        <f t="array" ref="B180">INDEX(Weekly_Inventory_Flow!$B$2:$B$261,INT((ROW()-2)/4)+1)</f>
        <v>P005</v>
      </c>
      <c r="C180" t="str" cm="1">
        <f t="array" ref="C180">INDEX(BOM!$B$2:$B$21,MATCH(B180,BOM!$A$2:$A$21,0)+MOD(ROW()-2,4))</f>
        <v>M007</v>
      </c>
      <c r="D180" cm="1">
        <f t="array" ref="D180">INDEX(Weekly_Inventory_Flow!$I$2:$I$261,INT((ROW()-2)/4)+1)</f>
        <v>9000</v>
      </c>
      <c r="E180" cm="1">
        <f t="array" ref="E180">INDEX(BOM!$C$2:$C$21,MATCH(B180,BOM!$A$2:$A$21,0)+MOD(ROW()-2,4))</f>
        <v>1</v>
      </c>
      <c r="F180">
        <f t="shared" si="2"/>
        <v>9000</v>
      </c>
    </row>
    <row r="181" spans="1:6">
      <c r="A181" s="1" cm="1">
        <f t="array" ref="A181">INDEX(Weekly_Inventory_Flow!$A$2:$A$261,INT((ROW()-2)/4)+1)</f>
        <v>46083</v>
      </c>
      <c r="B181" t="str" cm="1">
        <f t="array" ref="B181">INDEX(Weekly_Inventory_Flow!$B$2:$B$261,INT((ROW()-2)/4)+1)</f>
        <v>P005</v>
      </c>
      <c r="C181" t="str" cm="1">
        <f t="array" ref="C181">INDEX(BOM!$B$2:$B$21,MATCH(B181,BOM!$A$2:$A$21,0)+MOD(ROW()-2,4))</f>
        <v>M008</v>
      </c>
      <c r="D181" cm="1">
        <f t="array" ref="D181">INDEX(Weekly_Inventory_Flow!$I$2:$I$261,INT((ROW()-2)/4)+1)</f>
        <v>9000</v>
      </c>
      <c r="E181" cm="1">
        <f t="array" ref="E181">INDEX(BOM!$C$2:$C$21,MATCH(B181,BOM!$A$2:$A$21,0)+MOD(ROW()-2,4))</f>
        <v>1</v>
      </c>
      <c r="F181">
        <f t="shared" si="2"/>
        <v>9000</v>
      </c>
    </row>
    <row r="182" spans="1:6">
      <c r="A182" s="1" cm="1">
        <f t="array" ref="A182">INDEX(Weekly_Inventory_Flow!$A$2:$A$261,INT((ROW()-2)/4)+1)</f>
        <v>46090</v>
      </c>
      <c r="B182" t="str" cm="1">
        <f t="array" ref="B182">INDEX(Weekly_Inventory_Flow!$B$2:$B$261,INT((ROW()-2)/4)+1)</f>
        <v>P001</v>
      </c>
      <c r="C182" t="str" cm="1">
        <f t="array" ref="C182">INDEX(BOM!$B$2:$B$21,MATCH(B182,BOM!$A$2:$A$21,0)+MOD(ROW()-2,4))</f>
        <v>M001</v>
      </c>
      <c r="D182" cm="1">
        <f t="array" ref="D182">INDEX(Weekly_Inventory_Flow!$I$2:$I$261,INT((ROW()-2)/4)+1)</f>
        <v>14700</v>
      </c>
      <c r="E182" cm="1">
        <f t="array" ref="E182">INDEX(BOM!$C$2:$C$21,MATCH(B182,BOM!$A$2:$A$21,0)+MOD(ROW()-2,4))</f>
        <v>0.35</v>
      </c>
      <c r="F182">
        <f t="shared" si="2"/>
        <v>5145</v>
      </c>
    </row>
    <row r="183" spans="1:6">
      <c r="A183" s="1" cm="1">
        <f t="array" ref="A183">INDEX(Weekly_Inventory_Flow!$A$2:$A$261,INT((ROW()-2)/4)+1)</f>
        <v>46090</v>
      </c>
      <c r="B183" t="str" cm="1">
        <f t="array" ref="B183">INDEX(Weekly_Inventory_Flow!$B$2:$B$261,INT((ROW()-2)/4)+1)</f>
        <v>P001</v>
      </c>
      <c r="C183" t="str" cm="1">
        <f t="array" ref="C183">INDEX(BOM!$B$2:$B$21,MATCH(B183,BOM!$A$2:$A$21,0)+MOD(ROW()-2,4))</f>
        <v>M006</v>
      </c>
      <c r="D183" cm="1">
        <f t="array" ref="D183">INDEX(Weekly_Inventory_Flow!$I$2:$I$261,INT((ROW()-2)/4)+1)</f>
        <v>14700</v>
      </c>
      <c r="E183" cm="1">
        <f t="array" ref="E183">INDEX(BOM!$C$2:$C$21,MATCH(B183,BOM!$A$2:$A$21,0)+MOD(ROW()-2,4))</f>
        <v>0.01</v>
      </c>
      <c r="F183">
        <f t="shared" si="2"/>
        <v>147</v>
      </c>
    </row>
    <row r="184" spans="1:6">
      <c r="A184" s="1" cm="1">
        <f t="array" ref="A184">INDEX(Weekly_Inventory_Flow!$A$2:$A$261,INT((ROW()-2)/4)+1)</f>
        <v>46090</v>
      </c>
      <c r="B184" t="str" cm="1">
        <f t="array" ref="B184">INDEX(Weekly_Inventory_Flow!$B$2:$B$261,INT((ROW()-2)/4)+1)</f>
        <v>P001</v>
      </c>
      <c r="C184" t="str" cm="1">
        <f t="array" ref="C184">INDEX(BOM!$B$2:$B$21,MATCH(B184,BOM!$A$2:$A$21,0)+MOD(ROW()-2,4))</f>
        <v>M007</v>
      </c>
      <c r="D184" cm="1">
        <f t="array" ref="D184">INDEX(Weekly_Inventory_Flow!$I$2:$I$261,INT((ROW()-2)/4)+1)</f>
        <v>14700</v>
      </c>
      <c r="E184" cm="1">
        <f t="array" ref="E184">INDEX(BOM!$C$2:$C$21,MATCH(B184,BOM!$A$2:$A$21,0)+MOD(ROW()-2,4))</f>
        <v>1</v>
      </c>
      <c r="F184">
        <f t="shared" si="2"/>
        <v>14700</v>
      </c>
    </row>
    <row r="185" spans="1:6">
      <c r="A185" s="1" cm="1">
        <f t="array" ref="A185">INDEX(Weekly_Inventory_Flow!$A$2:$A$261,INT((ROW()-2)/4)+1)</f>
        <v>46090</v>
      </c>
      <c r="B185" t="str" cm="1">
        <f t="array" ref="B185">INDEX(Weekly_Inventory_Flow!$B$2:$B$261,INT((ROW()-2)/4)+1)</f>
        <v>P001</v>
      </c>
      <c r="C185" t="str" cm="1">
        <f t="array" ref="C185">INDEX(BOM!$B$2:$B$21,MATCH(B185,BOM!$A$2:$A$21,0)+MOD(ROW()-2,4))</f>
        <v>M008</v>
      </c>
      <c r="D185" cm="1">
        <f t="array" ref="D185">INDEX(Weekly_Inventory_Flow!$I$2:$I$261,INT((ROW()-2)/4)+1)</f>
        <v>14700</v>
      </c>
      <c r="E185" cm="1">
        <f t="array" ref="E185">INDEX(BOM!$C$2:$C$21,MATCH(B185,BOM!$A$2:$A$21,0)+MOD(ROW()-2,4))</f>
        <v>1</v>
      </c>
      <c r="F185">
        <f t="shared" si="2"/>
        <v>14700</v>
      </c>
    </row>
    <row r="186" spans="1:6">
      <c r="A186" s="1" cm="1">
        <f t="array" ref="A186">INDEX(Weekly_Inventory_Flow!$A$2:$A$261,INT((ROW()-2)/4)+1)</f>
        <v>46090</v>
      </c>
      <c r="B186" t="str" cm="1">
        <f t="array" ref="B186">INDEX(Weekly_Inventory_Flow!$B$2:$B$261,INT((ROW()-2)/4)+1)</f>
        <v>P002</v>
      </c>
      <c r="C186" t="str" cm="1">
        <f t="array" ref="C186">INDEX(BOM!$B$2:$B$21,MATCH(B186,BOM!$A$2:$A$21,0)+MOD(ROW()-2,4))</f>
        <v>M002</v>
      </c>
      <c r="D186" cm="1">
        <f t="array" ref="D186">INDEX(Weekly_Inventory_Flow!$I$2:$I$261,INT((ROW()-2)/4)+1)</f>
        <v>12600</v>
      </c>
      <c r="E186" cm="1">
        <f t="array" ref="E186">INDEX(BOM!$C$2:$C$21,MATCH(B186,BOM!$A$2:$A$21,0)+MOD(ROW()-2,4))</f>
        <v>0.3</v>
      </c>
      <c r="F186">
        <f t="shared" si="2"/>
        <v>3780</v>
      </c>
    </row>
    <row r="187" spans="1:6">
      <c r="A187" s="1" cm="1">
        <f t="array" ref="A187">INDEX(Weekly_Inventory_Flow!$A$2:$A$261,INT((ROW()-2)/4)+1)</f>
        <v>46090</v>
      </c>
      <c r="B187" t="str" cm="1">
        <f t="array" ref="B187">INDEX(Weekly_Inventory_Flow!$B$2:$B$261,INT((ROW()-2)/4)+1)</f>
        <v>P002</v>
      </c>
      <c r="C187" t="str" cm="1">
        <f t="array" ref="C187">INDEX(BOM!$B$2:$B$21,MATCH(B187,BOM!$A$2:$A$21,0)+MOD(ROW()-2,4))</f>
        <v>M006</v>
      </c>
      <c r="D187" cm="1">
        <f t="array" ref="D187">INDEX(Weekly_Inventory_Flow!$I$2:$I$261,INT((ROW()-2)/4)+1)</f>
        <v>12600</v>
      </c>
      <c r="E187" cm="1">
        <f t="array" ref="E187">INDEX(BOM!$C$2:$C$21,MATCH(B187,BOM!$A$2:$A$21,0)+MOD(ROW()-2,4))</f>
        <v>8.0000000000000002E-3</v>
      </c>
      <c r="F187">
        <f t="shared" si="2"/>
        <v>100.8</v>
      </c>
    </row>
    <row r="188" spans="1:6">
      <c r="A188" s="1" cm="1">
        <f t="array" ref="A188">INDEX(Weekly_Inventory_Flow!$A$2:$A$261,INT((ROW()-2)/4)+1)</f>
        <v>46090</v>
      </c>
      <c r="B188" t="str" cm="1">
        <f t="array" ref="B188">INDEX(Weekly_Inventory_Flow!$B$2:$B$261,INT((ROW()-2)/4)+1)</f>
        <v>P002</v>
      </c>
      <c r="C188" t="str" cm="1">
        <f t="array" ref="C188">INDEX(BOM!$B$2:$B$21,MATCH(B188,BOM!$A$2:$A$21,0)+MOD(ROW()-2,4))</f>
        <v>M007</v>
      </c>
      <c r="D188" cm="1">
        <f t="array" ref="D188">INDEX(Weekly_Inventory_Flow!$I$2:$I$261,INT((ROW()-2)/4)+1)</f>
        <v>12600</v>
      </c>
      <c r="E188" cm="1">
        <f t="array" ref="E188">INDEX(BOM!$C$2:$C$21,MATCH(B188,BOM!$A$2:$A$21,0)+MOD(ROW()-2,4))</f>
        <v>1</v>
      </c>
      <c r="F188">
        <f t="shared" si="2"/>
        <v>12600</v>
      </c>
    </row>
    <row r="189" spans="1:6">
      <c r="A189" s="1" cm="1">
        <f t="array" ref="A189">INDEX(Weekly_Inventory_Flow!$A$2:$A$261,INT((ROW()-2)/4)+1)</f>
        <v>46090</v>
      </c>
      <c r="B189" t="str" cm="1">
        <f t="array" ref="B189">INDEX(Weekly_Inventory_Flow!$B$2:$B$261,INT((ROW()-2)/4)+1)</f>
        <v>P002</v>
      </c>
      <c r="C189" t="str" cm="1">
        <f t="array" ref="C189">INDEX(BOM!$B$2:$B$21,MATCH(B189,BOM!$A$2:$A$21,0)+MOD(ROW()-2,4))</f>
        <v>M008</v>
      </c>
      <c r="D189" cm="1">
        <f t="array" ref="D189">INDEX(Weekly_Inventory_Flow!$I$2:$I$261,INT((ROW()-2)/4)+1)</f>
        <v>12600</v>
      </c>
      <c r="E189" cm="1">
        <f t="array" ref="E189">INDEX(BOM!$C$2:$C$21,MATCH(B189,BOM!$A$2:$A$21,0)+MOD(ROW()-2,4))</f>
        <v>1</v>
      </c>
      <c r="F189">
        <f t="shared" si="2"/>
        <v>12600</v>
      </c>
    </row>
    <row r="190" spans="1:6">
      <c r="A190" s="1" cm="1">
        <f t="array" ref="A190">INDEX(Weekly_Inventory_Flow!$A$2:$A$261,INT((ROW()-2)/4)+1)</f>
        <v>46090</v>
      </c>
      <c r="B190" t="str" cm="1">
        <f t="array" ref="B190">INDEX(Weekly_Inventory_Flow!$B$2:$B$261,INT((ROW()-2)/4)+1)</f>
        <v>P003</v>
      </c>
      <c r="C190" t="str" cm="1">
        <f t="array" ref="C190">INDEX(BOM!$B$2:$B$21,MATCH(B190,BOM!$A$2:$A$21,0)+MOD(ROW()-2,4))</f>
        <v>M003</v>
      </c>
      <c r="D190" cm="1">
        <f t="array" ref="D190">INDEX(Weekly_Inventory_Flow!$I$2:$I$261,INT((ROW()-2)/4)+1)</f>
        <v>11400</v>
      </c>
      <c r="E190" cm="1">
        <f t="array" ref="E190">INDEX(BOM!$C$2:$C$21,MATCH(B190,BOM!$A$2:$A$21,0)+MOD(ROW()-2,4))</f>
        <v>0.25</v>
      </c>
      <c r="F190">
        <f t="shared" si="2"/>
        <v>2850</v>
      </c>
    </row>
    <row r="191" spans="1:6">
      <c r="A191" s="1" cm="1">
        <f t="array" ref="A191">INDEX(Weekly_Inventory_Flow!$A$2:$A$261,INT((ROW()-2)/4)+1)</f>
        <v>46090</v>
      </c>
      <c r="B191" t="str" cm="1">
        <f t="array" ref="B191">INDEX(Weekly_Inventory_Flow!$B$2:$B$261,INT((ROW()-2)/4)+1)</f>
        <v>P003</v>
      </c>
      <c r="C191" t="str" cm="1">
        <f t="array" ref="C191">INDEX(BOM!$B$2:$B$21,MATCH(B191,BOM!$A$2:$A$21,0)+MOD(ROW()-2,4))</f>
        <v>M006</v>
      </c>
      <c r="D191" cm="1">
        <f t="array" ref="D191">INDEX(Weekly_Inventory_Flow!$I$2:$I$261,INT((ROW()-2)/4)+1)</f>
        <v>11400</v>
      </c>
      <c r="E191" cm="1">
        <f t="array" ref="E191">INDEX(BOM!$C$2:$C$21,MATCH(B191,BOM!$A$2:$A$21,0)+MOD(ROW()-2,4))</f>
        <v>6.0000000000000001E-3</v>
      </c>
      <c r="F191">
        <f t="shared" si="2"/>
        <v>68.400000000000006</v>
      </c>
    </row>
    <row r="192" spans="1:6">
      <c r="A192" s="1" cm="1">
        <f t="array" ref="A192">INDEX(Weekly_Inventory_Flow!$A$2:$A$261,INT((ROW()-2)/4)+1)</f>
        <v>46090</v>
      </c>
      <c r="B192" t="str" cm="1">
        <f t="array" ref="B192">INDEX(Weekly_Inventory_Flow!$B$2:$B$261,INT((ROW()-2)/4)+1)</f>
        <v>P003</v>
      </c>
      <c r="C192" t="str" cm="1">
        <f t="array" ref="C192">INDEX(BOM!$B$2:$B$21,MATCH(B192,BOM!$A$2:$A$21,0)+MOD(ROW()-2,4))</f>
        <v>M007</v>
      </c>
      <c r="D192" cm="1">
        <f t="array" ref="D192">INDEX(Weekly_Inventory_Flow!$I$2:$I$261,INT((ROW()-2)/4)+1)</f>
        <v>11400</v>
      </c>
      <c r="E192" cm="1">
        <f t="array" ref="E192">INDEX(BOM!$C$2:$C$21,MATCH(B192,BOM!$A$2:$A$21,0)+MOD(ROW()-2,4))</f>
        <v>1</v>
      </c>
      <c r="F192">
        <f t="shared" si="2"/>
        <v>11400</v>
      </c>
    </row>
    <row r="193" spans="1:6">
      <c r="A193" s="1" cm="1">
        <f t="array" ref="A193">INDEX(Weekly_Inventory_Flow!$A$2:$A$261,INT((ROW()-2)/4)+1)</f>
        <v>46090</v>
      </c>
      <c r="B193" t="str" cm="1">
        <f t="array" ref="B193">INDEX(Weekly_Inventory_Flow!$B$2:$B$261,INT((ROW()-2)/4)+1)</f>
        <v>P003</v>
      </c>
      <c r="C193" t="str" cm="1">
        <f t="array" ref="C193">INDEX(BOM!$B$2:$B$21,MATCH(B193,BOM!$A$2:$A$21,0)+MOD(ROW()-2,4))</f>
        <v>M008</v>
      </c>
      <c r="D193" cm="1">
        <f t="array" ref="D193">INDEX(Weekly_Inventory_Flow!$I$2:$I$261,INT((ROW()-2)/4)+1)</f>
        <v>11400</v>
      </c>
      <c r="E193" cm="1">
        <f t="array" ref="E193">INDEX(BOM!$C$2:$C$21,MATCH(B193,BOM!$A$2:$A$21,0)+MOD(ROW()-2,4))</f>
        <v>1</v>
      </c>
      <c r="F193">
        <f t="shared" si="2"/>
        <v>11400</v>
      </c>
    </row>
    <row r="194" spans="1:6">
      <c r="A194" s="1" cm="1">
        <f t="array" ref="A194">INDEX(Weekly_Inventory_Flow!$A$2:$A$261,INT((ROW()-2)/4)+1)</f>
        <v>46090</v>
      </c>
      <c r="B194" t="str" cm="1">
        <f t="array" ref="B194">INDEX(Weekly_Inventory_Flow!$B$2:$B$261,INT((ROW()-2)/4)+1)</f>
        <v>P004</v>
      </c>
      <c r="C194" t="str" cm="1">
        <f t="array" ref="C194">INDEX(BOM!$B$2:$B$21,MATCH(B194,BOM!$A$2:$A$21,0)+MOD(ROW()-2,4))</f>
        <v>M004</v>
      </c>
      <c r="D194" cm="1">
        <f t="array" ref="D194">INDEX(Weekly_Inventory_Flow!$I$2:$I$261,INT((ROW()-2)/4)+1)</f>
        <v>11100</v>
      </c>
      <c r="E194" cm="1">
        <f t="array" ref="E194">INDEX(BOM!$C$2:$C$21,MATCH(B194,BOM!$A$2:$A$21,0)+MOD(ROW()-2,4))</f>
        <v>0.34</v>
      </c>
      <c r="F194">
        <f t="shared" si="2"/>
        <v>3774.0000000000005</v>
      </c>
    </row>
    <row r="195" spans="1:6">
      <c r="A195" s="1" cm="1">
        <f t="array" ref="A195">INDEX(Weekly_Inventory_Flow!$A$2:$A$261,INT((ROW()-2)/4)+1)</f>
        <v>46090</v>
      </c>
      <c r="B195" t="str" cm="1">
        <f t="array" ref="B195">INDEX(Weekly_Inventory_Flow!$B$2:$B$261,INT((ROW()-2)/4)+1)</f>
        <v>P004</v>
      </c>
      <c r="C195" t="str" cm="1">
        <f t="array" ref="C195">INDEX(BOM!$B$2:$B$21,MATCH(B195,BOM!$A$2:$A$21,0)+MOD(ROW()-2,4))</f>
        <v>M006</v>
      </c>
      <c r="D195" cm="1">
        <f t="array" ref="D195">INDEX(Weekly_Inventory_Flow!$I$2:$I$261,INT((ROW()-2)/4)+1)</f>
        <v>11100</v>
      </c>
      <c r="E195" cm="1">
        <f t="array" ref="E195">INDEX(BOM!$C$2:$C$21,MATCH(B195,BOM!$A$2:$A$21,0)+MOD(ROW()-2,4))</f>
        <v>8.9999999999999993E-3</v>
      </c>
      <c r="F195">
        <f t="shared" ref="F195:F258" si="3">D195*E195</f>
        <v>99.899999999999991</v>
      </c>
    </row>
    <row r="196" spans="1:6">
      <c r="A196" s="1" cm="1">
        <f t="array" ref="A196">INDEX(Weekly_Inventory_Flow!$A$2:$A$261,INT((ROW()-2)/4)+1)</f>
        <v>46090</v>
      </c>
      <c r="B196" t="str" cm="1">
        <f t="array" ref="B196">INDEX(Weekly_Inventory_Flow!$B$2:$B$261,INT((ROW()-2)/4)+1)</f>
        <v>P004</v>
      </c>
      <c r="C196" t="str" cm="1">
        <f t="array" ref="C196">INDEX(BOM!$B$2:$B$21,MATCH(B196,BOM!$A$2:$A$21,0)+MOD(ROW()-2,4))</f>
        <v>M007</v>
      </c>
      <c r="D196" cm="1">
        <f t="array" ref="D196">INDEX(Weekly_Inventory_Flow!$I$2:$I$261,INT((ROW()-2)/4)+1)</f>
        <v>11100</v>
      </c>
      <c r="E196" cm="1">
        <f t="array" ref="E196">INDEX(BOM!$C$2:$C$21,MATCH(B196,BOM!$A$2:$A$21,0)+MOD(ROW()-2,4))</f>
        <v>1</v>
      </c>
      <c r="F196">
        <f t="shared" si="3"/>
        <v>11100</v>
      </c>
    </row>
    <row r="197" spans="1:6">
      <c r="A197" s="1" cm="1">
        <f t="array" ref="A197">INDEX(Weekly_Inventory_Flow!$A$2:$A$261,INT((ROW()-2)/4)+1)</f>
        <v>46090</v>
      </c>
      <c r="B197" t="str" cm="1">
        <f t="array" ref="B197">INDEX(Weekly_Inventory_Flow!$B$2:$B$261,INT((ROW()-2)/4)+1)</f>
        <v>P004</v>
      </c>
      <c r="C197" t="str" cm="1">
        <f t="array" ref="C197">INDEX(BOM!$B$2:$B$21,MATCH(B197,BOM!$A$2:$A$21,0)+MOD(ROW()-2,4))</f>
        <v>M008</v>
      </c>
      <c r="D197" cm="1">
        <f t="array" ref="D197">INDEX(Weekly_Inventory_Flow!$I$2:$I$261,INT((ROW()-2)/4)+1)</f>
        <v>11100</v>
      </c>
      <c r="E197" cm="1">
        <f t="array" ref="E197">INDEX(BOM!$C$2:$C$21,MATCH(B197,BOM!$A$2:$A$21,0)+MOD(ROW()-2,4))</f>
        <v>1</v>
      </c>
      <c r="F197">
        <f t="shared" si="3"/>
        <v>11100</v>
      </c>
    </row>
    <row r="198" spans="1:6">
      <c r="A198" s="1" cm="1">
        <f t="array" ref="A198">INDEX(Weekly_Inventory_Flow!$A$2:$A$261,INT((ROW()-2)/4)+1)</f>
        <v>46090</v>
      </c>
      <c r="B198" t="str" cm="1">
        <f t="array" ref="B198">INDEX(Weekly_Inventory_Flow!$B$2:$B$261,INT((ROW()-2)/4)+1)</f>
        <v>P005</v>
      </c>
      <c r="C198" t="str" cm="1">
        <f t="array" ref="C198">INDEX(BOM!$B$2:$B$21,MATCH(B198,BOM!$A$2:$A$21,0)+MOD(ROW()-2,4))</f>
        <v>M005</v>
      </c>
      <c r="D198" cm="1">
        <f t="array" ref="D198">INDEX(Weekly_Inventory_Flow!$I$2:$I$261,INT((ROW()-2)/4)+1)</f>
        <v>8600</v>
      </c>
      <c r="E198" cm="1">
        <f t="array" ref="E198">INDEX(BOM!$C$2:$C$21,MATCH(B198,BOM!$A$2:$A$21,0)+MOD(ROW()-2,4))</f>
        <v>0.52</v>
      </c>
      <c r="F198">
        <f t="shared" si="3"/>
        <v>4472</v>
      </c>
    </row>
    <row r="199" spans="1:6">
      <c r="A199" s="1" cm="1">
        <f t="array" ref="A199">INDEX(Weekly_Inventory_Flow!$A$2:$A$261,INT((ROW()-2)/4)+1)</f>
        <v>46090</v>
      </c>
      <c r="B199" t="str" cm="1">
        <f t="array" ref="B199">INDEX(Weekly_Inventory_Flow!$B$2:$B$261,INT((ROW()-2)/4)+1)</f>
        <v>P005</v>
      </c>
      <c r="C199" t="str" cm="1">
        <f t="array" ref="C199">INDEX(BOM!$B$2:$B$21,MATCH(B199,BOM!$A$2:$A$21,0)+MOD(ROW()-2,4))</f>
        <v>M006</v>
      </c>
      <c r="D199" cm="1">
        <f t="array" ref="D199">INDEX(Weekly_Inventory_Flow!$I$2:$I$261,INT((ROW()-2)/4)+1)</f>
        <v>8600</v>
      </c>
      <c r="E199" cm="1">
        <f t="array" ref="E199">INDEX(BOM!$C$2:$C$21,MATCH(B199,BOM!$A$2:$A$21,0)+MOD(ROW()-2,4))</f>
        <v>1.2E-2</v>
      </c>
      <c r="F199">
        <f t="shared" si="3"/>
        <v>103.2</v>
      </c>
    </row>
    <row r="200" spans="1:6">
      <c r="A200" s="1" cm="1">
        <f t="array" ref="A200">INDEX(Weekly_Inventory_Flow!$A$2:$A$261,INT((ROW()-2)/4)+1)</f>
        <v>46090</v>
      </c>
      <c r="B200" t="str" cm="1">
        <f t="array" ref="B200">INDEX(Weekly_Inventory_Flow!$B$2:$B$261,INT((ROW()-2)/4)+1)</f>
        <v>P005</v>
      </c>
      <c r="C200" t="str" cm="1">
        <f t="array" ref="C200">INDEX(BOM!$B$2:$B$21,MATCH(B200,BOM!$A$2:$A$21,0)+MOD(ROW()-2,4))</f>
        <v>M007</v>
      </c>
      <c r="D200" cm="1">
        <f t="array" ref="D200">INDEX(Weekly_Inventory_Flow!$I$2:$I$261,INT((ROW()-2)/4)+1)</f>
        <v>8600</v>
      </c>
      <c r="E200" cm="1">
        <f t="array" ref="E200">INDEX(BOM!$C$2:$C$21,MATCH(B200,BOM!$A$2:$A$21,0)+MOD(ROW()-2,4))</f>
        <v>1</v>
      </c>
      <c r="F200">
        <f t="shared" si="3"/>
        <v>8600</v>
      </c>
    </row>
    <row r="201" spans="1:6">
      <c r="A201" s="1" cm="1">
        <f t="array" ref="A201">INDEX(Weekly_Inventory_Flow!$A$2:$A$261,INT((ROW()-2)/4)+1)</f>
        <v>46090</v>
      </c>
      <c r="B201" t="str" cm="1">
        <f t="array" ref="B201">INDEX(Weekly_Inventory_Flow!$B$2:$B$261,INT((ROW()-2)/4)+1)</f>
        <v>P005</v>
      </c>
      <c r="C201" t="str" cm="1">
        <f t="array" ref="C201">INDEX(BOM!$B$2:$B$21,MATCH(B201,BOM!$A$2:$A$21,0)+MOD(ROW()-2,4))</f>
        <v>M008</v>
      </c>
      <c r="D201" cm="1">
        <f t="array" ref="D201">INDEX(Weekly_Inventory_Flow!$I$2:$I$261,INT((ROW()-2)/4)+1)</f>
        <v>8600</v>
      </c>
      <c r="E201" cm="1">
        <f t="array" ref="E201">INDEX(BOM!$C$2:$C$21,MATCH(B201,BOM!$A$2:$A$21,0)+MOD(ROW()-2,4))</f>
        <v>1</v>
      </c>
      <c r="F201">
        <f t="shared" si="3"/>
        <v>8600</v>
      </c>
    </row>
    <row r="202" spans="1:6">
      <c r="A202" s="1" cm="1">
        <f t="array" ref="A202">INDEX(Weekly_Inventory_Flow!$A$2:$A$261,INT((ROW()-2)/4)+1)</f>
        <v>46097</v>
      </c>
      <c r="B202" t="str" cm="1">
        <f t="array" ref="B202">INDEX(Weekly_Inventory_Flow!$B$2:$B$261,INT((ROW()-2)/4)+1)</f>
        <v>P001</v>
      </c>
      <c r="C202" t="str" cm="1">
        <f t="array" ref="C202">INDEX(BOM!$B$2:$B$21,MATCH(B202,BOM!$A$2:$A$21,0)+MOD(ROW()-2,4))</f>
        <v>M001</v>
      </c>
      <c r="D202" cm="1">
        <f t="array" ref="D202">INDEX(Weekly_Inventory_Flow!$I$2:$I$261,INT((ROW()-2)/4)+1)</f>
        <v>16900</v>
      </c>
      <c r="E202" cm="1">
        <f t="array" ref="E202">INDEX(BOM!$C$2:$C$21,MATCH(B202,BOM!$A$2:$A$21,0)+MOD(ROW()-2,4))</f>
        <v>0.35</v>
      </c>
      <c r="F202">
        <f t="shared" si="3"/>
        <v>5915</v>
      </c>
    </row>
    <row r="203" spans="1:6">
      <c r="A203" s="1" cm="1">
        <f t="array" ref="A203">INDEX(Weekly_Inventory_Flow!$A$2:$A$261,INT((ROW()-2)/4)+1)</f>
        <v>46097</v>
      </c>
      <c r="B203" t="str" cm="1">
        <f t="array" ref="B203">INDEX(Weekly_Inventory_Flow!$B$2:$B$261,INT((ROW()-2)/4)+1)</f>
        <v>P001</v>
      </c>
      <c r="C203" t="str" cm="1">
        <f t="array" ref="C203">INDEX(BOM!$B$2:$B$21,MATCH(B203,BOM!$A$2:$A$21,0)+MOD(ROW()-2,4))</f>
        <v>M006</v>
      </c>
      <c r="D203" cm="1">
        <f t="array" ref="D203">INDEX(Weekly_Inventory_Flow!$I$2:$I$261,INT((ROW()-2)/4)+1)</f>
        <v>16900</v>
      </c>
      <c r="E203" cm="1">
        <f t="array" ref="E203">INDEX(BOM!$C$2:$C$21,MATCH(B203,BOM!$A$2:$A$21,0)+MOD(ROW()-2,4))</f>
        <v>0.01</v>
      </c>
      <c r="F203">
        <f t="shared" si="3"/>
        <v>169</v>
      </c>
    </row>
    <row r="204" spans="1:6">
      <c r="A204" s="1" cm="1">
        <f t="array" ref="A204">INDEX(Weekly_Inventory_Flow!$A$2:$A$261,INT((ROW()-2)/4)+1)</f>
        <v>46097</v>
      </c>
      <c r="B204" t="str" cm="1">
        <f t="array" ref="B204">INDEX(Weekly_Inventory_Flow!$B$2:$B$261,INT((ROW()-2)/4)+1)</f>
        <v>P001</v>
      </c>
      <c r="C204" t="str" cm="1">
        <f t="array" ref="C204">INDEX(BOM!$B$2:$B$21,MATCH(B204,BOM!$A$2:$A$21,0)+MOD(ROW()-2,4))</f>
        <v>M007</v>
      </c>
      <c r="D204" cm="1">
        <f t="array" ref="D204">INDEX(Weekly_Inventory_Flow!$I$2:$I$261,INT((ROW()-2)/4)+1)</f>
        <v>16900</v>
      </c>
      <c r="E204" cm="1">
        <f t="array" ref="E204">INDEX(BOM!$C$2:$C$21,MATCH(B204,BOM!$A$2:$A$21,0)+MOD(ROW()-2,4))</f>
        <v>1</v>
      </c>
      <c r="F204">
        <f t="shared" si="3"/>
        <v>16900</v>
      </c>
    </row>
    <row r="205" spans="1:6">
      <c r="A205" s="1" cm="1">
        <f t="array" ref="A205">INDEX(Weekly_Inventory_Flow!$A$2:$A$261,INT((ROW()-2)/4)+1)</f>
        <v>46097</v>
      </c>
      <c r="B205" t="str" cm="1">
        <f t="array" ref="B205">INDEX(Weekly_Inventory_Flow!$B$2:$B$261,INT((ROW()-2)/4)+1)</f>
        <v>P001</v>
      </c>
      <c r="C205" t="str" cm="1">
        <f t="array" ref="C205">INDEX(BOM!$B$2:$B$21,MATCH(B205,BOM!$A$2:$A$21,0)+MOD(ROW()-2,4))</f>
        <v>M008</v>
      </c>
      <c r="D205" cm="1">
        <f t="array" ref="D205">INDEX(Weekly_Inventory_Flow!$I$2:$I$261,INT((ROW()-2)/4)+1)</f>
        <v>16900</v>
      </c>
      <c r="E205" cm="1">
        <f t="array" ref="E205">INDEX(BOM!$C$2:$C$21,MATCH(B205,BOM!$A$2:$A$21,0)+MOD(ROW()-2,4))</f>
        <v>1</v>
      </c>
      <c r="F205">
        <f t="shared" si="3"/>
        <v>16900</v>
      </c>
    </row>
    <row r="206" spans="1:6">
      <c r="A206" s="1" cm="1">
        <f t="array" ref="A206">INDEX(Weekly_Inventory_Flow!$A$2:$A$261,INT((ROW()-2)/4)+1)</f>
        <v>46097</v>
      </c>
      <c r="B206" t="str" cm="1">
        <f t="array" ref="B206">INDEX(Weekly_Inventory_Flow!$B$2:$B$261,INT((ROW()-2)/4)+1)</f>
        <v>P002</v>
      </c>
      <c r="C206" t="str" cm="1">
        <f t="array" ref="C206">INDEX(BOM!$B$2:$B$21,MATCH(B206,BOM!$A$2:$A$21,0)+MOD(ROW()-2,4))</f>
        <v>M002</v>
      </c>
      <c r="D206" cm="1">
        <f t="array" ref="D206">INDEX(Weekly_Inventory_Flow!$I$2:$I$261,INT((ROW()-2)/4)+1)</f>
        <v>12200</v>
      </c>
      <c r="E206" cm="1">
        <f t="array" ref="E206">INDEX(BOM!$C$2:$C$21,MATCH(B206,BOM!$A$2:$A$21,0)+MOD(ROW()-2,4))</f>
        <v>0.3</v>
      </c>
      <c r="F206">
        <f t="shared" si="3"/>
        <v>3660</v>
      </c>
    </row>
    <row r="207" spans="1:6">
      <c r="A207" s="1" cm="1">
        <f t="array" ref="A207">INDEX(Weekly_Inventory_Flow!$A$2:$A$261,INT((ROW()-2)/4)+1)</f>
        <v>46097</v>
      </c>
      <c r="B207" t="str" cm="1">
        <f t="array" ref="B207">INDEX(Weekly_Inventory_Flow!$B$2:$B$261,INT((ROW()-2)/4)+1)</f>
        <v>P002</v>
      </c>
      <c r="C207" t="str" cm="1">
        <f t="array" ref="C207">INDEX(BOM!$B$2:$B$21,MATCH(B207,BOM!$A$2:$A$21,0)+MOD(ROW()-2,4))</f>
        <v>M006</v>
      </c>
      <c r="D207" cm="1">
        <f t="array" ref="D207">INDEX(Weekly_Inventory_Flow!$I$2:$I$261,INT((ROW()-2)/4)+1)</f>
        <v>12200</v>
      </c>
      <c r="E207" cm="1">
        <f t="array" ref="E207">INDEX(BOM!$C$2:$C$21,MATCH(B207,BOM!$A$2:$A$21,0)+MOD(ROW()-2,4))</f>
        <v>8.0000000000000002E-3</v>
      </c>
      <c r="F207">
        <f t="shared" si="3"/>
        <v>97.600000000000009</v>
      </c>
    </row>
    <row r="208" spans="1:6">
      <c r="A208" s="1" cm="1">
        <f t="array" ref="A208">INDEX(Weekly_Inventory_Flow!$A$2:$A$261,INT((ROW()-2)/4)+1)</f>
        <v>46097</v>
      </c>
      <c r="B208" t="str" cm="1">
        <f t="array" ref="B208">INDEX(Weekly_Inventory_Flow!$B$2:$B$261,INT((ROW()-2)/4)+1)</f>
        <v>P002</v>
      </c>
      <c r="C208" t="str" cm="1">
        <f t="array" ref="C208">INDEX(BOM!$B$2:$B$21,MATCH(B208,BOM!$A$2:$A$21,0)+MOD(ROW()-2,4))</f>
        <v>M007</v>
      </c>
      <c r="D208" cm="1">
        <f t="array" ref="D208">INDEX(Weekly_Inventory_Flow!$I$2:$I$261,INT((ROW()-2)/4)+1)</f>
        <v>12200</v>
      </c>
      <c r="E208" cm="1">
        <f t="array" ref="E208">INDEX(BOM!$C$2:$C$21,MATCH(B208,BOM!$A$2:$A$21,0)+MOD(ROW()-2,4))</f>
        <v>1</v>
      </c>
      <c r="F208">
        <f t="shared" si="3"/>
        <v>12200</v>
      </c>
    </row>
    <row r="209" spans="1:6">
      <c r="A209" s="1" cm="1">
        <f t="array" ref="A209">INDEX(Weekly_Inventory_Flow!$A$2:$A$261,INT((ROW()-2)/4)+1)</f>
        <v>46097</v>
      </c>
      <c r="B209" t="str" cm="1">
        <f t="array" ref="B209">INDEX(Weekly_Inventory_Flow!$B$2:$B$261,INT((ROW()-2)/4)+1)</f>
        <v>P002</v>
      </c>
      <c r="C209" t="str" cm="1">
        <f t="array" ref="C209">INDEX(BOM!$B$2:$B$21,MATCH(B209,BOM!$A$2:$A$21,0)+MOD(ROW()-2,4))</f>
        <v>M008</v>
      </c>
      <c r="D209" cm="1">
        <f t="array" ref="D209">INDEX(Weekly_Inventory_Flow!$I$2:$I$261,INT((ROW()-2)/4)+1)</f>
        <v>12200</v>
      </c>
      <c r="E209" cm="1">
        <f t="array" ref="E209">INDEX(BOM!$C$2:$C$21,MATCH(B209,BOM!$A$2:$A$21,0)+MOD(ROW()-2,4))</f>
        <v>1</v>
      </c>
      <c r="F209">
        <f t="shared" si="3"/>
        <v>12200</v>
      </c>
    </row>
    <row r="210" spans="1:6">
      <c r="A210" s="1" cm="1">
        <f t="array" ref="A210">INDEX(Weekly_Inventory_Flow!$A$2:$A$261,INT((ROW()-2)/4)+1)</f>
        <v>46097</v>
      </c>
      <c r="B210" t="str" cm="1">
        <f t="array" ref="B210">INDEX(Weekly_Inventory_Flow!$B$2:$B$261,INT((ROW()-2)/4)+1)</f>
        <v>P003</v>
      </c>
      <c r="C210" t="str" cm="1">
        <f t="array" ref="C210">INDEX(BOM!$B$2:$B$21,MATCH(B210,BOM!$A$2:$A$21,0)+MOD(ROW()-2,4))</f>
        <v>M003</v>
      </c>
      <c r="D210" cm="1">
        <f t="array" ref="D210">INDEX(Weekly_Inventory_Flow!$I$2:$I$261,INT((ROW()-2)/4)+1)</f>
        <v>11000</v>
      </c>
      <c r="E210" cm="1">
        <f t="array" ref="E210">INDEX(BOM!$C$2:$C$21,MATCH(B210,BOM!$A$2:$A$21,0)+MOD(ROW()-2,4))</f>
        <v>0.25</v>
      </c>
      <c r="F210">
        <f t="shared" si="3"/>
        <v>2750</v>
      </c>
    </row>
    <row r="211" spans="1:6">
      <c r="A211" s="1" cm="1">
        <f t="array" ref="A211">INDEX(Weekly_Inventory_Flow!$A$2:$A$261,INT((ROW()-2)/4)+1)</f>
        <v>46097</v>
      </c>
      <c r="B211" t="str" cm="1">
        <f t="array" ref="B211">INDEX(Weekly_Inventory_Flow!$B$2:$B$261,INT((ROW()-2)/4)+1)</f>
        <v>P003</v>
      </c>
      <c r="C211" t="str" cm="1">
        <f t="array" ref="C211">INDEX(BOM!$B$2:$B$21,MATCH(B211,BOM!$A$2:$A$21,0)+MOD(ROW()-2,4))</f>
        <v>M006</v>
      </c>
      <c r="D211" cm="1">
        <f t="array" ref="D211">INDEX(Weekly_Inventory_Flow!$I$2:$I$261,INT((ROW()-2)/4)+1)</f>
        <v>11000</v>
      </c>
      <c r="E211" cm="1">
        <f t="array" ref="E211">INDEX(BOM!$C$2:$C$21,MATCH(B211,BOM!$A$2:$A$21,0)+MOD(ROW()-2,4))</f>
        <v>6.0000000000000001E-3</v>
      </c>
      <c r="F211">
        <f t="shared" si="3"/>
        <v>66</v>
      </c>
    </row>
    <row r="212" spans="1:6">
      <c r="A212" s="1" cm="1">
        <f t="array" ref="A212">INDEX(Weekly_Inventory_Flow!$A$2:$A$261,INT((ROW()-2)/4)+1)</f>
        <v>46097</v>
      </c>
      <c r="B212" t="str" cm="1">
        <f t="array" ref="B212">INDEX(Weekly_Inventory_Flow!$B$2:$B$261,INT((ROW()-2)/4)+1)</f>
        <v>P003</v>
      </c>
      <c r="C212" t="str" cm="1">
        <f t="array" ref="C212">INDEX(BOM!$B$2:$B$21,MATCH(B212,BOM!$A$2:$A$21,0)+MOD(ROW()-2,4))</f>
        <v>M007</v>
      </c>
      <c r="D212" cm="1">
        <f t="array" ref="D212">INDEX(Weekly_Inventory_Flow!$I$2:$I$261,INT((ROW()-2)/4)+1)</f>
        <v>11000</v>
      </c>
      <c r="E212" cm="1">
        <f t="array" ref="E212">INDEX(BOM!$C$2:$C$21,MATCH(B212,BOM!$A$2:$A$21,0)+MOD(ROW()-2,4))</f>
        <v>1</v>
      </c>
      <c r="F212">
        <f t="shared" si="3"/>
        <v>11000</v>
      </c>
    </row>
    <row r="213" spans="1:6">
      <c r="A213" s="1" cm="1">
        <f t="array" ref="A213">INDEX(Weekly_Inventory_Flow!$A$2:$A$261,INT((ROW()-2)/4)+1)</f>
        <v>46097</v>
      </c>
      <c r="B213" t="str" cm="1">
        <f t="array" ref="B213">INDEX(Weekly_Inventory_Flow!$B$2:$B$261,INT((ROW()-2)/4)+1)</f>
        <v>P003</v>
      </c>
      <c r="C213" t="str" cm="1">
        <f t="array" ref="C213">INDEX(BOM!$B$2:$B$21,MATCH(B213,BOM!$A$2:$A$21,0)+MOD(ROW()-2,4))</f>
        <v>M008</v>
      </c>
      <c r="D213" cm="1">
        <f t="array" ref="D213">INDEX(Weekly_Inventory_Flow!$I$2:$I$261,INT((ROW()-2)/4)+1)</f>
        <v>11000</v>
      </c>
      <c r="E213" cm="1">
        <f t="array" ref="E213">INDEX(BOM!$C$2:$C$21,MATCH(B213,BOM!$A$2:$A$21,0)+MOD(ROW()-2,4))</f>
        <v>1</v>
      </c>
      <c r="F213">
        <f t="shared" si="3"/>
        <v>11000</v>
      </c>
    </row>
    <row r="214" spans="1:6">
      <c r="A214" s="1" cm="1">
        <f t="array" ref="A214">INDEX(Weekly_Inventory_Flow!$A$2:$A$261,INT((ROW()-2)/4)+1)</f>
        <v>46097</v>
      </c>
      <c r="B214" t="str" cm="1">
        <f t="array" ref="B214">INDEX(Weekly_Inventory_Flow!$B$2:$B$261,INT((ROW()-2)/4)+1)</f>
        <v>P004</v>
      </c>
      <c r="C214" t="str" cm="1">
        <f t="array" ref="C214">INDEX(BOM!$B$2:$B$21,MATCH(B214,BOM!$A$2:$A$21,0)+MOD(ROW()-2,4))</f>
        <v>M004</v>
      </c>
      <c r="D214" cm="1">
        <f t="array" ref="D214">INDEX(Weekly_Inventory_Flow!$I$2:$I$261,INT((ROW()-2)/4)+1)</f>
        <v>11900</v>
      </c>
      <c r="E214" cm="1">
        <f t="array" ref="E214">INDEX(BOM!$C$2:$C$21,MATCH(B214,BOM!$A$2:$A$21,0)+MOD(ROW()-2,4))</f>
        <v>0.34</v>
      </c>
      <c r="F214">
        <f t="shared" si="3"/>
        <v>4046.0000000000005</v>
      </c>
    </row>
    <row r="215" spans="1:6">
      <c r="A215" s="1" cm="1">
        <f t="array" ref="A215">INDEX(Weekly_Inventory_Flow!$A$2:$A$261,INT((ROW()-2)/4)+1)</f>
        <v>46097</v>
      </c>
      <c r="B215" t="str" cm="1">
        <f t="array" ref="B215">INDEX(Weekly_Inventory_Flow!$B$2:$B$261,INT((ROW()-2)/4)+1)</f>
        <v>P004</v>
      </c>
      <c r="C215" t="str" cm="1">
        <f t="array" ref="C215">INDEX(BOM!$B$2:$B$21,MATCH(B215,BOM!$A$2:$A$21,0)+MOD(ROW()-2,4))</f>
        <v>M006</v>
      </c>
      <c r="D215" cm="1">
        <f t="array" ref="D215">INDEX(Weekly_Inventory_Flow!$I$2:$I$261,INT((ROW()-2)/4)+1)</f>
        <v>11900</v>
      </c>
      <c r="E215" cm="1">
        <f t="array" ref="E215">INDEX(BOM!$C$2:$C$21,MATCH(B215,BOM!$A$2:$A$21,0)+MOD(ROW()-2,4))</f>
        <v>8.9999999999999993E-3</v>
      </c>
      <c r="F215">
        <f t="shared" si="3"/>
        <v>107.1</v>
      </c>
    </row>
    <row r="216" spans="1:6">
      <c r="A216" s="1" cm="1">
        <f t="array" ref="A216">INDEX(Weekly_Inventory_Flow!$A$2:$A$261,INT((ROW()-2)/4)+1)</f>
        <v>46097</v>
      </c>
      <c r="B216" t="str" cm="1">
        <f t="array" ref="B216">INDEX(Weekly_Inventory_Flow!$B$2:$B$261,INT((ROW()-2)/4)+1)</f>
        <v>P004</v>
      </c>
      <c r="C216" t="str" cm="1">
        <f t="array" ref="C216">INDEX(BOM!$B$2:$B$21,MATCH(B216,BOM!$A$2:$A$21,0)+MOD(ROW()-2,4))</f>
        <v>M007</v>
      </c>
      <c r="D216" cm="1">
        <f t="array" ref="D216">INDEX(Weekly_Inventory_Flow!$I$2:$I$261,INT((ROW()-2)/4)+1)</f>
        <v>11900</v>
      </c>
      <c r="E216" cm="1">
        <f t="array" ref="E216">INDEX(BOM!$C$2:$C$21,MATCH(B216,BOM!$A$2:$A$21,0)+MOD(ROW()-2,4))</f>
        <v>1</v>
      </c>
      <c r="F216">
        <f t="shared" si="3"/>
        <v>11900</v>
      </c>
    </row>
    <row r="217" spans="1:6">
      <c r="A217" s="1" cm="1">
        <f t="array" ref="A217">INDEX(Weekly_Inventory_Flow!$A$2:$A$261,INT((ROW()-2)/4)+1)</f>
        <v>46097</v>
      </c>
      <c r="B217" t="str" cm="1">
        <f t="array" ref="B217">INDEX(Weekly_Inventory_Flow!$B$2:$B$261,INT((ROW()-2)/4)+1)</f>
        <v>P004</v>
      </c>
      <c r="C217" t="str" cm="1">
        <f t="array" ref="C217">INDEX(BOM!$B$2:$B$21,MATCH(B217,BOM!$A$2:$A$21,0)+MOD(ROW()-2,4))</f>
        <v>M008</v>
      </c>
      <c r="D217" cm="1">
        <f t="array" ref="D217">INDEX(Weekly_Inventory_Flow!$I$2:$I$261,INT((ROW()-2)/4)+1)</f>
        <v>11900</v>
      </c>
      <c r="E217" cm="1">
        <f t="array" ref="E217">INDEX(BOM!$C$2:$C$21,MATCH(B217,BOM!$A$2:$A$21,0)+MOD(ROW()-2,4))</f>
        <v>1</v>
      </c>
      <c r="F217">
        <f t="shared" si="3"/>
        <v>11900</v>
      </c>
    </row>
    <row r="218" spans="1:6">
      <c r="A218" s="1" cm="1">
        <f t="array" ref="A218">INDEX(Weekly_Inventory_Flow!$A$2:$A$261,INT((ROW()-2)/4)+1)</f>
        <v>46097</v>
      </c>
      <c r="B218" t="str" cm="1">
        <f t="array" ref="B218">INDEX(Weekly_Inventory_Flow!$B$2:$B$261,INT((ROW()-2)/4)+1)</f>
        <v>P005</v>
      </c>
      <c r="C218" t="str" cm="1">
        <f t="array" ref="C218">INDEX(BOM!$B$2:$B$21,MATCH(B218,BOM!$A$2:$A$21,0)+MOD(ROW()-2,4))</f>
        <v>M005</v>
      </c>
      <c r="D218" cm="1">
        <f t="array" ref="D218">INDEX(Weekly_Inventory_Flow!$I$2:$I$261,INT((ROW()-2)/4)+1)</f>
        <v>8800</v>
      </c>
      <c r="E218" cm="1">
        <f t="array" ref="E218">INDEX(BOM!$C$2:$C$21,MATCH(B218,BOM!$A$2:$A$21,0)+MOD(ROW()-2,4))</f>
        <v>0.52</v>
      </c>
      <c r="F218">
        <f t="shared" si="3"/>
        <v>4576</v>
      </c>
    </row>
    <row r="219" spans="1:6">
      <c r="A219" s="1" cm="1">
        <f t="array" ref="A219">INDEX(Weekly_Inventory_Flow!$A$2:$A$261,INT((ROW()-2)/4)+1)</f>
        <v>46097</v>
      </c>
      <c r="B219" t="str" cm="1">
        <f t="array" ref="B219">INDEX(Weekly_Inventory_Flow!$B$2:$B$261,INT((ROW()-2)/4)+1)</f>
        <v>P005</v>
      </c>
      <c r="C219" t="str" cm="1">
        <f t="array" ref="C219">INDEX(BOM!$B$2:$B$21,MATCH(B219,BOM!$A$2:$A$21,0)+MOD(ROW()-2,4))</f>
        <v>M006</v>
      </c>
      <c r="D219" cm="1">
        <f t="array" ref="D219">INDEX(Weekly_Inventory_Flow!$I$2:$I$261,INT((ROW()-2)/4)+1)</f>
        <v>8800</v>
      </c>
      <c r="E219" cm="1">
        <f t="array" ref="E219">INDEX(BOM!$C$2:$C$21,MATCH(B219,BOM!$A$2:$A$21,0)+MOD(ROW()-2,4))</f>
        <v>1.2E-2</v>
      </c>
      <c r="F219">
        <f t="shared" si="3"/>
        <v>105.60000000000001</v>
      </c>
    </row>
    <row r="220" spans="1:6">
      <c r="A220" s="1" cm="1">
        <f t="array" ref="A220">INDEX(Weekly_Inventory_Flow!$A$2:$A$261,INT((ROW()-2)/4)+1)</f>
        <v>46097</v>
      </c>
      <c r="B220" t="str" cm="1">
        <f t="array" ref="B220">INDEX(Weekly_Inventory_Flow!$B$2:$B$261,INT((ROW()-2)/4)+1)</f>
        <v>P005</v>
      </c>
      <c r="C220" t="str" cm="1">
        <f t="array" ref="C220">INDEX(BOM!$B$2:$B$21,MATCH(B220,BOM!$A$2:$A$21,0)+MOD(ROW()-2,4))</f>
        <v>M007</v>
      </c>
      <c r="D220" cm="1">
        <f t="array" ref="D220">INDEX(Weekly_Inventory_Flow!$I$2:$I$261,INT((ROW()-2)/4)+1)</f>
        <v>8800</v>
      </c>
      <c r="E220" cm="1">
        <f t="array" ref="E220">INDEX(BOM!$C$2:$C$21,MATCH(B220,BOM!$A$2:$A$21,0)+MOD(ROW()-2,4))</f>
        <v>1</v>
      </c>
      <c r="F220">
        <f t="shared" si="3"/>
        <v>8800</v>
      </c>
    </row>
    <row r="221" spans="1:6">
      <c r="A221" s="1" cm="1">
        <f t="array" ref="A221">INDEX(Weekly_Inventory_Flow!$A$2:$A$261,INT((ROW()-2)/4)+1)</f>
        <v>46097</v>
      </c>
      <c r="B221" t="str" cm="1">
        <f t="array" ref="B221">INDEX(Weekly_Inventory_Flow!$B$2:$B$261,INT((ROW()-2)/4)+1)</f>
        <v>P005</v>
      </c>
      <c r="C221" t="str" cm="1">
        <f t="array" ref="C221">INDEX(BOM!$B$2:$B$21,MATCH(B221,BOM!$A$2:$A$21,0)+MOD(ROW()-2,4))</f>
        <v>M008</v>
      </c>
      <c r="D221" cm="1">
        <f t="array" ref="D221">INDEX(Weekly_Inventory_Flow!$I$2:$I$261,INT((ROW()-2)/4)+1)</f>
        <v>8800</v>
      </c>
      <c r="E221" cm="1">
        <f t="array" ref="E221">INDEX(BOM!$C$2:$C$21,MATCH(B221,BOM!$A$2:$A$21,0)+MOD(ROW()-2,4))</f>
        <v>1</v>
      </c>
      <c r="F221">
        <f t="shared" si="3"/>
        <v>8800</v>
      </c>
    </row>
    <row r="222" spans="1:6">
      <c r="A222" s="1" cm="1">
        <f t="array" ref="A222">INDEX(Weekly_Inventory_Flow!$A$2:$A$261,INT((ROW()-2)/4)+1)</f>
        <v>46104</v>
      </c>
      <c r="B222" t="str" cm="1">
        <f t="array" ref="B222">INDEX(Weekly_Inventory_Flow!$B$2:$B$261,INT((ROW()-2)/4)+1)</f>
        <v>P001</v>
      </c>
      <c r="C222" t="str" cm="1">
        <f t="array" ref="C222">INDEX(BOM!$B$2:$B$21,MATCH(B222,BOM!$A$2:$A$21,0)+MOD(ROW()-2,4))</f>
        <v>M001</v>
      </c>
      <c r="D222" cm="1">
        <f t="array" ref="D222">INDEX(Weekly_Inventory_Flow!$I$2:$I$261,INT((ROW()-2)/4)+1)</f>
        <v>13000</v>
      </c>
      <c r="E222" cm="1">
        <f t="array" ref="E222">INDEX(BOM!$C$2:$C$21,MATCH(B222,BOM!$A$2:$A$21,0)+MOD(ROW()-2,4))</f>
        <v>0.35</v>
      </c>
      <c r="F222">
        <f t="shared" si="3"/>
        <v>4550</v>
      </c>
    </row>
    <row r="223" spans="1:6">
      <c r="A223" s="1" cm="1">
        <f t="array" ref="A223">INDEX(Weekly_Inventory_Flow!$A$2:$A$261,INT((ROW()-2)/4)+1)</f>
        <v>46104</v>
      </c>
      <c r="B223" t="str" cm="1">
        <f t="array" ref="B223">INDEX(Weekly_Inventory_Flow!$B$2:$B$261,INT((ROW()-2)/4)+1)</f>
        <v>P001</v>
      </c>
      <c r="C223" t="str" cm="1">
        <f t="array" ref="C223">INDEX(BOM!$B$2:$B$21,MATCH(B223,BOM!$A$2:$A$21,0)+MOD(ROW()-2,4))</f>
        <v>M006</v>
      </c>
      <c r="D223" cm="1">
        <f t="array" ref="D223">INDEX(Weekly_Inventory_Flow!$I$2:$I$261,INT((ROW()-2)/4)+1)</f>
        <v>13000</v>
      </c>
      <c r="E223" cm="1">
        <f t="array" ref="E223">INDEX(BOM!$C$2:$C$21,MATCH(B223,BOM!$A$2:$A$21,0)+MOD(ROW()-2,4))</f>
        <v>0.01</v>
      </c>
      <c r="F223">
        <f t="shared" si="3"/>
        <v>130</v>
      </c>
    </row>
    <row r="224" spans="1:6">
      <c r="A224" s="1" cm="1">
        <f t="array" ref="A224">INDEX(Weekly_Inventory_Flow!$A$2:$A$261,INT((ROW()-2)/4)+1)</f>
        <v>46104</v>
      </c>
      <c r="B224" t="str" cm="1">
        <f t="array" ref="B224">INDEX(Weekly_Inventory_Flow!$B$2:$B$261,INT((ROW()-2)/4)+1)</f>
        <v>P001</v>
      </c>
      <c r="C224" t="str" cm="1">
        <f t="array" ref="C224">INDEX(BOM!$B$2:$B$21,MATCH(B224,BOM!$A$2:$A$21,0)+MOD(ROW()-2,4))</f>
        <v>M007</v>
      </c>
      <c r="D224" cm="1">
        <f t="array" ref="D224">INDEX(Weekly_Inventory_Flow!$I$2:$I$261,INT((ROW()-2)/4)+1)</f>
        <v>13000</v>
      </c>
      <c r="E224" cm="1">
        <f t="array" ref="E224">INDEX(BOM!$C$2:$C$21,MATCH(B224,BOM!$A$2:$A$21,0)+MOD(ROW()-2,4))</f>
        <v>1</v>
      </c>
      <c r="F224">
        <f t="shared" si="3"/>
        <v>13000</v>
      </c>
    </row>
    <row r="225" spans="1:6">
      <c r="A225" s="1" cm="1">
        <f t="array" ref="A225">INDEX(Weekly_Inventory_Flow!$A$2:$A$261,INT((ROW()-2)/4)+1)</f>
        <v>46104</v>
      </c>
      <c r="B225" t="str" cm="1">
        <f t="array" ref="B225">INDEX(Weekly_Inventory_Flow!$B$2:$B$261,INT((ROW()-2)/4)+1)</f>
        <v>P001</v>
      </c>
      <c r="C225" t="str" cm="1">
        <f t="array" ref="C225">INDEX(BOM!$B$2:$B$21,MATCH(B225,BOM!$A$2:$A$21,0)+MOD(ROW()-2,4))</f>
        <v>M008</v>
      </c>
      <c r="D225" cm="1">
        <f t="array" ref="D225">INDEX(Weekly_Inventory_Flow!$I$2:$I$261,INT((ROW()-2)/4)+1)</f>
        <v>13000</v>
      </c>
      <c r="E225" cm="1">
        <f t="array" ref="E225">INDEX(BOM!$C$2:$C$21,MATCH(B225,BOM!$A$2:$A$21,0)+MOD(ROW()-2,4))</f>
        <v>1</v>
      </c>
      <c r="F225">
        <f t="shared" si="3"/>
        <v>13000</v>
      </c>
    </row>
    <row r="226" spans="1:6">
      <c r="A226" s="1" cm="1">
        <f t="array" ref="A226">INDEX(Weekly_Inventory_Flow!$A$2:$A$261,INT((ROW()-2)/4)+1)</f>
        <v>46104</v>
      </c>
      <c r="B226" t="str" cm="1">
        <f t="array" ref="B226">INDEX(Weekly_Inventory_Flow!$B$2:$B$261,INT((ROW()-2)/4)+1)</f>
        <v>P002</v>
      </c>
      <c r="C226" t="str" cm="1">
        <f t="array" ref="C226">INDEX(BOM!$B$2:$B$21,MATCH(B226,BOM!$A$2:$A$21,0)+MOD(ROW()-2,4))</f>
        <v>M002</v>
      </c>
      <c r="D226" cm="1">
        <f t="array" ref="D226">INDEX(Weekly_Inventory_Flow!$I$2:$I$261,INT((ROW()-2)/4)+1)</f>
        <v>12100</v>
      </c>
      <c r="E226" cm="1">
        <f t="array" ref="E226">INDEX(BOM!$C$2:$C$21,MATCH(B226,BOM!$A$2:$A$21,0)+MOD(ROW()-2,4))</f>
        <v>0.3</v>
      </c>
      <c r="F226">
        <f t="shared" si="3"/>
        <v>3630</v>
      </c>
    </row>
    <row r="227" spans="1:6">
      <c r="A227" s="1" cm="1">
        <f t="array" ref="A227">INDEX(Weekly_Inventory_Flow!$A$2:$A$261,INT((ROW()-2)/4)+1)</f>
        <v>46104</v>
      </c>
      <c r="B227" t="str" cm="1">
        <f t="array" ref="B227">INDEX(Weekly_Inventory_Flow!$B$2:$B$261,INT((ROW()-2)/4)+1)</f>
        <v>P002</v>
      </c>
      <c r="C227" t="str" cm="1">
        <f t="array" ref="C227">INDEX(BOM!$B$2:$B$21,MATCH(B227,BOM!$A$2:$A$21,0)+MOD(ROW()-2,4))</f>
        <v>M006</v>
      </c>
      <c r="D227" cm="1">
        <f t="array" ref="D227">INDEX(Weekly_Inventory_Flow!$I$2:$I$261,INT((ROW()-2)/4)+1)</f>
        <v>12100</v>
      </c>
      <c r="E227" cm="1">
        <f t="array" ref="E227">INDEX(BOM!$C$2:$C$21,MATCH(B227,BOM!$A$2:$A$21,0)+MOD(ROW()-2,4))</f>
        <v>8.0000000000000002E-3</v>
      </c>
      <c r="F227">
        <f t="shared" si="3"/>
        <v>96.8</v>
      </c>
    </row>
    <row r="228" spans="1:6">
      <c r="A228" s="1" cm="1">
        <f t="array" ref="A228">INDEX(Weekly_Inventory_Flow!$A$2:$A$261,INT((ROW()-2)/4)+1)</f>
        <v>46104</v>
      </c>
      <c r="B228" t="str" cm="1">
        <f t="array" ref="B228">INDEX(Weekly_Inventory_Flow!$B$2:$B$261,INT((ROW()-2)/4)+1)</f>
        <v>P002</v>
      </c>
      <c r="C228" t="str" cm="1">
        <f t="array" ref="C228">INDEX(BOM!$B$2:$B$21,MATCH(B228,BOM!$A$2:$A$21,0)+MOD(ROW()-2,4))</f>
        <v>M007</v>
      </c>
      <c r="D228" cm="1">
        <f t="array" ref="D228">INDEX(Weekly_Inventory_Flow!$I$2:$I$261,INT((ROW()-2)/4)+1)</f>
        <v>12100</v>
      </c>
      <c r="E228" cm="1">
        <f t="array" ref="E228">INDEX(BOM!$C$2:$C$21,MATCH(B228,BOM!$A$2:$A$21,0)+MOD(ROW()-2,4))</f>
        <v>1</v>
      </c>
      <c r="F228">
        <f t="shared" si="3"/>
        <v>12100</v>
      </c>
    </row>
    <row r="229" spans="1:6">
      <c r="A229" s="1" cm="1">
        <f t="array" ref="A229">INDEX(Weekly_Inventory_Flow!$A$2:$A$261,INT((ROW()-2)/4)+1)</f>
        <v>46104</v>
      </c>
      <c r="B229" t="str" cm="1">
        <f t="array" ref="B229">INDEX(Weekly_Inventory_Flow!$B$2:$B$261,INT((ROW()-2)/4)+1)</f>
        <v>P002</v>
      </c>
      <c r="C229" t="str" cm="1">
        <f t="array" ref="C229">INDEX(BOM!$B$2:$B$21,MATCH(B229,BOM!$A$2:$A$21,0)+MOD(ROW()-2,4))</f>
        <v>M008</v>
      </c>
      <c r="D229" cm="1">
        <f t="array" ref="D229">INDEX(Weekly_Inventory_Flow!$I$2:$I$261,INT((ROW()-2)/4)+1)</f>
        <v>12100</v>
      </c>
      <c r="E229" cm="1">
        <f t="array" ref="E229">INDEX(BOM!$C$2:$C$21,MATCH(B229,BOM!$A$2:$A$21,0)+MOD(ROW()-2,4))</f>
        <v>1</v>
      </c>
      <c r="F229">
        <f t="shared" si="3"/>
        <v>12100</v>
      </c>
    </row>
    <row r="230" spans="1:6">
      <c r="A230" s="1" cm="1">
        <f t="array" ref="A230">INDEX(Weekly_Inventory_Flow!$A$2:$A$261,INT((ROW()-2)/4)+1)</f>
        <v>46104</v>
      </c>
      <c r="B230" t="str" cm="1">
        <f t="array" ref="B230">INDEX(Weekly_Inventory_Flow!$B$2:$B$261,INT((ROW()-2)/4)+1)</f>
        <v>P003</v>
      </c>
      <c r="C230" t="str" cm="1">
        <f t="array" ref="C230">INDEX(BOM!$B$2:$B$21,MATCH(B230,BOM!$A$2:$A$21,0)+MOD(ROW()-2,4))</f>
        <v>M003</v>
      </c>
      <c r="D230" cm="1">
        <f t="array" ref="D230">INDEX(Weekly_Inventory_Flow!$I$2:$I$261,INT((ROW()-2)/4)+1)</f>
        <v>10700</v>
      </c>
      <c r="E230" cm="1">
        <f t="array" ref="E230">INDEX(BOM!$C$2:$C$21,MATCH(B230,BOM!$A$2:$A$21,0)+MOD(ROW()-2,4))</f>
        <v>0.25</v>
      </c>
      <c r="F230">
        <f t="shared" si="3"/>
        <v>2675</v>
      </c>
    </row>
    <row r="231" spans="1:6">
      <c r="A231" s="1" cm="1">
        <f t="array" ref="A231">INDEX(Weekly_Inventory_Flow!$A$2:$A$261,INT((ROW()-2)/4)+1)</f>
        <v>46104</v>
      </c>
      <c r="B231" t="str" cm="1">
        <f t="array" ref="B231">INDEX(Weekly_Inventory_Flow!$B$2:$B$261,INT((ROW()-2)/4)+1)</f>
        <v>P003</v>
      </c>
      <c r="C231" t="str" cm="1">
        <f t="array" ref="C231">INDEX(BOM!$B$2:$B$21,MATCH(B231,BOM!$A$2:$A$21,0)+MOD(ROW()-2,4))</f>
        <v>M006</v>
      </c>
      <c r="D231" cm="1">
        <f t="array" ref="D231">INDEX(Weekly_Inventory_Flow!$I$2:$I$261,INT((ROW()-2)/4)+1)</f>
        <v>10700</v>
      </c>
      <c r="E231" cm="1">
        <f t="array" ref="E231">INDEX(BOM!$C$2:$C$21,MATCH(B231,BOM!$A$2:$A$21,0)+MOD(ROW()-2,4))</f>
        <v>6.0000000000000001E-3</v>
      </c>
      <c r="F231">
        <f t="shared" si="3"/>
        <v>64.2</v>
      </c>
    </row>
    <row r="232" spans="1:6">
      <c r="A232" s="1" cm="1">
        <f t="array" ref="A232">INDEX(Weekly_Inventory_Flow!$A$2:$A$261,INT((ROW()-2)/4)+1)</f>
        <v>46104</v>
      </c>
      <c r="B232" t="str" cm="1">
        <f t="array" ref="B232">INDEX(Weekly_Inventory_Flow!$B$2:$B$261,INT((ROW()-2)/4)+1)</f>
        <v>P003</v>
      </c>
      <c r="C232" t="str" cm="1">
        <f t="array" ref="C232">INDEX(BOM!$B$2:$B$21,MATCH(B232,BOM!$A$2:$A$21,0)+MOD(ROW()-2,4))</f>
        <v>M007</v>
      </c>
      <c r="D232" cm="1">
        <f t="array" ref="D232">INDEX(Weekly_Inventory_Flow!$I$2:$I$261,INT((ROW()-2)/4)+1)</f>
        <v>10700</v>
      </c>
      <c r="E232" cm="1">
        <f t="array" ref="E232">INDEX(BOM!$C$2:$C$21,MATCH(B232,BOM!$A$2:$A$21,0)+MOD(ROW()-2,4))</f>
        <v>1</v>
      </c>
      <c r="F232">
        <f t="shared" si="3"/>
        <v>10700</v>
      </c>
    </row>
    <row r="233" spans="1:6">
      <c r="A233" s="1" cm="1">
        <f t="array" ref="A233">INDEX(Weekly_Inventory_Flow!$A$2:$A$261,INT((ROW()-2)/4)+1)</f>
        <v>46104</v>
      </c>
      <c r="B233" t="str" cm="1">
        <f t="array" ref="B233">INDEX(Weekly_Inventory_Flow!$B$2:$B$261,INT((ROW()-2)/4)+1)</f>
        <v>P003</v>
      </c>
      <c r="C233" t="str" cm="1">
        <f t="array" ref="C233">INDEX(BOM!$B$2:$B$21,MATCH(B233,BOM!$A$2:$A$21,0)+MOD(ROW()-2,4))</f>
        <v>M008</v>
      </c>
      <c r="D233" cm="1">
        <f t="array" ref="D233">INDEX(Weekly_Inventory_Flow!$I$2:$I$261,INT((ROW()-2)/4)+1)</f>
        <v>10700</v>
      </c>
      <c r="E233" cm="1">
        <f t="array" ref="E233">INDEX(BOM!$C$2:$C$21,MATCH(B233,BOM!$A$2:$A$21,0)+MOD(ROW()-2,4))</f>
        <v>1</v>
      </c>
      <c r="F233">
        <f t="shared" si="3"/>
        <v>10700</v>
      </c>
    </row>
    <row r="234" spans="1:6">
      <c r="A234" s="1" cm="1">
        <f t="array" ref="A234">INDEX(Weekly_Inventory_Flow!$A$2:$A$261,INT((ROW()-2)/4)+1)</f>
        <v>46104</v>
      </c>
      <c r="B234" t="str" cm="1">
        <f t="array" ref="B234">INDEX(Weekly_Inventory_Flow!$B$2:$B$261,INT((ROW()-2)/4)+1)</f>
        <v>P004</v>
      </c>
      <c r="C234" t="str" cm="1">
        <f t="array" ref="C234">INDEX(BOM!$B$2:$B$21,MATCH(B234,BOM!$A$2:$A$21,0)+MOD(ROW()-2,4))</f>
        <v>M004</v>
      </c>
      <c r="D234" cm="1">
        <f t="array" ref="D234">INDEX(Weekly_Inventory_Flow!$I$2:$I$261,INT((ROW()-2)/4)+1)</f>
        <v>11500</v>
      </c>
      <c r="E234" cm="1">
        <f t="array" ref="E234">INDEX(BOM!$C$2:$C$21,MATCH(B234,BOM!$A$2:$A$21,0)+MOD(ROW()-2,4))</f>
        <v>0.34</v>
      </c>
      <c r="F234">
        <f t="shared" si="3"/>
        <v>3910.0000000000005</v>
      </c>
    </row>
    <row r="235" spans="1:6">
      <c r="A235" s="1" cm="1">
        <f t="array" ref="A235">INDEX(Weekly_Inventory_Flow!$A$2:$A$261,INT((ROW()-2)/4)+1)</f>
        <v>46104</v>
      </c>
      <c r="B235" t="str" cm="1">
        <f t="array" ref="B235">INDEX(Weekly_Inventory_Flow!$B$2:$B$261,INT((ROW()-2)/4)+1)</f>
        <v>P004</v>
      </c>
      <c r="C235" t="str" cm="1">
        <f t="array" ref="C235">INDEX(BOM!$B$2:$B$21,MATCH(B235,BOM!$A$2:$A$21,0)+MOD(ROW()-2,4))</f>
        <v>M006</v>
      </c>
      <c r="D235" cm="1">
        <f t="array" ref="D235">INDEX(Weekly_Inventory_Flow!$I$2:$I$261,INT((ROW()-2)/4)+1)</f>
        <v>11500</v>
      </c>
      <c r="E235" cm="1">
        <f t="array" ref="E235">INDEX(BOM!$C$2:$C$21,MATCH(B235,BOM!$A$2:$A$21,0)+MOD(ROW()-2,4))</f>
        <v>8.9999999999999993E-3</v>
      </c>
      <c r="F235">
        <f t="shared" si="3"/>
        <v>103.49999999999999</v>
      </c>
    </row>
    <row r="236" spans="1:6">
      <c r="A236" s="1" cm="1">
        <f t="array" ref="A236">INDEX(Weekly_Inventory_Flow!$A$2:$A$261,INT((ROW()-2)/4)+1)</f>
        <v>46104</v>
      </c>
      <c r="B236" t="str" cm="1">
        <f t="array" ref="B236">INDEX(Weekly_Inventory_Flow!$B$2:$B$261,INT((ROW()-2)/4)+1)</f>
        <v>P004</v>
      </c>
      <c r="C236" t="str" cm="1">
        <f t="array" ref="C236">INDEX(BOM!$B$2:$B$21,MATCH(B236,BOM!$A$2:$A$21,0)+MOD(ROW()-2,4))</f>
        <v>M007</v>
      </c>
      <c r="D236" cm="1">
        <f t="array" ref="D236">INDEX(Weekly_Inventory_Flow!$I$2:$I$261,INT((ROW()-2)/4)+1)</f>
        <v>11500</v>
      </c>
      <c r="E236" cm="1">
        <f t="array" ref="E236">INDEX(BOM!$C$2:$C$21,MATCH(B236,BOM!$A$2:$A$21,0)+MOD(ROW()-2,4))</f>
        <v>1</v>
      </c>
      <c r="F236">
        <f t="shared" si="3"/>
        <v>11500</v>
      </c>
    </row>
    <row r="237" spans="1:6">
      <c r="A237" s="1" cm="1">
        <f t="array" ref="A237">INDEX(Weekly_Inventory_Flow!$A$2:$A$261,INT((ROW()-2)/4)+1)</f>
        <v>46104</v>
      </c>
      <c r="B237" t="str" cm="1">
        <f t="array" ref="B237">INDEX(Weekly_Inventory_Flow!$B$2:$B$261,INT((ROW()-2)/4)+1)</f>
        <v>P004</v>
      </c>
      <c r="C237" t="str" cm="1">
        <f t="array" ref="C237">INDEX(BOM!$B$2:$B$21,MATCH(B237,BOM!$A$2:$A$21,0)+MOD(ROW()-2,4))</f>
        <v>M008</v>
      </c>
      <c r="D237" cm="1">
        <f t="array" ref="D237">INDEX(Weekly_Inventory_Flow!$I$2:$I$261,INT((ROW()-2)/4)+1)</f>
        <v>11500</v>
      </c>
      <c r="E237" cm="1">
        <f t="array" ref="E237">INDEX(BOM!$C$2:$C$21,MATCH(B237,BOM!$A$2:$A$21,0)+MOD(ROW()-2,4))</f>
        <v>1</v>
      </c>
      <c r="F237">
        <f t="shared" si="3"/>
        <v>11500</v>
      </c>
    </row>
    <row r="238" spans="1:6">
      <c r="A238" s="1" cm="1">
        <f t="array" ref="A238">INDEX(Weekly_Inventory_Flow!$A$2:$A$261,INT((ROW()-2)/4)+1)</f>
        <v>46104</v>
      </c>
      <c r="B238" t="str" cm="1">
        <f t="array" ref="B238">INDEX(Weekly_Inventory_Flow!$B$2:$B$261,INT((ROW()-2)/4)+1)</f>
        <v>P005</v>
      </c>
      <c r="C238" t="str" cm="1">
        <f t="array" ref="C238">INDEX(BOM!$B$2:$B$21,MATCH(B238,BOM!$A$2:$A$21,0)+MOD(ROW()-2,4))</f>
        <v>M005</v>
      </c>
      <c r="D238" cm="1">
        <f t="array" ref="D238">INDEX(Weekly_Inventory_Flow!$I$2:$I$261,INT((ROW()-2)/4)+1)</f>
        <v>8700</v>
      </c>
      <c r="E238" cm="1">
        <f t="array" ref="E238">INDEX(BOM!$C$2:$C$21,MATCH(B238,BOM!$A$2:$A$21,0)+MOD(ROW()-2,4))</f>
        <v>0.52</v>
      </c>
      <c r="F238">
        <f t="shared" si="3"/>
        <v>4524</v>
      </c>
    </row>
    <row r="239" spans="1:6">
      <c r="A239" s="1" cm="1">
        <f t="array" ref="A239">INDEX(Weekly_Inventory_Flow!$A$2:$A$261,INT((ROW()-2)/4)+1)</f>
        <v>46104</v>
      </c>
      <c r="B239" t="str" cm="1">
        <f t="array" ref="B239">INDEX(Weekly_Inventory_Flow!$B$2:$B$261,INT((ROW()-2)/4)+1)</f>
        <v>P005</v>
      </c>
      <c r="C239" t="str" cm="1">
        <f t="array" ref="C239">INDEX(BOM!$B$2:$B$21,MATCH(B239,BOM!$A$2:$A$21,0)+MOD(ROW()-2,4))</f>
        <v>M006</v>
      </c>
      <c r="D239" cm="1">
        <f t="array" ref="D239">INDEX(Weekly_Inventory_Flow!$I$2:$I$261,INT((ROW()-2)/4)+1)</f>
        <v>8700</v>
      </c>
      <c r="E239" cm="1">
        <f t="array" ref="E239">INDEX(BOM!$C$2:$C$21,MATCH(B239,BOM!$A$2:$A$21,0)+MOD(ROW()-2,4))</f>
        <v>1.2E-2</v>
      </c>
      <c r="F239">
        <f t="shared" si="3"/>
        <v>104.4</v>
      </c>
    </row>
    <row r="240" spans="1:6">
      <c r="A240" s="1" cm="1">
        <f t="array" ref="A240">INDEX(Weekly_Inventory_Flow!$A$2:$A$261,INT((ROW()-2)/4)+1)</f>
        <v>46104</v>
      </c>
      <c r="B240" t="str" cm="1">
        <f t="array" ref="B240">INDEX(Weekly_Inventory_Flow!$B$2:$B$261,INT((ROW()-2)/4)+1)</f>
        <v>P005</v>
      </c>
      <c r="C240" t="str" cm="1">
        <f t="array" ref="C240">INDEX(BOM!$B$2:$B$21,MATCH(B240,BOM!$A$2:$A$21,0)+MOD(ROW()-2,4))</f>
        <v>M007</v>
      </c>
      <c r="D240" cm="1">
        <f t="array" ref="D240">INDEX(Weekly_Inventory_Flow!$I$2:$I$261,INT((ROW()-2)/4)+1)</f>
        <v>8700</v>
      </c>
      <c r="E240" cm="1">
        <f t="array" ref="E240">INDEX(BOM!$C$2:$C$21,MATCH(B240,BOM!$A$2:$A$21,0)+MOD(ROW()-2,4))</f>
        <v>1</v>
      </c>
      <c r="F240">
        <f t="shared" si="3"/>
        <v>8700</v>
      </c>
    </row>
    <row r="241" spans="1:6">
      <c r="A241" s="1" cm="1">
        <f t="array" ref="A241">INDEX(Weekly_Inventory_Flow!$A$2:$A$261,INT((ROW()-2)/4)+1)</f>
        <v>46104</v>
      </c>
      <c r="B241" t="str" cm="1">
        <f t="array" ref="B241">INDEX(Weekly_Inventory_Flow!$B$2:$B$261,INT((ROW()-2)/4)+1)</f>
        <v>P005</v>
      </c>
      <c r="C241" t="str" cm="1">
        <f t="array" ref="C241">INDEX(BOM!$B$2:$B$21,MATCH(B241,BOM!$A$2:$A$21,0)+MOD(ROW()-2,4))</f>
        <v>M008</v>
      </c>
      <c r="D241" cm="1">
        <f t="array" ref="D241">INDEX(Weekly_Inventory_Flow!$I$2:$I$261,INT((ROW()-2)/4)+1)</f>
        <v>8700</v>
      </c>
      <c r="E241" cm="1">
        <f t="array" ref="E241">INDEX(BOM!$C$2:$C$21,MATCH(B241,BOM!$A$2:$A$21,0)+MOD(ROW()-2,4))</f>
        <v>1</v>
      </c>
      <c r="F241">
        <f t="shared" si="3"/>
        <v>8700</v>
      </c>
    </row>
    <row r="242" spans="1:6">
      <c r="A242" s="1" cm="1">
        <f t="array" ref="A242">INDEX(Weekly_Inventory_Flow!$A$2:$A$261,INT((ROW()-2)/4)+1)</f>
        <v>46111</v>
      </c>
      <c r="B242" t="str" cm="1">
        <f t="array" ref="B242">INDEX(Weekly_Inventory_Flow!$B$2:$B$261,INT((ROW()-2)/4)+1)</f>
        <v>P001</v>
      </c>
      <c r="C242" t="str" cm="1">
        <f t="array" ref="C242">INDEX(BOM!$B$2:$B$21,MATCH(B242,BOM!$A$2:$A$21,0)+MOD(ROW()-2,4))</f>
        <v>M001</v>
      </c>
      <c r="D242" cm="1">
        <f t="array" ref="D242">INDEX(Weekly_Inventory_Flow!$I$2:$I$261,INT((ROW()-2)/4)+1)</f>
        <v>15200</v>
      </c>
      <c r="E242" cm="1">
        <f t="array" ref="E242">INDEX(BOM!$C$2:$C$21,MATCH(B242,BOM!$A$2:$A$21,0)+MOD(ROW()-2,4))</f>
        <v>0.35</v>
      </c>
      <c r="F242">
        <f t="shared" si="3"/>
        <v>5320</v>
      </c>
    </row>
    <row r="243" spans="1:6">
      <c r="A243" s="1" cm="1">
        <f t="array" ref="A243">INDEX(Weekly_Inventory_Flow!$A$2:$A$261,INT((ROW()-2)/4)+1)</f>
        <v>46111</v>
      </c>
      <c r="B243" t="str" cm="1">
        <f t="array" ref="B243">INDEX(Weekly_Inventory_Flow!$B$2:$B$261,INT((ROW()-2)/4)+1)</f>
        <v>P001</v>
      </c>
      <c r="C243" t="str" cm="1">
        <f t="array" ref="C243">INDEX(BOM!$B$2:$B$21,MATCH(B243,BOM!$A$2:$A$21,0)+MOD(ROW()-2,4))</f>
        <v>M006</v>
      </c>
      <c r="D243" cm="1">
        <f t="array" ref="D243">INDEX(Weekly_Inventory_Flow!$I$2:$I$261,INT((ROW()-2)/4)+1)</f>
        <v>15200</v>
      </c>
      <c r="E243" cm="1">
        <f t="array" ref="E243">INDEX(BOM!$C$2:$C$21,MATCH(B243,BOM!$A$2:$A$21,0)+MOD(ROW()-2,4))</f>
        <v>0.01</v>
      </c>
      <c r="F243">
        <f t="shared" si="3"/>
        <v>152</v>
      </c>
    </row>
    <row r="244" spans="1:6">
      <c r="A244" s="1" cm="1">
        <f t="array" ref="A244">INDEX(Weekly_Inventory_Flow!$A$2:$A$261,INT((ROW()-2)/4)+1)</f>
        <v>46111</v>
      </c>
      <c r="B244" t="str" cm="1">
        <f t="array" ref="B244">INDEX(Weekly_Inventory_Flow!$B$2:$B$261,INT((ROW()-2)/4)+1)</f>
        <v>P001</v>
      </c>
      <c r="C244" t="str" cm="1">
        <f t="array" ref="C244">INDEX(BOM!$B$2:$B$21,MATCH(B244,BOM!$A$2:$A$21,0)+MOD(ROW()-2,4))</f>
        <v>M007</v>
      </c>
      <c r="D244" cm="1">
        <f t="array" ref="D244">INDEX(Weekly_Inventory_Flow!$I$2:$I$261,INT((ROW()-2)/4)+1)</f>
        <v>15200</v>
      </c>
      <c r="E244" cm="1">
        <f t="array" ref="E244">INDEX(BOM!$C$2:$C$21,MATCH(B244,BOM!$A$2:$A$21,0)+MOD(ROW()-2,4))</f>
        <v>1</v>
      </c>
      <c r="F244">
        <f t="shared" si="3"/>
        <v>15200</v>
      </c>
    </row>
    <row r="245" spans="1:6">
      <c r="A245" s="1" cm="1">
        <f t="array" ref="A245">INDEX(Weekly_Inventory_Flow!$A$2:$A$261,INT((ROW()-2)/4)+1)</f>
        <v>46111</v>
      </c>
      <c r="B245" t="str" cm="1">
        <f t="array" ref="B245">INDEX(Weekly_Inventory_Flow!$B$2:$B$261,INT((ROW()-2)/4)+1)</f>
        <v>P001</v>
      </c>
      <c r="C245" t="str" cm="1">
        <f t="array" ref="C245">INDEX(BOM!$B$2:$B$21,MATCH(B245,BOM!$A$2:$A$21,0)+MOD(ROW()-2,4))</f>
        <v>M008</v>
      </c>
      <c r="D245" cm="1">
        <f t="array" ref="D245">INDEX(Weekly_Inventory_Flow!$I$2:$I$261,INT((ROW()-2)/4)+1)</f>
        <v>15200</v>
      </c>
      <c r="E245" cm="1">
        <f t="array" ref="E245">INDEX(BOM!$C$2:$C$21,MATCH(B245,BOM!$A$2:$A$21,0)+MOD(ROW()-2,4))</f>
        <v>1</v>
      </c>
      <c r="F245">
        <f t="shared" si="3"/>
        <v>15200</v>
      </c>
    </row>
    <row r="246" spans="1:6">
      <c r="A246" s="1" cm="1">
        <f t="array" ref="A246">INDEX(Weekly_Inventory_Flow!$A$2:$A$261,INT((ROW()-2)/4)+1)</f>
        <v>46111</v>
      </c>
      <c r="B246" t="str" cm="1">
        <f t="array" ref="B246">INDEX(Weekly_Inventory_Flow!$B$2:$B$261,INT((ROW()-2)/4)+1)</f>
        <v>P002</v>
      </c>
      <c r="C246" t="str" cm="1">
        <f t="array" ref="C246">INDEX(BOM!$B$2:$B$21,MATCH(B246,BOM!$A$2:$A$21,0)+MOD(ROW()-2,4))</f>
        <v>M002</v>
      </c>
      <c r="D246" cm="1">
        <f t="array" ref="D246">INDEX(Weekly_Inventory_Flow!$I$2:$I$261,INT((ROW()-2)/4)+1)</f>
        <v>12900</v>
      </c>
      <c r="E246" cm="1">
        <f t="array" ref="E246">INDEX(BOM!$C$2:$C$21,MATCH(B246,BOM!$A$2:$A$21,0)+MOD(ROW()-2,4))</f>
        <v>0.3</v>
      </c>
      <c r="F246">
        <f t="shared" si="3"/>
        <v>3870</v>
      </c>
    </row>
    <row r="247" spans="1:6">
      <c r="A247" s="1" cm="1">
        <f t="array" ref="A247">INDEX(Weekly_Inventory_Flow!$A$2:$A$261,INT((ROW()-2)/4)+1)</f>
        <v>46111</v>
      </c>
      <c r="B247" t="str" cm="1">
        <f t="array" ref="B247">INDEX(Weekly_Inventory_Flow!$B$2:$B$261,INT((ROW()-2)/4)+1)</f>
        <v>P002</v>
      </c>
      <c r="C247" t="str" cm="1">
        <f t="array" ref="C247">INDEX(BOM!$B$2:$B$21,MATCH(B247,BOM!$A$2:$A$21,0)+MOD(ROW()-2,4))</f>
        <v>M006</v>
      </c>
      <c r="D247" cm="1">
        <f t="array" ref="D247">INDEX(Weekly_Inventory_Flow!$I$2:$I$261,INT((ROW()-2)/4)+1)</f>
        <v>12900</v>
      </c>
      <c r="E247" cm="1">
        <f t="array" ref="E247">INDEX(BOM!$C$2:$C$21,MATCH(B247,BOM!$A$2:$A$21,0)+MOD(ROW()-2,4))</f>
        <v>8.0000000000000002E-3</v>
      </c>
      <c r="F247">
        <f t="shared" si="3"/>
        <v>103.2</v>
      </c>
    </row>
    <row r="248" spans="1:6">
      <c r="A248" s="1" cm="1">
        <f t="array" ref="A248">INDEX(Weekly_Inventory_Flow!$A$2:$A$261,INT((ROW()-2)/4)+1)</f>
        <v>46111</v>
      </c>
      <c r="B248" t="str" cm="1">
        <f t="array" ref="B248">INDEX(Weekly_Inventory_Flow!$B$2:$B$261,INT((ROW()-2)/4)+1)</f>
        <v>P002</v>
      </c>
      <c r="C248" t="str" cm="1">
        <f t="array" ref="C248">INDEX(BOM!$B$2:$B$21,MATCH(B248,BOM!$A$2:$A$21,0)+MOD(ROW()-2,4))</f>
        <v>M007</v>
      </c>
      <c r="D248" cm="1">
        <f t="array" ref="D248">INDEX(Weekly_Inventory_Flow!$I$2:$I$261,INT((ROW()-2)/4)+1)</f>
        <v>12900</v>
      </c>
      <c r="E248" cm="1">
        <f t="array" ref="E248">INDEX(BOM!$C$2:$C$21,MATCH(B248,BOM!$A$2:$A$21,0)+MOD(ROW()-2,4))</f>
        <v>1</v>
      </c>
      <c r="F248">
        <f t="shared" si="3"/>
        <v>12900</v>
      </c>
    </row>
    <row r="249" spans="1:6">
      <c r="A249" s="1" cm="1">
        <f t="array" ref="A249">INDEX(Weekly_Inventory_Flow!$A$2:$A$261,INT((ROW()-2)/4)+1)</f>
        <v>46111</v>
      </c>
      <c r="B249" t="str" cm="1">
        <f t="array" ref="B249">INDEX(Weekly_Inventory_Flow!$B$2:$B$261,INT((ROW()-2)/4)+1)</f>
        <v>P002</v>
      </c>
      <c r="C249" t="str" cm="1">
        <f t="array" ref="C249">INDEX(BOM!$B$2:$B$21,MATCH(B249,BOM!$A$2:$A$21,0)+MOD(ROW()-2,4))</f>
        <v>M008</v>
      </c>
      <c r="D249" cm="1">
        <f t="array" ref="D249">INDEX(Weekly_Inventory_Flow!$I$2:$I$261,INT((ROW()-2)/4)+1)</f>
        <v>12900</v>
      </c>
      <c r="E249" cm="1">
        <f t="array" ref="E249">INDEX(BOM!$C$2:$C$21,MATCH(B249,BOM!$A$2:$A$21,0)+MOD(ROW()-2,4))</f>
        <v>1</v>
      </c>
      <c r="F249">
        <f t="shared" si="3"/>
        <v>12900</v>
      </c>
    </row>
    <row r="250" spans="1:6">
      <c r="A250" s="1" cm="1">
        <f t="array" ref="A250">INDEX(Weekly_Inventory_Flow!$A$2:$A$261,INT((ROW()-2)/4)+1)</f>
        <v>46111</v>
      </c>
      <c r="B250" t="str" cm="1">
        <f t="array" ref="B250">INDEX(Weekly_Inventory_Flow!$B$2:$B$261,INT((ROW()-2)/4)+1)</f>
        <v>P003</v>
      </c>
      <c r="C250" t="str" cm="1">
        <f t="array" ref="C250">INDEX(BOM!$B$2:$B$21,MATCH(B250,BOM!$A$2:$A$21,0)+MOD(ROW()-2,4))</f>
        <v>M003</v>
      </c>
      <c r="D250" cm="1">
        <f t="array" ref="D250">INDEX(Weekly_Inventory_Flow!$I$2:$I$261,INT((ROW()-2)/4)+1)</f>
        <v>10100</v>
      </c>
      <c r="E250" cm="1">
        <f t="array" ref="E250">INDEX(BOM!$C$2:$C$21,MATCH(B250,BOM!$A$2:$A$21,0)+MOD(ROW()-2,4))</f>
        <v>0.25</v>
      </c>
      <c r="F250">
        <f t="shared" si="3"/>
        <v>2525</v>
      </c>
    </row>
    <row r="251" spans="1:6">
      <c r="A251" s="1" cm="1">
        <f t="array" ref="A251">INDEX(Weekly_Inventory_Flow!$A$2:$A$261,INT((ROW()-2)/4)+1)</f>
        <v>46111</v>
      </c>
      <c r="B251" t="str" cm="1">
        <f t="array" ref="B251">INDEX(Weekly_Inventory_Flow!$B$2:$B$261,INT((ROW()-2)/4)+1)</f>
        <v>P003</v>
      </c>
      <c r="C251" t="str" cm="1">
        <f t="array" ref="C251">INDEX(BOM!$B$2:$B$21,MATCH(B251,BOM!$A$2:$A$21,0)+MOD(ROW()-2,4))</f>
        <v>M006</v>
      </c>
      <c r="D251" cm="1">
        <f t="array" ref="D251">INDEX(Weekly_Inventory_Flow!$I$2:$I$261,INT((ROW()-2)/4)+1)</f>
        <v>10100</v>
      </c>
      <c r="E251" cm="1">
        <f t="array" ref="E251">INDEX(BOM!$C$2:$C$21,MATCH(B251,BOM!$A$2:$A$21,0)+MOD(ROW()-2,4))</f>
        <v>6.0000000000000001E-3</v>
      </c>
      <c r="F251">
        <f t="shared" si="3"/>
        <v>60.6</v>
      </c>
    </row>
    <row r="252" spans="1:6">
      <c r="A252" s="1" cm="1">
        <f t="array" ref="A252">INDEX(Weekly_Inventory_Flow!$A$2:$A$261,INT((ROW()-2)/4)+1)</f>
        <v>46111</v>
      </c>
      <c r="B252" t="str" cm="1">
        <f t="array" ref="B252">INDEX(Weekly_Inventory_Flow!$B$2:$B$261,INT((ROW()-2)/4)+1)</f>
        <v>P003</v>
      </c>
      <c r="C252" t="str" cm="1">
        <f t="array" ref="C252">INDEX(BOM!$B$2:$B$21,MATCH(B252,BOM!$A$2:$A$21,0)+MOD(ROW()-2,4))</f>
        <v>M007</v>
      </c>
      <c r="D252" cm="1">
        <f t="array" ref="D252">INDEX(Weekly_Inventory_Flow!$I$2:$I$261,INT((ROW()-2)/4)+1)</f>
        <v>10100</v>
      </c>
      <c r="E252" cm="1">
        <f t="array" ref="E252">INDEX(BOM!$C$2:$C$21,MATCH(B252,BOM!$A$2:$A$21,0)+MOD(ROW()-2,4))</f>
        <v>1</v>
      </c>
      <c r="F252">
        <f t="shared" si="3"/>
        <v>10100</v>
      </c>
    </row>
    <row r="253" spans="1:6">
      <c r="A253" s="1" cm="1">
        <f t="array" ref="A253">INDEX(Weekly_Inventory_Flow!$A$2:$A$261,INT((ROW()-2)/4)+1)</f>
        <v>46111</v>
      </c>
      <c r="B253" t="str" cm="1">
        <f t="array" ref="B253">INDEX(Weekly_Inventory_Flow!$B$2:$B$261,INT((ROW()-2)/4)+1)</f>
        <v>P003</v>
      </c>
      <c r="C253" t="str" cm="1">
        <f t="array" ref="C253">INDEX(BOM!$B$2:$B$21,MATCH(B253,BOM!$A$2:$A$21,0)+MOD(ROW()-2,4))</f>
        <v>M008</v>
      </c>
      <c r="D253" cm="1">
        <f t="array" ref="D253">INDEX(Weekly_Inventory_Flow!$I$2:$I$261,INT((ROW()-2)/4)+1)</f>
        <v>10100</v>
      </c>
      <c r="E253" cm="1">
        <f t="array" ref="E253">INDEX(BOM!$C$2:$C$21,MATCH(B253,BOM!$A$2:$A$21,0)+MOD(ROW()-2,4))</f>
        <v>1</v>
      </c>
      <c r="F253">
        <f t="shared" si="3"/>
        <v>10100</v>
      </c>
    </row>
    <row r="254" spans="1:6">
      <c r="A254" s="1" cm="1">
        <f t="array" ref="A254">INDEX(Weekly_Inventory_Flow!$A$2:$A$261,INT((ROW()-2)/4)+1)</f>
        <v>46111</v>
      </c>
      <c r="B254" t="str" cm="1">
        <f t="array" ref="B254">INDEX(Weekly_Inventory_Flow!$B$2:$B$261,INT((ROW()-2)/4)+1)</f>
        <v>P004</v>
      </c>
      <c r="C254" t="str" cm="1">
        <f t="array" ref="C254">INDEX(BOM!$B$2:$B$21,MATCH(B254,BOM!$A$2:$A$21,0)+MOD(ROW()-2,4))</f>
        <v>M004</v>
      </c>
      <c r="D254" cm="1">
        <f t="array" ref="D254">INDEX(Weekly_Inventory_Flow!$I$2:$I$261,INT((ROW()-2)/4)+1)</f>
        <v>11900</v>
      </c>
      <c r="E254" cm="1">
        <f t="array" ref="E254">INDEX(BOM!$C$2:$C$21,MATCH(B254,BOM!$A$2:$A$21,0)+MOD(ROW()-2,4))</f>
        <v>0.34</v>
      </c>
      <c r="F254">
        <f t="shared" si="3"/>
        <v>4046.0000000000005</v>
      </c>
    </row>
    <row r="255" spans="1:6">
      <c r="A255" s="1" cm="1">
        <f t="array" ref="A255">INDEX(Weekly_Inventory_Flow!$A$2:$A$261,INT((ROW()-2)/4)+1)</f>
        <v>46111</v>
      </c>
      <c r="B255" t="str" cm="1">
        <f t="array" ref="B255">INDEX(Weekly_Inventory_Flow!$B$2:$B$261,INT((ROW()-2)/4)+1)</f>
        <v>P004</v>
      </c>
      <c r="C255" t="str" cm="1">
        <f t="array" ref="C255">INDEX(BOM!$B$2:$B$21,MATCH(B255,BOM!$A$2:$A$21,0)+MOD(ROW()-2,4))</f>
        <v>M006</v>
      </c>
      <c r="D255" cm="1">
        <f t="array" ref="D255">INDEX(Weekly_Inventory_Flow!$I$2:$I$261,INT((ROW()-2)/4)+1)</f>
        <v>11900</v>
      </c>
      <c r="E255" cm="1">
        <f t="array" ref="E255">INDEX(BOM!$C$2:$C$21,MATCH(B255,BOM!$A$2:$A$21,0)+MOD(ROW()-2,4))</f>
        <v>8.9999999999999993E-3</v>
      </c>
      <c r="F255">
        <f t="shared" si="3"/>
        <v>107.1</v>
      </c>
    </row>
    <row r="256" spans="1:6">
      <c r="A256" s="1" cm="1">
        <f t="array" ref="A256">INDEX(Weekly_Inventory_Flow!$A$2:$A$261,INT((ROW()-2)/4)+1)</f>
        <v>46111</v>
      </c>
      <c r="B256" t="str" cm="1">
        <f t="array" ref="B256">INDEX(Weekly_Inventory_Flow!$B$2:$B$261,INT((ROW()-2)/4)+1)</f>
        <v>P004</v>
      </c>
      <c r="C256" t="str" cm="1">
        <f t="array" ref="C256">INDEX(BOM!$B$2:$B$21,MATCH(B256,BOM!$A$2:$A$21,0)+MOD(ROW()-2,4))</f>
        <v>M007</v>
      </c>
      <c r="D256" cm="1">
        <f t="array" ref="D256">INDEX(Weekly_Inventory_Flow!$I$2:$I$261,INT((ROW()-2)/4)+1)</f>
        <v>11900</v>
      </c>
      <c r="E256" cm="1">
        <f t="array" ref="E256">INDEX(BOM!$C$2:$C$21,MATCH(B256,BOM!$A$2:$A$21,0)+MOD(ROW()-2,4))</f>
        <v>1</v>
      </c>
      <c r="F256">
        <f t="shared" si="3"/>
        <v>11900</v>
      </c>
    </row>
    <row r="257" spans="1:6">
      <c r="A257" s="1" cm="1">
        <f t="array" ref="A257">INDEX(Weekly_Inventory_Flow!$A$2:$A$261,INT((ROW()-2)/4)+1)</f>
        <v>46111</v>
      </c>
      <c r="B257" t="str" cm="1">
        <f t="array" ref="B257">INDEX(Weekly_Inventory_Flow!$B$2:$B$261,INT((ROW()-2)/4)+1)</f>
        <v>P004</v>
      </c>
      <c r="C257" t="str" cm="1">
        <f t="array" ref="C257">INDEX(BOM!$B$2:$B$21,MATCH(B257,BOM!$A$2:$A$21,0)+MOD(ROW()-2,4))</f>
        <v>M008</v>
      </c>
      <c r="D257" cm="1">
        <f t="array" ref="D257">INDEX(Weekly_Inventory_Flow!$I$2:$I$261,INT((ROW()-2)/4)+1)</f>
        <v>11900</v>
      </c>
      <c r="E257" cm="1">
        <f t="array" ref="E257">INDEX(BOM!$C$2:$C$21,MATCH(B257,BOM!$A$2:$A$21,0)+MOD(ROW()-2,4))</f>
        <v>1</v>
      </c>
      <c r="F257">
        <f t="shared" si="3"/>
        <v>11900</v>
      </c>
    </row>
    <row r="258" spans="1:6">
      <c r="A258" s="1" cm="1">
        <f t="array" ref="A258">INDEX(Weekly_Inventory_Flow!$A$2:$A$261,INT((ROW()-2)/4)+1)</f>
        <v>46111</v>
      </c>
      <c r="B258" t="str" cm="1">
        <f t="array" ref="B258">INDEX(Weekly_Inventory_Flow!$B$2:$B$261,INT((ROW()-2)/4)+1)</f>
        <v>P005</v>
      </c>
      <c r="C258" t="str" cm="1">
        <f t="array" ref="C258">INDEX(BOM!$B$2:$B$21,MATCH(B258,BOM!$A$2:$A$21,0)+MOD(ROW()-2,4))</f>
        <v>M005</v>
      </c>
      <c r="D258" cm="1">
        <f t="array" ref="D258">INDEX(Weekly_Inventory_Flow!$I$2:$I$261,INT((ROW()-2)/4)+1)</f>
        <v>8900</v>
      </c>
      <c r="E258" cm="1">
        <f t="array" ref="E258">INDEX(BOM!$C$2:$C$21,MATCH(B258,BOM!$A$2:$A$21,0)+MOD(ROW()-2,4))</f>
        <v>0.52</v>
      </c>
      <c r="F258">
        <f t="shared" si="3"/>
        <v>4628</v>
      </c>
    </row>
    <row r="259" spans="1:6">
      <c r="A259" s="1" cm="1">
        <f t="array" ref="A259">INDEX(Weekly_Inventory_Flow!$A$2:$A$261,INT((ROW()-2)/4)+1)</f>
        <v>46111</v>
      </c>
      <c r="B259" t="str" cm="1">
        <f t="array" ref="B259">INDEX(Weekly_Inventory_Flow!$B$2:$B$261,INT((ROW()-2)/4)+1)</f>
        <v>P005</v>
      </c>
      <c r="C259" t="str" cm="1">
        <f t="array" ref="C259">INDEX(BOM!$B$2:$B$21,MATCH(B259,BOM!$A$2:$A$21,0)+MOD(ROW()-2,4))</f>
        <v>M006</v>
      </c>
      <c r="D259" cm="1">
        <f t="array" ref="D259">INDEX(Weekly_Inventory_Flow!$I$2:$I$261,INT((ROW()-2)/4)+1)</f>
        <v>8900</v>
      </c>
      <c r="E259" cm="1">
        <f t="array" ref="E259">INDEX(BOM!$C$2:$C$21,MATCH(B259,BOM!$A$2:$A$21,0)+MOD(ROW()-2,4))</f>
        <v>1.2E-2</v>
      </c>
      <c r="F259">
        <f t="shared" ref="F259:F322" si="4">D259*E259</f>
        <v>106.8</v>
      </c>
    </row>
    <row r="260" spans="1:6">
      <c r="A260" s="1" cm="1">
        <f t="array" ref="A260">INDEX(Weekly_Inventory_Flow!$A$2:$A$261,INT((ROW()-2)/4)+1)</f>
        <v>46111</v>
      </c>
      <c r="B260" t="str" cm="1">
        <f t="array" ref="B260">INDEX(Weekly_Inventory_Flow!$B$2:$B$261,INT((ROW()-2)/4)+1)</f>
        <v>P005</v>
      </c>
      <c r="C260" t="str" cm="1">
        <f t="array" ref="C260">INDEX(BOM!$B$2:$B$21,MATCH(B260,BOM!$A$2:$A$21,0)+MOD(ROW()-2,4))</f>
        <v>M007</v>
      </c>
      <c r="D260" cm="1">
        <f t="array" ref="D260">INDEX(Weekly_Inventory_Flow!$I$2:$I$261,INT((ROW()-2)/4)+1)</f>
        <v>8900</v>
      </c>
      <c r="E260" cm="1">
        <f t="array" ref="E260">INDEX(BOM!$C$2:$C$21,MATCH(B260,BOM!$A$2:$A$21,0)+MOD(ROW()-2,4))</f>
        <v>1</v>
      </c>
      <c r="F260">
        <f t="shared" si="4"/>
        <v>8900</v>
      </c>
    </row>
    <row r="261" spans="1:6">
      <c r="A261" s="1" cm="1">
        <f t="array" ref="A261">INDEX(Weekly_Inventory_Flow!$A$2:$A$261,INT((ROW()-2)/4)+1)</f>
        <v>46111</v>
      </c>
      <c r="B261" t="str" cm="1">
        <f t="array" ref="B261">INDEX(Weekly_Inventory_Flow!$B$2:$B$261,INT((ROW()-2)/4)+1)</f>
        <v>P005</v>
      </c>
      <c r="C261" t="str" cm="1">
        <f t="array" ref="C261">INDEX(BOM!$B$2:$B$21,MATCH(B261,BOM!$A$2:$A$21,0)+MOD(ROW()-2,4))</f>
        <v>M008</v>
      </c>
      <c r="D261" cm="1">
        <f t="array" ref="D261">INDEX(Weekly_Inventory_Flow!$I$2:$I$261,INT((ROW()-2)/4)+1)</f>
        <v>8900</v>
      </c>
      <c r="E261" cm="1">
        <f t="array" ref="E261">INDEX(BOM!$C$2:$C$21,MATCH(B261,BOM!$A$2:$A$21,0)+MOD(ROW()-2,4))</f>
        <v>1</v>
      </c>
      <c r="F261">
        <f t="shared" si="4"/>
        <v>8900</v>
      </c>
    </row>
    <row r="262" spans="1:6">
      <c r="A262" s="1" cm="1">
        <f t="array" ref="A262">INDEX(Weekly_Inventory_Flow!$A$2:$A$261,INT((ROW()-2)/4)+1)</f>
        <v>46118</v>
      </c>
      <c r="B262" t="str" cm="1">
        <f t="array" ref="B262">INDEX(Weekly_Inventory_Flow!$B$2:$B$261,INT((ROW()-2)/4)+1)</f>
        <v>P001</v>
      </c>
      <c r="C262" t="str" cm="1">
        <f t="array" ref="C262">INDEX(BOM!$B$2:$B$21,MATCH(B262,BOM!$A$2:$A$21,0)+MOD(ROW()-2,4))</f>
        <v>M001</v>
      </c>
      <c r="D262" cm="1">
        <f t="array" ref="D262">INDEX(Weekly_Inventory_Flow!$I$2:$I$261,INT((ROW()-2)/4)+1)</f>
        <v>13700</v>
      </c>
      <c r="E262" cm="1">
        <f t="array" ref="E262">INDEX(BOM!$C$2:$C$21,MATCH(B262,BOM!$A$2:$A$21,0)+MOD(ROW()-2,4))</f>
        <v>0.35</v>
      </c>
      <c r="F262">
        <f t="shared" si="4"/>
        <v>4795</v>
      </c>
    </row>
    <row r="263" spans="1:6">
      <c r="A263" s="1" cm="1">
        <f t="array" ref="A263">INDEX(Weekly_Inventory_Flow!$A$2:$A$261,INT((ROW()-2)/4)+1)</f>
        <v>46118</v>
      </c>
      <c r="B263" t="str" cm="1">
        <f t="array" ref="B263">INDEX(Weekly_Inventory_Flow!$B$2:$B$261,INT((ROW()-2)/4)+1)</f>
        <v>P001</v>
      </c>
      <c r="C263" t="str" cm="1">
        <f t="array" ref="C263">INDEX(BOM!$B$2:$B$21,MATCH(B263,BOM!$A$2:$A$21,0)+MOD(ROW()-2,4))</f>
        <v>M006</v>
      </c>
      <c r="D263" cm="1">
        <f t="array" ref="D263">INDEX(Weekly_Inventory_Flow!$I$2:$I$261,INT((ROW()-2)/4)+1)</f>
        <v>13700</v>
      </c>
      <c r="E263" cm="1">
        <f t="array" ref="E263">INDEX(BOM!$C$2:$C$21,MATCH(B263,BOM!$A$2:$A$21,0)+MOD(ROW()-2,4))</f>
        <v>0.01</v>
      </c>
      <c r="F263">
        <f t="shared" si="4"/>
        <v>137</v>
      </c>
    </row>
    <row r="264" spans="1:6">
      <c r="A264" s="1" cm="1">
        <f t="array" ref="A264">INDEX(Weekly_Inventory_Flow!$A$2:$A$261,INT((ROW()-2)/4)+1)</f>
        <v>46118</v>
      </c>
      <c r="B264" t="str" cm="1">
        <f t="array" ref="B264">INDEX(Weekly_Inventory_Flow!$B$2:$B$261,INT((ROW()-2)/4)+1)</f>
        <v>P001</v>
      </c>
      <c r="C264" t="str" cm="1">
        <f t="array" ref="C264">INDEX(BOM!$B$2:$B$21,MATCH(B264,BOM!$A$2:$A$21,0)+MOD(ROW()-2,4))</f>
        <v>M007</v>
      </c>
      <c r="D264" cm="1">
        <f t="array" ref="D264">INDEX(Weekly_Inventory_Flow!$I$2:$I$261,INT((ROW()-2)/4)+1)</f>
        <v>13700</v>
      </c>
      <c r="E264" cm="1">
        <f t="array" ref="E264">INDEX(BOM!$C$2:$C$21,MATCH(B264,BOM!$A$2:$A$21,0)+MOD(ROW()-2,4))</f>
        <v>1</v>
      </c>
      <c r="F264">
        <f t="shared" si="4"/>
        <v>13700</v>
      </c>
    </row>
    <row r="265" spans="1:6">
      <c r="A265" s="1" cm="1">
        <f t="array" ref="A265">INDEX(Weekly_Inventory_Flow!$A$2:$A$261,INT((ROW()-2)/4)+1)</f>
        <v>46118</v>
      </c>
      <c r="B265" t="str" cm="1">
        <f t="array" ref="B265">INDEX(Weekly_Inventory_Flow!$B$2:$B$261,INT((ROW()-2)/4)+1)</f>
        <v>P001</v>
      </c>
      <c r="C265" t="str" cm="1">
        <f t="array" ref="C265">INDEX(BOM!$B$2:$B$21,MATCH(B265,BOM!$A$2:$A$21,0)+MOD(ROW()-2,4))</f>
        <v>M008</v>
      </c>
      <c r="D265" cm="1">
        <f t="array" ref="D265">INDEX(Weekly_Inventory_Flow!$I$2:$I$261,INT((ROW()-2)/4)+1)</f>
        <v>13700</v>
      </c>
      <c r="E265" cm="1">
        <f t="array" ref="E265">INDEX(BOM!$C$2:$C$21,MATCH(B265,BOM!$A$2:$A$21,0)+MOD(ROW()-2,4))</f>
        <v>1</v>
      </c>
      <c r="F265">
        <f t="shared" si="4"/>
        <v>13700</v>
      </c>
    </row>
    <row r="266" spans="1:6">
      <c r="A266" s="1" cm="1">
        <f t="array" ref="A266">INDEX(Weekly_Inventory_Flow!$A$2:$A$261,INT((ROW()-2)/4)+1)</f>
        <v>46118</v>
      </c>
      <c r="B266" t="str" cm="1">
        <f t="array" ref="B266">INDEX(Weekly_Inventory_Flow!$B$2:$B$261,INT((ROW()-2)/4)+1)</f>
        <v>P002</v>
      </c>
      <c r="C266" t="str" cm="1">
        <f t="array" ref="C266">INDEX(BOM!$B$2:$B$21,MATCH(B266,BOM!$A$2:$A$21,0)+MOD(ROW()-2,4))</f>
        <v>M002</v>
      </c>
      <c r="D266" cm="1">
        <f t="array" ref="D266">INDEX(Weekly_Inventory_Flow!$I$2:$I$261,INT((ROW()-2)/4)+1)</f>
        <v>12600</v>
      </c>
      <c r="E266" cm="1">
        <f t="array" ref="E266">INDEX(BOM!$C$2:$C$21,MATCH(B266,BOM!$A$2:$A$21,0)+MOD(ROW()-2,4))</f>
        <v>0.3</v>
      </c>
      <c r="F266">
        <f t="shared" si="4"/>
        <v>3780</v>
      </c>
    </row>
    <row r="267" spans="1:6">
      <c r="A267" s="1" cm="1">
        <f t="array" ref="A267">INDEX(Weekly_Inventory_Flow!$A$2:$A$261,INT((ROW()-2)/4)+1)</f>
        <v>46118</v>
      </c>
      <c r="B267" t="str" cm="1">
        <f t="array" ref="B267">INDEX(Weekly_Inventory_Flow!$B$2:$B$261,INT((ROW()-2)/4)+1)</f>
        <v>P002</v>
      </c>
      <c r="C267" t="str" cm="1">
        <f t="array" ref="C267">INDEX(BOM!$B$2:$B$21,MATCH(B267,BOM!$A$2:$A$21,0)+MOD(ROW()-2,4))</f>
        <v>M006</v>
      </c>
      <c r="D267" cm="1">
        <f t="array" ref="D267">INDEX(Weekly_Inventory_Flow!$I$2:$I$261,INT((ROW()-2)/4)+1)</f>
        <v>12600</v>
      </c>
      <c r="E267" cm="1">
        <f t="array" ref="E267">INDEX(BOM!$C$2:$C$21,MATCH(B267,BOM!$A$2:$A$21,0)+MOD(ROW()-2,4))</f>
        <v>8.0000000000000002E-3</v>
      </c>
      <c r="F267">
        <f t="shared" si="4"/>
        <v>100.8</v>
      </c>
    </row>
    <row r="268" spans="1:6">
      <c r="A268" s="1" cm="1">
        <f t="array" ref="A268">INDEX(Weekly_Inventory_Flow!$A$2:$A$261,INT((ROW()-2)/4)+1)</f>
        <v>46118</v>
      </c>
      <c r="B268" t="str" cm="1">
        <f t="array" ref="B268">INDEX(Weekly_Inventory_Flow!$B$2:$B$261,INT((ROW()-2)/4)+1)</f>
        <v>P002</v>
      </c>
      <c r="C268" t="str" cm="1">
        <f t="array" ref="C268">INDEX(BOM!$B$2:$B$21,MATCH(B268,BOM!$A$2:$A$21,0)+MOD(ROW()-2,4))</f>
        <v>M007</v>
      </c>
      <c r="D268" cm="1">
        <f t="array" ref="D268">INDEX(Weekly_Inventory_Flow!$I$2:$I$261,INT((ROW()-2)/4)+1)</f>
        <v>12600</v>
      </c>
      <c r="E268" cm="1">
        <f t="array" ref="E268">INDEX(BOM!$C$2:$C$21,MATCH(B268,BOM!$A$2:$A$21,0)+MOD(ROW()-2,4))</f>
        <v>1</v>
      </c>
      <c r="F268">
        <f t="shared" si="4"/>
        <v>12600</v>
      </c>
    </row>
    <row r="269" spans="1:6">
      <c r="A269" s="1" cm="1">
        <f t="array" ref="A269">INDEX(Weekly_Inventory_Flow!$A$2:$A$261,INT((ROW()-2)/4)+1)</f>
        <v>46118</v>
      </c>
      <c r="B269" t="str" cm="1">
        <f t="array" ref="B269">INDEX(Weekly_Inventory_Flow!$B$2:$B$261,INT((ROW()-2)/4)+1)</f>
        <v>P002</v>
      </c>
      <c r="C269" t="str" cm="1">
        <f t="array" ref="C269">INDEX(BOM!$B$2:$B$21,MATCH(B269,BOM!$A$2:$A$21,0)+MOD(ROW()-2,4))</f>
        <v>M008</v>
      </c>
      <c r="D269" cm="1">
        <f t="array" ref="D269">INDEX(Weekly_Inventory_Flow!$I$2:$I$261,INT((ROW()-2)/4)+1)</f>
        <v>12600</v>
      </c>
      <c r="E269" cm="1">
        <f t="array" ref="E269">INDEX(BOM!$C$2:$C$21,MATCH(B269,BOM!$A$2:$A$21,0)+MOD(ROW()-2,4))</f>
        <v>1</v>
      </c>
      <c r="F269">
        <f t="shared" si="4"/>
        <v>12600</v>
      </c>
    </row>
    <row r="270" spans="1:6">
      <c r="A270" s="1" cm="1">
        <f t="array" ref="A270">INDEX(Weekly_Inventory_Flow!$A$2:$A$261,INT((ROW()-2)/4)+1)</f>
        <v>46118</v>
      </c>
      <c r="B270" t="str" cm="1">
        <f t="array" ref="B270">INDEX(Weekly_Inventory_Flow!$B$2:$B$261,INT((ROW()-2)/4)+1)</f>
        <v>P003</v>
      </c>
      <c r="C270" t="str" cm="1">
        <f t="array" ref="C270">INDEX(BOM!$B$2:$B$21,MATCH(B270,BOM!$A$2:$A$21,0)+MOD(ROW()-2,4))</f>
        <v>M003</v>
      </c>
      <c r="D270" cm="1">
        <f t="array" ref="D270">INDEX(Weekly_Inventory_Flow!$I$2:$I$261,INT((ROW()-2)/4)+1)</f>
        <v>10700</v>
      </c>
      <c r="E270" cm="1">
        <f t="array" ref="E270">INDEX(BOM!$C$2:$C$21,MATCH(B270,BOM!$A$2:$A$21,0)+MOD(ROW()-2,4))</f>
        <v>0.25</v>
      </c>
      <c r="F270">
        <f t="shared" si="4"/>
        <v>2675</v>
      </c>
    </row>
    <row r="271" spans="1:6">
      <c r="A271" s="1" cm="1">
        <f t="array" ref="A271">INDEX(Weekly_Inventory_Flow!$A$2:$A$261,INT((ROW()-2)/4)+1)</f>
        <v>46118</v>
      </c>
      <c r="B271" t="str" cm="1">
        <f t="array" ref="B271">INDEX(Weekly_Inventory_Flow!$B$2:$B$261,INT((ROW()-2)/4)+1)</f>
        <v>P003</v>
      </c>
      <c r="C271" t="str" cm="1">
        <f t="array" ref="C271">INDEX(BOM!$B$2:$B$21,MATCH(B271,BOM!$A$2:$A$21,0)+MOD(ROW()-2,4))</f>
        <v>M006</v>
      </c>
      <c r="D271" cm="1">
        <f t="array" ref="D271">INDEX(Weekly_Inventory_Flow!$I$2:$I$261,INT((ROW()-2)/4)+1)</f>
        <v>10700</v>
      </c>
      <c r="E271" cm="1">
        <f t="array" ref="E271">INDEX(BOM!$C$2:$C$21,MATCH(B271,BOM!$A$2:$A$21,0)+MOD(ROW()-2,4))</f>
        <v>6.0000000000000001E-3</v>
      </c>
      <c r="F271">
        <f t="shared" si="4"/>
        <v>64.2</v>
      </c>
    </row>
    <row r="272" spans="1:6">
      <c r="A272" s="1" cm="1">
        <f t="array" ref="A272">INDEX(Weekly_Inventory_Flow!$A$2:$A$261,INT((ROW()-2)/4)+1)</f>
        <v>46118</v>
      </c>
      <c r="B272" t="str" cm="1">
        <f t="array" ref="B272">INDEX(Weekly_Inventory_Flow!$B$2:$B$261,INT((ROW()-2)/4)+1)</f>
        <v>P003</v>
      </c>
      <c r="C272" t="str" cm="1">
        <f t="array" ref="C272">INDEX(BOM!$B$2:$B$21,MATCH(B272,BOM!$A$2:$A$21,0)+MOD(ROW()-2,4))</f>
        <v>M007</v>
      </c>
      <c r="D272" cm="1">
        <f t="array" ref="D272">INDEX(Weekly_Inventory_Flow!$I$2:$I$261,INT((ROW()-2)/4)+1)</f>
        <v>10700</v>
      </c>
      <c r="E272" cm="1">
        <f t="array" ref="E272">INDEX(BOM!$C$2:$C$21,MATCH(B272,BOM!$A$2:$A$21,0)+MOD(ROW()-2,4))</f>
        <v>1</v>
      </c>
      <c r="F272">
        <f t="shared" si="4"/>
        <v>10700</v>
      </c>
    </row>
    <row r="273" spans="1:6">
      <c r="A273" s="1" cm="1">
        <f t="array" ref="A273">INDEX(Weekly_Inventory_Flow!$A$2:$A$261,INT((ROW()-2)/4)+1)</f>
        <v>46118</v>
      </c>
      <c r="B273" t="str" cm="1">
        <f t="array" ref="B273">INDEX(Weekly_Inventory_Flow!$B$2:$B$261,INT((ROW()-2)/4)+1)</f>
        <v>P003</v>
      </c>
      <c r="C273" t="str" cm="1">
        <f t="array" ref="C273">INDEX(BOM!$B$2:$B$21,MATCH(B273,BOM!$A$2:$A$21,0)+MOD(ROW()-2,4))</f>
        <v>M008</v>
      </c>
      <c r="D273" cm="1">
        <f t="array" ref="D273">INDEX(Weekly_Inventory_Flow!$I$2:$I$261,INT((ROW()-2)/4)+1)</f>
        <v>10700</v>
      </c>
      <c r="E273" cm="1">
        <f t="array" ref="E273">INDEX(BOM!$C$2:$C$21,MATCH(B273,BOM!$A$2:$A$21,0)+MOD(ROW()-2,4))</f>
        <v>1</v>
      </c>
      <c r="F273">
        <f t="shared" si="4"/>
        <v>10700</v>
      </c>
    </row>
    <row r="274" spans="1:6">
      <c r="A274" s="1" cm="1">
        <f t="array" ref="A274">INDEX(Weekly_Inventory_Flow!$A$2:$A$261,INT((ROW()-2)/4)+1)</f>
        <v>46118</v>
      </c>
      <c r="B274" t="str" cm="1">
        <f t="array" ref="B274">INDEX(Weekly_Inventory_Flow!$B$2:$B$261,INT((ROW()-2)/4)+1)</f>
        <v>P004</v>
      </c>
      <c r="C274" t="str" cm="1">
        <f t="array" ref="C274">INDEX(BOM!$B$2:$B$21,MATCH(B274,BOM!$A$2:$A$21,0)+MOD(ROW()-2,4))</f>
        <v>M004</v>
      </c>
      <c r="D274" cm="1">
        <f t="array" ref="D274">INDEX(Weekly_Inventory_Flow!$I$2:$I$261,INT((ROW()-2)/4)+1)</f>
        <v>11600</v>
      </c>
      <c r="E274" cm="1">
        <f t="array" ref="E274">INDEX(BOM!$C$2:$C$21,MATCH(B274,BOM!$A$2:$A$21,0)+MOD(ROW()-2,4))</f>
        <v>0.34</v>
      </c>
      <c r="F274">
        <f t="shared" si="4"/>
        <v>3944.0000000000005</v>
      </c>
    </row>
    <row r="275" spans="1:6">
      <c r="A275" s="1" cm="1">
        <f t="array" ref="A275">INDEX(Weekly_Inventory_Flow!$A$2:$A$261,INT((ROW()-2)/4)+1)</f>
        <v>46118</v>
      </c>
      <c r="B275" t="str" cm="1">
        <f t="array" ref="B275">INDEX(Weekly_Inventory_Flow!$B$2:$B$261,INT((ROW()-2)/4)+1)</f>
        <v>P004</v>
      </c>
      <c r="C275" t="str" cm="1">
        <f t="array" ref="C275">INDEX(BOM!$B$2:$B$21,MATCH(B275,BOM!$A$2:$A$21,0)+MOD(ROW()-2,4))</f>
        <v>M006</v>
      </c>
      <c r="D275" cm="1">
        <f t="array" ref="D275">INDEX(Weekly_Inventory_Flow!$I$2:$I$261,INT((ROW()-2)/4)+1)</f>
        <v>11600</v>
      </c>
      <c r="E275" cm="1">
        <f t="array" ref="E275">INDEX(BOM!$C$2:$C$21,MATCH(B275,BOM!$A$2:$A$21,0)+MOD(ROW()-2,4))</f>
        <v>8.9999999999999993E-3</v>
      </c>
      <c r="F275">
        <f t="shared" si="4"/>
        <v>104.39999999999999</v>
      </c>
    </row>
    <row r="276" spans="1:6">
      <c r="A276" s="1" cm="1">
        <f t="array" ref="A276">INDEX(Weekly_Inventory_Flow!$A$2:$A$261,INT((ROW()-2)/4)+1)</f>
        <v>46118</v>
      </c>
      <c r="B276" t="str" cm="1">
        <f t="array" ref="B276">INDEX(Weekly_Inventory_Flow!$B$2:$B$261,INT((ROW()-2)/4)+1)</f>
        <v>P004</v>
      </c>
      <c r="C276" t="str" cm="1">
        <f t="array" ref="C276">INDEX(BOM!$B$2:$B$21,MATCH(B276,BOM!$A$2:$A$21,0)+MOD(ROW()-2,4))</f>
        <v>M007</v>
      </c>
      <c r="D276" cm="1">
        <f t="array" ref="D276">INDEX(Weekly_Inventory_Flow!$I$2:$I$261,INT((ROW()-2)/4)+1)</f>
        <v>11600</v>
      </c>
      <c r="E276" cm="1">
        <f t="array" ref="E276">INDEX(BOM!$C$2:$C$21,MATCH(B276,BOM!$A$2:$A$21,0)+MOD(ROW()-2,4))</f>
        <v>1</v>
      </c>
      <c r="F276">
        <f t="shared" si="4"/>
        <v>11600</v>
      </c>
    </row>
    <row r="277" spans="1:6">
      <c r="A277" s="1" cm="1">
        <f t="array" ref="A277">INDEX(Weekly_Inventory_Flow!$A$2:$A$261,INT((ROW()-2)/4)+1)</f>
        <v>46118</v>
      </c>
      <c r="B277" t="str" cm="1">
        <f t="array" ref="B277">INDEX(Weekly_Inventory_Flow!$B$2:$B$261,INT((ROW()-2)/4)+1)</f>
        <v>P004</v>
      </c>
      <c r="C277" t="str" cm="1">
        <f t="array" ref="C277">INDEX(BOM!$B$2:$B$21,MATCH(B277,BOM!$A$2:$A$21,0)+MOD(ROW()-2,4))</f>
        <v>M008</v>
      </c>
      <c r="D277" cm="1">
        <f t="array" ref="D277">INDEX(Weekly_Inventory_Flow!$I$2:$I$261,INT((ROW()-2)/4)+1)</f>
        <v>11600</v>
      </c>
      <c r="E277" cm="1">
        <f t="array" ref="E277">INDEX(BOM!$C$2:$C$21,MATCH(B277,BOM!$A$2:$A$21,0)+MOD(ROW()-2,4))</f>
        <v>1</v>
      </c>
      <c r="F277">
        <f t="shared" si="4"/>
        <v>11600</v>
      </c>
    </row>
    <row r="278" spans="1:6">
      <c r="A278" s="1" cm="1">
        <f t="array" ref="A278">INDEX(Weekly_Inventory_Flow!$A$2:$A$261,INT((ROW()-2)/4)+1)</f>
        <v>46118</v>
      </c>
      <c r="B278" t="str" cm="1">
        <f t="array" ref="B278">INDEX(Weekly_Inventory_Flow!$B$2:$B$261,INT((ROW()-2)/4)+1)</f>
        <v>P005</v>
      </c>
      <c r="C278" t="str" cm="1">
        <f t="array" ref="C278">INDEX(BOM!$B$2:$B$21,MATCH(B278,BOM!$A$2:$A$21,0)+MOD(ROW()-2,4))</f>
        <v>M005</v>
      </c>
      <c r="D278" cm="1">
        <f t="array" ref="D278">INDEX(Weekly_Inventory_Flow!$I$2:$I$261,INT((ROW()-2)/4)+1)</f>
        <v>8500</v>
      </c>
      <c r="E278" cm="1">
        <f t="array" ref="E278">INDEX(BOM!$C$2:$C$21,MATCH(B278,BOM!$A$2:$A$21,0)+MOD(ROW()-2,4))</f>
        <v>0.52</v>
      </c>
      <c r="F278">
        <f t="shared" si="4"/>
        <v>4420</v>
      </c>
    </row>
    <row r="279" spans="1:6">
      <c r="A279" s="1" cm="1">
        <f t="array" ref="A279">INDEX(Weekly_Inventory_Flow!$A$2:$A$261,INT((ROW()-2)/4)+1)</f>
        <v>46118</v>
      </c>
      <c r="B279" t="str" cm="1">
        <f t="array" ref="B279">INDEX(Weekly_Inventory_Flow!$B$2:$B$261,INT((ROW()-2)/4)+1)</f>
        <v>P005</v>
      </c>
      <c r="C279" t="str" cm="1">
        <f t="array" ref="C279">INDEX(BOM!$B$2:$B$21,MATCH(B279,BOM!$A$2:$A$21,0)+MOD(ROW()-2,4))</f>
        <v>M006</v>
      </c>
      <c r="D279" cm="1">
        <f t="array" ref="D279">INDEX(Weekly_Inventory_Flow!$I$2:$I$261,INT((ROW()-2)/4)+1)</f>
        <v>8500</v>
      </c>
      <c r="E279" cm="1">
        <f t="array" ref="E279">INDEX(BOM!$C$2:$C$21,MATCH(B279,BOM!$A$2:$A$21,0)+MOD(ROW()-2,4))</f>
        <v>1.2E-2</v>
      </c>
      <c r="F279">
        <f t="shared" si="4"/>
        <v>102</v>
      </c>
    </row>
    <row r="280" spans="1:6">
      <c r="A280" s="1" cm="1">
        <f t="array" ref="A280">INDEX(Weekly_Inventory_Flow!$A$2:$A$261,INT((ROW()-2)/4)+1)</f>
        <v>46118</v>
      </c>
      <c r="B280" t="str" cm="1">
        <f t="array" ref="B280">INDEX(Weekly_Inventory_Flow!$B$2:$B$261,INT((ROW()-2)/4)+1)</f>
        <v>P005</v>
      </c>
      <c r="C280" t="str" cm="1">
        <f t="array" ref="C280">INDEX(BOM!$B$2:$B$21,MATCH(B280,BOM!$A$2:$A$21,0)+MOD(ROW()-2,4))</f>
        <v>M007</v>
      </c>
      <c r="D280" cm="1">
        <f t="array" ref="D280">INDEX(Weekly_Inventory_Flow!$I$2:$I$261,INT((ROW()-2)/4)+1)</f>
        <v>8500</v>
      </c>
      <c r="E280" cm="1">
        <f t="array" ref="E280">INDEX(BOM!$C$2:$C$21,MATCH(B280,BOM!$A$2:$A$21,0)+MOD(ROW()-2,4))</f>
        <v>1</v>
      </c>
      <c r="F280">
        <f t="shared" si="4"/>
        <v>8500</v>
      </c>
    </row>
    <row r="281" spans="1:6">
      <c r="A281" s="1" cm="1">
        <f t="array" ref="A281">INDEX(Weekly_Inventory_Flow!$A$2:$A$261,INT((ROW()-2)/4)+1)</f>
        <v>46118</v>
      </c>
      <c r="B281" t="str" cm="1">
        <f t="array" ref="B281">INDEX(Weekly_Inventory_Flow!$B$2:$B$261,INT((ROW()-2)/4)+1)</f>
        <v>P005</v>
      </c>
      <c r="C281" t="str" cm="1">
        <f t="array" ref="C281">INDEX(BOM!$B$2:$B$21,MATCH(B281,BOM!$A$2:$A$21,0)+MOD(ROW()-2,4))</f>
        <v>M008</v>
      </c>
      <c r="D281" cm="1">
        <f t="array" ref="D281">INDEX(Weekly_Inventory_Flow!$I$2:$I$261,INT((ROW()-2)/4)+1)</f>
        <v>8500</v>
      </c>
      <c r="E281" cm="1">
        <f t="array" ref="E281">INDEX(BOM!$C$2:$C$21,MATCH(B281,BOM!$A$2:$A$21,0)+MOD(ROW()-2,4))</f>
        <v>1</v>
      </c>
      <c r="F281">
        <f t="shared" si="4"/>
        <v>8500</v>
      </c>
    </row>
    <row r="282" spans="1:6">
      <c r="A282" s="1" cm="1">
        <f t="array" ref="A282">INDEX(Weekly_Inventory_Flow!$A$2:$A$261,INT((ROW()-2)/4)+1)</f>
        <v>46125</v>
      </c>
      <c r="B282" t="str" cm="1">
        <f t="array" ref="B282">INDEX(Weekly_Inventory_Flow!$B$2:$B$261,INT((ROW()-2)/4)+1)</f>
        <v>P001</v>
      </c>
      <c r="C282" t="str" cm="1">
        <f t="array" ref="C282">INDEX(BOM!$B$2:$B$21,MATCH(B282,BOM!$A$2:$A$21,0)+MOD(ROW()-2,4))</f>
        <v>M001</v>
      </c>
      <c r="D282" cm="1">
        <f t="array" ref="D282">INDEX(Weekly_Inventory_Flow!$I$2:$I$261,INT((ROW()-2)/4)+1)</f>
        <v>14800</v>
      </c>
      <c r="E282" cm="1">
        <f t="array" ref="E282">INDEX(BOM!$C$2:$C$21,MATCH(B282,BOM!$A$2:$A$21,0)+MOD(ROW()-2,4))</f>
        <v>0.35</v>
      </c>
      <c r="F282">
        <f t="shared" si="4"/>
        <v>5180</v>
      </c>
    </row>
    <row r="283" spans="1:6">
      <c r="A283" s="1" cm="1">
        <f t="array" ref="A283">INDEX(Weekly_Inventory_Flow!$A$2:$A$261,INT((ROW()-2)/4)+1)</f>
        <v>46125</v>
      </c>
      <c r="B283" t="str" cm="1">
        <f t="array" ref="B283">INDEX(Weekly_Inventory_Flow!$B$2:$B$261,INT((ROW()-2)/4)+1)</f>
        <v>P001</v>
      </c>
      <c r="C283" t="str" cm="1">
        <f t="array" ref="C283">INDEX(BOM!$B$2:$B$21,MATCH(B283,BOM!$A$2:$A$21,0)+MOD(ROW()-2,4))</f>
        <v>M006</v>
      </c>
      <c r="D283" cm="1">
        <f t="array" ref="D283">INDEX(Weekly_Inventory_Flow!$I$2:$I$261,INT((ROW()-2)/4)+1)</f>
        <v>14800</v>
      </c>
      <c r="E283" cm="1">
        <f t="array" ref="E283">INDEX(BOM!$C$2:$C$21,MATCH(B283,BOM!$A$2:$A$21,0)+MOD(ROW()-2,4))</f>
        <v>0.01</v>
      </c>
      <c r="F283">
        <f t="shared" si="4"/>
        <v>148</v>
      </c>
    </row>
    <row r="284" spans="1:6">
      <c r="A284" s="1" cm="1">
        <f t="array" ref="A284">INDEX(Weekly_Inventory_Flow!$A$2:$A$261,INT((ROW()-2)/4)+1)</f>
        <v>46125</v>
      </c>
      <c r="B284" t="str" cm="1">
        <f t="array" ref="B284">INDEX(Weekly_Inventory_Flow!$B$2:$B$261,INT((ROW()-2)/4)+1)</f>
        <v>P001</v>
      </c>
      <c r="C284" t="str" cm="1">
        <f t="array" ref="C284">INDEX(BOM!$B$2:$B$21,MATCH(B284,BOM!$A$2:$A$21,0)+MOD(ROW()-2,4))</f>
        <v>M007</v>
      </c>
      <c r="D284" cm="1">
        <f t="array" ref="D284">INDEX(Weekly_Inventory_Flow!$I$2:$I$261,INT((ROW()-2)/4)+1)</f>
        <v>14800</v>
      </c>
      <c r="E284" cm="1">
        <f t="array" ref="E284">INDEX(BOM!$C$2:$C$21,MATCH(B284,BOM!$A$2:$A$21,0)+MOD(ROW()-2,4))</f>
        <v>1</v>
      </c>
      <c r="F284">
        <f t="shared" si="4"/>
        <v>14800</v>
      </c>
    </row>
    <row r="285" spans="1:6">
      <c r="A285" s="1" cm="1">
        <f t="array" ref="A285">INDEX(Weekly_Inventory_Flow!$A$2:$A$261,INT((ROW()-2)/4)+1)</f>
        <v>46125</v>
      </c>
      <c r="B285" t="str" cm="1">
        <f t="array" ref="B285">INDEX(Weekly_Inventory_Flow!$B$2:$B$261,INT((ROW()-2)/4)+1)</f>
        <v>P001</v>
      </c>
      <c r="C285" t="str" cm="1">
        <f t="array" ref="C285">INDEX(BOM!$B$2:$B$21,MATCH(B285,BOM!$A$2:$A$21,0)+MOD(ROW()-2,4))</f>
        <v>M008</v>
      </c>
      <c r="D285" cm="1">
        <f t="array" ref="D285">INDEX(Weekly_Inventory_Flow!$I$2:$I$261,INT((ROW()-2)/4)+1)</f>
        <v>14800</v>
      </c>
      <c r="E285" cm="1">
        <f t="array" ref="E285">INDEX(BOM!$C$2:$C$21,MATCH(B285,BOM!$A$2:$A$21,0)+MOD(ROW()-2,4))</f>
        <v>1</v>
      </c>
      <c r="F285">
        <f t="shared" si="4"/>
        <v>14800</v>
      </c>
    </row>
    <row r="286" spans="1:6">
      <c r="A286" s="1" cm="1">
        <f t="array" ref="A286">INDEX(Weekly_Inventory_Flow!$A$2:$A$261,INT((ROW()-2)/4)+1)</f>
        <v>46125</v>
      </c>
      <c r="B286" t="str" cm="1">
        <f t="array" ref="B286">INDEX(Weekly_Inventory_Flow!$B$2:$B$261,INT((ROW()-2)/4)+1)</f>
        <v>P002</v>
      </c>
      <c r="C286" t="str" cm="1">
        <f t="array" ref="C286">INDEX(BOM!$B$2:$B$21,MATCH(B286,BOM!$A$2:$A$21,0)+MOD(ROW()-2,4))</f>
        <v>M002</v>
      </c>
      <c r="D286" cm="1">
        <f t="array" ref="D286">INDEX(Weekly_Inventory_Flow!$I$2:$I$261,INT((ROW()-2)/4)+1)</f>
        <v>12900</v>
      </c>
      <c r="E286" cm="1">
        <f t="array" ref="E286">INDEX(BOM!$C$2:$C$21,MATCH(B286,BOM!$A$2:$A$21,0)+MOD(ROW()-2,4))</f>
        <v>0.3</v>
      </c>
      <c r="F286">
        <f t="shared" si="4"/>
        <v>3870</v>
      </c>
    </row>
    <row r="287" spans="1:6">
      <c r="A287" s="1" cm="1">
        <f t="array" ref="A287">INDEX(Weekly_Inventory_Flow!$A$2:$A$261,INT((ROW()-2)/4)+1)</f>
        <v>46125</v>
      </c>
      <c r="B287" t="str" cm="1">
        <f t="array" ref="B287">INDEX(Weekly_Inventory_Flow!$B$2:$B$261,INT((ROW()-2)/4)+1)</f>
        <v>P002</v>
      </c>
      <c r="C287" t="str" cm="1">
        <f t="array" ref="C287">INDEX(BOM!$B$2:$B$21,MATCH(B287,BOM!$A$2:$A$21,0)+MOD(ROW()-2,4))</f>
        <v>M006</v>
      </c>
      <c r="D287" cm="1">
        <f t="array" ref="D287">INDEX(Weekly_Inventory_Flow!$I$2:$I$261,INT((ROW()-2)/4)+1)</f>
        <v>12900</v>
      </c>
      <c r="E287" cm="1">
        <f t="array" ref="E287">INDEX(BOM!$C$2:$C$21,MATCH(B287,BOM!$A$2:$A$21,0)+MOD(ROW()-2,4))</f>
        <v>8.0000000000000002E-3</v>
      </c>
      <c r="F287">
        <f t="shared" si="4"/>
        <v>103.2</v>
      </c>
    </row>
    <row r="288" spans="1:6">
      <c r="A288" s="1" cm="1">
        <f t="array" ref="A288">INDEX(Weekly_Inventory_Flow!$A$2:$A$261,INT((ROW()-2)/4)+1)</f>
        <v>46125</v>
      </c>
      <c r="B288" t="str" cm="1">
        <f t="array" ref="B288">INDEX(Weekly_Inventory_Flow!$B$2:$B$261,INT((ROW()-2)/4)+1)</f>
        <v>P002</v>
      </c>
      <c r="C288" t="str" cm="1">
        <f t="array" ref="C288">INDEX(BOM!$B$2:$B$21,MATCH(B288,BOM!$A$2:$A$21,0)+MOD(ROW()-2,4))</f>
        <v>M007</v>
      </c>
      <c r="D288" cm="1">
        <f t="array" ref="D288">INDEX(Weekly_Inventory_Flow!$I$2:$I$261,INT((ROW()-2)/4)+1)</f>
        <v>12900</v>
      </c>
      <c r="E288" cm="1">
        <f t="array" ref="E288">INDEX(BOM!$C$2:$C$21,MATCH(B288,BOM!$A$2:$A$21,0)+MOD(ROW()-2,4))</f>
        <v>1</v>
      </c>
      <c r="F288">
        <f t="shared" si="4"/>
        <v>12900</v>
      </c>
    </row>
    <row r="289" spans="1:6">
      <c r="A289" s="1" cm="1">
        <f t="array" ref="A289">INDEX(Weekly_Inventory_Flow!$A$2:$A$261,INT((ROW()-2)/4)+1)</f>
        <v>46125</v>
      </c>
      <c r="B289" t="str" cm="1">
        <f t="array" ref="B289">INDEX(Weekly_Inventory_Flow!$B$2:$B$261,INT((ROW()-2)/4)+1)</f>
        <v>P002</v>
      </c>
      <c r="C289" t="str" cm="1">
        <f t="array" ref="C289">INDEX(BOM!$B$2:$B$21,MATCH(B289,BOM!$A$2:$A$21,0)+MOD(ROW()-2,4))</f>
        <v>M008</v>
      </c>
      <c r="D289" cm="1">
        <f t="array" ref="D289">INDEX(Weekly_Inventory_Flow!$I$2:$I$261,INT((ROW()-2)/4)+1)</f>
        <v>12900</v>
      </c>
      <c r="E289" cm="1">
        <f t="array" ref="E289">INDEX(BOM!$C$2:$C$21,MATCH(B289,BOM!$A$2:$A$21,0)+MOD(ROW()-2,4))</f>
        <v>1</v>
      </c>
      <c r="F289">
        <f t="shared" si="4"/>
        <v>12900</v>
      </c>
    </row>
    <row r="290" spans="1:6">
      <c r="A290" s="1" cm="1">
        <f t="array" ref="A290">INDEX(Weekly_Inventory_Flow!$A$2:$A$261,INT((ROW()-2)/4)+1)</f>
        <v>46125</v>
      </c>
      <c r="B290" t="str" cm="1">
        <f t="array" ref="B290">INDEX(Weekly_Inventory_Flow!$B$2:$B$261,INT((ROW()-2)/4)+1)</f>
        <v>P003</v>
      </c>
      <c r="C290" t="str" cm="1">
        <f t="array" ref="C290">INDEX(BOM!$B$2:$B$21,MATCH(B290,BOM!$A$2:$A$21,0)+MOD(ROW()-2,4))</f>
        <v>M003</v>
      </c>
      <c r="D290" cm="1">
        <f t="array" ref="D290">INDEX(Weekly_Inventory_Flow!$I$2:$I$261,INT((ROW()-2)/4)+1)</f>
        <v>10800</v>
      </c>
      <c r="E290" cm="1">
        <f t="array" ref="E290">INDEX(BOM!$C$2:$C$21,MATCH(B290,BOM!$A$2:$A$21,0)+MOD(ROW()-2,4))</f>
        <v>0.25</v>
      </c>
      <c r="F290">
        <f t="shared" si="4"/>
        <v>2700</v>
      </c>
    </row>
    <row r="291" spans="1:6">
      <c r="A291" s="1" cm="1">
        <f t="array" ref="A291">INDEX(Weekly_Inventory_Flow!$A$2:$A$261,INT((ROW()-2)/4)+1)</f>
        <v>46125</v>
      </c>
      <c r="B291" t="str" cm="1">
        <f t="array" ref="B291">INDEX(Weekly_Inventory_Flow!$B$2:$B$261,INT((ROW()-2)/4)+1)</f>
        <v>P003</v>
      </c>
      <c r="C291" t="str" cm="1">
        <f t="array" ref="C291">INDEX(BOM!$B$2:$B$21,MATCH(B291,BOM!$A$2:$A$21,0)+MOD(ROW()-2,4))</f>
        <v>M006</v>
      </c>
      <c r="D291" cm="1">
        <f t="array" ref="D291">INDEX(Weekly_Inventory_Flow!$I$2:$I$261,INT((ROW()-2)/4)+1)</f>
        <v>10800</v>
      </c>
      <c r="E291" cm="1">
        <f t="array" ref="E291">INDEX(BOM!$C$2:$C$21,MATCH(B291,BOM!$A$2:$A$21,0)+MOD(ROW()-2,4))</f>
        <v>6.0000000000000001E-3</v>
      </c>
      <c r="F291">
        <f t="shared" si="4"/>
        <v>64.8</v>
      </c>
    </row>
    <row r="292" spans="1:6">
      <c r="A292" s="1" cm="1">
        <f t="array" ref="A292">INDEX(Weekly_Inventory_Flow!$A$2:$A$261,INT((ROW()-2)/4)+1)</f>
        <v>46125</v>
      </c>
      <c r="B292" t="str" cm="1">
        <f t="array" ref="B292">INDEX(Weekly_Inventory_Flow!$B$2:$B$261,INT((ROW()-2)/4)+1)</f>
        <v>P003</v>
      </c>
      <c r="C292" t="str" cm="1">
        <f t="array" ref="C292">INDEX(BOM!$B$2:$B$21,MATCH(B292,BOM!$A$2:$A$21,0)+MOD(ROW()-2,4))</f>
        <v>M007</v>
      </c>
      <c r="D292" cm="1">
        <f t="array" ref="D292">INDEX(Weekly_Inventory_Flow!$I$2:$I$261,INT((ROW()-2)/4)+1)</f>
        <v>10800</v>
      </c>
      <c r="E292" cm="1">
        <f t="array" ref="E292">INDEX(BOM!$C$2:$C$21,MATCH(B292,BOM!$A$2:$A$21,0)+MOD(ROW()-2,4))</f>
        <v>1</v>
      </c>
      <c r="F292">
        <f t="shared" si="4"/>
        <v>10800</v>
      </c>
    </row>
    <row r="293" spans="1:6">
      <c r="A293" s="1" cm="1">
        <f t="array" ref="A293">INDEX(Weekly_Inventory_Flow!$A$2:$A$261,INT((ROW()-2)/4)+1)</f>
        <v>46125</v>
      </c>
      <c r="B293" t="str" cm="1">
        <f t="array" ref="B293">INDEX(Weekly_Inventory_Flow!$B$2:$B$261,INT((ROW()-2)/4)+1)</f>
        <v>P003</v>
      </c>
      <c r="C293" t="str" cm="1">
        <f t="array" ref="C293">INDEX(BOM!$B$2:$B$21,MATCH(B293,BOM!$A$2:$A$21,0)+MOD(ROW()-2,4))</f>
        <v>M008</v>
      </c>
      <c r="D293" cm="1">
        <f t="array" ref="D293">INDEX(Weekly_Inventory_Flow!$I$2:$I$261,INT((ROW()-2)/4)+1)</f>
        <v>10800</v>
      </c>
      <c r="E293" cm="1">
        <f t="array" ref="E293">INDEX(BOM!$C$2:$C$21,MATCH(B293,BOM!$A$2:$A$21,0)+MOD(ROW()-2,4))</f>
        <v>1</v>
      </c>
      <c r="F293">
        <f t="shared" si="4"/>
        <v>10800</v>
      </c>
    </row>
    <row r="294" spans="1:6">
      <c r="A294" s="1" cm="1">
        <f t="array" ref="A294">INDEX(Weekly_Inventory_Flow!$A$2:$A$261,INT((ROW()-2)/4)+1)</f>
        <v>46125</v>
      </c>
      <c r="B294" t="str" cm="1">
        <f t="array" ref="B294">INDEX(Weekly_Inventory_Flow!$B$2:$B$261,INT((ROW()-2)/4)+1)</f>
        <v>P004</v>
      </c>
      <c r="C294" t="str" cm="1">
        <f t="array" ref="C294">INDEX(BOM!$B$2:$B$21,MATCH(B294,BOM!$A$2:$A$21,0)+MOD(ROW()-2,4))</f>
        <v>M004</v>
      </c>
      <c r="D294" cm="1">
        <f t="array" ref="D294">INDEX(Weekly_Inventory_Flow!$I$2:$I$261,INT((ROW()-2)/4)+1)</f>
        <v>11400</v>
      </c>
      <c r="E294" cm="1">
        <f t="array" ref="E294">INDEX(BOM!$C$2:$C$21,MATCH(B294,BOM!$A$2:$A$21,0)+MOD(ROW()-2,4))</f>
        <v>0.34</v>
      </c>
      <c r="F294">
        <f t="shared" si="4"/>
        <v>3876.0000000000005</v>
      </c>
    </row>
    <row r="295" spans="1:6">
      <c r="A295" s="1" cm="1">
        <f t="array" ref="A295">INDEX(Weekly_Inventory_Flow!$A$2:$A$261,INT((ROW()-2)/4)+1)</f>
        <v>46125</v>
      </c>
      <c r="B295" t="str" cm="1">
        <f t="array" ref="B295">INDEX(Weekly_Inventory_Flow!$B$2:$B$261,INT((ROW()-2)/4)+1)</f>
        <v>P004</v>
      </c>
      <c r="C295" t="str" cm="1">
        <f t="array" ref="C295">INDEX(BOM!$B$2:$B$21,MATCH(B295,BOM!$A$2:$A$21,0)+MOD(ROW()-2,4))</f>
        <v>M006</v>
      </c>
      <c r="D295" cm="1">
        <f t="array" ref="D295">INDEX(Weekly_Inventory_Flow!$I$2:$I$261,INT((ROW()-2)/4)+1)</f>
        <v>11400</v>
      </c>
      <c r="E295" cm="1">
        <f t="array" ref="E295">INDEX(BOM!$C$2:$C$21,MATCH(B295,BOM!$A$2:$A$21,0)+MOD(ROW()-2,4))</f>
        <v>8.9999999999999993E-3</v>
      </c>
      <c r="F295">
        <f t="shared" si="4"/>
        <v>102.6</v>
      </c>
    </row>
    <row r="296" spans="1:6">
      <c r="A296" s="1" cm="1">
        <f t="array" ref="A296">INDEX(Weekly_Inventory_Flow!$A$2:$A$261,INT((ROW()-2)/4)+1)</f>
        <v>46125</v>
      </c>
      <c r="B296" t="str" cm="1">
        <f t="array" ref="B296">INDEX(Weekly_Inventory_Flow!$B$2:$B$261,INT((ROW()-2)/4)+1)</f>
        <v>P004</v>
      </c>
      <c r="C296" t="str" cm="1">
        <f t="array" ref="C296">INDEX(BOM!$B$2:$B$21,MATCH(B296,BOM!$A$2:$A$21,0)+MOD(ROW()-2,4))</f>
        <v>M007</v>
      </c>
      <c r="D296" cm="1">
        <f t="array" ref="D296">INDEX(Weekly_Inventory_Flow!$I$2:$I$261,INT((ROW()-2)/4)+1)</f>
        <v>11400</v>
      </c>
      <c r="E296" cm="1">
        <f t="array" ref="E296">INDEX(BOM!$C$2:$C$21,MATCH(B296,BOM!$A$2:$A$21,0)+MOD(ROW()-2,4))</f>
        <v>1</v>
      </c>
      <c r="F296">
        <f t="shared" si="4"/>
        <v>11400</v>
      </c>
    </row>
    <row r="297" spans="1:6">
      <c r="A297" s="1" cm="1">
        <f t="array" ref="A297">INDEX(Weekly_Inventory_Flow!$A$2:$A$261,INT((ROW()-2)/4)+1)</f>
        <v>46125</v>
      </c>
      <c r="B297" t="str" cm="1">
        <f t="array" ref="B297">INDEX(Weekly_Inventory_Flow!$B$2:$B$261,INT((ROW()-2)/4)+1)</f>
        <v>P004</v>
      </c>
      <c r="C297" t="str" cm="1">
        <f t="array" ref="C297">INDEX(BOM!$B$2:$B$21,MATCH(B297,BOM!$A$2:$A$21,0)+MOD(ROW()-2,4))</f>
        <v>M008</v>
      </c>
      <c r="D297" cm="1">
        <f t="array" ref="D297">INDEX(Weekly_Inventory_Flow!$I$2:$I$261,INT((ROW()-2)/4)+1)</f>
        <v>11400</v>
      </c>
      <c r="E297" cm="1">
        <f t="array" ref="E297">INDEX(BOM!$C$2:$C$21,MATCH(B297,BOM!$A$2:$A$21,0)+MOD(ROW()-2,4))</f>
        <v>1</v>
      </c>
      <c r="F297">
        <f t="shared" si="4"/>
        <v>11400</v>
      </c>
    </row>
    <row r="298" spans="1:6">
      <c r="A298" s="1" cm="1">
        <f t="array" ref="A298">INDEX(Weekly_Inventory_Flow!$A$2:$A$261,INT((ROW()-2)/4)+1)</f>
        <v>46125</v>
      </c>
      <c r="B298" t="str" cm="1">
        <f t="array" ref="B298">INDEX(Weekly_Inventory_Flow!$B$2:$B$261,INT((ROW()-2)/4)+1)</f>
        <v>P005</v>
      </c>
      <c r="C298" t="str" cm="1">
        <f t="array" ref="C298">INDEX(BOM!$B$2:$B$21,MATCH(B298,BOM!$A$2:$A$21,0)+MOD(ROW()-2,4))</f>
        <v>M005</v>
      </c>
      <c r="D298" cm="1">
        <f t="array" ref="D298">INDEX(Weekly_Inventory_Flow!$I$2:$I$261,INT((ROW()-2)/4)+1)</f>
        <v>8300</v>
      </c>
      <c r="E298" cm="1">
        <f t="array" ref="E298">INDEX(BOM!$C$2:$C$21,MATCH(B298,BOM!$A$2:$A$21,0)+MOD(ROW()-2,4))</f>
        <v>0.52</v>
      </c>
      <c r="F298">
        <f t="shared" si="4"/>
        <v>4316</v>
      </c>
    </row>
    <row r="299" spans="1:6">
      <c r="A299" s="1" cm="1">
        <f t="array" ref="A299">INDEX(Weekly_Inventory_Flow!$A$2:$A$261,INT((ROW()-2)/4)+1)</f>
        <v>46125</v>
      </c>
      <c r="B299" t="str" cm="1">
        <f t="array" ref="B299">INDEX(Weekly_Inventory_Flow!$B$2:$B$261,INT((ROW()-2)/4)+1)</f>
        <v>P005</v>
      </c>
      <c r="C299" t="str" cm="1">
        <f t="array" ref="C299">INDEX(BOM!$B$2:$B$21,MATCH(B299,BOM!$A$2:$A$21,0)+MOD(ROW()-2,4))</f>
        <v>M006</v>
      </c>
      <c r="D299" cm="1">
        <f t="array" ref="D299">INDEX(Weekly_Inventory_Flow!$I$2:$I$261,INT((ROW()-2)/4)+1)</f>
        <v>8300</v>
      </c>
      <c r="E299" cm="1">
        <f t="array" ref="E299">INDEX(BOM!$C$2:$C$21,MATCH(B299,BOM!$A$2:$A$21,0)+MOD(ROW()-2,4))</f>
        <v>1.2E-2</v>
      </c>
      <c r="F299">
        <f t="shared" si="4"/>
        <v>99.600000000000009</v>
      </c>
    </row>
    <row r="300" spans="1:6">
      <c r="A300" s="1" cm="1">
        <f t="array" ref="A300">INDEX(Weekly_Inventory_Flow!$A$2:$A$261,INT((ROW()-2)/4)+1)</f>
        <v>46125</v>
      </c>
      <c r="B300" t="str" cm="1">
        <f t="array" ref="B300">INDEX(Weekly_Inventory_Flow!$B$2:$B$261,INT((ROW()-2)/4)+1)</f>
        <v>P005</v>
      </c>
      <c r="C300" t="str" cm="1">
        <f t="array" ref="C300">INDEX(BOM!$B$2:$B$21,MATCH(B300,BOM!$A$2:$A$21,0)+MOD(ROW()-2,4))</f>
        <v>M007</v>
      </c>
      <c r="D300" cm="1">
        <f t="array" ref="D300">INDEX(Weekly_Inventory_Flow!$I$2:$I$261,INT((ROW()-2)/4)+1)</f>
        <v>8300</v>
      </c>
      <c r="E300" cm="1">
        <f t="array" ref="E300">INDEX(BOM!$C$2:$C$21,MATCH(B300,BOM!$A$2:$A$21,0)+MOD(ROW()-2,4))</f>
        <v>1</v>
      </c>
      <c r="F300">
        <f t="shared" si="4"/>
        <v>8300</v>
      </c>
    </row>
    <row r="301" spans="1:6">
      <c r="A301" s="1" cm="1">
        <f t="array" ref="A301">INDEX(Weekly_Inventory_Flow!$A$2:$A$261,INT((ROW()-2)/4)+1)</f>
        <v>46125</v>
      </c>
      <c r="B301" t="str" cm="1">
        <f t="array" ref="B301">INDEX(Weekly_Inventory_Flow!$B$2:$B$261,INT((ROW()-2)/4)+1)</f>
        <v>P005</v>
      </c>
      <c r="C301" t="str" cm="1">
        <f t="array" ref="C301">INDEX(BOM!$B$2:$B$21,MATCH(B301,BOM!$A$2:$A$21,0)+MOD(ROW()-2,4))</f>
        <v>M008</v>
      </c>
      <c r="D301" cm="1">
        <f t="array" ref="D301">INDEX(Weekly_Inventory_Flow!$I$2:$I$261,INT((ROW()-2)/4)+1)</f>
        <v>8300</v>
      </c>
      <c r="E301" cm="1">
        <f t="array" ref="E301">INDEX(BOM!$C$2:$C$21,MATCH(B301,BOM!$A$2:$A$21,0)+MOD(ROW()-2,4))</f>
        <v>1</v>
      </c>
      <c r="F301">
        <f t="shared" si="4"/>
        <v>8300</v>
      </c>
    </row>
    <row r="302" spans="1:6">
      <c r="A302" s="1" cm="1">
        <f t="array" ref="A302">INDEX(Weekly_Inventory_Flow!$A$2:$A$261,INT((ROW()-2)/4)+1)</f>
        <v>46132</v>
      </c>
      <c r="B302" t="str" cm="1">
        <f t="array" ref="B302">INDEX(Weekly_Inventory_Flow!$B$2:$B$261,INT((ROW()-2)/4)+1)</f>
        <v>P001</v>
      </c>
      <c r="C302" t="str" cm="1">
        <f t="array" ref="C302">INDEX(BOM!$B$2:$B$21,MATCH(B302,BOM!$A$2:$A$21,0)+MOD(ROW()-2,4))</f>
        <v>M001</v>
      </c>
      <c r="D302" cm="1">
        <f t="array" ref="D302">INDEX(Weekly_Inventory_Flow!$I$2:$I$261,INT((ROW()-2)/4)+1)</f>
        <v>14100</v>
      </c>
      <c r="E302" cm="1">
        <f t="array" ref="E302">INDEX(BOM!$C$2:$C$21,MATCH(B302,BOM!$A$2:$A$21,0)+MOD(ROW()-2,4))</f>
        <v>0.35</v>
      </c>
      <c r="F302">
        <f t="shared" si="4"/>
        <v>4935</v>
      </c>
    </row>
    <row r="303" spans="1:6">
      <c r="A303" s="1" cm="1">
        <f t="array" ref="A303">INDEX(Weekly_Inventory_Flow!$A$2:$A$261,INT((ROW()-2)/4)+1)</f>
        <v>46132</v>
      </c>
      <c r="B303" t="str" cm="1">
        <f t="array" ref="B303">INDEX(Weekly_Inventory_Flow!$B$2:$B$261,INT((ROW()-2)/4)+1)</f>
        <v>P001</v>
      </c>
      <c r="C303" t="str" cm="1">
        <f t="array" ref="C303">INDEX(BOM!$B$2:$B$21,MATCH(B303,BOM!$A$2:$A$21,0)+MOD(ROW()-2,4))</f>
        <v>M006</v>
      </c>
      <c r="D303" cm="1">
        <f t="array" ref="D303">INDEX(Weekly_Inventory_Flow!$I$2:$I$261,INT((ROW()-2)/4)+1)</f>
        <v>14100</v>
      </c>
      <c r="E303" cm="1">
        <f t="array" ref="E303">INDEX(BOM!$C$2:$C$21,MATCH(B303,BOM!$A$2:$A$21,0)+MOD(ROW()-2,4))</f>
        <v>0.01</v>
      </c>
      <c r="F303">
        <f t="shared" si="4"/>
        <v>141</v>
      </c>
    </row>
    <row r="304" spans="1:6">
      <c r="A304" s="1" cm="1">
        <f t="array" ref="A304">INDEX(Weekly_Inventory_Flow!$A$2:$A$261,INT((ROW()-2)/4)+1)</f>
        <v>46132</v>
      </c>
      <c r="B304" t="str" cm="1">
        <f t="array" ref="B304">INDEX(Weekly_Inventory_Flow!$B$2:$B$261,INT((ROW()-2)/4)+1)</f>
        <v>P001</v>
      </c>
      <c r="C304" t="str" cm="1">
        <f t="array" ref="C304">INDEX(BOM!$B$2:$B$21,MATCH(B304,BOM!$A$2:$A$21,0)+MOD(ROW()-2,4))</f>
        <v>M007</v>
      </c>
      <c r="D304" cm="1">
        <f t="array" ref="D304">INDEX(Weekly_Inventory_Flow!$I$2:$I$261,INT((ROW()-2)/4)+1)</f>
        <v>14100</v>
      </c>
      <c r="E304" cm="1">
        <f t="array" ref="E304">INDEX(BOM!$C$2:$C$21,MATCH(B304,BOM!$A$2:$A$21,0)+MOD(ROW()-2,4))</f>
        <v>1</v>
      </c>
      <c r="F304">
        <f t="shared" si="4"/>
        <v>14100</v>
      </c>
    </row>
    <row r="305" spans="1:6">
      <c r="A305" s="1" cm="1">
        <f t="array" ref="A305">INDEX(Weekly_Inventory_Flow!$A$2:$A$261,INT((ROW()-2)/4)+1)</f>
        <v>46132</v>
      </c>
      <c r="B305" t="str" cm="1">
        <f t="array" ref="B305">INDEX(Weekly_Inventory_Flow!$B$2:$B$261,INT((ROW()-2)/4)+1)</f>
        <v>P001</v>
      </c>
      <c r="C305" t="str" cm="1">
        <f t="array" ref="C305">INDEX(BOM!$B$2:$B$21,MATCH(B305,BOM!$A$2:$A$21,0)+MOD(ROW()-2,4))</f>
        <v>M008</v>
      </c>
      <c r="D305" cm="1">
        <f t="array" ref="D305">INDEX(Weekly_Inventory_Flow!$I$2:$I$261,INT((ROW()-2)/4)+1)</f>
        <v>14100</v>
      </c>
      <c r="E305" cm="1">
        <f t="array" ref="E305">INDEX(BOM!$C$2:$C$21,MATCH(B305,BOM!$A$2:$A$21,0)+MOD(ROW()-2,4))</f>
        <v>1</v>
      </c>
      <c r="F305">
        <f t="shared" si="4"/>
        <v>14100</v>
      </c>
    </row>
    <row r="306" spans="1:6">
      <c r="A306" s="1" cm="1">
        <f t="array" ref="A306">INDEX(Weekly_Inventory_Flow!$A$2:$A$261,INT((ROW()-2)/4)+1)</f>
        <v>46132</v>
      </c>
      <c r="B306" t="str" cm="1">
        <f t="array" ref="B306">INDEX(Weekly_Inventory_Flow!$B$2:$B$261,INT((ROW()-2)/4)+1)</f>
        <v>P002</v>
      </c>
      <c r="C306" t="str" cm="1">
        <f t="array" ref="C306">INDEX(BOM!$B$2:$B$21,MATCH(B306,BOM!$A$2:$A$21,0)+MOD(ROW()-2,4))</f>
        <v>M002</v>
      </c>
      <c r="D306" cm="1">
        <f t="array" ref="D306">INDEX(Weekly_Inventory_Flow!$I$2:$I$261,INT((ROW()-2)/4)+1)</f>
        <v>12800</v>
      </c>
      <c r="E306" cm="1">
        <f t="array" ref="E306">INDEX(BOM!$C$2:$C$21,MATCH(B306,BOM!$A$2:$A$21,0)+MOD(ROW()-2,4))</f>
        <v>0.3</v>
      </c>
      <c r="F306">
        <f t="shared" si="4"/>
        <v>3840</v>
      </c>
    </row>
    <row r="307" spans="1:6">
      <c r="A307" s="1" cm="1">
        <f t="array" ref="A307">INDEX(Weekly_Inventory_Flow!$A$2:$A$261,INT((ROW()-2)/4)+1)</f>
        <v>46132</v>
      </c>
      <c r="B307" t="str" cm="1">
        <f t="array" ref="B307">INDEX(Weekly_Inventory_Flow!$B$2:$B$261,INT((ROW()-2)/4)+1)</f>
        <v>P002</v>
      </c>
      <c r="C307" t="str" cm="1">
        <f t="array" ref="C307">INDEX(BOM!$B$2:$B$21,MATCH(B307,BOM!$A$2:$A$21,0)+MOD(ROW()-2,4))</f>
        <v>M006</v>
      </c>
      <c r="D307" cm="1">
        <f t="array" ref="D307">INDEX(Weekly_Inventory_Flow!$I$2:$I$261,INT((ROW()-2)/4)+1)</f>
        <v>12800</v>
      </c>
      <c r="E307" cm="1">
        <f t="array" ref="E307">INDEX(BOM!$C$2:$C$21,MATCH(B307,BOM!$A$2:$A$21,0)+MOD(ROW()-2,4))</f>
        <v>8.0000000000000002E-3</v>
      </c>
      <c r="F307">
        <f t="shared" si="4"/>
        <v>102.4</v>
      </c>
    </row>
    <row r="308" spans="1:6">
      <c r="A308" s="1" cm="1">
        <f t="array" ref="A308">INDEX(Weekly_Inventory_Flow!$A$2:$A$261,INT((ROW()-2)/4)+1)</f>
        <v>46132</v>
      </c>
      <c r="B308" t="str" cm="1">
        <f t="array" ref="B308">INDEX(Weekly_Inventory_Flow!$B$2:$B$261,INT((ROW()-2)/4)+1)</f>
        <v>P002</v>
      </c>
      <c r="C308" t="str" cm="1">
        <f t="array" ref="C308">INDEX(BOM!$B$2:$B$21,MATCH(B308,BOM!$A$2:$A$21,0)+MOD(ROW()-2,4))</f>
        <v>M007</v>
      </c>
      <c r="D308" cm="1">
        <f t="array" ref="D308">INDEX(Weekly_Inventory_Flow!$I$2:$I$261,INT((ROW()-2)/4)+1)</f>
        <v>12800</v>
      </c>
      <c r="E308" cm="1">
        <f t="array" ref="E308">INDEX(BOM!$C$2:$C$21,MATCH(B308,BOM!$A$2:$A$21,0)+MOD(ROW()-2,4))</f>
        <v>1</v>
      </c>
      <c r="F308">
        <f t="shared" si="4"/>
        <v>12800</v>
      </c>
    </row>
    <row r="309" spans="1:6">
      <c r="A309" s="1" cm="1">
        <f t="array" ref="A309">INDEX(Weekly_Inventory_Flow!$A$2:$A$261,INT((ROW()-2)/4)+1)</f>
        <v>46132</v>
      </c>
      <c r="B309" t="str" cm="1">
        <f t="array" ref="B309">INDEX(Weekly_Inventory_Flow!$B$2:$B$261,INT((ROW()-2)/4)+1)</f>
        <v>P002</v>
      </c>
      <c r="C309" t="str" cm="1">
        <f t="array" ref="C309">INDEX(BOM!$B$2:$B$21,MATCH(B309,BOM!$A$2:$A$21,0)+MOD(ROW()-2,4))</f>
        <v>M008</v>
      </c>
      <c r="D309" cm="1">
        <f t="array" ref="D309">INDEX(Weekly_Inventory_Flow!$I$2:$I$261,INT((ROW()-2)/4)+1)</f>
        <v>12800</v>
      </c>
      <c r="E309" cm="1">
        <f t="array" ref="E309">INDEX(BOM!$C$2:$C$21,MATCH(B309,BOM!$A$2:$A$21,0)+MOD(ROW()-2,4))</f>
        <v>1</v>
      </c>
      <c r="F309">
        <f t="shared" si="4"/>
        <v>12800</v>
      </c>
    </row>
    <row r="310" spans="1:6">
      <c r="A310" s="1" cm="1">
        <f t="array" ref="A310">INDEX(Weekly_Inventory_Flow!$A$2:$A$261,INT((ROW()-2)/4)+1)</f>
        <v>46132</v>
      </c>
      <c r="B310" t="str" cm="1">
        <f t="array" ref="B310">INDEX(Weekly_Inventory_Flow!$B$2:$B$261,INT((ROW()-2)/4)+1)</f>
        <v>P003</v>
      </c>
      <c r="C310" t="str" cm="1">
        <f t="array" ref="C310">INDEX(BOM!$B$2:$B$21,MATCH(B310,BOM!$A$2:$A$21,0)+MOD(ROW()-2,4))</f>
        <v>M003</v>
      </c>
      <c r="D310" cm="1">
        <f t="array" ref="D310">INDEX(Weekly_Inventory_Flow!$I$2:$I$261,INT((ROW()-2)/4)+1)</f>
        <v>10900</v>
      </c>
      <c r="E310" cm="1">
        <f t="array" ref="E310">INDEX(BOM!$C$2:$C$21,MATCH(B310,BOM!$A$2:$A$21,0)+MOD(ROW()-2,4))</f>
        <v>0.25</v>
      </c>
      <c r="F310">
        <f t="shared" si="4"/>
        <v>2725</v>
      </c>
    </row>
    <row r="311" spans="1:6">
      <c r="A311" s="1" cm="1">
        <f t="array" ref="A311">INDEX(Weekly_Inventory_Flow!$A$2:$A$261,INT((ROW()-2)/4)+1)</f>
        <v>46132</v>
      </c>
      <c r="B311" t="str" cm="1">
        <f t="array" ref="B311">INDEX(Weekly_Inventory_Flow!$B$2:$B$261,INT((ROW()-2)/4)+1)</f>
        <v>P003</v>
      </c>
      <c r="C311" t="str" cm="1">
        <f t="array" ref="C311">INDEX(BOM!$B$2:$B$21,MATCH(B311,BOM!$A$2:$A$21,0)+MOD(ROW()-2,4))</f>
        <v>M006</v>
      </c>
      <c r="D311" cm="1">
        <f t="array" ref="D311">INDEX(Weekly_Inventory_Flow!$I$2:$I$261,INT((ROW()-2)/4)+1)</f>
        <v>10900</v>
      </c>
      <c r="E311" cm="1">
        <f t="array" ref="E311">INDEX(BOM!$C$2:$C$21,MATCH(B311,BOM!$A$2:$A$21,0)+MOD(ROW()-2,4))</f>
        <v>6.0000000000000001E-3</v>
      </c>
      <c r="F311">
        <f t="shared" si="4"/>
        <v>65.400000000000006</v>
      </c>
    </row>
    <row r="312" spans="1:6">
      <c r="A312" s="1" cm="1">
        <f t="array" ref="A312">INDEX(Weekly_Inventory_Flow!$A$2:$A$261,INT((ROW()-2)/4)+1)</f>
        <v>46132</v>
      </c>
      <c r="B312" t="str" cm="1">
        <f t="array" ref="B312">INDEX(Weekly_Inventory_Flow!$B$2:$B$261,INT((ROW()-2)/4)+1)</f>
        <v>P003</v>
      </c>
      <c r="C312" t="str" cm="1">
        <f t="array" ref="C312">INDEX(BOM!$B$2:$B$21,MATCH(B312,BOM!$A$2:$A$21,0)+MOD(ROW()-2,4))</f>
        <v>M007</v>
      </c>
      <c r="D312" cm="1">
        <f t="array" ref="D312">INDEX(Weekly_Inventory_Flow!$I$2:$I$261,INT((ROW()-2)/4)+1)</f>
        <v>10900</v>
      </c>
      <c r="E312" cm="1">
        <f t="array" ref="E312">INDEX(BOM!$C$2:$C$21,MATCH(B312,BOM!$A$2:$A$21,0)+MOD(ROW()-2,4))</f>
        <v>1</v>
      </c>
      <c r="F312">
        <f t="shared" si="4"/>
        <v>10900</v>
      </c>
    </row>
    <row r="313" spans="1:6">
      <c r="A313" s="1" cm="1">
        <f t="array" ref="A313">INDEX(Weekly_Inventory_Flow!$A$2:$A$261,INT((ROW()-2)/4)+1)</f>
        <v>46132</v>
      </c>
      <c r="B313" t="str" cm="1">
        <f t="array" ref="B313">INDEX(Weekly_Inventory_Flow!$B$2:$B$261,INT((ROW()-2)/4)+1)</f>
        <v>P003</v>
      </c>
      <c r="C313" t="str" cm="1">
        <f t="array" ref="C313">INDEX(BOM!$B$2:$B$21,MATCH(B313,BOM!$A$2:$A$21,0)+MOD(ROW()-2,4))</f>
        <v>M008</v>
      </c>
      <c r="D313" cm="1">
        <f t="array" ref="D313">INDEX(Weekly_Inventory_Flow!$I$2:$I$261,INT((ROW()-2)/4)+1)</f>
        <v>10900</v>
      </c>
      <c r="E313" cm="1">
        <f t="array" ref="E313">INDEX(BOM!$C$2:$C$21,MATCH(B313,BOM!$A$2:$A$21,0)+MOD(ROW()-2,4))</f>
        <v>1</v>
      </c>
      <c r="F313">
        <f t="shared" si="4"/>
        <v>10900</v>
      </c>
    </row>
    <row r="314" spans="1:6">
      <c r="A314" s="1" cm="1">
        <f t="array" ref="A314">INDEX(Weekly_Inventory_Flow!$A$2:$A$261,INT((ROW()-2)/4)+1)</f>
        <v>46132</v>
      </c>
      <c r="B314" t="str" cm="1">
        <f t="array" ref="B314">INDEX(Weekly_Inventory_Flow!$B$2:$B$261,INT((ROW()-2)/4)+1)</f>
        <v>P004</v>
      </c>
      <c r="C314" t="str" cm="1">
        <f t="array" ref="C314">INDEX(BOM!$B$2:$B$21,MATCH(B314,BOM!$A$2:$A$21,0)+MOD(ROW()-2,4))</f>
        <v>M004</v>
      </c>
      <c r="D314" cm="1">
        <f t="array" ref="D314">INDEX(Weekly_Inventory_Flow!$I$2:$I$261,INT((ROW()-2)/4)+1)</f>
        <v>11800</v>
      </c>
      <c r="E314" cm="1">
        <f t="array" ref="E314">INDEX(BOM!$C$2:$C$21,MATCH(B314,BOM!$A$2:$A$21,0)+MOD(ROW()-2,4))</f>
        <v>0.34</v>
      </c>
      <c r="F314">
        <f t="shared" si="4"/>
        <v>4012.0000000000005</v>
      </c>
    </row>
    <row r="315" spans="1:6">
      <c r="A315" s="1" cm="1">
        <f t="array" ref="A315">INDEX(Weekly_Inventory_Flow!$A$2:$A$261,INT((ROW()-2)/4)+1)</f>
        <v>46132</v>
      </c>
      <c r="B315" t="str" cm="1">
        <f t="array" ref="B315">INDEX(Weekly_Inventory_Flow!$B$2:$B$261,INT((ROW()-2)/4)+1)</f>
        <v>P004</v>
      </c>
      <c r="C315" t="str" cm="1">
        <f t="array" ref="C315">INDEX(BOM!$B$2:$B$21,MATCH(B315,BOM!$A$2:$A$21,0)+MOD(ROW()-2,4))</f>
        <v>M006</v>
      </c>
      <c r="D315" cm="1">
        <f t="array" ref="D315">INDEX(Weekly_Inventory_Flow!$I$2:$I$261,INT((ROW()-2)/4)+1)</f>
        <v>11800</v>
      </c>
      <c r="E315" cm="1">
        <f t="array" ref="E315">INDEX(BOM!$C$2:$C$21,MATCH(B315,BOM!$A$2:$A$21,0)+MOD(ROW()-2,4))</f>
        <v>8.9999999999999993E-3</v>
      </c>
      <c r="F315">
        <f t="shared" si="4"/>
        <v>106.19999999999999</v>
      </c>
    </row>
    <row r="316" spans="1:6">
      <c r="A316" s="1" cm="1">
        <f t="array" ref="A316">INDEX(Weekly_Inventory_Flow!$A$2:$A$261,INT((ROW()-2)/4)+1)</f>
        <v>46132</v>
      </c>
      <c r="B316" t="str" cm="1">
        <f t="array" ref="B316">INDEX(Weekly_Inventory_Flow!$B$2:$B$261,INT((ROW()-2)/4)+1)</f>
        <v>P004</v>
      </c>
      <c r="C316" t="str" cm="1">
        <f t="array" ref="C316">INDEX(BOM!$B$2:$B$21,MATCH(B316,BOM!$A$2:$A$21,0)+MOD(ROW()-2,4))</f>
        <v>M007</v>
      </c>
      <c r="D316" cm="1">
        <f t="array" ref="D316">INDEX(Weekly_Inventory_Flow!$I$2:$I$261,INT((ROW()-2)/4)+1)</f>
        <v>11800</v>
      </c>
      <c r="E316" cm="1">
        <f t="array" ref="E316">INDEX(BOM!$C$2:$C$21,MATCH(B316,BOM!$A$2:$A$21,0)+MOD(ROW()-2,4))</f>
        <v>1</v>
      </c>
      <c r="F316">
        <f t="shared" si="4"/>
        <v>11800</v>
      </c>
    </row>
    <row r="317" spans="1:6">
      <c r="A317" s="1" cm="1">
        <f t="array" ref="A317">INDEX(Weekly_Inventory_Flow!$A$2:$A$261,INT((ROW()-2)/4)+1)</f>
        <v>46132</v>
      </c>
      <c r="B317" t="str" cm="1">
        <f t="array" ref="B317">INDEX(Weekly_Inventory_Flow!$B$2:$B$261,INT((ROW()-2)/4)+1)</f>
        <v>P004</v>
      </c>
      <c r="C317" t="str" cm="1">
        <f t="array" ref="C317">INDEX(BOM!$B$2:$B$21,MATCH(B317,BOM!$A$2:$A$21,0)+MOD(ROW()-2,4))</f>
        <v>M008</v>
      </c>
      <c r="D317" cm="1">
        <f t="array" ref="D317">INDEX(Weekly_Inventory_Flow!$I$2:$I$261,INT((ROW()-2)/4)+1)</f>
        <v>11800</v>
      </c>
      <c r="E317" cm="1">
        <f t="array" ref="E317">INDEX(BOM!$C$2:$C$21,MATCH(B317,BOM!$A$2:$A$21,0)+MOD(ROW()-2,4))</f>
        <v>1</v>
      </c>
      <c r="F317">
        <f t="shared" si="4"/>
        <v>11800</v>
      </c>
    </row>
    <row r="318" spans="1:6">
      <c r="A318" s="1" cm="1">
        <f t="array" ref="A318">INDEX(Weekly_Inventory_Flow!$A$2:$A$261,INT((ROW()-2)/4)+1)</f>
        <v>46132</v>
      </c>
      <c r="B318" t="str" cm="1">
        <f t="array" ref="B318">INDEX(Weekly_Inventory_Flow!$B$2:$B$261,INT((ROW()-2)/4)+1)</f>
        <v>P005</v>
      </c>
      <c r="C318" t="str" cm="1">
        <f t="array" ref="C318">INDEX(BOM!$B$2:$B$21,MATCH(B318,BOM!$A$2:$A$21,0)+MOD(ROW()-2,4))</f>
        <v>M005</v>
      </c>
      <c r="D318" cm="1">
        <f t="array" ref="D318">INDEX(Weekly_Inventory_Flow!$I$2:$I$261,INT((ROW()-2)/4)+1)</f>
        <v>8900</v>
      </c>
      <c r="E318" cm="1">
        <f t="array" ref="E318">INDEX(BOM!$C$2:$C$21,MATCH(B318,BOM!$A$2:$A$21,0)+MOD(ROW()-2,4))</f>
        <v>0.52</v>
      </c>
      <c r="F318">
        <f t="shared" si="4"/>
        <v>4628</v>
      </c>
    </row>
    <row r="319" spans="1:6">
      <c r="A319" s="1" cm="1">
        <f t="array" ref="A319">INDEX(Weekly_Inventory_Flow!$A$2:$A$261,INT((ROW()-2)/4)+1)</f>
        <v>46132</v>
      </c>
      <c r="B319" t="str" cm="1">
        <f t="array" ref="B319">INDEX(Weekly_Inventory_Flow!$B$2:$B$261,INT((ROW()-2)/4)+1)</f>
        <v>P005</v>
      </c>
      <c r="C319" t="str" cm="1">
        <f t="array" ref="C319">INDEX(BOM!$B$2:$B$21,MATCH(B319,BOM!$A$2:$A$21,0)+MOD(ROW()-2,4))</f>
        <v>M006</v>
      </c>
      <c r="D319" cm="1">
        <f t="array" ref="D319">INDEX(Weekly_Inventory_Flow!$I$2:$I$261,INT((ROW()-2)/4)+1)</f>
        <v>8900</v>
      </c>
      <c r="E319" cm="1">
        <f t="array" ref="E319">INDEX(BOM!$C$2:$C$21,MATCH(B319,BOM!$A$2:$A$21,0)+MOD(ROW()-2,4))</f>
        <v>1.2E-2</v>
      </c>
      <c r="F319">
        <f t="shared" si="4"/>
        <v>106.8</v>
      </c>
    </row>
    <row r="320" spans="1:6">
      <c r="A320" s="1" cm="1">
        <f t="array" ref="A320">INDEX(Weekly_Inventory_Flow!$A$2:$A$261,INT((ROW()-2)/4)+1)</f>
        <v>46132</v>
      </c>
      <c r="B320" t="str" cm="1">
        <f t="array" ref="B320">INDEX(Weekly_Inventory_Flow!$B$2:$B$261,INT((ROW()-2)/4)+1)</f>
        <v>P005</v>
      </c>
      <c r="C320" t="str" cm="1">
        <f t="array" ref="C320">INDEX(BOM!$B$2:$B$21,MATCH(B320,BOM!$A$2:$A$21,0)+MOD(ROW()-2,4))</f>
        <v>M007</v>
      </c>
      <c r="D320" cm="1">
        <f t="array" ref="D320">INDEX(Weekly_Inventory_Flow!$I$2:$I$261,INT((ROW()-2)/4)+1)</f>
        <v>8900</v>
      </c>
      <c r="E320" cm="1">
        <f t="array" ref="E320">INDEX(BOM!$C$2:$C$21,MATCH(B320,BOM!$A$2:$A$21,0)+MOD(ROW()-2,4))</f>
        <v>1</v>
      </c>
      <c r="F320">
        <f t="shared" si="4"/>
        <v>8900</v>
      </c>
    </row>
    <row r="321" spans="1:6">
      <c r="A321" s="1" cm="1">
        <f t="array" ref="A321">INDEX(Weekly_Inventory_Flow!$A$2:$A$261,INT((ROW()-2)/4)+1)</f>
        <v>46132</v>
      </c>
      <c r="B321" t="str" cm="1">
        <f t="array" ref="B321">INDEX(Weekly_Inventory_Flow!$B$2:$B$261,INT((ROW()-2)/4)+1)</f>
        <v>P005</v>
      </c>
      <c r="C321" t="str" cm="1">
        <f t="array" ref="C321">INDEX(BOM!$B$2:$B$21,MATCH(B321,BOM!$A$2:$A$21,0)+MOD(ROW()-2,4))</f>
        <v>M008</v>
      </c>
      <c r="D321" cm="1">
        <f t="array" ref="D321">INDEX(Weekly_Inventory_Flow!$I$2:$I$261,INT((ROW()-2)/4)+1)</f>
        <v>8900</v>
      </c>
      <c r="E321" cm="1">
        <f t="array" ref="E321">INDEX(BOM!$C$2:$C$21,MATCH(B321,BOM!$A$2:$A$21,0)+MOD(ROW()-2,4))</f>
        <v>1</v>
      </c>
      <c r="F321">
        <f t="shared" si="4"/>
        <v>8900</v>
      </c>
    </row>
    <row r="322" spans="1:6">
      <c r="A322" s="1" cm="1">
        <f t="array" ref="A322">INDEX(Weekly_Inventory_Flow!$A$2:$A$261,INT((ROW()-2)/4)+1)</f>
        <v>46139</v>
      </c>
      <c r="B322" t="str" cm="1">
        <f t="array" ref="B322">INDEX(Weekly_Inventory_Flow!$B$2:$B$261,INT((ROW()-2)/4)+1)</f>
        <v>P001</v>
      </c>
      <c r="C322" t="str" cm="1">
        <f t="array" ref="C322">INDEX(BOM!$B$2:$B$21,MATCH(B322,BOM!$A$2:$A$21,0)+MOD(ROW()-2,4))</f>
        <v>M001</v>
      </c>
      <c r="D322" cm="1">
        <f t="array" ref="D322">INDEX(Weekly_Inventory_Flow!$I$2:$I$261,INT((ROW()-2)/4)+1)</f>
        <v>14400</v>
      </c>
      <c r="E322" cm="1">
        <f t="array" ref="E322">INDEX(BOM!$C$2:$C$21,MATCH(B322,BOM!$A$2:$A$21,0)+MOD(ROW()-2,4))</f>
        <v>0.35</v>
      </c>
      <c r="F322">
        <f t="shared" si="4"/>
        <v>5040</v>
      </c>
    </row>
    <row r="323" spans="1:6">
      <c r="A323" s="1" cm="1">
        <f t="array" ref="A323">INDEX(Weekly_Inventory_Flow!$A$2:$A$261,INT((ROW()-2)/4)+1)</f>
        <v>46139</v>
      </c>
      <c r="B323" t="str" cm="1">
        <f t="array" ref="B323">INDEX(Weekly_Inventory_Flow!$B$2:$B$261,INT((ROW()-2)/4)+1)</f>
        <v>P001</v>
      </c>
      <c r="C323" t="str" cm="1">
        <f t="array" ref="C323">INDEX(BOM!$B$2:$B$21,MATCH(B323,BOM!$A$2:$A$21,0)+MOD(ROW()-2,4))</f>
        <v>M006</v>
      </c>
      <c r="D323" cm="1">
        <f t="array" ref="D323">INDEX(Weekly_Inventory_Flow!$I$2:$I$261,INT((ROW()-2)/4)+1)</f>
        <v>14400</v>
      </c>
      <c r="E323" cm="1">
        <f t="array" ref="E323">INDEX(BOM!$C$2:$C$21,MATCH(B323,BOM!$A$2:$A$21,0)+MOD(ROW()-2,4))</f>
        <v>0.01</v>
      </c>
      <c r="F323">
        <f t="shared" ref="F323:F386" si="5">D323*E323</f>
        <v>144</v>
      </c>
    </row>
    <row r="324" spans="1:6">
      <c r="A324" s="1" cm="1">
        <f t="array" ref="A324">INDEX(Weekly_Inventory_Flow!$A$2:$A$261,INT((ROW()-2)/4)+1)</f>
        <v>46139</v>
      </c>
      <c r="B324" t="str" cm="1">
        <f t="array" ref="B324">INDEX(Weekly_Inventory_Flow!$B$2:$B$261,INT((ROW()-2)/4)+1)</f>
        <v>P001</v>
      </c>
      <c r="C324" t="str" cm="1">
        <f t="array" ref="C324">INDEX(BOM!$B$2:$B$21,MATCH(B324,BOM!$A$2:$A$21,0)+MOD(ROW()-2,4))</f>
        <v>M007</v>
      </c>
      <c r="D324" cm="1">
        <f t="array" ref="D324">INDEX(Weekly_Inventory_Flow!$I$2:$I$261,INT((ROW()-2)/4)+1)</f>
        <v>14400</v>
      </c>
      <c r="E324" cm="1">
        <f t="array" ref="E324">INDEX(BOM!$C$2:$C$21,MATCH(B324,BOM!$A$2:$A$21,0)+MOD(ROW()-2,4))</f>
        <v>1</v>
      </c>
      <c r="F324">
        <f t="shared" si="5"/>
        <v>14400</v>
      </c>
    </row>
    <row r="325" spans="1:6">
      <c r="A325" s="1" cm="1">
        <f t="array" ref="A325">INDEX(Weekly_Inventory_Flow!$A$2:$A$261,INT((ROW()-2)/4)+1)</f>
        <v>46139</v>
      </c>
      <c r="B325" t="str" cm="1">
        <f t="array" ref="B325">INDEX(Weekly_Inventory_Flow!$B$2:$B$261,INT((ROW()-2)/4)+1)</f>
        <v>P001</v>
      </c>
      <c r="C325" t="str" cm="1">
        <f t="array" ref="C325">INDEX(BOM!$B$2:$B$21,MATCH(B325,BOM!$A$2:$A$21,0)+MOD(ROW()-2,4))</f>
        <v>M008</v>
      </c>
      <c r="D325" cm="1">
        <f t="array" ref="D325">INDEX(Weekly_Inventory_Flow!$I$2:$I$261,INT((ROW()-2)/4)+1)</f>
        <v>14400</v>
      </c>
      <c r="E325" cm="1">
        <f t="array" ref="E325">INDEX(BOM!$C$2:$C$21,MATCH(B325,BOM!$A$2:$A$21,0)+MOD(ROW()-2,4))</f>
        <v>1</v>
      </c>
      <c r="F325">
        <f t="shared" si="5"/>
        <v>14400</v>
      </c>
    </row>
    <row r="326" spans="1:6">
      <c r="A326" s="1" cm="1">
        <f t="array" ref="A326">INDEX(Weekly_Inventory_Flow!$A$2:$A$261,INT((ROW()-2)/4)+1)</f>
        <v>46139</v>
      </c>
      <c r="B326" t="str" cm="1">
        <f t="array" ref="B326">INDEX(Weekly_Inventory_Flow!$B$2:$B$261,INT((ROW()-2)/4)+1)</f>
        <v>P002</v>
      </c>
      <c r="C326" t="str" cm="1">
        <f t="array" ref="C326">INDEX(BOM!$B$2:$B$21,MATCH(B326,BOM!$A$2:$A$21,0)+MOD(ROW()-2,4))</f>
        <v>M002</v>
      </c>
      <c r="D326" cm="1">
        <f t="array" ref="D326">INDEX(Weekly_Inventory_Flow!$I$2:$I$261,INT((ROW()-2)/4)+1)</f>
        <v>12900</v>
      </c>
      <c r="E326" cm="1">
        <f t="array" ref="E326">INDEX(BOM!$C$2:$C$21,MATCH(B326,BOM!$A$2:$A$21,0)+MOD(ROW()-2,4))</f>
        <v>0.3</v>
      </c>
      <c r="F326">
        <f t="shared" si="5"/>
        <v>3870</v>
      </c>
    </row>
    <row r="327" spans="1:6">
      <c r="A327" s="1" cm="1">
        <f t="array" ref="A327">INDEX(Weekly_Inventory_Flow!$A$2:$A$261,INT((ROW()-2)/4)+1)</f>
        <v>46139</v>
      </c>
      <c r="B327" t="str" cm="1">
        <f t="array" ref="B327">INDEX(Weekly_Inventory_Flow!$B$2:$B$261,INT((ROW()-2)/4)+1)</f>
        <v>P002</v>
      </c>
      <c r="C327" t="str" cm="1">
        <f t="array" ref="C327">INDEX(BOM!$B$2:$B$21,MATCH(B327,BOM!$A$2:$A$21,0)+MOD(ROW()-2,4))</f>
        <v>M006</v>
      </c>
      <c r="D327" cm="1">
        <f t="array" ref="D327">INDEX(Weekly_Inventory_Flow!$I$2:$I$261,INT((ROW()-2)/4)+1)</f>
        <v>12900</v>
      </c>
      <c r="E327" cm="1">
        <f t="array" ref="E327">INDEX(BOM!$C$2:$C$21,MATCH(B327,BOM!$A$2:$A$21,0)+MOD(ROW()-2,4))</f>
        <v>8.0000000000000002E-3</v>
      </c>
      <c r="F327">
        <f t="shared" si="5"/>
        <v>103.2</v>
      </c>
    </row>
    <row r="328" spans="1:6">
      <c r="A328" s="1" cm="1">
        <f t="array" ref="A328">INDEX(Weekly_Inventory_Flow!$A$2:$A$261,INT((ROW()-2)/4)+1)</f>
        <v>46139</v>
      </c>
      <c r="B328" t="str" cm="1">
        <f t="array" ref="B328">INDEX(Weekly_Inventory_Flow!$B$2:$B$261,INT((ROW()-2)/4)+1)</f>
        <v>P002</v>
      </c>
      <c r="C328" t="str" cm="1">
        <f t="array" ref="C328">INDEX(BOM!$B$2:$B$21,MATCH(B328,BOM!$A$2:$A$21,0)+MOD(ROW()-2,4))</f>
        <v>M007</v>
      </c>
      <c r="D328" cm="1">
        <f t="array" ref="D328">INDEX(Weekly_Inventory_Flow!$I$2:$I$261,INT((ROW()-2)/4)+1)</f>
        <v>12900</v>
      </c>
      <c r="E328" cm="1">
        <f t="array" ref="E328">INDEX(BOM!$C$2:$C$21,MATCH(B328,BOM!$A$2:$A$21,0)+MOD(ROW()-2,4))</f>
        <v>1</v>
      </c>
      <c r="F328">
        <f t="shared" si="5"/>
        <v>12900</v>
      </c>
    </row>
    <row r="329" spans="1:6">
      <c r="A329" s="1" cm="1">
        <f t="array" ref="A329">INDEX(Weekly_Inventory_Flow!$A$2:$A$261,INT((ROW()-2)/4)+1)</f>
        <v>46139</v>
      </c>
      <c r="B329" t="str" cm="1">
        <f t="array" ref="B329">INDEX(Weekly_Inventory_Flow!$B$2:$B$261,INT((ROW()-2)/4)+1)</f>
        <v>P002</v>
      </c>
      <c r="C329" t="str" cm="1">
        <f t="array" ref="C329">INDEX(BOM!$B$2:$B$21,MATCH(B329,BOM!$A$2:$A$21,0)+MOD(ROW()-2,4))</f>
        <v>M008</v>
      </c>
      <c r="D329" cm="1">
        <f t="array" ref="D329">INDEX(Weekly_Inventory_Flow!$I$2:$I$261,INT((ROW()-2)/4)+1)</f>
        <v>12900</v>
      </c>
      <c r="E329" cm="1">
        <f t="array" ref="E329">INDEX(BOM!$C$2:$C$21,MATCH(B329,BOM!$A$2:$A$21,0)+MOD(ROW()-2,4))</f>
        <v>1</v>
      </c>
      <c r="F329">
        <f t="shared" si="5"/>
        <v>12900</v>
      </c>
    </row>
    <row r="330" spans="1:6">
      <c r="A330" s="1" cm="1">
        <f t="array" ref="A330">INDEX(Weekly_Inventory_Flow!$A$2:$A$261,INT((ROW()-2)/4)+1)</f>
        <v>46139</v>
      </c>
      <c r="B330" t="str" cm="1">
        <f t="array" ref="B330">INDEX(Weekly_Inventory_Flow!$B$2:$B$261,INT((ROW()-2)/4)+1)</f>
        <v>P003</v>
      </c>
      <c r="C330" t="str" cm="1">
        <f t="array" ref="C330">INDEX(BOM!$B$2:$B$21,MATCH(B330,BOM!$A$2:$A$21,0)+MOD(ROW()-2,4))</f>
        <v>M003</v>
      </c>
      <c r="D330" cm="1">
        <f t="array" ref="D330">INDEX(Weekly_Inventory_Flow!$I$2:$I$261,INT((ROW()-2)/4)+1)</f>
        <v>11200</v>
      </c>
      <c r="E330" cm="1">
        <f t="array" ref="E330">INDEX(BOM!$C$2:$C$21,MATCH(B330,BOM!$A$2:$A$21,0)+MOD(ROW()-2,4))</f>
        <v>0.25</v>
      </c>
      <c r="F330">
        <f t="shared" si="5"/>
        <v>2800</v>
      </c>
    </row>
    <row r="331" spans="1:6">
      <c r="A331" s="1" cm="1">
        <f t="array" ref="A331">INDEX(Weekly_Inventory_Flow!$A$2:$A$261,INT((ROW()-2)/4)+1)</f>
        <v>46139</v>
      </c>
      <c r="B331" t="str" cm="1">
        <f t="array" ref="B331">INDEX(Weekly_Inventory_Flow!$B$2:$B$261,INT((ROW()-2)/4)+1)</f>
        <v>P003</v>
      </c>
      <c r="C331" t="str" cm="1">
        <f t="array" ref="C331">INDEX(BOM!$B$2:$B$21,MATCH(B331,BOM!$A$2:$A$21,0)+MOD(ROW()-2,4))</f>
        <v>M006</v>
      </c>
      <c r="D331" cm="1">
        <f t="array" ref="D331">INDEX(Weekly_Inventory_Flow!$I$2:$I$261,INT((ROW()-2)/4)+1)</f>
        <v>11200</v>
      </c>
      <c r="E331" cm="1">
        <f t="array" ref="E331">INDEX(BOM!$C$2:$C$21,MATCH(B331,BOM!$A$2:$A$21,0)+MOD(ROW()-2,4))</f>
        <v>6.0000000000000001E-3</v>
      </c>
      <c r="F331">
        <f t="shared" si="5"/>
        <v>67.2</v>
      </c>
    </row>
    <row r="332" spans="1:6">
      <c r="A332" s="1" cm="1">
        <f t="array" ref="A332">INDEX(Weekly_Inventory_Flow!$A$2:$A$261,INT((ROW()-2)/4)+1)</f>
        <v>46139</v>
      </c>
      <c r="B332" t="str" cm="1">
        <f t="array" ref="B332">INDEX(Weekly_Inventory_Flow!$B$2:$B$261,INT((ROW()-2)/4)+1)</f>
        <v>P003</v>
      </c>
      <c r="C332" t="str" cm="1">
        <f t="array" ref="C332">INDEX(BOM!$B$2:$B$21,MATCH(B332,BOM!$A$2:$A$21,0)+MOD(ROW()-2,4))</f>
        <v>M007</v>
      </c>
      <c r="D332" cm="1">
        <f t="array" ref="D332">INDEX(Weekly_Inventory_Flow!$I$2:$I$261,INT((ROW()-2)/4)+1)</f>
        <v>11200</v>
      </c>
      <c r="E332" cm="1">
        <f t="array" ref="E332">INDEX(BOM!$C$2:$C$21,MATCH(B332,BOM!$A$2:$A$21,0)+MOD(ROW()-2,4))</f>
        <v>1</v>
      </c>
      <c r="F332">
        <f t="shared" si="5"/>
        <v>11200</v>
      </c>
    </row>
    <row r="333" spans="1:6">
      <c r="A333" s="1" cm="1">
        <f t="array" ref="A333">INDEX(Weekly_Inventory_Flow!$A$2:$A$261,INT((ROW()-2)/4)+1)</f>
        <v>46139</v>
      </c>
      <c r="B333" t="str" cm="1">
        <f t="array" ref="B333">INDEX(Weekly_Inventory_Flow!$B$2:$B$261,INT((ROW()-2)/4)+1)</f>
        <v>P003</v>
      </c>
      <c r="C333" t="str" cm="1">
        <f t="array" ref="C333">INDEX(BOM!$B$2:$B$21,MATCH(B333,BOM!$A$2:$A$21,0)+MOD(ROW()-2,4))</f>
        <v>M008</v>
      </c>
      <c r="D333" cm="1">
        <f t="array" ref="D333">INDEX(Weekly_Inventory_Flow!$I$2:$I$261,INT((ROW()-2)/4)+1)</f>
        <v>11200</v>
      </c>
      <c r="E333" cm="1">
        <f t="array" ref="E333">INDEX(BOM!$C$2:$C$21,MATCH(B333,BOM!$A$2:$A$21,0)+MOD(ROW()-2,4))</f>
        <v>1</v>
      </c>
      <c r="F333">
        <f t="shared" si="5"/>
        <v>11200</v>
      </c>
    </row>
    <row r="334" spans="1:6">
      <c r="A334" s="1" cm="1">
        <f t="array" ref="A334">INDEX(Weekly_Inventory_Flow!$A$2:$A$261,INT((ROW()-2)/4)+1)</f>
        <v>46139</v>
      </c>
      <c r="B334" t="str" cm="1">
        <f t="array" ref="B334">INDEX(Weekly_Inventory_Flow!$B$2:$B$261,INT((ROW()-2)/4)+1)</f>
        <v>P004</v>
      </c>
      <c r="C334" t="str" cm="1">
        <f t="array" ref="C334">INDEX(BOM!$B$2:$B$21,MATCH(B334,BOM!$A$2:$A$21,0)+MOD(ROW()-2,4))</f>
        <v>M004</v>
      </c>
      <c r="D334" cm="1">
        <f t="array" ref="D334">INDEX(Weekly_Inventory_Flow!$I$2:$I$261,INT((ROW()-2)/4)+1)</f>
        <v>11900</v>
      </c>
      <c r="E334" cm="1">
        <f t="array" ref="E334">INDEX(BOM!$C$2:$C$21,MATCH(B334,BOM!$A$2:$A$21,0)+MOD(ROW()-2,4))</f>
        <v>0.34</v>
      </c>
      <c r="F334">
        <f t="shared" si="5"/>
        <v>4046.0000000000005</v>
      </c>
    </row>
    <row r="335" spans="1:6">
      <c r="A335" s="1" cm="1">
        <f t="array" ref="A335">INDEX(Weekly_Inventory_Flow!$A$2:$A$261,INT((ROW()-2)/4)+1)</f>
        <v>46139</v>
      </c>
      <c r="B335" t="str" cm="1">
        <f t="array" ref="B335">INDEX(Weekly_Inventory_Flow!$B$2:$B$261,INT((ROW()-2)/4)+1)</f>
        <v>P004</v>
      </c>
      <c r="C335" t="str" cm="1">
        <f t="array" ref="C335">INDEX(BOM!$B$2:$B$21,MATCH(B335,BOM!$A$2:$A$21,0)+MOD(ROW()-2,4))</f>
        <v>M006</v>
      </c>
      <c r="D335" cm="1">
        <f t="array" ref="D335">INDEX(Weekly_Inventory_Flow!$I$2:$I$261,INT((ROW()-2)/4)+1)</f>
        <v>11900</v>
      </c>
      <c r="E335" cm="1">
        <f t="array" ref="E335">INDEX(BOM!$C$2:$C$21,MATCH(B335,BOM!$A$2:$A$21,0)+MOD(ROW()-2,4))</f>
        <v>8.9999999999999993E-3</v>
      </c>
      <c r="F335">
        <f t="shared" si="5"/>
        <v>107.1</v>
      </c>
    </row>
    <row r="336" spans="1:6">
      <c r="A336" s="1" cm="1">
        <f t="array" ref="A336">INDEX(Weekly_Inventory_Flow!$A$2:$A$261,INT((ROW()-2)/4)+1)</f>
        <v>46139</v>
      </c>
      <c r="B336" t="str" cm="1">
        <f t="array" ref="B336">INDEX(Weekly_Inventory_Flow!$B$2:$B$261,INT((ROW()-2)/4)+1)</f>
        <v>P004</v>
      </c>
      <c r="C336" t="str" cm="1">
        <f t="array" ref="C336">INDEX(BOM!$B$2:$B$21,MATCH(B336,BOM!$A$2:$A$21,0)+MOD(ROW()-2,4))</f>
        <v>M007</v>
      </c>
      <c r="D336" cm="1">
        <f t="array" ref="D336">INDEX(Weekly_Inventory_Flow!$I$2:$I$261,INT((ROW()-2)/4)+1)</f>
        <v>11900</v>
      </c>
      <c r="E336" cm="1">
        <f t="array" ref="E336">INDEX(BOM!$C$2:$C$21,MATCH(B336,BOM!$A$2:$A$21,0)+MOD(ROW()-2,4))</f>
        <v>1</v>
      </c>
      <c r="F336">
        <f t="shared" si="5"/>
        <v>11900</v>
      </c>
    </row>
    <row r="337" spans="1:6">
      <c r="A337" s="1" cm="1">
        <f t="array" ref="A337">INDEX(Weekly_Inventory_Flow!$A$2:$A$261,INT((ROW()-2)/4)+1)</f>
        <v>46139</v>
      </c>
      <c r="B337" t="str" cm="1">
        <f t="array" ref="B337">INDEX(Weekly_Inventory_Flow!$B$2:$B$261,INT((ROW()-2)/4)+1)</f>
        <v>P004</v>
      </c>
      <c r="C337" t="str" cm="1">
        <f t="array" ref="C337">INDEX(BOM!$B$2:$B$21,MATCH(B337,BOM!$A$2:$A$21,0)+MOD(ROW()-2,4))</f>
        <v>M008</v>
      </c>
      <c r="D337" cm="1">
        <f t="array" ref="D337">INDEX(Weekly_Inventory_Flow!$I$2:$I$261,INT((ROW()-2)/4)+1)</f>
        <v>11900</v>
      </c>
      <c r="E337" cm="1">
        <f t="array" ref="E337">INDEX(BOM!$C$2:$C$21,MATCH(B337,BOM!$A$2:$A$21,0)+MOD(ROW()-2,4))</f>
        <v>1</v>
      </c>
      <c r="F337">
        <f t="shared" si="5"/>
        <v>11900</v>
      </c>
    </row>
    <row r="338" spans="1:6">
      <c r="A338" s="1" cm="1">
        <f t="array" ref="A338">INDEX(Weekly_Inventory_Flow!$A$2:$A$261,INT((ROW()-2)/4)+1)</f>
        <v>46139</v>
      </c>
      <c r="B338" t="str" cm="1">
        <f t="array" ref="B338">INDEX(Weekly_Inventory_Flow!$B$2:$B$261,INT((ROW()-2)/4)+1)</f>
        <v>P005</v>
      </c>
      <c r="C338" t="str" cm="1">
        <f t="array" ref="C338">INDEX(BOM!$B$2:$B$21,MATCH(B338,BOM!$A$2:$A$21,0)+MOD(ROW()-2,4))</f>
        <v>M005</v>
      </c>
      <c r="D338" cm="1">
        <f t="array" ref="D338">INDEX(Weekly_Inventory_Flow!$I$2:$I$261,INT((ROW()-2)/4)+1)</f>
        <v>8500</v>
      </c>
      <c r="E338" cm="1">
        <f t="array" ref="E338">INDEX(BOM!$C$2:$C$21,MATCH(B338,BOM!$A$2:$A$21,0)+MOD(ROW()-2,4))</f>
        <v>0.52</v>
      </c>
      <c r="F338">
        <f t="shared" si="5"/>
        <v>4420</v>
      </c>
    </row>
    <row r="339" spans="1:6">
      <c r="A339" s="1" cm="1">
        <f t="array" ref="A339">INDEX(Weekly_Inventory_Flow!$A$2:$A$261,INT((ROW()-2)/4)+1)</f>
        <v>46139</v>
      </c>
      <c r="B339" t="str" cm="1">
        <f t="array" ref="B339">INDEX(Weekly_Inventory_Flow!$B$2:$B$261,INT((ROW()-2)/4)+1)</f>
        <v>P005</v>
      </c>
      <c r="C339" t="str" cm="1">
        <f t="array" ref="C339">INDEX(BOM!$B$2:$B$21,MATCH(B339,BOM!$A$2:$A$21,0)+MOD(ROW()-2,4))</f>
        <v>M006</v>
      </c>
      <c r="D339" cm="1">
        <f t="array" ref="D339">INDEX(Weekly_Inventory_Flow!$I$2:$I$261,INT((ROW()-2)/4)+1)</f>
        <v>8500</v>
      </c>
      <c r="E339" cm="1">
        <f t="array" ref="E339">INDEX(BOM!$C$2:$C$21,MATCH(B339,BOM!$A$2:$A$21,0)+MOD(ROW()-2,4))</f>
        <v>1.2E-2</v>
      </c>
      <c r="F339">
        <f t="shared" si="5"/>
        <v>102</v>
      </c>
    </row>
    <row r="340" spans="1:6">
      <c r="A340" s="1" cm="1">
        <f t="array" ref="A340">INDEX(Weekly_Inventory_Flow!$A$2:$A$261,INT((ROW()-2)/4)+1)</f>
        <v>46139</v>
      </c>
      <c r="B340" t="str" cm="1">
        <f t="array" ref="B340">INDEX(Weekly_Inventory_Flow!$B$2:$B$261,INT((ROW()-2)/4)+1)</f>
        <v>P005</v>
      </c>
      <c r="C340" t="str" cm="1">
        <f t="array" ref="C340">INDEX(BOM!$B$2:$B$21,MATCH(B340,BOM!$A$2:$A$21,0)+MOD(ROW()-2,4))</f>
        <v>M007</v>
      </c>
      <c r="D340" cm="1">
        <f t="array" ref="D340">INDEX(Weekly_Inventory_Flow!$I$2:$I$261,INT((ROW()-2)/4)+1)</f>
        <v>8500</v>
      </c>
      <c r="E340" cm="1">
        <f t="array" ref="E340">INDEX(BOM!$C$2:$C$21,MATCH(B340,BOM!$A$2:$A$21,0)+MOD(ROW()-2,4))</f>
        <v>1</v>
      </c>
      <c r="F340">
        <f t="shared" si="5"/>
        <v>8500</v>
      </c>
    </row>
    <row r="341" spans="1:6">
      <c r="A341" s="1" cm="1">
        <f t="array" ref="A341">INDEX(Weekly_Inventory_Flow!$A$2:$A$261,INT((ROW()-2)/4)+1)</f>
        <v>46139</v>
      </c>
      <c r="B341" t="str" cm="1">
        <f t="array" ref="B341">INDEX(Weekly_Inventory_Flow!$B$2:$B$261,INT((ROW()-2)/4)+1)</f>
        <v>P005</v>
      </c>
      <c r="C341" t="str" cm="1">
        <f t="array" ref="C341">INDEX(BOM!$B$2:$B$21,MATCH(B341,BOM!$A$2:$A$21,0)+MOD(ROW()-2,4))</f>
        <v>M008</v>
      </c>
      <c r="D341" cm="1">
        <f t="array" ref="D341">INDEX(Weekly_Inventory_Flow!$I$2:$I$261,INT((ROW()-2)/4)+1)</f>
        <v>8500</v>
      </c>
      <c r="E341" cm="1">
        <f t="array" ref="E341">INDEX(BOM!$C$2:$C$21,MATCH(B341,BOM!$A$2:$A$21,0)+MOD(ROW()-2,4))</f>
        <v>1</v>
      </c>
      <c r="F341">
        <f t="shared" si="5"/>
        <v>8500</v>
      </c>
    </row>
    <row r="342" spans="1:6">
      <c r="A342" s="1" cm="1">
        <f t="array" ref="A342">INDEX(Weekly_Inventory_Flow!$A$2:$A$261,INT((ROW()-2)/4)+1)</f>
        <v>46146</v>
      </c>
      <c r="B342" t="str" cm="1">
        <f t="array" ref="B342">INDEX(Weekly_Inventory_Flow!$B$2:$B$261,INT((ROW()-2)/4)+1)</f>
        <v>P001</v>
      </c>
      <c r="C342" t="str" cm="1">
        <f t="array" ref="C342">INDEX(BOM!$B$2:$B$21,MATCH(B342,BOM!$A$2:$A$21,0)+MOD(ROW()-2,4))</f>
        <v>M001</v>
      </c>
      <c r="D342" cm="1">
        <f t="array" ref="D342">INDEX(Weekly_Inventory_Flow!$I$2:$I$261,INT((ROW()-2)/4)+1)</f>
        <v>15100</v>
      </c>
      <c r="E342" cm="1">
        <f t="array" ref="E342">INDEX(BOM!$C$2:$C$21,MATCH(B342,BOM!$A$2:$A$21,0)+MOD(ROW()-2,4))</f>
        <v>0.35</v>
      </c>
      <c r="F342">
        <f t="shared" si="5"/>
        <v>5285</v>
      </c>
    </row>
    <row r="343" spans="1:6">
      <c r="A343" s="1" cm="1">
        <f t="array" ref="A343">INDEX(Weekly_Inventory_Flow!$A$2:$A$261,INT((ROW()-2)/4)+1)</f>
        <v>46146</v>
      </c>
      <c r="B343" t="str" cm="1">
        <f t="array" ref="B343">INDEX(Weekly_Inventory_Flow!$B$2:$B$261,INT((ROW()-2)/4)+1)</f>
        <v>P001</v>
      </c>
      <c r="C343" t="str" cm="1">
        <f t="array" ref="C343">INDEX(BOM!$B$2:$B$21,MATCH(B343,BOM!$A$2:$A$21,0)+MOD(ROW()-2,4))</f>
        <v>M006</v>
      </c>
      <c r="D343" cm="1">
        <f t="array" ref="D343">INDEX(Weekly_Inventory_Flow!$I$2:$I$261,INT((ROW()-2)/4)+1)</f>
        <v>15100</v>
      </c>
      <c r="E343" cm="1">
        <f t="array" ref="E343">INDEX(BOM!$C$2:$C$21,MATCH(B343,BOM!$A$2:$A$21,0)+MOD(ROW()-2,4))</f>
        <v>0.01</v>
      </c>
      <c r="F343">
        <f t="shared" si="5"/>
        <v>151</v>
      </c>
    </row>
    <row r="344" spans="1:6">
      <c r="A344" s="1" cm="1">
        <f t="array" ref="A344">INDEX(Weekly_Inventory_Flow!$A$2:$A$261,INT((ROW()-2)/4)+1)</f>
        <v>46146</v>
      </c>
      <c r="B344" t="str" cm="1">
        <f t="array" ref="B344">INDEX(Weekly_Inventory_Flow!$B$2:$B$261,INT((ROW()-2)/4)+1)</f>
        <v>P001</v>
      </c>
      <c r="C344" t="str" cm="1">
        <f t="array" ref="C344">INDEX(BOM!$B$2:$B$21,MATCH(B344,BOM!$A$2:$A$21,0)+MOD(ROW()-2,4))</f>
        <v>M007</v>
      </c>
      <c r="D344" cm="1">
        <f t="array" ref="D344">INDEX(Weekly_Inventory_Flow!$I$2:$I$261,INT((ROW()-2)/4)+1)</f>
        <v>15100</v>
      </c>
      <c r="E344" cm="1">
        <f t="array" ref="E344">INDEX(BOM!$C$2:$C$21,MATCH(B344,BOM!$A$2:$A$21,0)+MOD(ROW()-2,4))</f>
        <v>1</v>
      </c>
      <c r="F344">
        <f t="shared" si="5"/>
        <v>15100</v>
      </c>
    </row>
    <row r="345" spans="1:6">
      <c r="A345" s="1" cm="1">
        <f t="array" ref="A345">INDEX(Weekly_Inventory_Flow!$A$2:$A$261,INT((ROW()-2)/4)+1)</f>
        <v>46146</v>
      </c>
      <c r="B345" t="str" cm="1">
        <f t="array" ref="B345">INDEX(Weekly_Inventory_Flow!$B$2:$B$261,INT((ROW()-2)/4)+1)</f>
        <v>P001</v>
      </c>
      <c r="C345" t="str" cm="1">
        <f t="array" ref="C345">INDEX(BOM!$B$2:$B$21,MATCH(B345,BOM!$A$2:$A$21,0)+MOD(ROW()-2,4))</f>
        <v>M008</v>
      </c>
      <c r="D345" cm="1">
        <f t="array" ref="D345">INDEX(Weekly_Inventory_Flow!$I$2:$I$261,INT((ROW()-2)/4)+1)</f>
        <v>15100</v>
      </c>
      <c r="E345" cm="1">
        <f t="array" ref="E345">INDEX(BOM!$C$2:$C$21,MATCH(B345,BOM!$A$2:$A$21,0)+MOD(ROW()-2,4))</f>
        <v>1</v>
      </c>
      <c r="F345">
        <f t="shared" si="5"/>
        <v>15100</v>
      </c>
    </row>
    <row r="346" spans="1:6">
      <c r="A346" s="1" cm="1">
        <f t="array" ref="A346">INDEX(Weekly_Inventory_Flow!$A$2:$A$261,INT((ROW()-2)/4)+1)</f>
        <v>46146</v>
      </c>
      <c r="B346" t="str" cm="1">
        <f t="array" ref="B346">INDEX(Weekly_Inventory_Flow!$B$2:$B$261,INT((ROW()-2)/4)+1)</f>
        <v>P002</v>
      </c>
      <c r="C346" t="str" cm="1">
        <f t="array" ref="C346">INDEX(BOM!$B$2:$B$21,MATCH(B346,BOM!$A$2:$A$21,0)+MOD(ROW()-2,4))</f>
        <v>M002</v>
      </c>
      <c r="D346" cm="1">
        <f t="array" ref="D346">INDEX(Weekly_Inventory_Flow!$I$2:$I$261,INT((ROW()-2)/4)+1)</f>
        <v>13300</v>
      </c>
      <c r="E346" cm="1">
        <f t="array" ref="E346">INDEX(BOM!$C$2:$C$21,MATCH(B346,BOM!$A$2:$A$21,0)+MOD(ROW()-2,4))</f>
        <v>0.3</v>
      </c>
      <c r="F346">
        <f t="shared" si="5"/>
        <v>3990</v>
      </c>
    </row>
    <row r="347" spans="1:6">
      <c r="A347" s="1" cm="1">
        <f t="array" ref="A347">INDEX(Weekly_Inventory_Flow!$A$2:$A$261,INT((ROW()-2)/4)+1)</f>
        <v>46146</v>
      </c>
      <c r="B347" t="str" cm="1">
        <f t="array" ref="B347">INDEX(Weekly_Inventory_Flow!$B$2:$B$261,INT((ROW()-2)/4)+1)</f>
        <v>P002</v>
      </c>
      <c r="C347" t="str" cm="1">
        <f t="array" ref="C347">INDEX(BOM!$B$2:$B$21,MATCH(B347,BOM!$A$2:$A$21,0)+MOD(ROW()-2,4))</f>
        <v>M006</v>
      </c>
      <c r="D347" cm="1">
        <f t="array" ref="D347">INDEX(Weekly_Inventory_Flow!$I$2:$I$261,INT((ROW()-2)/4)+1)</f>
        <v>13300</v>
      </c>
      <c r="E347" cm="1">
        <f t="array" ref="E347">INDEX(BOM!$C$2:$C$21,MATCH(B347,BOM!$A$2:$A$21,0)+MOD(ROW()-2,4))</f>
        <v>8.0000000000000002E-3</v>
      </c>
      <c r="F347">
        <f t="shared" si="5"/>
        <v>106.4</v>
      </c>
    </row>
    <row r="348" spans="1:6">
      <c r="A348" s="1" cm="1">
        <f t="array" ref="A348">INDEX(Weekly_Inventory_Flow!$A$2:$A$261,INT((ROW()-2)/4)+1)</f>
        <v>46146</v>
      </c>
      <c r="B348" t="str" cm="1">
        <f t="array" ref="B348">INDEX(Weekly_Inventory_Flow!$B$2:$B$261,INT((ROW()-2)/4)+1)</f>
        <v>P002</v>
      </c>
      <c r="C348" t="str" cm="1">
        <f t="array" ref="C348">INDEX(BOM!$B$2:$B$21,MATCH(B348,BOM!$A$2:$A$21,0)+MOD(ROW()-2,4))</f>
        <v>M007</v>
      </c>
      <c r="D348" cm="1">
        <f t="array" ref="D348">INDEX(Weekly_Inventory_Flow!$I$2:$I$261,INT((ROW()-2)/4)+1)</f>
        <v>13300</v>
      </c>
      <c r="E348" cm="1">
        <f t="array" ref="E348">INDEX(BOM!$C$2:$C$21,MATCH(B348,BOM!$A$2:$A$21,0)+MOD(ROW()-2,4))</f>
        <v>1</v>
      </c>
      <c r="F348">
        <f t="shared" si="5"/>
        <v>13300</v>
      </c>
    </row>
    <row r="349" spans="1:6">
      <c r="A349" s="1" cm="1">
        <f t="array" ref="A349">INDEX(Weekly_Inventory_Flow!$A$2:$A$261,INT((ROW()-2)/4)+1)</f>
        <v>46146</v>
      </c>
      <c r="B349" t="str" cm="1">
        <f t="array" ref="B349">INDEX(Weekly_Inventory_Flow!$B$2:$B$261,INT((ROW()-2)/4)+1)</f>
        <v>P002</v>
      </c>
      <c r="C349" t="str" cm="1">
        <f t="array" ref="C349">INDEX(BOM!$B$2:$B$21,MATCH(B349,BOM!$A$2:$A$21,0)+MOD(ROW()-2,4))</f>
        <v>M008</v>
      </c>
      <c r="D349" cm="1">
        <f t="array" ref="D349">INDEX(Weekly_Inventory_Flow!$I$2:$I$261,INT((ROW()-2)/4)+1)</f>
        <v>13300</v>
      </c>
      <c r="E349" cm="1">
        <f t="array" ref="E349">INDEX(BOM!$C$2:$C$21,MATCH(B349,BOM!$A$2:$A$21,0)+MOD(ROW()-2,4))</f>
        <v>1</v>
      </c>
      <c r="F349">
        <f t="shared" si="5"/>
        <v>13300</v>
      </c>
    </row>
    <row r="350" spans="1:6">
      <c r="A350" s="1" cm="1">
        <f t="array" ref="A350">INDEX(Weekly_Inventory_Flow!$A$2:$A$261,INT((ROW()-2)/4)+1)</f>
        <v>46146</v>
      </c>
      <c r="B350" t="str" cm="1">
        <f t="array" ref="B350">INDEX(Weekly_Inventory_Flow!$B$2:$B$261,INT((ROW()-2)/4)+1)</f>
        <v>P003</v>
      </c>
      <c r="C350" t="str" cm="1">
        <f t="array" ref="C350">INDEX(BOM!$B$2:$B$21,MATCH(B350,BOM!$A$2:$A$21,0)+MOD(ROW()-2,4))</f>
        <v>M003</v>
      </c>
      <c r="D350" cm="1">
        <f t="array" ref="D350">INDEX(Weekly_Inventory_Flow!$I$2:$I$261,INT((ROW()-2)/4)+1)</f>
        <v>11100</v>
      </c>
      <c r="E350" cm="1">
        <f t="array" ref="E350">INDEX(BOM!$C$2:$C$21,MATCH(B350,BOM!$A$2:$A$21,0)+MOD(ROW()-2,4))</f>
        <v>0.25</v>
      </c>
      <c r="F350">
        <f t="shared" si="5"/>
        <v>2775</v>
      </c>
    </row>
    <row r="351" spans="1:6">
      <c r="A351" s="1" cm="1">
        <f t="array" ref="A351">INDEX(Weekly_Inventory_Flow!$A$2:$A$261,INT((ROW()-2)/4)+1)</f>
        <v>46146</v>
      </c>
      <c r="B351" t="str" cm="1">
        <f t="array" ref="B351">INDEX(Weekly_Inventory_Flow!$B$2:$B$261,INT((ROW()-2)/4)+1)</f>
        <v>P003</v>
      </c>
      <c r="C351" t="str" cm="1">
        <f t="array" ref="C351">INDEX(BOM!$B$2:$B$21,MATCH(B351,BOM!$A$2:$A$21,0)+MOD(ROW()-2,4))</f>
        <v>M006</v>
      </c>
      <c r="D351" cm="1">
        <f t="array" ref="D351">INDEX(Weekly_Inventory_Flow!$I$2:$I$261,INT((ROW()-2)/4)+1)</f>
        <v>11100</v>
      </c>
      <c r="E351" cm="1">
        <f t="array" ref="E351">INDEX(BOM!$C$2:$C$21,MATCH(B351,BOM!$A$2:$A$21,0)+MOD(ROW()-2,4))</f>
        <v>6.0000000000000001E-3</v>
      </c>
      <c r="F351">
        <f t="shared" si="5"/>
        <v>66.599999999999994</v>
      </c>
    </row>
    <row r="352" spans="1:6">
      <c r="A352" s="1" cm="1">
        <f t="array" ref="A352">INDEX(Weekly_Inventory_Flow!$A$2:$A$261,INT((ROW()-2)/4)+1)</f>
        <v>46146</v>
      </c>
      <c r="B352" t="str" cm="1">
        <f t="array" ref="B352">INDEX(Weekly_Inventory_Flow!$B$2:$B$261,INT((ROW()-2)/4)+1)</f>
        <v>P003</v>
      </c>
      <c r="C352" t="str" cm="1">
        <f t="array" ref="C352">INDEX(BOM!$B$2:$B$21,MATCH(B352,BOM!$A$2:$A$21,0)+MOD(ROW()-2,4))</f>
        <v>M007</v>
      </c>
      <c r="D352" cm="1">
        <f t="array" ref="D352">INDEX(Weekly_Inventory_Flow!$I$2:$I$261,INT((ROW()-2)/4)+1)</f>
        <v>11100</v>
      </c>
      <c r="E352" cm="1">
        <f t="array" ref="E352">INDEX(BOM!$C$2:$C$21,MATCH(B352,BOM!$A$2:$A$21,0)+MOD(ROW()-2,4))</f>
        <v>1</v>
      </c>
      <c r="F352">
        <f t="shared" si="5"/>
        <v>11100</v>
      </c>
    </row>
    <row r="353" spans="1:6">
      <c r="A353" s="1" cm="1">
        <f t="array" ref="A353">INDEX(Weekly_Inventory_Flow!$A$2:$A$261,INT((ROW()-2)/4)+1)</f>
        <v>46146</v>
      </c>
      <c r="B353" t="str" cm="1">
        <f t="array" ref="B353">INDEX(Weekly_Inventory_Flow!$B$2:$B$261,INT((ROW()-2)/4)+1)</f>
        <v>P003</v>
      </c>
      <c r="C353" t="str" cm="1">
        <f t="array" ref="C353">INDEX(BOM!$B$2:$B$21,MATCH(B353,BOM!$A$2:$A$21,0)+MOD(ROW()-2,4))</f>
        <v>M008</v>
      </c>
      <c r="D353" cm="1">
        <f t="array" ref="D353">INDEX(Weekly_Inventory_Flow!$I$2:$I$261,INT((ROW()-2)/4)+1)</f>
        <v>11100</v>
      </c>
      <c r="E353" cm="1">
        <f t="array" ref="E353">INDEX(BOM!$C$2:$C$21,MATCH(B353,BOM!$A$2:$A$21,0)+MOD(ROW()-2,4))</f>
        <v>1</v>
      </c>
      <c r="F353">
        <f t="shared" si="5"/>
        <v>11100</v>
      </c>
    </row>
    <row r="354" spans="1:6">
      <c r="A354" s="1" cm="1">
        <f t="array" ref="A354">INDEX(Weekly_Inventory_Flow!$A$2:$A$261,INT((ROW()-2)/4)+1)</f>
        <v>46146</v>
      </c>
      <c r="B354" t="str" cm="1">
        <f t="array" ref="B354">INDEX(Weekly_Inventory_Flow!$B$2:$B$261,INT((ROW()-2)/4)+1)</f>
        <v>P004</v>
      </c>
      <c r="C354" t="str" cm="1">
        <f t="array" ref="C354">INDEX(BOM!$B$2:$B$21,MATCH(B354,BOM!$A$2:$A$21,0)+MOD(ROW()-2,4))</f>
        <v>M004</v>
      </c>
      <c r="D354" cm="1">
        <f t="array" ref="D354">INDEX(Weekly_Inventory_Flow!$I$2:$I$261,INT((ROW()-2)/4)+1)</f>
        <v>12600</v>
      </c>
      <c r="E354" cm="1">
        <f t="array" ref="E354">INDEX(BOM!$C$2:$C$21,MATCH(B354,BOM!$A$2:$A$21,0)+MOD(ROW()-2,4))</f>
        <v>0.34</v>
      </c>
      <c r="F354">
        <f t="shared" si="5"/>
        <v>4284</v>
      </c>
    </row>
    <row r="355" spans="1:6">
      <c r="A355" s="1" cm="1">
        <f t="array" ref="A355">INDEX(Weekly_Inventory_Flow!$A$2:$A$261,INT((ROW()-2)/4)+1)</f>
        <v>46146</v>
      </c>
      <c r="B355" t="str" cm="1">
        <f t="array" ref="B355">INDEX(Weekly_Inventory_Flow!$B$2:$B$261,INT((ROW()-2)/4)+1)</f>
        <v>P004</v>
      </c>
      <c r="C355" t="str" cm="1">
        <f t="array" ref="C355">INDEX(BOM!$B$2:$B$21,MATCH(B355,BOM!$A$2:$A$21,0)+MOD(ROW()-2,4))</f>
        <v>M006</v>
      </c>
      <c r="D355" cm="1">
        <f t="array" ref="D355">INDEX(Weekly_Inventory_Flow!$I$2:$I$261,INT((ROW()-2)/4)+1)</f>
        <v>12600</v>
      </c>
      <c r="E355" cm="1">
        <f t="array" ref="E355">INDEX(BOM!$C$2:$C$21,MATCH(B355,BOM!$A$2:$A$21,0)+MOD(ROW()-2,4))</f>
        <v>8.9999999999999993E-3</v>
      </c>
      <c r="F355">
        <f t="shared" si="5"/>
        <v>113.39999999999999</v>
      </c>
    </row>
    <row r="356" spans="1:6">
      <c r="A356" s="1" cm="1">
        <f t="array" ref="A356">INDEX(Weekly_Inventory_Flow!$A$2:$A$261,INT((ROW()-2)/4)+1)</f>
        <v>46146</v>
      </c>
      <c r="B356" t="str" cm="1">
        <f t="array" ref="B356">INDEX(Weekly_Inventory_Flow!$B$2:$B$261,INT((ROW()-2)/4)+1)</f>
        <v>P004</v>
      </c>
      <c r="C356" t="str" cm="1">
        <f t="array" ref="C356">INDEX(BOM!$B$2:$B$21,MATCH(B356,BOM!$A$2:$A$21,0)+MOD(ROW()-2,4))</f>
        <v>M007</v>
      </c>
      <c r="D356" cm="1">
        <f t="array" ref="D356">INDEX(Weekly_Inventory_Flow!$I$2:$I$261,INT((ROW()-2)/4)+1)</f>
        <v>12600</v>
      </c>
      <c r="E356" cm="1">
        <f t="array" ref="E356">INDEX(BOM!$C$2:$C$21,MATCH(B356,BOM!$A$2:$A$21,0)+MOD(ROW()-2,4))</f>
        <v>1</v>
      </c>
      <c r="F356">
        <f t="shared" si="5"/>
        <v>12600</v>
      </c>
    </row>
    <row r="357" spans="1:6">
      <c r="A357" s="1" cm="1">
        <f t="array" ref="A357">INDEX(Weekly_Inventory_Flow!$A$2:$A$261,INT((ROW()-2)/4)+1)</f>
        <v>46146</v>
      </c>
      <c r="B357" t="str" cm="1">
        <f t="array" ref="B357">INDEX(Weekly_Inventory_Flow!$B$2:$B$261,INT((ROW()-2)/4)+1)</f>
        <v>P004</v>
      </c>
      <c r="C357" t="str" cm="1">
        <f t="array" ref="C357">INDEX(BOM!$B$2:$B$21,MATCH(B357,BOM!$A$2:$A$21,0)+MOD(ROW()-2,4))</f>
        <v>M008</v>
      </c>
      <c r="D357" cm="1">
        <f t="array" ref="D357">INDEX(Weekly_Inventory_Flow!$I$2:$I$261,INT((ROW()-2)/4)+1)</f>
        <v>12600</v>
      </c>
      <c r="E357" cm="1">
        <f t="array" ref="E357">INDEX(BOM!$C$2:$C$21,MATCH(B357,BOM!$A$2:$A$21,0)+MOD(ROW()-2,4))</f>
        <v>1</v>
      </c>
      <c r="F357">
        <f t="shared" si="5"/>
        <v>12600</v>
      </c>
    </row>
    <row r="358" spans="1:6">
      <c r="A358" s="1" cm="1">
        <f t="array" ref="A358">INDEX(Weekly_Inventory_Flow!$A$2:$A$261,INT((ROW()-2)/4)+1)</f>
        <v>46146</v>
      </c>
      <c r="B358" t="str" cm="1">
        <f t="array" ref="B358">INDEX(Weekly_Inventory_Flow!$B$2:$B$261,INT((ROW()-2)/4)+1)</f>
        <v>P005</v>
      </c>
      <c r="C358" t="str" cm="1">
        <f t="array" ref="C358">INDEX(BOM!$B$2:$B$21,MATCH(B358,BOM!$A$2:$A$21,0)+MOD(ROW()-2,4))</f>
        <v>M005</v>
      </c>
      <c r="D358" cm="1">
        <f t="array" ref="D358">INDEX(Weekly_Inventory_Flow!$I$2:$I$261,INT((ROW()-2)/4)+1)</f>
        <v>9500</v>
      </c>
      <c r="E358" cm="1">
        <f t="array" ref="E358">INDEX(BOM!$C$2:$C$21,MATCH(B358,BOM!$A$2:$A$21,0)+MOD(ROW()-2,4))</f>
        <v>0.52</v>
      </c>
      <c r="F358">
        <f t="shared" si="5"/>
        <v>4940</v>
      </c>
    </row>
    <row r="359" spans="1:6">
      <c r="A359" s="1" cm="1">
        <f t="array" ref="A359">INDEX(Weekly_Inventory_Flow!$A$2:$A$261,INT((ROW()-2)/4)+1)</f>
        <v>46146</v>
      </c>
      <c r="B359" t="str" cm="1">
        <f t="array" ref="B359">INDEX(Weekly_Inventory_Flow!$B$2:$B$261,INT((ROW()-2)/4)+1)</f>
        <v>P005</v>
      </c>
      <c r="C359" t="str" cm="1">
        <f t="array" ref="C359">INDEX(BOM!$B$2:$B$21,MATCH(B359,BOM!$A$2:$A$21,0)+MOD(ROW()-2,4))</f>
        <v>M006</v>
      </c>
      <c r="D359" cm="1">
        <f t="array" ref="D359">INDEX(Weekly_Inventory_Flow!$I$2:$I$261,INT((ROW()-2)/4)+1)</f>
        <v>9500</v>
      </c>
      <c r="E359" cm="1">
        <f t="array" ref="E359">INDEX(BOM!$C$2:$C$21,MATCH(B359,BOM!$A$2:$A$21,0)+MOD(ROW()-2,4))</f>
        <v>1.2E-2</v>
      </c>
      <c r="F359">
        <f t="shared" si="5"/>
        <v>114</v>
      </c>
    </row>
    <row r="360" spans="1:6">
      <c r="A360" s="1" cm="1">
        <f t="array" ref="A360">INDEX(Weekly_Inventory_Flow!$A$2:$A$261,INT((ROW()-2)/4)+1)</f>
        <v>46146</v>
      </c>
      <c r="B360" t="str" cm="1">
        <f t="array" ref="B360">INDEX(Weekly_Inventory_Flow!$B$2:$B$261,INT((ROW()-2)/4)+1)</f>
        <v>P005</v>
      </c>
      <c r="C360" t="str" cm="1">
        <f t="array" ref="C360">INDEX(BOM!$B$2:$B$21,MATCH(B360,BOM!$A$2:$A$21,0)+MOD(ROW()-2,4))</f>
        <v>M007</v>
      </c>
      <c r="D360" cm="1">
        <f t="array" ref="D360">INDEX(Weekly_Inventory_Flow!$I$2:$I$261,INT((ROW()-2)/4)+1)</f>
        <v>9500</v>
      </c>
      <c r="E360" cm="1">
        <f t="array" ref="E360">INDEX(BOM!$C$2:$C$21,MATCH(B360,BOM!$A$2:$A$21,0)+MOD(ROW()-2,4))</f>
        <v>1</v>
      </c>
      <c r="F360">
        <f t="shared" si="5"/>
        <v>9500</v>
      </c>
    </row>
    <row r="361" spans="1:6">
      <c r="A361" s="1" cm="1">
        <f t="array" ref="A361">INDEX(Weekly_Inventory_Flow!$A$2:$A$261,INT((ROW()-2)/4)+1)</f>
        <v>46146</v>
      </c>
      <c r="B361" t="str" cm="1">
        <f t="array" ref="B361">INDEX(Weekly_Inventory_Flow!$B$2:$B$261,INT((ROW()-2)/4)+1)</f>
        <v>P005</v>
      </c>
      <c r="C361" t="str" cm="1">
        <f t="array" ref="C361">INDEX(BOM!$B$2:$B$21,MATCH(B361,BOM!$A$2:$A$21,0)+MOD(ROW()-2,4))</f>
        <v>M008</v>
      </c>
      <c r="D361" cm="1">
        <f t="array" ref="D361">INDEX(Weekly_Inventory_Flow!$I$2:$I$261,INT((ROW()-2)/4)+1)</f>
        <v>9500</v>
      </c>
      <c r="E361" cm="1">
        <f t="array" ref="E361">INDEX(BOM!$C$2:$C$21,MATCH(B361,BOM!$A$2:$A$21,0)+MOD(ROW()-2,4))</f>
        <v>1</v>
      </c>
      <c r="F361">
        <f t="shared" si="5"/>
        <v>9500</v>
      </c>
    </row>
    <row r="362" spans="1:6">
      <c r="A362" s="1" cm="1">
        <f t="array" ref="A362">INDEX(Weekly_Inventory_Flow!$A$2:$A$261,INT((ROW()-2)/4)+1)</f>
        <v>46153</v>
      </c>
      <c r="B362" t="str" cm="1">
        <f t="array" ref="B362">INDEX(Weekly_Inventory_Flow!$B$2:$B$261,INT((ROW()-2)/4)+1)</f>
        <v>P001</v>
      </c>
      <c r="C362" t="str" cm="1">
        <f t="array" ref="C362">INDEX(BOM!$B$2:$B$21,MATCH(B362,BOM!$A$2:$A$21,0)+MOD(ROW()-2,4))</f>
        <v>M001</v>
      </c>
      <c r="D362" cm="1">
        <f t="array" ref="D362">INDEX(Weekly_Inventory_Flow!$I$2:$I$261,INT((ROW()-2)/4)+1)</f>
        <v>15600</v>
      </c>
      <c r="E362" cm="1">
        <f t="array" ref="E362">INDEX(BOM!$C$2:$C$21,MATCH(B362,BOM!$A$2:$A$21,0)+MOD(ROW()-2,4))</f>
        <v>0.35</v>
      </c>
      <c r="F362">
        <f t="shared" si="5"/>
        <v>5460</v>
      </c>
    </row>
    <row r="363" spans="1:6">
      <c r="A363" s="1" cm="1">
        <f t="array" ref="A363">INDEX(Weekly_Inventory_Flow!$A$2:$A$261,INT((ROW()-2)/4)+1)</f>
        <v>46153</v>
      </c>
      <c r="B363" t="str" cm="1">
        <f t="array" ref="B363">INDEX(Weekly_Inventory_Flow!$B$2:$B$261,INT((ROW()-2)/4)+1)</f>
        <v>P001</v>
      </c>
      <c r="C363" t="str" cm="1">
        <f t="array" ref="C363">INDEX(BOM!$B$2:$B$21,MATCH(B363,BOM!$A$2:$A$21,0)+MOD(ROW()-2,4))</f>
        <v>M006</v>
      </c>
      <c r="D363" cm="1">
        <f t="array" ref="D363">INDEX(Weekly_Inventory_Flow!$I$2:$I$261,INT((ROW()-2)/4)+1)</f>
        <v>15600</v>
      </c>
      <c r="E363" cm="1">
        <f t="array" ref="E363">INDEX(BOM!$C$2:$C$21,MATCH(B363,BOM!$A$2:$A$21,0)+MOD(ROW()-2,4))</f>
        <v>0.01</v>
      </c>
      <c r="F363">
        <f t="shared" si="5"/>
        <v>156</v>
      </c>
    </row>
    <row r="364" spans="1:6">
      <c r="A364" s="1" cm="1">
        <f t="array" ref="A364">INDEX(Weekly_Inventory_Flow!$A$2:$A$261,INT((ROW()-2)/4)+1)</f>
        <v>46153</v>
      </c>
      <c r="B364" t="str" cm="1">
        <f t="array" ref="B364">INDEX(Weekly_Inventory_Flow!$B$2:$B$261,INT((ROW()-2)/4)+1)</f>
        <v>P001</v>
      </c>
      <c r="C364" t="str" cm="1">
        <f t="array" ref="C364">INDEX(BOM!$B$2:$B$21,MATCH(B364,BOM!$A$2:$A$21,0)+MOD(ROW()-2,4))</f>
        <v>M007</v>
      </c>
      <c r="D364" cm="1">
        <f t="array" ref="D364">INDEX(Weekly_Inventory_Flow!$I$2:$I$261,INT((ROW()-2)/4)+1)</f>
        <v>15600</v>
      </c>
      <c r="E364" cm="1">
        <f t="array" ref="E364">INDEX(BOM!$C$2:$C$21,MATCH(B364,BOM!$A$2:$A$21,0)+MOD(ROW()-2,4))</f>
        <v>1</v>
      </c>
      <c r="F364">
        <f t="shared" si="5"/>
        <v>15600</v>
      </c>
    </row>
    <row r="365" spans="1:6">
      <c r="A365" s="1" cm="1">
        <f t="array" ref="A365">INDEX(Weekly_Inventory_Flow!$A$2:$A$261,INT((ROW()-2)/4)+1)</f>
        <v>46153</v>
      </c>
      <c r="B365" t="str" cm="1">
        <f t="array" ref="B365">INDEX(Weekly_Inventory_Flow!$B$2:$B$261,INT((ROW()-2)/4)+1)</f>
        <v>P001</v>
      </c>
      <c r="C365" t="str" cm="1">
        <f t="array" ref="C365">INDEX(BOM!$B$2:$B$21,MATCH(B365,BOM!$A$2:$A$21,0)+MOD(ROW()-2,4))</f>
        <v>M008</v>
      </c>
      <c r="D365" cm="1">
        <f t="array" ref="D365">INDEX(Weekly_Inventory_Flow!$I$2:$I$261,INT((ROW()-2)/4)+1)</f>
        <v>15600</v>
      </c>
      <c r="E365" cm="1">
        <f t="array" ref="E365">INDEX(BOM!$C$2:$C$21,MATCH(B365,BOM!$A$2:$A$21,0)+MOD(ROW()-2,4))</f>
        <v>1</v>
      </c>
      <c r="F365">
        <f t="shared" si="5"/>
        <v>15600</v>
      </c>
    </row>
    <row r="366" spans="1:6">
      <c r="A366" s="1" cm="1">
        <f t="array" ref="A366">INDEX(Weekly_Inventory_Flow!$A$2:$A$261,INT((ROW()-2)/4)+1)</f>
        <v>46153</v>
      </c>
      <c r="B366" t="str" cm="1">
        <f t="array" ref="B366">INDEX(Weekly_Inventory_Flow!$B$2:$B$261,INT((ROW()-2)/4)+1)</f>
        <v>P002</v>
      </c>
      <c r="C366" t="str" cm="1">
        <f t="array" ref="C366">INDEX(BOM!$B$2:$B$21,MATCH(B366,BOM!$A$2:$A$21,0)+MOD(ROW()-2,4))</f>
        <v>M002</v>
      </c>
      <c r="D366" cm="1">
        <f t="array" ref="D366">INDEX(Weekly_Inventory_Flow!$I$2:$I$261,INT((ROW()-2)/4)+1)</f>
        <v>12600</v>
      </c>
      <c r="E366" cm="1">
        <f t="array" ref="E366">INDEX(BOM!$C$2:$C$21,MATCH(B366,BOM!$A$2:$A$21,0)+MOD(ROW()-2,4))</f>
        <v>0.3</v>
      </c>
      <c r="F366">
        <f t="shared" si="5"/>
        <v>3780</v>
      </c>
    </row>
    <row r="367" spans="1:6">
      <c r="A367" s="1" cm="1">
        <f t="array" ref="A367">INDEX(Weekly_Inventory_Flow!$A$2:$A$261,INT((ROW()-2)/4)+1)</f>
        <v>46153</v>
      </c>
      <c r="B367" t="str" cm="1">
        <f t="array" ref="B367">INDEX(Weekly_Inventory_Flow!$B$2:$B$261,INT((ROW()-2)/4)+1)</f>
        <v>P002</v>
      </c>
      <c r="C367" t="str" cm="1">
        <f t="array" ref="C367">INDEX(BOM!$B$2:$B$21,MATCH(B367,BOM!$A$2:$A$21,0)+MOD(ROW()-2,4))</f>
        <v>M006</v>
      </c>
      <c r="D367" cm="1">
        <f t="array" ref="D367">INDEX(Weekly_Inventory_Flow!$I$2:$I$261,INT((ROW()-2)/4)+1)</f>
        <v>12600</v>
      </c>
      <c r="E367" cm="1">
        <f t="array" ref="E367">INDEX(BOM!$C$2:$C$21,MATCH(B367,BOM!$A$2:$A$21,0)+MOD(ROW()-2,4))</f>
        <v>8.0000000000000002E-3</v>
      </c>
      <c r="F367">
        <f t="shared" si="5"/>
        <v>100.8</v>
      </c>
    </row>
    <row r="368" spans="1:6">
      <c r="A368" s="1" cm="1">
        <f t="array" ref="A368">INDEX(Weekly_Inventory_Flow!$A$2:$A$261,INT((ROW()-2)/4)+1)</f>
        <v>46153</v>
      </c>
      <c r="B368" t="str" cm="1">
        <f t="array" ref="B368">INDEX(Weekly_Inventory_Flow!$B$2:$B$261,INT((ROW()-2)/4)+1)</f>
        <v>P002</v>
      </c>
      <c r="C368" t="str" cm="1">
        <f t="array" ref="C368">INDEX(BOM!$B$2:$B$21,MATCH(B368,BOM!$A$2:$A$21,0)+MOD(ROW()-2,4))</f>
        <v>M007</v>
      </c>
      <c r="D368" cm="1">
        <f t="array" ref="D368">INDEX(Weekly_Inventory_Flow!$I$2:$I$261,INT((ROW()-2)/4)+1)</f>
        <v>12600</v>
      </c>
      <c r="E368" cm="1">
        <f t="array" ref="E368">INDEX(BOM!$C$2:$C$21,MATCH(B368,BOM!$A$2:$A$21,0)+MOD(ROW()-2,4))</f>
        <v>1</v>
      </c>
      <c r="F368">
        <f t="shared" si="5"/>
        <v>12600</v>
      </c>
    </row>
    <row r="369" spans="1:6">
      <c r="A369" s="1" cm="1">
        <f t="array" ref="A369">INDEX(Weekly_Inventory_Flow!$A$2:$A$261,INT((ROW()-2)/4)+1)</f>
        <v>46153</v>
      </c>
      <c r="B369" t="str" cm="1">
        <f t="array" ref="B369">INDEX(Weekly_Inventory_Flow!$B$2:$B$261,INT((ROW()-2)/4)+1)</f>
        <v>P002</v>
      </c>
      <c r="C369" t="str" cm="1">
        <f t="array" ref="C369">INDEX(BOM!$B$2:$B$21,MATCH(B369,BOM!$A$2:$A$21,0)+MOD(ROW()-2,4))</f>
        <v>M008</v>
      </c>
      <c r="D369" cm="1">
        <f t="array" ref="D369">INDEX(Weekly_Inventory_Flow!$I$2:$I$261,INT((ROW()-2)/4)+1)</f>
        <v>12600</v>
      </c>
      <c r="E369" cm="1">
        <f t="array" ref="E369">INDEX(BOM!$C$2:$C$21,MATCH(B369,BOM!$A$2:$A$21,0)+MOD(ROW()-2,4))</f>
        <v>1</v>
      </c>
      <c r="F369">
        <f t="shared" si="5"/>
        <v>12600</v>
      </c>
    </row>
    <row r="370" spans="1:6">
      <c r="A370" s="1" cm="1">
        <f t="array" ref="A370">INDEX(Weekly_Inventory_Flow!$A$2:$A$261,INT((ROW()-2)/4)+1)</f>
        <v>46153</v>
      </c>
      <c r="B370" t="str" cm="1">
        <f t="array" ref="B370">INDEX(Weekly_Inventory_Flow!$B$2:$B$261,INT((ROW()-2)/4)+1)</f>
        <v>P003</v>
      </c>
      <c r="C370" t="str" cm="1">
        <f t="array" ref="C370">INDEX(BOM!$B$2:$B$21,MATCH(B370,BOM!$A$2:$A$21,0)+MOD(ROW()-2,4))</f>
        <v>M003</v>
      </c>
      <c r="D370" cm="1">
        <f t="array" ref="D370">INDEX(Weekly_Inventory_Flow!$I$2:$I$261,INT((ROW()-2)/4)+1)</f>
        <v>11900</v>
      </c>
      <c r="E370" cm="1">
        <f t="array" ref="E370">INDEX(BOM!$C$2:$C$21,MATCH(B370,BOM!$A$2:$A$21,0)+MOD(ROW()-2,4))</f>
        <v>0.25</v>
      </c>
      <c r="F370">
        <f t="shared" si="5"/>
        <v>2975</v>
      </c>
    </row>
    <row r="371" spans="1:6">
      <c r="A371" s="1" cm="1">
        <f t="array" ref="A371">INDEX(Weekly_Inventory_Flow!$A$2:$A$261,INT((ROW()-2)/4)+1)</f>
        <v>46153</v>
      </c>
      <c r="B371" t="str" cm="1">
        <f t="array" ref="B371">INDEX(Weekly_Inventory_Flow!$B$2:$B$261,INT((ROW()-2)/4)+1)</f>
        <v>P003</v>
      </c>
      <c r="C371" t="str" cm="1">
        <f t="array" ref="C371">INDEX(BOM!$B$2:$B$21,MATCH(B371,BOM!$A$2:$A$21,0)+MOD(ROW()-2,4))</f>
        <v>M006</v>
      </c>
      <c r="D371" cm="1">
        <f t="array" ref="D371">INDEX(Weekly_Inventory_Flow!$I$2:$I$261,INT((ROW()-2)/4)+1)</f>
        <v>11900</v>
      </c>
      <c r="E371" cm="1">
        <f t="array" ref="E371">INDEX(BOM!$C$2:$C$21,MATCH(B371,BOM!$A$2:$A$21,0)+MOD(ROW()-2,4))</f>
        <v>6.0000000000000001E-3</v>
      </c>
      <c r="F371">
        <f t="shared" si="5"/>
        <v>71.400000000000006</v>
      </c>
    </row>
    <row r="372" spans="1:6">
      <c r="A372" s="1" cm="1">
        <f t="array" ref="A372">INDEX(Weekly_Inventory_Flow!$A$2:$A$261,INT((ROW()-2)/4)+1)</f>
        <v>46153</v>
      </c>
      <c r="B372" t="str" cm="1">
        <f t="array" ref="B372">INDEX(Weekly_Inventory_Flow!$B$2:$B$261,INT((ROW()-2)/4)+1)</f>
        <v>P003</v>
      </c>
      <c r="C372" t="str" cm="1">
        <f t="array" ref="C372">INDEX(BOM!$B$2:$B$21,MATCH(B372,BOM!$A$2:$A$21,0)+MOD(ROW()-2,4))</f>
        <v>M007</v>
      </c>
      <c r="D372" cm="1">
        <f t="array" ref="D372">INDEX(Weekly_Inventory_Flow!$I$2:$I$261,INT((ROW()-2)/4)+1)</f>
        <v>11900</v>
      </c>
      <c r="E372" cm="1">
        <f t="array" ref="E372">INDEX(BOM!$C$2:$C$21,MATCH(B372,BOM!$A$2:$A$21,0)+MOD(ROW()-2,4))</f>
        <v>1</v>
      </c>
      <c r="F372">
        <f t="shared" si="5"/>
        <v>11900</v>
      </c>
    </row>
    <row r="373" spans="1:6">
      <c r="A373" s="1" cm="1">
        <f t="array" ref="A373">INDEX(Weekly_Inventory_Flow!$A$2:$A$261,INT((ROW()-2)/4)+1)</f>
        <v>46153</v>
      </c>
      <c r="B373" t="str" cm="1">
        <f t="array" ref="B373">INDEX(Weekly_Inventory_Flow!$B$2:$B$261,INT((ROW()-2)/4)+1)</f>
        <v>P003</v>
      </c>
      <c r="C373" t="str" cm="1">
        <f t="array" ref="C373">INDEX(BOM!$B$2:$B$21,MATCH(B373,BOM!$A$2:$A$21,0)+MOD(ROW()-2,4))</f>
        <v>M008</v>
      </c>
      <c r="D373" cm="1">
        <f t="array" ref="D373">INDEX(Weekly_Inventory_Flow!$I$2:$I$261,INT((ROW()-2)/4)+1)</f>
        <v>11900</v>
      </c>
      <c r="E373" cm="1">
        <f t="array" ref="E373">INDEX(BOM!$C$2:$C$21,MATCH(B373,BOM!$A$2:$A$21,0)+MOD(ROW()-2,4))</f>
        <v>1</v>
      </c>
      <c r="F373">
        <f t="shared" si="5"/>
        <v>11900</v>
      </c>
    </row>
    <row r="374" spans="1:6">
      <c r="A374" s="1" cm="1">
        <f t="array" ref="A374">INDEX(Weekly_Inventory_Flow!$A$2:$A$261,INT((ROW()-2)/4)+1)</f>
        <v>46153</v>
      </c>
      <c r="B374" t="str" cm="1">
        <f t="array" ref="B374">INDEX(Weekly_Inventory_Flow!$B$2:$B$261,INT((ROW()-2)/4)+1)</f>
        <v>P004</v>
      </c>
      <c r="C374" t="str" cm="1">
        <f t="array" ref="C374">INDEX(BOM!$B$2:$B$21,MATCH(B374,BOM!$A$2:$A$21,0)+MOD(ROW()-2,4))</f>
        <v>M004</v>
      </c>
      <c r="D374" cm="1">
        <f t="array" ref="D374">INDEX(Weekly_Inventory_Flow!$I$2:$I$261,INT((ROW()-2)/4)+1)</f>
        <v>11400</v>
      </c>
      <c r="E374" cm="1">
        <f t="array" ref="E374">INDEX(BOM!$C$2:$C$21,MATCH(B374,BOM!$A$2:$A$21,0)+MOD(ROW()-2,4))</f>
        <v>0.34</v>
      </c>
      <c r="F374">
        <f t="shared" si="5"/>
        <v>3876.0000000000005</v>
      </c>
    </row>
    <row r="375" spans="1:6">
      <c r="A375" s="1" cm="1">
        <f t="array" ref="A375">INDEX(Weekly_Inventory_Flow!$A$2:$A$261,INT((ROW()-2)/4)+1)</f>
        <v>46153</v>
      </c>
      <c r="B375" t="str" cm="1">
        <f t="array" ref="B375">INDEX(Weekly_Inventory_Flow!$B$2:$B$261,INT((ROW()-2)/4)+1)</f>
        <v>P004</v>
      </c>
      <c r="C375" t="str" cm="1">
        <f t="array" ref="C375">INDEX(BOM!$B$2:$B$21,MATCH(B375,BOM!$A$2:$A$21,0)+MOD(ROW()-2,4))</f>
        <v>M006</v>
      </c>
      <c r="D375" cm="1">
        <f t="array" ref="D375">INDEX(Weekly_Inventory_Flow!$I$2:$I$261,INT((ROW()-2)/4)+1)</f>
        <v>11400</v>
      </c>
      <c r="E375" cm="1">
        <f t="array" ref="E375">INDEX(BOM!$C$2:$C$21,MATCH(B375,BOM!$A$2:$A$21,0)+MOD(ROW()-2,4))</f>
        <v>8.9999999999999993E-3</v>
      </c>
      <c r="F375">
        <f t="shared" si="5"/>
        <v>102.6</v>
      </c>
    </row>
    <row r="376" spans="1:6">
      <c r="A376" s="1" cm="1">
        <f t="array" ref="A376">INDEX(Weekly_Inventory_Flow!$A$2:$A$261,INT((ROW()-2)/4)+1)</f>
        <v>46153</v>
      </c>
      <c r="B376" t="str" cm="1">
        <f t="array" ref="B376">INDEX(Weekly_Inventory_Flow!$B$2:$B$261,INT((ROW()-2)/4)+1)</f>
        <v>P004</v>
      </c>
      <c r="C376" t="str" cm="1">
        <f t="array" ref="C376">INDEX(BOM!$B$2:$B$21,MATCH(B376,BOM!$A$2:$A$21,0)+MOD(ROW()-2,4))</f>
        <v>M007</v>
      </c>
      <c r="D376" cm="1">
        <f t="array" ref="D376">INDEX(Weekly_Inventory_Flow!$I$2:$I$261,INT((ROW()-2)/4)+1)</f>
        <v>11400</v>
      </c>
      <c r="E376" cm="1">
        <f t="array" ref="E376">INDEX(BOM!$C$2:$C$21,MATCH(B376,BOM!$A$2:$A$21,0)+MOD(ROW()-2,4))</f>
        <v>1</v>
      </c>
      <c r="F376">
        <f t="shared" si="5"/>
        <v>11400</v>
      </c>
    </row>
    <row r="377" spans="1:6">
      <c r="A377" s="1" cm="1">
        <f t="array" ref="A377">INDEX(Weekly_Inventory_Flow!$A$2:$A$261,INT((ROW()-2)/4)+1)</f>
        <v>46153</v>
      </c>
      <c r="B377" t="str" cm="1">
        <f t="array" ref="B377">INDEX(Weekly_Inventory_Flow!$B$2:$B$261,INT((ROW()-2)/4)+1)</f>
        <v>P004</v>
      </c>
      <c r="C377" t="str" cm="1">
        <f t="array" ref="C377">INDEX(BOM!$B$2:$B$21,MATCH(B377,BOM!$A$2:$A$21,0)+MOD(ROW()-2,4))</f>
        <v>M008</v>
      </c>
      <c r="D377" cm="1">
        <f t="array" ref="D377">INDEX(Weekly_Inventory_Flow!$I$2:$I$261,INT((ROW()-2)/4)+1)</f>
        <v>11400</v>
      </c>
      <c r="E377" cm="1">
        <f t="array" ref="E377">INDEX(BOM!$C$2:$C$21,MATCH(B377,BOM!$A$2:$A$21,0)+MOD(ROW()-2,4))</f>
        <v>1</v>
      </c>
      <c r="F377">
        <f t="shared" si="5"/>
        <v>11400</v>
      </c>
    </row>
    <row r="378" spans="1:6">
      <c r="A378" s="1" cm="1">
        <f t="array" ref="A378">INDEX(Weekly_Inventory_Flow!$A$2:$A$261,INT((ROW()-2)/4)+1)</f>
        <v>46153</v>
      </c>
      <c r="B378" t="str" cm="1">
        <f t="array" ref="B378">INDEX(Weekly_Inventory_Flow!$B$2:$B$261,INT((ROW()-2)/4)+1)</f>
        <v>P005</v>
      </c>
      <c r="C378" t="str" cm="1">
        <f t="array" ref="C378">INDEX(BOM!$B$2:$B$21,MATCH(B378,BOM!$A$2:$A$21,0)+MOD(ROW()-2,4))</f>
        <v>M005</v>
      </c>
      <c r="D378" cm="1">
        <f t="array" ref="D378">INDEX(Weekly_Inventory_Flow!$I$2:$I$261,INT((ROW()-2)/4)+1)</f>
        <v>9000</v>
      </c>
      <c r="E378" cm="1">
        <f t="array" ref="E378">INDEX(BOM!$C$2:$C$21,MATCH(B378,BOM!$A$2:$A$21,0)+MOD(ROW()-2,4))</f>
        <v>0.52</v>
      </c>
      <c r="F378">
        <f t="shared" si="5"/>
        <v>4680</v>
      </c>
    </row>
    <row r="379" spans="1:6">
      <c r="A379" s="1" cm="1">
        <f t="array" ref="A379">INDEX(Weekly_Inventory_Flow!$A$2:$A$261,INT((ROW()-2)/4)+1)</f>
        <v>46153</v>
      </c>
      <c r="B379" t="str" cm="1">
        <f t="array" ref="B379">INDEX(Weekly_Inventory_Flow!$B$2:$B$261,INT((ROW()-2)/4)+1)</f>
        <v>P005</v>
      </c>
      <c r="C379" t="str" cm="1">
        <f t="array" ref="C379">INDEX(BOM!$B$2:$B$21,MATCH(B379,BOM!$A$2:$A$21,0)+MOD(ROW()-2,4))</f>
        <v>M006</v>
      </c>
      <c r="D379" cm="1">
        <f t="array" ref="D379">INDEX(Weekly_Inventory_Flow!$I$2:$I$261,INT((ROW()-2)/4)+1)</f>
        <v>9000</v>
      </c>
      <c r="E379" cm="1">
        <f t="array" ref="E379">INDEX(BOM!$C$2:$C$21,MATCH(B379,BOM!$A$2:$A$21,0)+MOD(ROW()-2,4))</f>
        <v>1.2E-2</v>
      </c>
      <c r="F379">
        <f t="shared" si="5"/>
        <v>108</v>
      </c>
    </row>
    <row r="380" spans="1:6">
      <c r="A380" s="1" cm="1">
        <f t="array" ref="A380">INDEX(Weekly_Inventory_Flow!$A$2:$A$261,INT((ROW()-2)/4)+1)</f>
        <v>46153</v>
      </c>
      <c r="B380" t="str" cm="1">
        <f t="array" ref="B380">INDEX(Weekly_Inventory_Flow!$B$2:$B$261,INT((ROW()-2)/4)+1)</f>
        <v>P005</v>
      </c>
      <c r="C380" t="str" cm="1">
        <f t="array" ref="C380">INDEX(BOM!$B$2:$B$21,MATCH(B380,BOM!$A$2:$A$21,0)+MOD(ROW()-2,4))</f>
        <v>M007</v>
      </c>
      <c r="D380" cm="1">
        <f t="array" ref="D380">INDEX(Weekly_Inventory_Flow!$I$2:$I$261,INT((ROW()-2)/4)+1)</f>
        <v>9000</v>
      </c>
      <c r="E380" cm="1">
        <f t="array" ref="E380">INDEX(BOM!$C$2:$C$21,MATCH(B380,BOM!$A$2:$A$21,0)+MOD(ROW()-2,4))</f>
        <v>1</v>
      </c>
      <c r="F380">
        <f t="shared" si="5"/>
        <v>9000</v>
      </c>
    </row>
    <row r="381" spans="1:6">
      <c r="A381" s="1" cm="1">
        <f t="array" ref="A381">INDEX(Weekly_Inventory_Flow!$A$2:$A$261,INT((ROW()-2)/4)+1)</f>
        <v>46153</v>
      </c>
      <c r="B381" t="str" cm="1">
        <f t="array" ref="B381">INDEX(Weekly_Inventory_Flow!$B$2:$B$261,INT((ROW()-2)/4)+1)</f>
        <v>P005</v>
      </c>
      <c r="C381" t="str" cm="1">
        <f t="array" ref="C381">INDEX(BOM!$B$2:$B$21,MATCH(B381,BOM!$A$2:$A$21,0)+MOD(ROW()-2,4))</f>
        <v>M008</v>
      </c>
      <c r="D381" cm="1">
        <f t="array" ref="D381">INDEX(Weekly_Inventory_Flow!$I$2:$I$261,INT((ROW()-2)/4)+1)</f>
        <v>9000</v>
      </c>
      <c r="E381" cm="1">
        <f t="array" ref="E381">INDEX(BOM!$C$2:$C$21,MATCH(B381,BOM!$A$2:$A$21,0)+MOD(ROW()-2,4))</f>
        <v>1</v>
      </c>
      <c r="F381">
        <f t="shared" si="5"/>
        <v>9000</v>
      </c>
    </row>
    <row r="382" spans="1:6">
      <c r="A382" s="1" cm="1">
        <f t="array" ref="A382">INDEX(Weekly_Inventory_Flow!$A$2:$A$261,INT((ROW()-2)/4)+1)</f>
        <v>46160</v>
      </c>
      <c r="B382" t="str" cm="1">
        <f t="array" ref="B382">INDEX(Weekly_Inventory_Flow!$B$2:$B$261,INT((ROW()-2)/4)+1)</f>
        <v>P001</v>
      </c>
      <c r="C382" t="str" cm="1">
        <f t="array" ref="C382">INDEX(BOM!$B$2:$B$21,MATCH(B382,BOM!$A$2:$A$21,0)+MOD(ROW()-2,4))</f>
        <v>M001</v>
      </c>
      <c r="D382" cm="1">
        <f t="array" ref="D382">INDEX(Weekly_Inventory_Flow!$I$2:$I$261,INT((ROW()-2)/4)+1)</f>
        <v>14600</v>
      </c>
      <c r="E382" cm="1">
        <f t="array" ref="E382">INDEX(BOM!$C$2:$C$21,MATCH(B382,BOM!$A$2:$A$21,0)+MOD(ROW()-2,4))</f>
        <v>0.35</v>
      </c>
      <c r="F382">
        <f t="shared" si="5"/>
        <v>5110</v>
      </c>
    </row>
    <row r="383" spans="1:6">
      <c r="A383" s="1" cm="1">
        <f t="array" ref="A383">INDEX(Weekly_Inventory_Flow!$A$2:$A$261,INT((ROW()-2)/4)+1)</f>
        <v>46160</v>
      </c>
      <c r="B383" t="str" cm="1">
        <f t="array" ref="B383">INDEX(Weekly_Inventory_Flow!$B$2:$B$261,INT((ROW()-2)/4)+1)</f>
        <v>P001</v>
      </c>
      <c r="C383" t="str" cm="1">
        <f t="array" ref="C383">INDEX(BOM!$B$2:$B$21,MATCH(B383,BOM!$A$2:$A$21,0)+MOD(ROW()-2,4))</f>
        <v>M006</v>
      </c>
      <c r="D383" cm="1">
        <f t="array" ref="D383">INDEX(Weekly_Inventory_Flow!$I$2:$I$261,INT((ROW()-2)/4)+1)</f>
        <v>14600</v>
      </c>
      <c r="E383" cm="1">
        <f t="array" ref="E383">INDEX(BOM!$C$2:$C$21,MATCH(B383,BOM!$A$2:$A$21,0)+MOD(ROW()-2,4))</f>
        <v>0.01</v>
      </c>
      <c r="F383">
        <f t="shared" si="5"/>
        <v>146</v>
      </c>
    </row>
    <row r="384" spans="1:6">
      <c r="A384" s="1" cm="1">
        <f t="array" ref="A384">INDEX(Weekly_Inventory_Flow!$A$2:$A$261,INT((ROW()-2)/4)+1)</f>
        <v>46160</v>
      </c>
      <c r="B384" t="str" cm="1">
        <f t="array" ref="B384">INDEX(Weekly_Inventory_Flow!$B$2:$B$261,INT((ROW()-2)/4)+1)</f>
        <v>P001</v>
      </c>
      <c r="C384" t="str" cm="1">
        <f t="array" ref="C384">INDEX(BOM!$B$2:$B$21,MATCH(B384,BOM!$A$2:$A$21,0)+MOD(ROW()-2,4))</f>
        <v>M007</v>
      </c>
      <c r="D384" cm="1">
        <f t="array" ref="D384">INDEX(Weekly_Inventory_Flow!$I$2:$I$261,INT((ROW()-2)/4)+1)</f>
        <v>14600</v>
      </c>
      <c r="E384" cm="1">
        <f t="array" ref="E384">INDEX(BOM!$C$2:$C$21,MATCH(B384,BOM!$A$2:$A$21,0)+MOD(ROW()-2,4))</f>
        <v>1</v>
      </c>
      <c r="F384">
        <f t="shared" si="5"/>
        <v>14600</v>
      </c>
    </row>
    <row r="385" spans="1:6">
      <c r="A385" s="1" cm="1">
        <f t="array" ref="A385">INDEX(Weekly_Inventory_Flow!$A$2:$A$261,INT((ROW()-2)/4)+1)</f>
        <v>46160</v>
      </c>
      <c r="B385" t="str" cm="1">
        <f t="array" ref="B385">INDEX(Weekly_Inventory_Flow!$B$2:$B$261,INT((ROW()-2)/4)+1)</f>
        <v>P001</v>
      </c>
      <c r="C385" t="str" cm="1">
        <f t="array" ref="C385">INDEX(BOM!$B$2:$B$21,MATCH(B385,BOM!$A$2:$A$21,0)+MOD(ROW()-2,4))</f>
        <v>M008</v>
      </c>
      <c r="D385" cm="1">
        <f t="array" ref="D385">INDEX(Weekly_Inventory_Flow!$I$2:$I$261,INT((ROW()-2)/4)+1)</f>
        <v>14600</v>
      </c>
      <c r="E385" cm="1">
        <f t="array" ref="E385">INDEX(BOM!$C$2:$C$21,MATCH(B385,BOM!$A$2:$A$21,0)+MOD(ROW()-2,4))</f>
        <v>1</v>
      </c>
      <c r="F385">
        <f t="shared" si="5"/>
        <v>14600</v>
      </c>
    </row>
    <row r="386" spans="1:6">
      <c r="A386" s="1" cm="1">
        <f t="array" ref="A386">INDEX(Weekly_Inventory_Flow!$A$2:$A$261,INT((ROW()-2)/4)+1)</f>
        <v>46160</v>
      </c>
      <c r="B386" t="str" cm="1">
        <f t="array" ref="B386">INDEX(Weekly_Inventory_Flow!$B$2:$B$261,INT((ROW()-2)/4)+1)</f>
        <v>P002</v>
      </c>
      <c r="C386" t="str" cm="1">
        <f t="array" ref="C386">INDEX(BOM!$B$2:$B$21,MATCH(B386,BOM!$A$2:$A$21,0)+MOD(ROW()-2,4))</f>
        <v>M002</v>
      </c>
      <c r="D386" cm="1">
        <f t="array" ref="D386">INDEX(Weekly_Inventory_Flow!$I$2:$I$261,INT((ROW()-2)/4)+1)</f>
        <v>13400</v>
      </c>
      <c r="E386" cm="1">
        <f t="array" ref="E386">INDEX(BOM!$C$2:$C$21,MATCH(B386,BOM!$A$2:$A$21,0)+MOD(ROW()-2,4))</f>
        <v>0.3</v>
      </c>
      <c r="F386">
        <f t="shared" si="5"/>
        <v>4020</v>
      </c>
    </row>
    <row r="387" spans="1:6">
      <c r="A387" s="1" cm="1">
        <f t="array" ref="A387">INDEX(Weekly_Inventory_Flow!$A$2:$A$261,INT((ROW()-2)/4)+1)</f>
        <v>46160</v>
      </c>
      <c r="B387" t="str" cm="1">
        <f t="array" ref="B387">INDEX(Weekly_Inventory_Flow!$B$2:$B$261,INT((ROW()-2)/4)+1)</f>
        <v>P002</v>
      </c>
      <c r="C387" t="str" cm="1">
        <f t="array" ref="C387">INDEX(BOM!$B$2:$B$21,MATCH(B387,BOM!$A$2:$A$21,0)+MOD(ROW()-2,4))</f>
        <v>M006</v>
      </c>
      <c r="D387" cm="1">
        <f t="array" ref="D387">INDEX(Weekly_Inventory_Flow!$I$2:$I$261,INT((ROW()-2)/4)+1)</f>
        <v>13400</v>
      </c>
      <c r="E387" cm="1">
        <f t="array" ref="E387">INDEX(BOM!$C$2:$C$21,MATCH(B387,BOM!$A$2:$A$21,0)+MOD(ROW()-2,4))</f>
        <v>8.0000000000000002E-3</v>
      </c>
      <c r="F387">
        <f t="shared" ref="F387:F450" si="6">D387*E387</f>
        <v>107.2</v>
      </c>
    </row>
    <row r="388" spans="1:6">
      <c r="A388" s="1" cm="1">
        <f t="array" ref="A388">INDEX(Weekly_Inventory_Flow!$A$2:$A$261,INT((ROW()-2)/4)+1)</f>
        <v>46160</v>
      </c>
      <c r="B388" t="str" cm="1">
        <f t="array" ref="B388">INDEX(Weekly_Inventory_Flow!$B$2:$B$261,INT((ROW()-2)/4)+1)</f>
        <v>P002</v>
      </c>
      <c r="C388" t="str" cm="1">
        <f t="array" ref="C388">INDEX(BOM!$B$2:$B$21,MATCH(B388,BOM!$A$2:$A$21,0)+MOD(ROW()-2,4))</f>
        <v>M007</v>
      </c>
      <c r="D388" cm="1">
        <f t="array" ref="D388">INDEX(Weekly_Inventory_Flow!$I$2:$I$261,INT((ROW()-2)/4)+1)</f>
        <v>13400</v>
      </c>
      <c r="E388" cm="1">
        <f t="array" ref="E388">INDEX(BOM!$C$2:$C$21,MATCH(B388,BOM!$A$2:$A$21,0)+MOD(ROW()-2,4))</f>
        <v>1</v>
      </c>
      <c r="F388">
        <f t="shared" si="6"/>
        <v>13400</v>
      </c>
    </row>
    <row r="389" spans="1:6">
      <c r="A389" s="1" cm="1">
        <f t="array" ref="A389">INDEX(Weekly_Inventory_Flow!$A$2:$A$261,INT((ROW()-2)/4)+1)</f>
        <v>46160</v>
      </c>
      <c r="B389" t="str" cm="1">
        <f t="array" ref="B389">INDEX(Weekly_Inventory_Flow!$B$2:$B$261,INT((ROW()-2)/4)+1)</f>
        <v>P002</v>
      </c>
      <c r="C389" t="str" cm="1">
        <f t="array" ref="C389">INDEX(BOM!$B$2:$B$21,MATCH(B389,BOM!$A$2:$A$21,0)+MOD(ROW()-2,4))</f>
        <v>M008</v>
      </c>
      <c r="D389" cm="1">
        <f t="array" ref="D389">INDEX(Weekly_Inventory_Flow!$I$2:$I$261,INT((ROW()-2)/4)+1)</f>
        <v>13400</v>
      </c>
      <c r="E389" cm="1">
        <f t="array" ref="E389">INDEX(BOM!$C$2:$C$21,MATCH(B389,BOM!$A$2:$A$21,0)+MOD(ROW()-2,4))</f>
        <v>1</v>
      </c>
      <c r="F389">
        <f t="shared" si="6"/>
        <v>13400</v>
      </c>
    </row>
    <row r="390" spans="1:6">
      <c r="A390" s="1" cm="1">
        <f t="array" ref="A390">INDEX(Weekly_Inventory_Flow!$A$2:$A$261,INT((ROW()-2)/4)+1)</f>
        <v>46160</v>
      </c>
      <c r="B390" t="str" cm="1">
        <f t="array" ref="B390">INDEX(Weekly_Inventory_Flow!$B$2:$B$261,INT((ROW()-2)/4)+1)</f>
        <v>P003</v>
      </c>
      <c r="C390" t="str" cm="1">
        <f t="array" ref="C390">INDEX(BOM!$B$2:$B$21,MATCH(B390,BOM!$A$2:$A$21,0)+MOD(ROW()-2,4))</f>
        <v>M003</v>
      </c>
      <c r="D390" cm="1">
        <f t="array" ref="D390">INDEX(Weekly_Inventory_Flow!$I$2:$I$261,INT((ROW()-2)/4)+1)</f>
        <v>11800</v>
      </c>
      <c r="E390" cm="1">
        <f t="array" ref="E390">INDEX(BOM!$C$2:$C$21,MATCH(B390,BOM!$A$2:$A$21,0)+MOD(ROW()-2,4))</f>
        <v>0.25</v>
      </c>
      <c r="F390">
        <f t="shared" si="6"/>
        <v>2950</v>
      </c>
    </row>
    <row r="391" spans="1:6">
      <c r="A391" s="1" cm="1">
        <f t="array" ref="A391">INDEX(Weekly_Inventory_Flow!$A$2:$A$261,INT((ROW()-2)/4)+1)</f>
        <v>46160</v>
      </c>
      <c r="B391" t="str" cm="1">
        <f t="array" ref="B391">INDEX(Weekly_Inventory_Flow!$B$2:$B$261,INT((ROW()-2)/4)+1)</f>
        <v>P003</v>
      </c>
      <c r="C391" t="str" cm="1">
        <f t="array" ref="C391">INDEX(BOM!$B$2:$B$21,MATCH(B391,BOM!$A$2:$A$21,0)+MOD(ROW()-2,4))</f>
        <v>M006</v>
      </c>
      <c r="D391" cm="1">
        <f t="array" ref="D391">INDEX(Weekly_Inventory_Flow!$I$2:$I$261,INT((ROW()-2)/4)+1)</f>
        <v>11800</v>
      </c>
      <c r="E391" cm="1">
        <f t="array" ref="E391">INDEX(BOM!$C$2:$C$21,MATCH(B391,BOM!$A$2:$A$21,0)+MOD(ROW()-2,4))</f>
        <v>6.0000000000000001E-3</v>
      </c>
      <c r="F391">
        <f t="shared" si="6"/>
        <v>70.8</v>
      </c>
    </row>
    <row r="392" spans="1:6">
      <c r="A392" s="1" cm="1">
        <f t="array" ref="A392">INDEX(Weekly_Inventory_Flow!$A$2:$A$261,INT((ROW()-2)/4)+1)</f>
        <v>46160</v>
      </c>
      <c r="B392" t="str" cm="1">
        <f t="array" ref="B392">INDEX(Weekly_Inventory_Flow!$B$2:$B$261,INT((ROW()-2)/4)+1)</f>
        <v>P003</v>
      </c>
      <c r="C392" t="str" cm="1">
        <f t="array" ref="C392">INDEX(BOM!$B$2:$B$21,MATCH(B392,BOM!$A$2:$A$21,0)+MOD(ROW()-2,4))</f>
        <v>M007</v>
      </c>
      <c r="D392" cm="1">
        <f t="array" ref="D392">INDEX(Weekly_Inventory_Flow!$I$2:$I$261,INT((ROW()-2)/4)+1)</f>
        <v>11800</v>
      </c>
      <c r="E392" cm="1">
        <f t="array" ref="E392">INDEX(BOM!$C$2:$C$21,MATCH(B392,BOM!$A$2:$A$21,0)+MOD(ROW()-2,4))</f>
        <v>1</v>
      </c>
      <c r="F392">
        <f t="shared" si="6"/>
        <v>11800</v>
      </c>
    </row>
    <row r="393" spans="1:6">
      <c r="A393" s="1" cm="1">
        <f t="array" ref="A393">INDEX(Weekly_Inventory_Flow!$A$2:$A$261,INT((ROW()-2)/4)+1)</f>
        <v>46160</v>
      </c>
      <c r="B393" t="str" cm="1">
        <f t="array" ref="B393">INDEX(Weekly_Inventory_Flow!$B$2:$B$261,INT((ROW()-2)/4)+1)</f>
        <v>P003</v>
      </c>
      <c r="C393" t="str" cm="1">
        <f t="array" ref="C393">INDEX(BOM!$B$2:$B$21,MATCH(B393,BOM!$A$2:$A$21,0)+MOD(ROW()-2,4))</f>
        <v>M008</v>
      </c>
      <c r="D393" cm="1">
        <f t="array" ref="D393">INDEX(Weekly_Inventory_Flow!$I$2:$I$261,INT((ROW()-2)/4)+1)</f>
        <v>11800</v>
      </c>
      <c r="E393" cm="1">
        <f t="array" ref="E393">INDEX(BOM!$C$2:$C$21,MATCH(B393,BOM!$A$2:$A$21,0)+MOD(ROW()-2,4))</f>
        <v>1</v>
      </c>
      <c r="F393">
        <f t="shared" si="6"/>
        <v>11800</v>
      </c>
    </row>
    <row r="394" spans="1:6">
      <c r="A394" s="1" cm="1">
        <f t="array" ref="A394">INDEX(Weekly_Inventory_Flow!$A$2:$A$261,INT((ROW()-2)/4)+1)</f>
        <v>46160</v>
      </c>
      <c r="B394" t="str" cm="1">
        <f t="array" ref="B394">INDEX(Weekly_Inventory_Flow!$B$2:$B$261,INT((ROW()-2)/4)+1)</f>
        <v>P004</v>
      </c>
      <c r="C394" t="str" cm="1">
        <f t="array" ref="C394">INDEX(BOM!$B$2:$B$21,MATCH(B394,BOM!$A$2:$A$21,0)+MOD(ROW()-2,4))</f>
        <v>M004</v>
      </c>
      <c r="D394" cm="1">
        <f t="array" ref="D394">INDEX(Weekly_Inventory_Flow!$I$2:$I$261,INT((ROW()-2)/4)+1)</f>
        <v>12100</v>
      </c>
      <c r="E394" cm="1">
        <f t="array" ref="E394">INDEX(BOM!$C$2:$C$21,MATCH(B394,BOM!$A$2:$A$21,0)+MOD(ROW()-2,4))</f>
        <v>0.34</v>
      </c>
      <c r="F394">
        <f t="shared" si="6"/>
        <v>4114</v>
      </c>
    </row>
    <row r="395" spans="1:6">
      <c r="A395" s="1" cm="1">
        <f t="array" ref="A395">INDEX(Weekly_Inventory_Flow!$A$2:$A$261,INT((ROW()-2)/4)+1)</f>
        <v>46160</v>
      </c>
      <c r="B395" t="str" cm="1">
        <f t="array" ref="B395">INDEX(Weekly_Inventory_Flow!$B$2:$B$261,INT((ROW()-2)/4)+1)</f>
        <v>P004</v>
      </c>
      <c r="C395" t="str" cm="1">
        <f t="array" ref="C395">INDEX(BOM!$B$2:$B$21,MATCH(B395,BOM!$A$2:$A$21,0)+MOD(ROW()-2,4))</f>
        <v>M006</v>
      </c>
      <c r="D395" cm="1">
        <f t="array" ref="D395">INDEX(Weekly_Inventory_Flow!$I$2:$I$261,INT((ROW()-2)/4)+1)</f>
        <v>12100</v>
      </c>
      <c r="E395" cm="1">
        <f t="array" ref="E395">INDEX(BOM!$C$2:$C$21,MATCH(B395,BOM!$A$2:$A$21,0)+MOD(ROW()-2,4))</f>
        <v>8.9999999999999993E-3</v>
      </c>
      <c r="F395">
        <f t="shared" si="6"/>
        <v>108.89999999999999</v>
      </c>
    </row>
    <row r="396" spans="1:6">
      <c r="A396" s="1" cm="1">
        <f t="array" ref="A396">INDEX(Weekly_Inventory_Flow!$A$2:$A$261,INT((ROW()-2)/4)+1)</f>
        <v>46160</v>
      </c>
      <c r="B396" t="str" cm="1">
        <f t="array" ref="B396">INDEX(Weekly_Inventory_Flow!$B$2:$B$261,INT((ROW()-2)/4)+1)</f>
        <v>P004</v>
      </c>
      <c r="C396" t="str" cm="1">
        <f t="array" ref="C396">INDEX(BOM!$B$2:$B$21,MATCH(B396,BOM!$A$2:$A$21,0)+MOD(ROW()-2,4))</f>
        <v>M007</v>
      </c>
      <c r="D396" cm="1">
        <f t="array" ref="D396">INDEX(Weekly_Inventory_Flow!$I$2:$I$261,INT((ROW()-2)/4)+1)</f>
        <v>12100</v>
      </c>
      <c r="E396" cm="1">
        <f t="array" ref="E396">INDEX(BOM!$C$2:$C$21,MATCH(B396,BOM!$A$2:$A$21,0)+MOD(ROW()-2,4))</f>
        <v>1</v>
      </c>
      <c r="F396">
        <f t="shared" si="6"/>
        <v>12100</v>
      </c>
    </row>
    <row r="397" spans="1:6">
      <c r="A397" s="1" cm="1">
        <f t="array" ref="A397">INDEX(Weekly_Inventory_Flow!$A$2:$A$261,INT((ROW()-2)/4)+1)</f>
        <v>46160</v>
      </c>
      <c r="B397" t="str" cm="1">
        <f t="array" ref="B397">INDEX(Weekly_Inventory_Flow!$B$2:$B$261,INT((ROW()-2)/4)+1)</f>
        <v>P004</v>
      </c>
      <c r="C397" t="str" cm="1">
        <f t="array" ref="C397">INDEX(BOM!$B$2:$B$21,MATCH(B397,BOM!$A$2:$A$21,0)+MOD(ROW()-2,4))</f>
        <v>M008</v>
      </c>
      <c r="D397" cm="1">
        <f t="array" ref="D397">INDEX(Weekly_Inventory_Flow!$I$2:$I$261,INT((ROW()-2)/4)+1)</f>
        <v>12100</v>
      </c>
      <c r="E397" cm="1">
        <f t="array" ref="E397">INDEX(BOM!$C$2:$C$21,MATCH(B397,BOM!$A$2:$A$21,0)+MOD(ROW()-2,4))</f>
        <v>1</v>
      </c>
      <c r="F397">
        <f t="shared" si="6"/>
        <v>12100</v>
      </c>
    </row>
    <row r="398" spans="1:6">
      <c r="A398" s="1" cm="1">
        <f t="array" ref="A398">INDEX(Weekly_Inventory_Flow!$A$2:$A$261,INT((ROW()-2)/4)+1)</f>
        <v>46160</v>
      </c>
      <c r="B398" t="str" cm="1">
        <f t="array" ref="B398">INDEX(Weekly_Inventory_Flow!$B$2:$B$261,INT((ROW()-2)/4)+1)</f>
        <v>P005</v>
      </c>
      <c r="C398" t="str" cm="1">
        <f t="array" ref="C398">INDEX(BOM!$B$2:$B$21,MATCH(B398,BOM!$A$2:$A$21,0)+MOD(ROW()-2,4))</f>
        <v>M005</v>
      </c>
      <c r="D398" cm="1">
        <f t="array" ref="D398">INDEX(Weekly_Inventory_Flow!$I$2:$I$261,INT((ROW()-2)/4)+1)</f>
        <v>8900</v>
      </c>
      <c r="E398" cm="1">
        <f t="array" ref="E398">INDEX(BOM!$C$2:$C$21,MATCH(B398,BOM!$A$2:$A$21,0)+MOD(ROW()-2,4))</f>
        <v>0.52</v>
      </c>
      <c r="F398">
        <f t="shared" si="6"/>
        <v>4628</v>
      </c>
    </row>
    <row r="399" spans="1:6">
      <c r="A399" s="1" cm="1">
        <f t="array" ref="A399">INDEX(Weekly_Inventory_Flow!$A$2:$A$261,INT((ROW()-2)/4)+1)</f>
        <v>46160</v>
      </c>
      <c r="B399" t="str" cm="1">
        <f t="array" ref="B399">INDEX(Weekly_Inventory_Flow!$B$2:$B$261,INT((ROW()-2)/4)+1)</f>
        <v>P005</v>
      </c>
      <c r="C399" t="str" cm="1">
        <f t="array" ref="C399">INDEX(BOM!$B$2:$B$21,MATCH(B399,BOM!$A$2:$A$21,0)+MOD(ROW()-2,4))</f>
        <v>M006</v>
      </c>
      <c r="D399" cm="1">
        <f t="array" ref="D399">INDEX(Weekly_Inventory_Flow!$I$2:$I$261,INT((ROW()-2)/4)+1)</f>
        <v>8900</v>
      </c>
      <c r="E399" cm="1">
        <f t="array" ref="E399">INDEX(BOM!$C$2:$C$21,MATCH(B399,BOM!$A$2:$A$21,0)+MOD(ROW()-2,4))</f>
        <v>1.2E-2</v>
      </c>
      <c r="F399">
        <f t="shared" si="6"/>
        <v>106.8</v>
      </c>
    </row>
    <row r="400" spans="1:6">
      <c r="A400" s="1" cm="1">
        <f t="array" ref="A400">INDEX(Weekly_Inventory_Flow!$A$2:$A$261,INT((ROW()-2)/4)+1)</f>
        <v>46160</v>
      </c>
      <c r="B400" t="str" cm="1">
        <f t="array" ref="B400">INDEX(Weekly_Inventory_Flow!$B$2:$B$261,INT((ROW()-2)/4)+1)</f>
        <v>P005</v>
      </c>
      <c r="C400" t="str" cm="1">
        <f t="array" ref="C400">INDEX(BOM!$B$2:$B$21,MATCH(B400,BOM!$A$2:$A$21,0)+MOD(ROW()-2,4))</f>
        <v>M007</v>
      </c>
      <c r="D400" cm="1">
        <f t="array" ref="D400">INDEX(Weekly_Inventory_Flow!$I$2:$I$261,INT((ROW()-2)/4)+1)</f>
        <v>8900</v>
      </c>
      <c r="E400" cm="1">
        <f t="array" ref="E400">INDEX(BOM!$C$2:$C$21,MATCH(B400,BOM!$A$2:$A$21,0)+MOD(ROW()-2,4))</f>
        <v>1</v>
      </c>
      <c r="F400">
        <f t="shared" si="6"/>
        <v>8900</v>
      </c>
    </row>
    <row r="401" spans="1:6">
      <c r="A401" s="1" cm="1">
        <f t="array" ref="A401">INDEX(Weekly_Inventory_Flow!$A$2:$A$261,INT((ROW()-2)/4)+1)</f>
        <v>46160</v>
      </c>
      <c r="B401" t="str" cm="1">
        <f t="array" ref="B401">INDEX(Weekly_Inventory_Flow!$B$2:$B$261,INT((ROW()-2)/4)+1)</f>
        <v>P005</v>
      </c>
      <c r="C401" t="str" cm="1">
        <f t="array" ref="C401">INDEX(BOM!$B$2:$B$21,MATCH(B401,BOM!$A$2:$A$21,0)+MOD(ROW()-2,4))</f>
        <v>M008</v>
      </c>
      <c r="D401" cm="1">
        <f t="array" ref="D401">INDEX(Weekly_Inventory_Flow!$I$2:$I$261,INT((ROW()-2)/4)+1)</f>
        <v>8900</v>
      </c>
      <c r="E401" cm="1">
        <f t="array" ref="E401">INDEX(BOM!$C$2:$C$21,MATCH(B401,BOM!$A$2:$A$21,0)+MOD(ROW()-2,4))</f>
        <v>1</v>
      </c>
      <c r="F401">
        <f t="shared" si="6"/>
        <v>8900</v>
      </c>
    </row>
    <row r="402" spans="1:6">
      <c r="A402" s="1" cm="1">
        <f t="array" ref="A402">INDEX(Weekly_Inventory_Flow!$A$2:$A$261,INT((ROW()-2)/4)+1)</f>
        <v>46167</v>
      </c>
      <c r="B402" t="str" cm="1">
        <f t="array" ref="B402">INDEX(Weekly_Inventory_Flow!$B$2:$B$261,INT((ROW()-2)/4)+1)</f>
        <v>P001</v>
      </c>
      <c r="C402" t="str" cm="1">
        <f t="array" ref="C402">INDEX(BOM!$B$2:$B$21,MATCH(B402,BOM!$A$2:$A$21,0)+MOD(ROW()-2,4))</f>
        <v>M001</v>
      </c>
      <c r="D402" cm="1">
        <f t="array" ref="D402">INDEX(Weekly_Inventory_Flow!$I$2:$I$261,INT((ROW()-2)/4)+1)</f>
        <v>15000</v>
      </c>
      <c r="E402" cm="1">
        <f t="array" ref="E402">INDEX(BOM!$C$2:$C$21,MATCH(B402,BOM!$A$2:$A$21,0)+MOD(ROW()-2,4))</f>
        <v>0.35</v>
      </c>
      <c r="F402">
        <f t="shared" si="6"/>
        <v>5250</v>
      </c>
    </row>
    <row r="403" spans="1:6">
      <c r="A403" s="1" cm="1">
        <f t="array" ref="A403">INDEX(Weekly_Inventory_Flow!$A$2:$A$261,INT((ROW()-2)/4)+1)</f>
        <v>46167</v>
      </c>
      <c r="B403" t="str" cm="1">
        <f t="array" ref="B403">INDEX(Weekly_Inventory_Flow!$B$2:$B$261,INT((ROW()-2)/4)+1)</f>
        <v>P001</v>
      </c>
      <c r="C403" t="str" cm="1">
        <f t="array" ref="C403">INDEX(BOM!$B$2:$B$21,MATCH(B403,BOM!$A$2:$A$21,0)+MOD(ROW()-2,4))</f>
        <v>M006</v>
      </c>
      <c r="D403" cm="1">
        <f t="array" ref="D403">INDEX(Weekly_Inventory_Flow!$I$2:$I$261,INT((ROW()-2)/4)+1)</f>
        <v>15000</v>
      </c>
      <c r="E403" cm="1">
        <f t="array" ref="E403">INDEX(BOM!$C$2:$C$21,MATCH(B403,BOM!$A$2:$A$21,0)+MOD(ROW()-2,4))</f>
        <v>0.01</v>
      </c>
      <c r="F403">
        <f t="shared" si="6"/>
        <v>150</v>
      </c>
    </row>
    <row r="404" spans="1:6">
      <c r="A404" s="1" cm="1">
        <f t="array" ref="A404">INDEX(Weekly_Inventory_Flow!$A$2:$A$261,INT((ROW()-2)/4)+1)</f>
        <v>46167</v>
      </c>
      <c r="B404" t="str" cm="1">
        <f t="array" ref="B404">INDEX(Weekly_Inventory_Flow!$B$2:$B$261,INT((ROW()-2)/4)+1)</f>
        <v>P001</v>
      </c>
      <c r="C404" t="str" cm="1">
        <f t="array" ref="C404">INDEX(BOM!$B$2:$B$21,MATCH(B404,BOM!$A$2:$A$21,0)+MOD(ROW()-2,4))</f>
        <v>M007</v>
      </c>
      <c r="D404" cm="1">
        <f t="array" ref="D404">INDEX(Weekly_Inventory_Flow!$I$2:$I$261,INT((ROW()-2)/4)+1)</f>
        <v>15000</v>
      </c>
      <c r="E404" cm="1">
        <f t="array" ref="E404">INDEX(BOM!$C$2:$C$21,MATCH(B404,BOM!$A$2:$A$21,0)+MOD(ROW()-2,4))</f>
        <v>1</v>
      </c>
      <c r="F404">
        <f t="shared" si="6"/>
        <v>15000</v>
      </c>
    </row>
    <row r="405" spans="1:6">
      <c r="A405" s="1" cm="1">
        <f t="array" ref="A405">INDEX(Weekly_Inventory_Flow!$A$2:$A$261,INT((ROW()-2)/4)+1)</f>
        <v>46167</v>
      </c>
      <c r="B405" t="str" cm="1">
        <f t="array" ref="B405">INDEX(Weekly_Inventory_Flow!$B$2:$B$261,INT((ROW()-2)/4)+1)</f>
        <v>P001</v>
      </c>
      <c r="C405" t="str" cm="1">
        <f t="array" ref="C405">INDEX(BOM!$B$2:$B$21,MATCH(B405,BOM!$A$2:$A$21,0)+MOD(ROW()-2,4))</f>
        <v>M008</v>
      </c>
      <c r="D405" cm="1">
        <f t="array" ref="D405">INDEX(Weekly_Inventory_Flow!$I$2:$I$261,INT((ROW()-2)/4)+1)</f>
        <v>15000</v>
      </c>
      <c r="E405" cm="1">
        <f t="array" ref="E405">INDEX(BOM!$C$2:$C$21,MATCH(B405,BOM!$A$2:$A$21,0)+MOD(ROW()-2,4))</f>
        <v>1</v>
      </c>
      <c r="F405">
        <f t="shared" si="6"/>
        <v>15000</v>
      </c>
    </row>
    <row r="406" spans="1:6">
      <c r="A406" s="1" cm="1">
        <f t="array" ref="A406">INDEX(Weekly_Inventory_Flow!$A$2:$A$261,INT((ROW()-2)/4)+1)</f>
        <v>46167</v>
      </c>
      <c r="B406" t="str" cm="1">
        <f t="array" ref="B406">INDEX(Weekly_Inventory_Flow!$B$2:$B$261,INT((ROW()-2)/4)+1)</f>
        <v>P002</v>
      </c>
      <c r="C406" t="str" cm="1">
        <f t="array" ref="C406">INDEX(BOM!$B$2:$B$21,MATCH(B406,BOM!$A$2:$A$21,0)+MOD(ROW()-2,4))</f>
        <v>M002</v>
      </c>
      <c r="D406" cm="1">
        <f t="array" ref="D406">INDEX(Weekly_Inventory_Flow!$I$2:$I$261,INT((ROW()-2)/4)+1)</f>
        <v>12800</v>
      </c>
      <c r="E406" cm="1">
        <f t="array" ref="E406">INDEX(BOM!$C$2:$C$21,MATCH(B406,BOM!$A$2:$A$21,0)+MOD(ROW()-2,4))</f>
        <v>0.3</v>
      </c>
      <c r="F406">
        <f t="shared" si="6"/>
        <v>3840</v>
      </c>
    </row>
    <row r="407" spans="1:6">
      <c r="A407" s="1" cm="1">
        <f t="array" ref="A407">INDEX(Weekly_Inventory_Flow!$A$2:$A$261,INT((ROW()-2)/4)+1)</f>
        <v>46167</v>
      </c>
      <c r="B407" t="str" cm="1">
        <f t="array" ref="B407">INDEX(Weekly_Inventory_Flow!$B$2:$B$261,INT((ROW()-2)/4)+1)</f>
        <v>P002</v>
      </c>
      <c r="C407" t="str" cm="1">
        <f t="array" ref="C407">INDEX(BOM!$B$2:$B$21,MATCH(B407,BOM!$A$2:$A$21,0)+MOD(ROW()-2,4))</f>
        <v>M006</v>
      </c>
      <c r="D407" cm="1">
        <f t="array" ref="D407">INDEX(Weekly_Inventory_Flow!$I$2:$I$261,INT((ROW()-2)/4)+1)</f>
        <v>12800</v>
      </c>
      <c r="E407" cm="1">
        <f t="array" ref="E407">INDEX(BOM!$C$2:$C$21,MATCH(B407,BOM!$A$2:$A$21,0)+MOD(ROW()-2,4))</f>
        <v>8.0000000000000002E-3</v>
      </c>
      <c r="F407">
        <f t="shared" si="6"/>
        <v>102.4</v>
      </c>
    </row>
    <row r="408" spans="1:6">
      <c r="A408" s="1" cm="1">
        <f t="array" ref="A408">INDEX(Weekly_Inventory_Flow!$A$2:$A$261,INT((ROW()-2)/4)+1)</f>
        <v>46167</v>
      </c>
      <c r="B408" t="str" cm="1">
        <f t="array" ref="B408">INDEX(Weekly_Inventory_Flow!$B$2:$B$261,INT((ROW()-2)/4)+1)</f>
        <v>P002</v>
      </c>
      <c r="C408" t="str" cm="1">
        <f t="array" ref="C408">INDEX(BOM!$B$2:$B$21,MATCH(B408,BOM!$A$2:$A$21,0)+MOD(ROW()-2,4))</f>
        <v>M007</v>
      </c>
      <c r="D408" cm="1">
        <f t="array" ref="D408">INDEX(Weekly_Inventory_Flow!$I$2:$I$261,INT((ROW()-2)/4)+1)</f>
        <v>12800</v>
      </c>
      <c r="E408" cm="1">
        <f t="array" ref="E408">INDEX(BOM!$C$2:$C$21,MATCH(B408,BOM!$A$2:$A$21,0)+MOD(ROW()-2,4))</f>
        <v>1</v>
      </c>
      <c r="F408">
        <f t="shared" si="6"/>
        <v>12800</v>
      </c>
    </row>
    <row r="409" spans="1:6">
      <c r="A409" s="1" cm="1">
        <f t="array" ref="A409">INDEX(Weekly_Inventory_Flow!$A$2:$A$261,INT((ROW()-2)/4)+1)</f>
        <v>46167</v>
      </c>
      <c r="B409" t="str" cm="1">
        <f t="array" ref="B409">INDEX(Weekly_Inventory_Flow!$B$2:$B$261,INT((ROW()-2)/4)+1)</f>
        <v>P002</v>
      </c>
      <c r="C409" t="str" cm="1">
        <f t="array" ref="C409">INDEX(BOM!$B$2:$B$21,MATCH(B409,BOM!$A$2:$A$21,0)+MOD(ROW()-2,4))</f>
        <v>M008</v>
      </c>
      <c r="D409" cm="1">
        <f t="array" ref="D409">INDEX(Weekly_Inventory_Flow!$I$2:$I$261,INT((ROW()-2)/4)+1)</f>
        <v>12800</v>
      </c>
      <c r="E409" cm="1">
        <f t="array" ref="E409">INDEX(BOM!$C$2:$C$21,MATCH(B409,BOM!$A$2:$A$21,0)+MOD(ROW()-2,4))</f>
        <v>1</v>
      </c>
      <c r="F409">
        <f t="shared" si="6"/>
        <v>12800</v>
      </c>
    </row>
    <row r="410" spans="1:6">
      <c r="A410" s="1" cm="1">
        <f t="array" ref="A410">INDEX(Weekly_Inventory_Flow!$A$2:$A$261,INT((ROW()-2)/4)+1)</f>
        <v>46167</v>
      </c>
      <c r="B410" t="str" cm="1">
        <f t="array" ref="B410">INDEX(Weekly_Inventory_Flow!$B$2:$B$261,INT((ROW()-2)/4)+1)</f>
        <v>P003</v>
      </c>
      <c r="C410" t="str" cm="1">
        <f t="array" ref="C410">INDEX(BOM!$B$2:$B$21,MATCH(B410,BOM!$A$2:$A$21,0)+MOD(ROW()-2,4))</f>
        <v>M003</v>
      </c>
      <c r="D410" cm="1">
        <f t="array" ref="D410">INDEX(Weekly_Inventory_Flow!$I$2:$I$261,INT((ROW()-2)/4)+1)</f>
        <v>11900</v>
      </c>
      <c r="E410" cm="1">
        <f t="array" ref="E410">INDEX(BOM!$C$2:$C$21,MATCH(B410,BOM!$A$2:$A$21,0)+MOD(ROW()-2,4))</f>
        <v>0.25</v>
      </c>
      <c r="F410">
        <f t="shared" si="6"/>
        <v>2975</v>
      </c>
    </row>
    <row r="411" spans="1:6">
      <c r="A411" s="1" cm="1">
        <f t="array" ref="A411">INDEX(Weekly_Inventory_Flow!$A$2:$A$261,INT((ROW()-2)/4)+1)</f>
        <v>46167</v>
      </c>
      <c r="B411" t="str" cm="1">
        <f t="array" ref="B411">INDEX(Weekly_Inventory_Flow!$B$2:$B$261,INT((ROW()-2)/4)+1)</f>
        <v>P003</v>
      </c>
      <c r="C411" t="str" cm="1">
        <f t="array" ref="C411">INDEX(BOM!$B$2:$B$21,MATCH(B411,BOM!$A$2:$A$21,0)+MOD(ROW()-2,4))</f>
        <v>M006</v>
      </c>
      <c r="D411" cm="1">
        <f t="array" ref="D411">INDEX(Weekly_Inventory_Flow!$I$2:$I$261,INT((ROW()-2)/4)+1)</f>
        <v>11900</v>
      </c>
      <c r="E411" cm="1">
        <f t="array" ref="E411">INDEX(BOM!$C$2:$C$21,MATCH(B411,BOM!$A$2:$A$21,0)+MOD(ROW()-2,4))</f>
        <v>6.0000000000000001E-3</v>
      </c>
      <c r="F411">
        <f t="shared" si="6"/>
        <v>71.400000000000006</v>
      </c>
    </row>
    <row r="412" spans="1:6">
      <c r="A412" s="1" cm="1">
        <f t="array" ref="A412">INDEX(Weekly_Inventory_Flow!$A$2:$A$261,INT((ROW()-2)/4)+1)</f>
        <v>46167</v>
      </c>
      <c r="B412" t="str" cm="1">
        <f t="array" ref="B412">INDEX(Weekly_Inventory_Flow!$B$2:$B$261,INT((ROW()-2)/4)+1)</f>
        <v>P003</v>
      </c>
      <c r="C412" t="str" cm="1">
        <f t="array" ref="C412">INDEX(BOM!$B$2:$B$21,MATCH(B412,BOM!$A$2:$A$21,0)+MOD(ROW()-2,4))</f>
        <v>M007</v>
      </c>
      <c r="D412" cm="1">
        <f t="array" ref="D412">INDEX(Weekly_Inventory_Flow!$I$2:$I$261,INT((ROW()-2)/4)+1)</f>
        <v>11900</v>
      </c>
      <c r="E412" cm="1">
        <f t="array" ref="E412">INDEX(BOM!$C$2:$C$21,MATCH(B412,BOM!$A$2:$A$21,0)+MOD(ROW()-2,4))</f>
        <v>1</v>
      </c>
      <c r="F412">
        <f t="shared" si="6"/>
        <v>11900</v>
      </c>
    </row>
    <row r="413" spans="1:6">
      <c r="A413" s="1" cm="1">
        <f t="array" ref="A413">INDEX(Weekly_Inventory_Flow!$A$2:$A$261,INT((ROW()-2)/4)+1)</f>
        <v>46167</v>
      </c>
      <c r="B413" t="str" cm="1">
        <f t="array" ref="B413">INDEX(Weekly_Inventory_Flow!$B$2:$B$261,INT((ROW()-2)/4)+1)</f>
        <v>P003</v>
      </c>
      <c r="C413" t="str" cm="1">
        <f t="array" ref="C413">INDEX(BOM!$B$2:$B$21,MATCH(B413,BOM!$A$2:$A$21,0)+MOD(ROW()-2,4))</f>
        <v>M008</v>
      </c>
      <c r="D413" cm="1">
        <f t="array" ref="D413">INDEX(Weekly_Inventory_Flow!$I$2:$I$261,INT((ROW()-2)/4)+1)</f>
        <v>11900</v>
      </c>
      <c r="E413" cm="1">
        <f t="array" ref="E413">INDEX(BOM!$C$2:$C$21,MATCH(B413,BOM!$A$2:$A$21,0)+MOD(ROW()-2,4))</f>
        <v>1</v>
      </c>
      <c r="F413">
        <f t="shared" si="6"/>
        <v>11900</v>
      </c>
    </row>
    <row r="414" spans="1:6">
      <c r="A414" s="1" cm="1">
        <f t="array" ref="A414">INDEX(Weekly_Inventory_Flow!$A$2:$A$261,INT((ROW()-2)/4)+1)</f>
        <v>46167</v>
      </c>
      <c r="B414" t="str" cm="1">
        <f t="array" ref="B414">INDEX(Weekly_Inventory_Flow!$B$2:$B$261,INT((ROW()-2)/4)+1)</f>
        <v>P004</v>
      </c>
      <c r="C414" t="str" cm="1">
        <f t="array" ref="C414">INDEX(BOM!$B$2:$B$21,MATCH(B414,BOM!$A$2:$A$21,0)+MOD(ROW()-2,4))</f>
        <v>M004</v>
      </c>
      <c r="D414" cm="1">
        <f t="array" ref="D414">INDEX(Weekly_Inventory_Flow!$I$2:$I$261,INT((ROW()-2)/4)+1)</f>
        <v>12300</v>
      </c>
      <c r="E414" cm="1">
        <f t="array" ref="E414">INDEX(BOM!$C$2:$C$21,MATCH(B414,BOM!$A$2:$A$21,0)+MOD(ROW()-2,4))</f>
        <v>0.34</v>
      </c>
      <c r="F414">
        <f t="shared" si="6"/>
        <v>4182</v>
      </c>
    </row>
    <row r="415" spans="1:6">
      <c r="A415" s="1" cm="1">
        <f t="array" ref="A415">INDEX(Weekly_Inventory_Flow!$A$2:$A$261,INT((ROW()-2)/4)+1)</f>
        <v>46167</v>
      </c>
      <c r="B415" t="str" cm="1">
        <f t="array" ref="B415">INDEX(Weekly_Inventory_Flow!$B$2:$B$261,INT((ROW()-2)/4)+1)</f>
        <v>P004</v>
      </c>
      <c r="C415" t="str" cm="1">
        <f t="array" ref="C415">INDEX(BOM!$B$2:$B$21,MATCH(B415,BOM!$A$2:$A$21,0)+MOD(ROW()-2,4))</f>
        <v>M006</v>
      </c>
      <c r="D415" cm="1">
        <f t="array" ref="D415">INDEX(Weekly_Inventory_Flow!$I$2:$I$261,INT((ROW()-2)/4)+1)</f>
        <v>12300</v>
      </c>
      <c r="E415" cm="1">
        <f t="array" ref="E415">INDEX(BOM!$C$2:$C$21,MATCH(B415,BOM!$A$2:$A$21,0)+MOD(ROW()-2,4))</f>
        <v>8.9999999999999993E-3</v>
      </c>
      <c r="F415">
        <f t="shared" si="6"/>
        <v>110.69999999999999</v>
      </c>
    </row>
    <row r="416" spans="1:6">
      <c r="A416" s="1" cm="1">
        <f t="array" ref="A416">INDEX(Weekly_Inventory_Flow!$A$2:$A$261,INT((ROW()-2)/4)+1)</f>
        <v>46167</v>
      </c>
      <c r="B416" t="str" cm="1">
        <f t="array" ref="B416">INDEX(Weekly_Inventory_Flow!$B$2:$B$261,INT((ROW()-2)/4)+1)</f>
        <v>P004</v>
      </c>
      <c r="C416" t="str" cm="1">
        <f t="array" ref="C416">INDEX(BOM!$B$2:$B$21,MATCH(B416,BOM!$A$2:$A$21,0)+MOD(ROW()-2,4))</f>
        <v>M007</v>
      </c>
      <c r="D416" cm="1">
        <f t="array" ref="D416">INDEX(Weekly_Inventory_Flow!$I$2:$I$261,INT((ROW()-2)/4)+1)</f>
        <v>12300</v>
      </c>
      <c r="E416" cm="1">
        <f t="array" ref="E416">INDEX(BOM!$C$2:$C$21,MATCH(B416,BOM!$A$2:$A$21,0)+MOD(ROW()-2,4))</f>
        <v>1</v>
      </c>
      <c r="F416">
        <f t="shared" si="6"/>
        <v>12300</v>
      </c>
    </row>
    <row r="417" spans="1:6">
      <c r="A417" s="1" cm="1">
        <f t="array" ref="A417">INDEX(Weekly_Inventory_Flow!$A$2:$A$261,INT((ROW()-2)/4)+1)</f>
        <v>46167</v>
      </c>
      <c r="B417" t="str" cm="1">
        <f t="array" ref="B417">INDEX(Weekly_Inventory_Flow!$B$2:$B$261,INT((ROW()-2)/4)+1)</f>
        <v>P004</v>
      </c>
      <c r="C417" t="str" cm="1">
        <f t="array" ref="C417">INDEX(BOM!$B$2:$B$21,MATCH(B417,BOM!$A$2:$A$21,0)+MOD(ROW()-2,4))</f>
        <v>M008</v>
      </c>
      <c r="D417" cm="1">
        <f t="array" ref="D417">INDEX(Weekly_Inventory_Flow!$I$2:$I$261,INT((ROW()-2)/4)+1)</f>
        <v>12300</v>
      </c>
      <c r="E417" cm="1">
        <f t="array" ref="E417">INDEX(BOM!$C$2:$C$21,MATCH(B417,BOM!$A$2:$A$21,0)+MOD(ROW()-2,4))</f>
        <v>1</v>
      </c>
      <c r="F417">
        <f t="shared" si="6"/>
        <v>12300</v>
      </c>
    </row>
    <row r="418" spans="1:6">
      <c r="A418" s="1" cm="1">
        <f t="array" ref="A418">INDEX(Weekly_Inventory_Flow!$A$2:$A$261,INT((ROW()-2)/4)+1)</f>
        <v>46167</v>
      </c>
      <c r="B418" t="str" cm="1">
        <f t="array" ref="B418">INDEX(Weekly_Inventory_Flow!$B$2:$B$261,INT((ROW()-2)/4)+1)</f>
        <v>P005</v>
      </c>
      <c r="C418" t="str" cm="1">
        <f t="array" ref="C418">INDEX(BOM!$B$2:$B$21,MATCH(B418,BOM!$A$2:$A$21,0)+MOD(ROW()-2,4))</f>
        <v>M005</v>
      </c>
      <c r="D418" cm="1">
        <f t="array" ref="D418">INDEX(Weekly_Inventory_Flow!$I$2:$I$261,INT((ROW()-2)/4)+1)</f>
        <v>9100</v>
      </c>
      <c r="E418" cm="1">
        <f t="array" ref="E418">INDEX(BOM!$C$2:$C$21,MATCH(B418,BOM!$A$2:$A$21,0)+MOD(ROW()-2,4))</f>
        <v>0.52</v>
      </c>
      <c r="F418">
        <f t="shared" si="6"/>
        <v>4732</v>
      </c>
    </row>
    <row r="419" spans="1:6">
      <c r="A419" s="1" cm="1">
        <f t="array" ref="A419">INDEX(Weekly_Inventory_Flow!$A$2:$A$261,INT((ROW()-2)/4)+1)</f>
        <v>46167</v>
      </c>
      <c r="B419" t="str" cm="1">
        <f t="array" ref="B419">INDEX(Weekly_Inventory_Flow!$B$2:$B$261,INT((ROW()-2)/4)+1)</f>
        <v>P005</v>
      </c>
      <c r="C419" t="str" cm="1">
        <f t="array" ref="C419">INDEX(BOM!$B$2:$B$21,MATCH(B419,BOM!$A$2:$A$21,0)+MOD(ROW()-2,4))</f>
        <v>M006</v>
      </c>
      <c r="D419" cm="1">
        <f t="array" ref="D419">INDEX(Weekly_Inventory_Flow!$I$2:$I$261,INT((ROW()-2)/4)+1)</f>
        <v>9100</v>
      </c>
      <c r="E419" cm="1">
        <f t="array" ref="E419">INDEX(BOM!$C$2:$C$21,MATCH(B419,BOM!$A$2:$A$21,0)+MOD(ROW()-2,4))</f>
        <v>1.2E-2</v>
      </c>
      <c r="F419">
        <f t="shared" si="6"/>
        <v>109.2</v>
      </c>
    </row>
    <row r="420" spans="1:6">
      <c r="A420" s="1" cm="1">
        <f t="array" ref="A420">INDEX(Weekly_Inventory_Flow!$A$2:$A$261,INT((ROW()-2)/4)+1)</f>
        <v>46167</v>
      </c>
      <c r="B420" t="str" cm="1">
        <f t="array" ref="B420">INDEX(Weekly_Inventory_Flow!$B$2:$B$261,INT((ROW()-2)/4)+1)</f>
        <v>P005</v>
      </c>
      <c r="C420" t="str" cm="1">
        <f t="array" ref="C420">INDEX(BOM!$B$2:$B$21,MATCH(B420,BOM!$A$2:$A$21,0)+MOD(ROW()-2,4))</f>
        <v>M007</v>
      </c>
      <c r="D420" cm="1">
        <f t="array" ref="D420">INDEX(Weekly_Inventory_Flow!$I$2:$I$261,INT((ROW()-2)/4)+1)</f>
        <v>9100</v>
      </c>
      <c r="E420" cm="1">
        <f t="array" ref="E420">INDEX(BOM!$C$2:$C$21,MATCH(B420,BOM!$A$2:$A$21,0)+MOD(ROW()-2,4))</f>
        <v>1</v>
      </c>
      <c r="F420">
        <f t="shared" si="6"/>
        <v>9100</v>
      </c>
    </row>
    <row r="421" spans="1:6">
      <c r="A421" s="1" cm="1">
        <f t="array" ref="A421">INDEX(Weekly_Inventory_Flow!$A$2:$A$261,INT((ROW()-2)/4)+1)</f>
        <v>46167</v>
      </c>
      <c r="B421" t="str" cm="1">
        <f t="array" ref="B421">INDEX(Weekly_Inventory_Flow!$B$2:$B$261,INT((ROW()-2)/4)+1)</f>
        <v>P005</v>
      </c>
      <c r="C421" t="str" cm="1">
        <f t="array" ref="C421">INDEX(BOM!$B$2:$B$21,MATCH(B421,BOM!$A$2:$A$21,0)+MOD(ROW()-2,4))</f>
        <v>M008</v>
      </c>
      <c r="D421" cm="1">
        <f t="array" ref="D421">INDEX(Weekly_Inventory_Flow!$I$2:$I$261,INT((ROW()-2)/4)+1)</f>
        <v>9100</v>
      </c>
      <c r="E421" cm="1">
        <f t="array" ref="E421">INDEX(BOM!$C$2:$C$21,MATCH(B421,BOM!$A$2:$A$21,0)+MOD(ROW()-2,4))</f>
        <v>1</v>
      </c>
      <c r="F421">
        <f t="shared" si="6"/>
        <v>9100</v>
      </c>
    </row>
    <row r="422" spans="1:6">
      <c r="A422" s="1" cm="1">
        <f t="array" ref="A422">INDEX(Weekly_Inventory_Flow!$A$2:$A$261,INT((ROW()-2)/4)+1)</f>
        <v>46174</v>
      </c>
      <c r="B422" t="str" cm="1">
        <f t="array" ref="B422">INDEX(Weekly_Inventory_Flow!$B$2:$B$261,INT((ROW()-2)/4)+1)</f>
        <v>P001</v>
      </c>
      <c r="C422" t="str" cm="1">
        <f t="array" ref="C422">INDEX(BOM!$B$2:$B$21,MATCH(B422,BOM!$A$2:$A$21,0)+MOD(ROW()-2,4))</f>
        <v>M001</v>
      </c>
      <c r="D422" cm="1">
        <f t="array" ref="D422">INDEX(Weekly_Inventory_Flow!$I$2:$I$261,INT((ROW()-2)/4)+1)</f>
        <v>14600</v>
      </c>
      <c r="E422" cm="1">
        <f t="array" ref="E422">INDEX(BOM!$C$2:$C$21,MATCH(B422,BOM!$A$2:$A$21,0)+MOD(ROW()-2,4))</f>
        <v>0.35</v>
      </c>
      <c r="F422">
        <f t="shared" si="6"/>
        <v>5110</v>
      </c>
    </row>
    <row r="423" spans="1:6">
      <c r="A423" s="1" cm="1">
        <f t="array" ref="A423">INDEX(Weekly_Inventory_Flow!$A$2:$A$261,INT((ROW()-2)/4)+1)</f>
        <v>46174</v>
      </c>
      <c r="B423" t="str" cm="1">
        <f t="array" ref="B423">INDEX(Weekly_Inventory_Flow!$B$2:$B$261,INT((ROW()-2)/4)+1)</f>
        <v>P001</v>
      </c>
      <c r="C423" t="str" cm="1">
        <f t="array" ref="C423">INDEX(BOM!$B$2:$B$21,MATCH(B423,BOM!$A$2:$A$21,0)+MOD(ROW()-2,4))</f>
        <v>M006</v>
      </c>
      <c r="D423" cm="1">
        <f t="array" ref="D423">INDEX(Weekly_Inventory_Flow!$I$2:$I$261,INT((ROW()-2)/4)+1)</f>
        <v>14600</v>
      </c>
      <c r="E423" cm="1">
        <f t="array" ref="E423">INDEX(BOM!$C$2:$C$21,MATCH(B423,BOM!$A$2:$A$21,0)+MOD(ROW()-2,4))</f>
        <v>0.01</v>
      </c>
      <c r="F423">
        <f t="shared" si="6"/>
        <v>146</v>
      </c>
    </row>
    <row r="424" spans="1:6">
      <c r="A424" s="1" cm="1">
        <f t="array" ref="A424">INDEX(Weekly_Inventory_Flow!$A$2:$A$261,INT((ROW()-2)/4)+1)</f>
        <v>46174</v>
      </c>
      <c r="B424" t="str" cm="1">
        <f t="array" ref="B424">INDEX(Weekly_Inventory_Flow!$B$2:$B$261,INT((ROW()-2)/4)+1)</f>
        <v>P001</v>
      </c>
      <c r="C424" t="str" cm="1">
        <f t="array" ref="C424">INDEX(BOM!$B$2:$B$21,MATCH(B424,BOM!$A$2:$A$21,0)+MOD(ROW()-2,4))</f>
        <v>M007</v>
      </c>
      <c r="D424" cm="1">
        <f t="array" ref="D424">INDEX(Weekly_Inventory_Flow!$I$2:$I$261,INT((ROW()-2)/4)+1)</f>
        <v>14600</v>
      </c>
      <c r="E424" cm="1">
        <f t="array" ref="E424">INDEX(BOM!$C$2:$C$21,MATCH(B424,BOM!$A$2:$A$21,0)+MOD(ROW()-2,4))</f>
        <v>1</v>
      </c>
      <c r="F424">
        <f t="shared" si="6"/>
        <v>14600</v>
      </c>
    </row>
    <row r="425" spans="1:6">
      <c r="A425" s="1" cm="1">
        <f t="array" ref="A425">INDEX(Weekly_Inventory_Flow!$A$2:$A$261,INT((ROW()-2)/4)+1)</f>
        <v>46174</v>
      </c>
      <c r="B425" t="str" cm="1">
        <f t="array" ref="B425">INDEX(Weekly_Inventory_Flow!$B$2:$B$261,INT((ROW()-2)/4)+1)</f>
        <v>P001</v>
      </c>
      <c r="C425" t="str" cm="1">
        <f t="array" ref="C425">INDEX(BOM!$B$2:$B$21,MATCH(B425,BOM!$A$2:$A$21,0)+MOD(ROW()-2,4))</f>
        <v>M008</v>
      </c>
      <c r="D425" cm="1">
        <f t="array" ref="D425">INDEX(Weekly_Inventory_Flow!$I$2:$I$261,INT((ROW()-2)/4)+1)</f>
        <v>14600</v>
      </c>
      <c r="E425" cm="1">
        <f t="array" ref="E425">INDEX(BOM!$C$2:$C$21,MATCH(B425,BOM!$A$2:$A$21,0)+MOD(ROW()-2,4))</f>
        <v>1</v>
      </c>
      <c r="F425">
        <f t="shared" si="6"/>
        <v>14600</v>
      </c>
    </row>
    <row r="426" spans="1:6">
      <c r="A426" s="1" cm="1">
        <f t="array" ref="A426">INDEX(Weekly_Inventory_Flow!$A$2:$A$261,INT((ROW()-2)/4)+1)</f>
        <v>46174</v>
      </c>
      <c r="B426" t="str" cm="1">
        <f t="array" ref="B426">INDEX(Weekly_Inventory_Flow!$B$2:$B$261,INT((ROW()-2)/4)+1)</f>
        <v>P002</v>
      </c>
      <c r="C426" t="str" cm="1">
        <f t="array" ref="C426">INDEX(BOM!$B$2:$B$21,MATCH(B426,BOM!$A$2:$A$21,0)+MOD(ROW()-2,4))</f>
        <v>M002</v>
      </c>
      <c r="D426" cm="1">
        <f t="array" ref="D426">INDEX(Weekly_Inventory_Flow!$I$2:$I$261,INT((ROW()-2)/4)+1)</f>
        <v>12100</v>
      </c>
      <c r="E426" cm="1">
        <f t="array" ref="E426">INDEX(BOM!$C$2:$C$21,MATCH(B426,BOM!$A$2:$A$21,0)+MOD(ROW()-2,4))</f>
        <v>0.3</v>
      </c>
      <c r="F426">
        <f t="shared" si="6"/>
        <v>3630</v>
      </c>
    </row>
    <row r="427" spans="1:6">
      <c r="A427" s="1" cm="1">
        <f t="array" ref="A427">INDEX(Weekly_Inventory_Flow!$A$2:$A$261,INT((ROW()-2)/4)+1)</f>
        <v>46174</v>
      </c>
      <c r="B427" t="str" cm="1">
        <f t="array" ref="B427">INDEX(Weekly_Inventory_Flow!$B$2:$B$261,INT((ROW()-2)/4)+1)</f>
        <v>P002</v>
      </c>
      <c r="C427" t="str" cm="1">
        <f t="array" ref="C427">INDEX(BOM!$B$2:$B$21,MATCH(B427,BOM!$A$2:$A$21,0)+MOD(ROW()-2,4))</f>
        <v>M006</v>
      </c>
      <c r="D427" cm="1">
        <f t="array" ref="D427">INDEX(Weekly_Inventory_Flow!$I$2:$I$261,INT((ROW()-2)/4)+1)</f>
        <v>12100</v>
      </c>
      <c r="E427" cm="1">
        <f t="array" ref="E427">INDEX(BOM!$C$2:$C$21,MATCH(B427,BOM!$A$2:$A$21,0)+MOD(ROW()-2,4))</f>
        <v>8.0000000000000002E-3</v>
      </c>
      <c r="F427">
        <f t="shared" si="6"/>
        <v>96.8</v>
      </c>
    </row>
    <row r="428" spans="1:6">
      <c r="A428" s="1" cm="1">
        <f t="array" ref="A428">INDEX(Weekly_Inventory_Flow!$A$2:$A$261,INT((ROW()-2)/4)+1)</f>
        <v>46174</v>
      </c>
      <c r="B428" t="str" cm="1">
        <f t="array" ref="B428">INDEX(Weekly_Inventory_Flow!$B$2:$B$261,INT((ROW()-2)/4)+1)</f>
        <v>P002</v>
      </c>
      <c r="C428" t="str" cm="1">
        <f t="array" ref="C428">INDEX(BOM!$B$2:$B$21,MATCH(B428,BOM!$A$2:$A$21,0)+MOD(ROW()-2,4))</f>
        <v>M007</v>
      </c>
      <c r="D428" cm="1">
        <f t="array" ref="D428">INDEX(Weekly_Inventory_Flow!$I$2:$I$261,INT((ROW()-2)/4)+1)</f>
        <v>12100</v>
      </c>
      <c r="E428" cm="1">
        <f t="array" ref="E428">INDEX(BOM!$C$2:$C$21,MATCH(B428,BOM!$A$2:$A$21,0)+MOD(ROW()-2,4))</f>
        <v>1</v>
      </c>
      <c r="F428">
        <f t="shared" si="6"/>
        <v>12100</v>
      </c>
    </row>
    <row r="429" spans="1:6">
      <c r="A429" s="1" cm="1">
        <f t="array" ref="A429">INDEX(Weekly_Inventory_Flow!$A$2:$A$261,INT((ROW()-2)/4)+1)</f>
        <v>46174</v>
      </c>
      <c r="B429" t="str" cm="1">
        <f t="array" ref="B429">INDEX(Weekly_Inventory_Flow!$B$2:$B$261,INT((ROW()-2)/4)+1)</f>
        <v>P002</v>
      </c>
      <c r="C429" t="str" cm="1">
        <f t="array" ref="C429">INDEX(BOM!$B$2:$B$21,MATCH(B429,BOM!$A$2:$A$21,0)+MOD(ROW()-2,4))</f>
        <v>M008</v>
      </c>
      <c r="D429" cm="1">
        <f t="array" ref="D429">INDEX(Weekly_Inventory_Flow!$I$2:$I$261,INT((ROW()-2)/4)+1)</f>
        <v>12100</v>
      </c>
      <c r="E429" cm="1">
        <f t="array" ref="E429">INDEX(BOM!$C$2:$C$21,MATCH(B429,BOM!$A$2:$A$21,0)+MOD(ROW()-2,4))</f>
        <v>1</v>
      </c>
      <c r="F429">
        <f t="shared" si="6"/>
        <v>12100</v>
      </c>
    </row>
    <row r="430" spans="1:6">
      <c r="A430" s="1" cm="1">
        <f t="array" ref="A430">INDEX(Weekly_Inventory_Flow!$A$2:$A$261,INT((ROW()-2)/4)+1)</f>
        <v>46174</v>
      </c>
      <c r="B430" t="str" cm="1">
        <f t="array" ref="B430">INDEX(Weekly_Inventory_Flow!$B$2:$B$261,INT((ROW()-2)/4)+1)</f>
        <v>P003</v>
      </c>
      <c r="C430" t="str" cm="1">
        <f t="array" ref="C430">INDEX(BOM!$B$2:$B$21,MATCH(B430,BOM!$A$2:$A$21,0)+MOD(ROW()-2,4))</f>
        <v>M003</v>
      </c>
      <c r="D430" cm="1">
        <f t="array" ref="D430">INDEX(Weekly_Inventory_Flow!$I$2:$I$261,INT((ROW()-2)/4)+1)</f>
        <v>11000</v>
      </c>
      <c r="E430" cm="1">
        <f t="array" ref="E430">INDEX(BOM!$C$2:$C$21,MATCH(B430,BOM!$A$2:$A$21,0)+MOD(ROW()-2,4))</f>
        <v>0.25</v>
      </c>
      <c r="F430">
        <f t="shared" si="6"/>
        <v>2750</v>
      </c>
    </row>
    <row r="431" spans="1:6">
      <c r="A431" s="1" cm="1">
        <f t="array" ref="A431">INDEX(Weekly_Inventory_Flow!$A$2:$A$261,INT((ROW()-2)/4)+1)</f>
        <v>46174</v>
      </c>
      <c r="B431" t="str" cm="1">
        <f t="array" ref="B431">INDEX(Weekly_Inventory_Flow!$B$2:$B$261,INT((ROW()-2)/4)+1)</f>
        <v>P003</v>
      </c>
      <c r="C431" t="str" cm="1">
        <f t="array" ref="C431">INDEX(BOM!$B$2:$B$21,MATCH(B431,BOM!$A$2:$A$21,0)+MOD(ROW()-2,4))</f>
        <v>M006</v>
      </c>
      <c r="D431" cm="1">
        <f t="array" ref="D431">INDEX(Weekly_Inventory_Flow!$I$2:$I$261,INT((ROW()-2)/4)+1)</f>
        <v>11000</v>
      </c>
      <c r="E431" cm="1">
        <f t="array" ref="E431">INDEX(BOM!$C$2:$C$21,MATCH(B431,BOM!$A$2:$A$21,0)+MOD(ROW()-2,4))</f>
        <v>6.0000000000000001E-3</v>
      </c>
      <c r="F431">
        <f t="shared" si="6"/>
        <v>66</v>
      </c>
    </row>
    <row r="432" spans="1:6">
      <c r="A432" s="1" cm="1">
        <f t="array" ref="A432">INDEX(Weekly_Inventory_Flow!$A$2:$A$261,INT((ROW()-2)/4)+1)</f>
        <v>46174</v>
      </c>
      <c r="B432" t="str" cm="1">
        <f t="array" ref="B432">INDEX(Weekly_Inventory_Flow!$B$2:$B$261,INT((ROW()-2)/4)+1)</f>
        <v>P003</v>
      </c>
      <c r="C432" t="str" cm="1">
        <f t="array" ref="C432">INDEX(BOM!$B$2:$B$21,MATCH(B432,BOM!$A$2:$A$21,0)+MOD(ROW()-2,4))</f>
        <v>M007</v>
      </c>
      <c r="D432" cm="1">
        <f t="array" ref="D432">INDEX(Weekly_Inventory_Flow!$I$2:$I$261,INT((ROW()-2)/4)+1)</f>
        <v>11000</v>
      </c>
      <c r="E432" cm="1">
        <f t="array" ref="E432">INDEX(BOM!$C$2:$C$21,MATCH(B432,BOM!$A$2:$A$21,0)+MOD(ROW()-2,4))</f>
        <v>1</v>
      </c>
      <c r="F432">
        <f t="shared" si="6"/>
        <v>11000</v>
      </c>
    </row>
    <row r="433" spans="1:6">
      <c r="A433" s="1" cm="1">
        <f t="array" ref="A433">INDEX(Weekly_Inventory_Flow!$A$2:$A$261,INT((ROW()-2)/4)+1)</f>
        <v>46174</v>
      </c>
      <c r="B433" t="str" cm="1">
        <f t="array" ref="B433">INDEX(Weekly_Inventory_Flow!$B$2:$B$261,INT((ROW()-2)/4)+1)</f>
        <v>P003</v>
      </c>
      <c r="C433" t="str" cm="1">
        <f t="array" ref="C433">INDEX(BOM!$B$2:$B$21,MATCH(B433,BOM!$A$2:$A$21,0)+MOD(ROW()-2,4))</f>
        <v>M008</v>
      </c>
      <c r="D433" cm="1">
        <f t="array" ref="D433">INDEX(Weekly_Inventory_Flow!$I$2:$I$261,INT((ROW()-2)/4)+1)</f>
        <v>11000</v>
      </c>
      <c r="E433" cm="1">
        <f t="array" ref="E433">INDEX(BOM!$C$2:$C$21,MATCH(B433,BOM!$A$2:$A$21,0)+MOD(ROW()-2,4))</f>
        <v>1</v>
      </c>
      <c r="F433">
        <f t="shared" si="6"/>
        <v>11000</v>
      </c>
    </row>
    <row r="434" spans="1:6">
      <c r="A434" s="1" cm="1">
        <f t="array" ref="A434">INDEX(Weekly_Inventory_Flow!$A$2:$A$261,INT((ROW()-2)/4)+1)</f>
        <v>46174</v>
      </c>
      <c r="B434" t="str" cm="1">
        <f t="array" ref="B434">INDEX(Weekly_Inventory_Flow!$B$2:$B$261,INT((ROW()-2)/4)+1)</f>
        <v>P004</v>
      </c>
      <c r="C434" t="str" cm="1">
        <f t="array" ref="C434">INDEX(BOM!$B$2:$B$21,MATCH(B434,BOM!$A$2:$A$21,0)+MOD(ROW()-2,4))</f>
        <v>M004</v>
      </c>
      <c r="D434" cm="1">
        <f t="array" ref="D434">INDEX(Weekly_Inventory_Flow!$I$2:$I$261,INT((ROW()-2)/4)+1)</f>
        <v>12300</v>
      </c>
      <c r="E434" cm="1">
        <f t="array" ref="E434">INDEX(BOM!$C$2:$C$21,MATCH(B434,BOM!$A$2:$A$21,0)+MOD(ROW()-2,4))</f>
        <v>0.34</v>
      </c>
      <c r="F434">
        <f t="shared" si="6"/>
        <v>4182</v>
      </c>
    </row>
    <row r="435" spans="1:6">
      <c r="A435" s="1" cm="1">
        <f t="array" ref="A435">INDEX(Weekly_Inventory_Flow!$A$2:$A$261,INT((ROW()-2)/4)+1)</f>
        <v>46174</v>
      </c>
      <c r="B435" t="str" cm="1">
        <f t="array" ref="B435">INDEX(Weekly_Inventory_Flow!$B$2:$B$261,INT((ROW()-2)/4)+1)</f>
        <v>P004</v>
      </c>
      <c r="C435" t="str" cm="1">
        <f t="array" ref="C435">INDEX(BOM!$B$2:$B$21,MATCH(B435,BOM!$A$2:$A$21,0)+MOD(ROW()-2,4))</f>
        <v>M006</v>
      </c>
      <c r="D435" cm="1">
        <f t="array" ref="D435">INDEX(Weekly_Inventory_Flow!$I$2:$I$261,INT((ROW()-2)/4)+1)</f>
        <v>12300</v>
      </c>
      <c r="E435" cm="1">
        <f t="array" ref="E435">INDEX(BOM!$C$2:$C$21,MATCH(B435,BOM!$A$2:$A$21,0)+MOD(ROW()-2,4))</f>
        <v>8.9999999999999993E-3</v>
      </c>
      <c r="F435">
        <f t="shared" si="6"/>
        <v>110.69999999999999</v>
      </c>
    </row>
    <row r="436" spans="1:6">
      <c r="A436" s="1" cm="1">
        <f t="array" ref="A436">INDEX(Weekly_Inventory_Flow!$A$2:$A$261,INT((ROW()-2)/4)+1)</f>
        <v>46174</v>
      </c>
      <c r="B436" t="str" cm="1">
        <f t="array" ref="B436">INDEX(Weekly_Inventory_Flow!$B$2:$B$261,INT((ROW()-2)/4)+1)</f>
        <v>P004</v>
      </c>
      <c r="C436" t="str" cm="1">
        <f t="array" ref="C436">INDEX(BOM!$B$2:$B$21,MATCH(B436,BOM!$A$2:$A$21,0)+MOD(ROW()-2,4))</f>
        <v>M007</v>
      </c>
      <c r="D436" cm="1">
        <f t="array" ref="D436">INDEX(Weekly_Inventory_Flow!$I$2:$I$261,INT((ROW()-2)/4)+1)</f>
        <v>12300</v>
      </c>
      <c r="E436" cm="1">
        <f t="array" ref="E436">INDEX(BOM!$C$2:$C$21,MATCH(B436,BOM!$A$2:$A$21,0)+MOD(ROW()-2,4))</f>
        <v>1</v>
      </c>
      <c r="F436">
        <f t="shared" si="6"/>
        <v>12300</v>
      </c>
    </row>
    <row r="437" spans="1:6">
      <c r="A437" s="1" cm="1">
        <f t="array" ref="A437">INDEX(Weekly_Inventory_Flow!$A$2:$A$261,INT((ROW()-2)/4)+1)</f>
        <v>46174</v>
      </c>
      <c r="B437" t="str" cm="1">
        <f t="array" ref="B437">INDEX(Weekly_Inventory_Flow!$B$2:$B$261,INT((ROW()-2)/4)+1)</f>
        <v>P004</v>
      </c>
      <c r="C437" t="str" cm="1">
        <f t="array" ref="C437">INDEX(BOM!$B$2:$B$21,MATCH(B437,BOM!$A$2:$A$21,0)+MOD(ROW()-2,4))</f>
        <v>M008</v>
      </c>
      <c r="D437" cm="1">
        <f t="array" ref="D437">INDEX(Weekly_Inventory_Flow!$I$2:$I$261,INT((ROW()-2)/4)+1)</f>
        <v>12300</v>
      </c>
      <c r="E437" cm="1">
        <f t="array" ref="E437">INDEX(BOM!$C$2:$C$21,MATCH(B437,BOM!$A$2:$A$21,0)+MOD(ROW()-2,4))</f>
        <v>1</v>
      </c>
      <c r="F437">
        <f t="shared" si="6"/>
        <v>12300</v>
      </c>
    </row>
    <row r="438" spans="1:6">
      <c r="A438" s="1" cm="1">
        <f t="array" ref="A438">INDEX(Weekly_Inventory_Flow!$A$2:$A$261,INT((ROW()-2)/4)+1)</f>
        <v>46174</v>
      </c>
      <c r="B438" t="str" cm="1">
        <f t="array" ref="B438">INDEX(Weekly_Inventory_Flow!$B$2:$B$261,INT((ROW()-2)/4)+1)</f>
        <v>P005</v>
      </c>
      <c r="C438" t="str" cm="1">
        <f t="array" ref="C438">INDEX(BOM!$B$2:$B$21,MATCH(B438,BOM!$A$2:$A$21,0)+MOD(ROW()-2,4))</f>
        <v>M005</v>
      </c>
      <c r="D438" cm="1">
        <f t="array" ref="D438">INDEX(Weekly_Inventory_Flow!$I$2:$I$261,INT((ROW()-2)/4)+1)</f>
        <v>8800</v>
      </c>
      <c r="E438" cm="1">
        <f t="array" ref="E438">INDEX(BOM!$C$2:$C$21,MATCH(B438,BOM!$A$2:$A$21,0)+MOD(ROW()-2,4))</f>
        <v>0.52</v>
      </c>
      <c r="F438">
        <f t="shared" si="6"/>
        <v>4576</v>
      </c>
    </row>
    <row r="439" spans="1:6">
      <c r="A439" s="1" cm="1">
        <f t="array" ref="A439">INDEX(Weekly_Inventory_Flow!$A$2:$A$261,INT((ROW()-2)/4)+1)</f>
        <v>46174</v>
      </c>
      <c r="B439" t="str" cm="1">
        <f t="array" ref="B439">INDEX(Weekly_Inventory_Flow!$B$2:$B$261,INT((ROW()-2)/4)+1)</f>
        <v>P005</v>
      </c>
      <c r="C439" t="str" cm="1">
        <f t="array" ref="C439">INDEX(BOM!$B$2:$B$21,MATCH(B439,BOM!$A$2:$A$21,0)+MOD(ROW()-2,4))</f>
        <v>M006</v>
      </c>
      <c r="D439" cm="1">
        <f t="array" ref="D439">INDEX(Weekly_Inventory_Flow!$I$2:$I$261,INT((ROW()-2)/4)+1)</f>
        <v>8800</v>
      </c>
      <c r="E439" cm="1">
        <f t="array" ref="E439">INDEX(BOM!$C$2:$C$21,MATCH(B439,BOM!$A$2:$A$21,0)+MOD(ROW()-2,4))</f>
        <v>1.2E-2</v>
      </c>
      <c r="F439">
        <f t="shared" si="6"/>
        <v>105.60000000000001</v>
      </c>
    </row>
    <row r="440" spans="1:6">
      <c r="A440" s="1" cm="1">
        <f t="array" ref="A440">INDEX(Weekly_Inventory_Flow!$A$2:$A$261,INT((ROW()-2)/4)+1)</f>
        <v>46174</v>
      </c>
      <c r="B440" t="str" cm="1">
        <f t="array" ref="B440">INDEX(Weekly_Inventory_Flow!$B$2:$B$261,INT((ROW()-2)/4)+1)</f>
        <v>P005</v>
      </c>
      <c r="C440" t="str" cm="1">
        <f t="array" ref="C440">INDEX(BOM!$B$2:$B$21,MATCH(B440,BOM!$A$2:$A$21,0)+MOD(ROW()-2,4))</f>
        <v>M007</v>
      </c>
      <c r="D440" cm="1">
        <f t="array" ref="D440">INDEX(Weekly_Inventory_Flow!$I$2:$I$261,INT((ROW()-2)/4)+1)</f>
        <v>8800</v>
      </c>
      <c r="E440" cm="1">
        <f t="array" ref="E440">INDEX(BOM!$C$2:$C$21,MATCH(B440,BOM!$A$2:$A$21,0)+MOD(ROW()-2,4))</f>
        <v>1</v>
      </c>
      <c r="F440">
        <f t="shared" si="6"/>
        <v>8800</v>
      </c>
    </row>
    <row r="441" spans="1:6">
      <c r="A441" s="1" cm="1">
        <f t="array" ref="A441">INDEX(Weekly_Inventory_Flow!$A$2:$A$261,INT((ROW()-2)/4)+1)</f>
        <v>46174</v>
      </c>
      <c r="B441" t="str" cm="1">
        <f t="array" ref="B441">INDEX(Weekly_Inventory_Flow!$B$2:$B$261,INT((ROW()-2)/4)+1)</f>
        <v>P005</v>
      </c>
      <c r="C441" t="str" cm="1">
        <f t="array" ref="C441">INDEX(BOM!$B$2:$B$21,MATCH(B441,BOM!$A$2:$A$21,0)+MOD(ROW()-2,4))</f>
        <v>M008</v>
      </c>
      <c r="D441" cm="1">
        <f t="array" ref="D441">INDEX(Weekly_Inventory_Flow!$I$2:$I$261,INT((ROW()-2)/4)+1)</f>
        <v>8800</v>
      </c>
      <c r="E441" cm="1">
        <f t="array" ref="E441">INDEX(BOM!$C$2:$C$21,MATCH(B441,BOM!$A$2:$A$21,0)+MOD(ROW()-2,4))</f>
        <v>1</v>
      </c>
      <c r="F441">
        <f t="shared" si="6"/>
        <v>8800</v>
      </c>
    </row>
    <row r="442" spans="1:6">
      <c r="A442" s="1" cm="1">
        <f t="array" ref="A442">INDEX(Weekly_Inventory_Flow!$A$2:$A$261,INT((ROW()-2)/4)+1)</f>
        <v>46181</v>
      </c>
      <c r="B442" t="str" cm="1">
        <f t="array" ref="B442">INDEX(Weekly_Inventory_Flow!$B$2:$B$261,INT((ROW()-2)/4)+1)</f>
        <v>P001</v>
      </c>
      <c r="C442" t="str" cm="1">
        <f t="array" ref="C442">INDEX(BOM!$B$2:$B$21,MATCH(B442,BOM!$A$2:$A$21,0)+MOD(ROW()-2,4))</f>
        <v>M001</v>
      </c>
      <c r="D442" cm="1">
        <f t="array" ref="D442">INDEX(Weekly_Inventory_Flow!$I$2:$I$261,INT((ROW()-2)/4)+1)</f>
        <v>15100</v>
      </c>
      <c r="E442" cm="1">
        <f t="array" ref="E442">INDEX(BOM!$C$2:$C$21,MATCH(B442,BOM!$A$2:$A$21,0)+MOD(ROW()-2,4))</f>
        <v>0.35</v>
      </c>
      <c r="F442">
        <f t="shared" si="6"/>
        <v>5285</v>
      </c>
    </row>
    <row r="443" spans="1:6">
      <c r="A443" s="1" cm="1">
        <f t="array" ref="A443">INDEX(Weekly_Inventory_Flow!$A$2:$A$261,INT((ROW()-2)/4)+1)</f>
        <v>46181</v>
      </c>
      <c r="B443" t="str" cm="1">
        <f t="array" ref="B443">INDEX(Weekly_Inventory_Flow!$B$2:$B$261,INT((ROW()-2)/4)+1)</f>
        <v>P001</v>
      </c>
      <c r="C443" t="str" cm="1">
        <f t="array" ref="C443">INDEX(BOM!$B$2:$B$21,MATCH(B443,BOM!$A$2:$A$21,0)+MOD(ROW()-2,4))</f>
        <v>M006</v>
      </c>
      <c r="D443" cm="1">
        <f t="array" ref="D443">INDEX(Weekly_Inventory_Flow!$I$2:$I$261,INT((ROW()-2)/4)+1)</f>
        <v>15100</v>
      </c>
      <c r="E443" cm="1">
        <f t="array" ref="E443">INDEX(BOM!$C$2:$C$21,MATCH(B443,BOM!$A$2:$A$21,0)+MOD(ROW()-2,4))</f>
        <v>0.01</v>
      </c>
      <c r="F443">
        <f t="shared" si="6"/>
        <v>151</v>
      </c>
    </row>
    <row r="444" spans="1:6">
      <c r="A444" s="1" cm="1">
        <f t="array" ref="A444">INDEX(Weekly_Inventory_Flow!$A$2:$A$261,INT((ROW()-2)/4)+1)</f>
        <v>46181</v>
      </c>
      <c r="B444" t="str" cm="1">
        <f t="array" ref="B444">INDEX(Weekly_Inventory_Flow!$B$2:$B$261,INT((ROW()-2)/4)+1)</f>
        <v>P001</v>
      </c>
      <c r="C444" t="str" cm="1">
        <f t="array" ref="C444">INDEX(BOM!$B$2:$B$21,MATCH(B444,BOM!$A$2:$A$21,0)+MOD(ROW()-2,4))</f>
        <v>M007</v>
      </c>
      <c r="D444" cm="1">
        <f t="array" ref="D444">INDEX(Weekly_Inventory_Flow!$I$2:$I$261,INT((ROW()-2)/4)+1)</f>
        <v>15100</v>
      </c>
      <c r="E444" cm="1">
        <f t="array" ref="E444">INDEX(BOM!$C$2:$C$21,MATCH(B444,BOM!$A$2:$A$21,0)+MOD(ROW()-2,4))</f>
        <v>1</v>
      </c>
      <c r="F444">
        <f t="shared" si="6"/>
        <v>15100</v>
      </c>
    </row>
    <row r="445" spans="1:6">
      <c r="A445" s="1" cm="1">
        <f t="array" ref="A445">INDEX(Weekly_Inventory_Flow!$A$2:$A$261,INT((ROW()-2)/4)+1)</f>
        <v>46181</v>
      </c>
      <c r="B445" t="str" cm="1">
        <f t="array" ref="B445">INDEX(Weekly_Inventory_Flow!$B$2:$B$261,INT((ROW()-2)/4)+1)</f>
        <v>P001</v>
      </c>
      <c r="C445" t="str" cm="1">
        <f t="array" ref="C445">INDEX(BOM!$B$2:$B$21,MATCH(B445,BOM!$A$2:$A$21,0)+MOD(ROW()-2,4))</f>
        <v>M008</v>
      </c>
      <c r="D445" cm="1">
        <f t="array" ref="D445">INDEX(Weekly_Inventory_Flow!$I$2:$I$261,INT((ROW()-2)/4)+1)</f>
        <v>15100</v>
      </c>
      <c r="E445" cm="1">
        <f t="array" ref="E445">INDEX(BOM!$C$2:$C$21,MATCH(B445,BOM!$A$2:$A$21,0)+MOD(ROW()-2,4))</f>
        <v>1</v>
      </c>
      <c r="F445">
        <f t="shared" si="6"/>
        <v>15100</v>
      </c>
    </row>
    <row r="446" spans="1:6">
      <c r="A446" s="1" cm="1">
        <f t="array" ref="A446">INDEX(Weekly_Inventory_Flow!$A$2:$A$261,INT((ROW()-2)/4)+1)</f>
        <v>46181</v>
      </c>
      <c r="B446" t="str" cm="1">
        <f t="array" ref="B446">INDEX(Weekly_Inventory_Flow!$B$2:$B$261,INT((ROW()-2)/4)+1)</f>
        <v>P002</v>
      </c>
      <c r="C446" t="str" cm="1">
        <f t="array" ref="C446">INDEX(BOM!$B$2:$B$21,MATCH(B446,BOM!$A$2:$A$21,0)+MOD(ROW()-2,4))</f>
        <v>M002</v>
      </c>
      <c r="D446" cm="1">
        <f t="array" ref="D446">INDEX(Weekly_Inventory_Flow!$I$2:$I$261,INT((ROW()-2)/4)+1)</f>
        <v>13300</v>
      </c>
      <c r="E446" cm="1">
        <f t="array" ref="E446">INDEX(BOM!$C$2:$C$21,MATCH(B446,BOM!$A$2:$A$21,0)+MOD(ROW()-2,4))</f>
        <v>0.3</v>
      </c>
      <c r="F446">
        <f t="shared" si="6"/>
        <v>3990</v>
      </c>
    </row>
    <row r="447" spans="1:6">
      <c r="A447" s="1" cm="1">
        <f t="array" ref="A447">INDEX(Weekly_Inventory_Flow!$A$2:$A$261,INT((ROW()-2)/4)+1)</f>
        <v>46181</v>
      </c>
      <c r="B447" t="str" cm="1">
        <f t="array" ref="B447">INDEX(Weekly_Inventory_Flow!$B$2:$B$261,INT((ROW()-2)/4)+1)</f>
        <v>P002</v>
      </c>
      <c r="C447" t="str" cm="1">
        <f t="array" ref="C447">INDEX(BOM!$B$2:$B$21,MATCH(B447,BOM!$A$2:$A$21,0)+MOD(ROW()-2,4))</f>
        <v>M006</v>
      </c>
      <c r="D447" cm="1">
        <f t="array" ref="D447">INDEX(Weekly_Inventory_Flow!$I$2:$I$261,INT((ROW()-2)/4)+1)</f>
        <v>13300</v>
      </c>
      <c r="E447" cm="1">
        <f t="array" ref="E447">INDEX(BOM!$C$2:$C$21,MATCH(B447,BOM!$A$2:$A$21,0)+MOD(ROW()-2,4))</f>
        <v>8.0000000000000002E-3</v>
      </c>
      <c r="F447">
        <f t="shared" si="6"/>
        <v>106.4</v>
      </c>
    </row>
    <row r="448" spans="1:6">
      <c r="A448" s="1" cm="1">
        <f t="array" ref="A448">INDEX(Weekly_Inventory_Flow!$A$2:$A$261,INT((ROW()-2)/4)+1)</f>
        <v>46181</v>
      </c>
      <c r="B448" t="str" cm="1">
        <f t="array" ref="B448">INDEX(Weekly_Inventory_Flow!$B$2:$B$261,INT((ROW()-2)/4)+1)</f>
        <v>P002</v>
      </c>
      <c r="C448" t="str" cm="1">
        <f t="array" ref="C448">INDEX(BOM!$B$2:$B$21,MATCH(B448,BOM!$A$2:$A$21,0)+MOD(ROW()-2,4))</f>
        <v>M007</v>
      </c>
      <c r="D448" cm="1">
        <f t="array" ref="D448">INDEX(Weekly_Inventory_Flow!$I$2:$I$261,INT((ROW()-2)/4)+1)</f>
        <v>13300</v>
      </c>
      <c r="E448" cm="1">
        <f t="array" ref="E448">INDEX(BOM!$C$2:$C$21,MATCH(B448,BOM!$A$2:$A$21,0)+MOD(ROW()-2,4))</f>
        <v>1</v>
      </c>
      <c r="F448">
        <f t="shared" si="6"/>
        <v>13300</v>
      </c>
    </row>
    <row r="449" spans="1:6">
      <c r="A449" s="1" cm="1">
        <f t="array" ref="A449">INDEX(Weekly_Inventory_Flow!$A$2:$A$261,INT((ROW()-2)/4)+1)</f>
        <v>46181</v>
      </c>
      <c r="B449" t="str" cm="1">
        <f t="array" ref="B449">INDEX(Weekly_Inventory_Flow!$B$2:$B$261,INT((ROW()-2)/4)+1)</f>
        <v>P002</v>
      </c>
      <c r="C449" t="str" cm="1">
        <f t="array" ref="C449">INDEX(BOM!$B$2:$B$21,MATCH(B449,BOM!$A$2:$A$21,0)+MOD(ROW()-2,4))</f>
        <v>M008</v>
      </c>
      <c r="D449" cm="1">
        <f t="array" ref="D449">INDEX(Weekly_Inventory_Flow!$I$2:$I$261,INT((ROW()-2)/4)+1)</f>
        <v>13300</v>
      </c>
      <c r="E449" cm="1">
        <f t="array" ref="E449">INDEX(BOM!$C$2:$C$21,MATCH(B449,BOM!$A$2:$A$21,0)+MOD(ROW()-2,4))</f>
        <v>1</v>
      </c>
      <c r="F449">
        <f t="shared" si="6"/>
        <v>13300</v>
      </c>
    </row>
    <row r="450" spans="1:6">
      <c r="A450" s="1" cm="1">
        <f t="array" ref="A450">INDEX(Weekly_Inventory_Flow!$A$2:$A$261,INT((ROW()-2)/4)+1)</f>
        <v>46181</v>
      </c>
      <c r="B450" t="str" cm="1">
        <f t="array" ref="B450">INDEX(Weekly_Inventory_Flow!$B$2:$B$261,INT((ROW()-2)/4)+1)</f>
        <v>P003</v>
      </c>
      <c r="C450" t="str" cm="1">
        <f t="array" ref="C450">INDEX(BOM!$B$2:$B$21,MATCH(B450,BOM!$A$2:$A$21,0)+MOD(ROW()-2,4))</f>
        <v>M003</v>
      </c>
      <c r="D450" cm="1">
        <f t="array" ref="D450">INDEX(Weekly_Inventory_Flow!$I$2:$I$261,INT((ROW()-2)/4)+1)</f>
        <v>10900</v>
      </c>
      <c r="E450" cm="1">
        <f t="array" ref="E450">INDEX(BOM!$C$2:$C$21,MATCH(B450,BOM!$A$2:$A$21,0)+MOD(ROW()-2,4))</f>
        <v>0.25</v>
      </c>
      <c r="F450">
        <f t="shared" si="6"/>
        <v>2725</v>
      </c>
    </row>
    <row r="451" spans="1:6">
      <c r="A451" s="1" cm="1">
        <f t="array" ref="A451">INDEX(Weekly_Inventory_Flow!$A$2:$A$261,INT((ROW()-2)/4)+1)</f>
        <v>46181</v>
      </c>
      <c r="B451" t="str" cm="1">
        <f t="array" ref="B451">INDEX(Weekly_Inventory_Flow!$B$2:$B$261,INT((ROW()-2)/4)+1)</f>
        <v>P003</v>
      </c>
      <c r="C451" t="str" cm="1">
        <f t="array" ref="C451">INDEX(BOM!$B$2:$B$21,MATCH(B451,BOM!$A$2:$A$21,0)+MOD(ROW()-2,4))</f>
        <v>M006</v>
      </c>
      <c r="D451" cm="1">
        <f t="array" ref="D451">INDEX(Weekly_Inventory_Flow!$I$2:$I$261,INT((ROW()-2)/4)+1)</f>
        <v>10900</v>
      </c>
      <c r="E451" cm="1">
        <f t="array" ref="E451">INDEX(BOM!$C$2:$C$21,MATCH(B451,BOM!$A$2:$A$21,0)+MOD(ROW()-2,4))</f>
        <v>6.0000000000000001E-3</v>
      </c>
      <c r="F451">
        <f t="shared" ref="F451:F514" si="7">D451*E451</f>
        <v>65.400000000000006</v>
      </c>
    </row>
    <row r="452" spans="1:6">
      <c r="A452" s="1" cm="1">
        <f t="array" ref="A452">INDEX(Weekly_Inventory_Flow!$A$2:$A$261,INT((ROW()-2)/4)+1)</f>
        <v>46181</v>
      </c>
      <c r="B452" t="str" cm="1">
        <f t="array" ref="B452">INDEX(Weekly_Inventory_Flow!$B$2:$B$261,INT((ROW()-2)/4)+1)</f>
        <v>P003</v>
      </c>
      <c r="C452" t="str" cm="1">
        <f t="array" ref="C452">INDEX(BOM!$B$2:$B$21,MATCH(B452,BOM!$A$2:$A$21,0)+MOD(ROW()-2,4))</f>
        <v>M007</v>
      </c>
      <c r="D452" cm="1">
        <f t="array" ref="D452">INDEX(Weekly_Inventory_Flow!$I$2:$I$261,INT((ROW()-2)/4)+1)</f>
        <v>10900</v>
      </c>
      <c r="E452" cm="1">
        <f t="array" ref="E452">INDEX(BOM!$C$2:$C$21,MATCH(B452,BOM!$A$2:$A$21,0)+MOD(ROW()-2,4))</f>
        <v>1</v>
      </c>
      <c r="F452">
        <f t="shared" si="7"/>
        <v>10900</v>
      </c>
    </row>
    <row r="453" spans="1:6">
      <c r="A453" s="1" cm="1">
        <f t="array" ref="A453">INDEX(Weekly_Inventory_Flow!$A$2:$A$261,INT((ROW()-2)/4)+1)</f>
        <v>46181</v>
      </c>
      <c r="B453" t="str" cm="1">
        <f t="array" ref="B453">INDEX(Weekly_Inventory_Flow!$B$2:$B$261,INT((ROW()-2)/4)+1)</f>
        <v>P003</v>
      </c>
      <c r="C453" t="str" cm="1">
        <f t="array" ref="C453">INDEX(BOM!$B$2:$B$21,MATCH(B453,BOM!$A$2:$A$21,0)+MOD(ROW()-2,4))</f>
        <v>M008</v>
      </c>
      <c r="D453" cm="1">
        <f t="array" ref="D453">INDEX(Weekly_Inventory_Flow!$I$2:$I$261,INT((ROW()-2)/4)+1)</f>
        <v>10900</v>
      </c>
      <c r="E453" cm="1">
        <f t="array" ref="E453">INDEX(BOM!$C$2:$C$21,MATCH(B453,BOM!$A$2:$A$21,0)+MOD(ROW()-2,4))</f>
        <v>1</v>
      </c>
      <c r="F453">
        <f t="shared" si="7"/>
        <v>10900</v>
      </c>
    </row>
    <row r="454" spans="1:6">
      <c r="A454" s="1" cm="1">
        <f t="array" ref="A454">INDEX(Weekly_Inventory_Flow!$A$2:$A$261,INT((ROW()-2)/4)+1)</f>
        <v>46181</v>
      </c>
      <c r="B454" t="str" cm="1">
        <f t="array" ref="B454">INDEX(Weekly_Inventory_Flow!$B$2:$B$261,INT((ROW()-2)/4)+1)</f>
        <v>P004</v>
      </c>
      <c r="C454" t="str" cm="1">
        <f t="array" ref="C454">INDEX(BOM!$B$2:$B$21,MATCH(B454,BOM!$A$2:$A$21,0)+MOD(ROW()-2,4))</f>
        <v>M004</v>
      </c>
      <c r="D454" cm="1">
        <f t="array" ref="D454">INDEX(Weekly_Inventory_Flow!$I$2:$I$261,INT((ROW()-2)/4)+1)</f>
        <v>12900</v>
      </c>
      <c r="E454" cm="1">
        <f t="array" ref="E454">INDEX(BOM!$C$2:$C$21,MATCH(B454,BOM!$A$2:$A$21,0)+MOD(ROW()-2,4))</f>
        <v>0.34</v>
      </c>
      <c r="F454">
        <f t="shared" si="7"/>
        <v>4386</v>
      </c>
    </row>
    <row r="455" spans="1:6">
      <c r="A455" s="1" cm="1">
        <f t="array" ref="A455">INDEX(Weekly_Inventory_Flow!$A$2:$A$261,INT((ROW()-2)/4)+1)</f>
        <v>46181</v>
      </c>
      <c r="B455" t="str" cm="1">
        <f t="array" ref="B455">INDEX(Weekly_Inventory_Flow!$B$2:$B$261,INT((ROW()-2)/4)+1)</f>
        <v>P004</v>
      </c>
      <c r="C455" t="str" cm="1">
        <f t="array" ref="C455">INDEX(BOM!$B$2:$B$21,MATCH(B455,BOM!$A$2:$A$21,0)+MOD(ROW()-2,4))</f>
        <v>M006</v>
      </c>
      <c r="D455" cm="1">
        <f t="array" ref="D455">INDEX(Weekly_Inventory_Flow!$I$2:$I$261,INT((ROW()-2)/4)+1)</f>
        <v>12900</v>
      </c>
      <c r="E455" cm="1">
        <f t="array" ref="E455">INDEX(BOM!$C$2:$C$21,MATCH(B455,BOM!$A$2:$A$21,0)+MOD(ROW()-2,4))</f>
        <v>8.9999999999999993E-3</v>
      </c>
      <c r="F455">
        <f t="shared" si="7"/>
        <v>116.1</v>
      </c>
    </row>
    <row r="456" spans="1:6">
      <c r="A456" s="1" cm="1">
        <f t="array" ref="A456">INDEX(Weekly_Inventory_Flow!$A$2:$A$261,INT((ROW()-2)/4)+1)</f>
        <v>46181</v>
      </c>
      <c r="B456" t="str" cm="1">
        <f t="array" ref="B456">INDEX(Weekly_Inventory_Flow!$B$2:$B$261,INT((ROW()-2)/4)+1)</f>
        <v>P004</v>
      </c>
      <c r="C456" t="str" cm="1">
        <f t="array" ref="C456">INDEX(BOM!$B$2:$B$21,MATCH(B456,BOM!$A$2:$A$21,0)+MOD(ROW()-2,4))</f>
        <v>M007</v>
      </c>
      <c r="D456" cm="1">
        <f t="array" ref="D456">INDEX(Weekly_Inventory_Flow!$I$2:$I$261,INT((ROW()-2)/4)+1)</f>
        <v>12900</v>
      </c>
      <c r="E456" cm="1">
        <f t="array" ref="E456">INDEX(BOM!$C$2:$C$21,MATCH(B456,BOM!$A$2:$A$21,0)+MOD(ROW()-2,4))</f>
        <v>1</v>
      </c>
      <c r="F456">
        <f t="shared" si="7"/>
        <v>12900</v>
      </c>
    </row>
    <row r="457" spans="1:6">
      <c r="A457" s="1" cm="1">
        <f t="array" ref="A457">INDEX(Weekly_Inventory_Flow!$A$2:$A$261,INT((ROW()-2)/4)+1)</f>
        <v>46181</v>
      </c>
      <c r="B457" t="str" cm="1">
        <f t="array" ref="B457">INDEX(Weekly_Inventory_Flow!$B$2:$B$261,INT((ROW()-2)/4)+1)</f>
        <v>P004</v>
      </c>
      <c r="C457" t="str" cm="1">
        <f t="array" ref="C457">INDEX(BOM!$B$2:$B$21,MATCH(B457,BOM!$A$2:$A$21,0)+MOD(ROW()-2,4))</f>
        <v>M008</v>
      </c>
      <c r="D457" cm="1">
        <f t="array" ref="D457">INDEX(Weekly_Inventory_Flow!$I$2:$I$261,INT((ROW()-2)/4)+1)</f>
        <v>12900</v>
      </c>
      <c r="E457" cm="1">
        <f t="array" ref="E457">INDEX(BOM!$C$2:$C$21,MATCH(B457,BOM!$A$2:$A$21,0)+MOD(ROW()-2,4))</f>
        <v>1</v>
      </c>
      <c r="F457">
        <f t="shared" si="7"/>
        <v>12900</v>
      </c>
    </row>
    <row r="458" spans="1:6">
      <c r="A458" s="1" cm="1">
        <f t="array" ref="A458">INDEX(Weekly_Inventory_Flow!$A$2:$A$261,INT((ROW()-2)/4)+1)</f>
        <v>46181</v>
      </c>
      <c r="B458" t="str" cm="1">
        <f t="array" ref="B458">INDEX(Weekly_Inventory_Flow!$B$2:$B$261,INT((ROW()-2)/4)+1)</f>
        <v>P005</v>
      </c>
      <c r="C458" t="str" cm="1">
        <f t="array" ref="C458">INDEX(BOM!$B$2:$B$21,MATCH(B458,BOM!$A$2:$A$21,0)+MOD(ROW()-2,4))</f>
        <v>M005</v>
      </c>
      <c r="D458" cm="1">
        <f t="array" ref="D458">INDEX(Weekly_Inventory_Flow!$I$2:$I$261,INT((ROW()-2)/4)+1)</f>
        <v>9200</v>
      </c>
      <c r="E458" cm="1">
        <f t="array" ref="E458">INDEX(BOM!$C$2:$C$21,MATCH(B458,BOM!$A$2:$A$21,0)+MOD(ROW()-2,4))</f>
        <v>0.52</v>
      </c>
      <c r="F458">
        <f t="shared" si="7"/>
        <v>4784</v>
      </c>
    </row>
    <row r="459" spans="1:6">
      <c r="A459" s="1" cm="1">
        <f t="array" ref="A459">INDEX(Weekly_Inventory_Flow!$A$2:$A$261,INT((ROW()-2)/4)+1)</f>
        <v>46181</v>
      </c>
      <c r="B459" t="str" cm="1">
        <f t="array" ref="B459">INDEX(Weekly_Inventory_Flow!$B$2:$B$261,INT((ROW()-2)/4)+1)</f>
        <v>P005</v>
      </c>
      <c r="C459" t="str" cm="1">
        <f t="array" ref="C459">INDEX(BOM!$B$2:$B$21,MATCH(B459,BOM!$A$2:$A$21,0)+MOD(ROW()-2,4))</f>
        <v>M006</v>
      </c>
      <c r="D459" cm="1">
        <f t="array" ref="D459">INDEX(Weekly_Inventory_Flow!$I$2:$I$261,INT((ROW()-2)/4)+1)</f>
        <v>9200</v>
      </c>
      <c r="E459" cm="1">
        <f t="array" ref="E459">INDEX(BOM!$C$2:$C$21,MATCH(B459,BOM!$A$2:$A$21,0)+MOD(ROW()-2,4))</f>
        <v>1.2E-2</v>
      </c>
      <c r="F459">
        <f t="shared" si="7"/>
        <v>110.4</v>
      </c>
    </row>
    <row r="460" spans="1:6">
      <c r="A460" s="1" cm="1">
        <f t="array" ref="A460">INDEX(Weekly_Inventory_Flow!$A$2:$A$261,INT((ROW()-2)/4)+1)</f>
        <v>46181</v>
      </c>
      <c r="B460" t="str" cm="1">
        <f t="array" ref="B460">INDEX(Weekly_Inventory_Flow!$B$2:$B$261,INT((ROW()-2)/4)+1)</f>
        <v>P005</v>
      </c>
      <c r="C460" t="str" cm="1">
        <f t="array" ref="C460">INDEX(BOM!$B$2:$B$21,MATCH(B460,BOM!$A$2:$A$21,0)+MOD(ROW()-2,4))</f>
        <v>M007</v>
      </c>
      <c r="D460" cm="1">
        <f t="array" ref="D460">INDEX(Weekly_Inventory_Flow!$I$2:$I$261,INT((ROW()-2)/4)+1)</f>
        <v>9200</v>
      </c>
      <c r="E460" cm="1">
        <f t="array" ref="E460">INDEX(BOM!$C$2:$C$21,MATCH(B460,BOM!$A$2:$A$21,0)+MOD(ROW()-2,4))</f>
        <v>1</v>
      </c>
      <c r="F460">
        <f t="shared" si="7"/>
        <v>9200</v>
      </c>
    </row>
    <row r="461" spans="1:6">
      <c r="A461" s="1" cm="1">
        <f t="array" ref="A461">INDEX(Weekly_Inventory_Flow!$A$2:$A$261,INT((ROW()-2)/4)+1)</f>
        <v>46181</v>
      </c>
      <c r="B461" t="str" cm="1">
        <f t="array" ref="B461">INDEX(Weekly_Inventory_Flow!$B$2:$B$261,INT((ROW()-2)/4)+1)</f>
        <v>P005</v>
      </c>
      <c r="C461" t="str" cm="1">
        <f t="array" ref="C461">INDEX(BOM!$B$2:$B$21,MATCH(B461,BOM!$A$2:$A$21,0)+MOD(ROW()-2,4))</f>
        <v>M008</v>
      </c>
      <c r="D461" cm="1">
        <f t="array" ref="D461">INDEX(Weekly_Inventory_Flow!$I$2:$I$261,INT((ROW()-2)/4)+1)</f>
        <v>9200</v>
      </c>
      <c r="E461" cm="1">
        <f t="array" ref="E461">INDEX(BOM!$C$2:$C$21,MATCH(B461,BOM!$A$2:$A$21,0)+MOD(ROW()-2,4))</f>
        <v>1</v>
      </c>
      <c r="F461">
        <f t="shared" si="7"/>
        <v>9200</v>
      </c>
    </row>
    <row r="462" spans="1:6">
      <c r="A462" s="1" cm="1">
        <f t="array" ref="A462">INDEX(Weekly_Inventory_Flow!$A$2:$A$261,INT((ROW()-2)/4)+1)</f>
        <v>46188</v>
      </c>
      <c r="B462" t="str" cm="1">
        <f t="array" ref="B462">INDEX(Weekly_Inventory_Flow!$B$2:$B$261,INT((ROW()-2)/4)+1)</f>
        <v>P001</v>
      </c>
      <c r="C462" t="str" cm="1">
        <f t="array" ref="C462">INDEX(BOM!$B$2:$B$21,MATCH(B462,BOM!$A$2:$A$21,0)+MOD(ROW()-2,4))</f>
        <v>M001</v>
      </c>
      <c r="D462" cm="1">
        <f t="array" ref="D462">INDEX(Weekly_Inventory_Flow!$I$2:$I$261,INT((ROW()-2)/4)+1)</f>
        <v>15200</v>
      </c>
      <c r="E462" cm="1">
        <f t="array" ref="E462">INDEX(BOM!$C$2:$C$21,MATCH(B462,BOM!$A$2:$A$21,0)+MOD(ROW()-2,4))</f>
        <v>0.35</v>
      </c>
      <c r="F462">
        <f t="shared" si="7"/>
        <v>5320</v>
      </c>
    </row>
    <row r="463" spans="1:6">
      <c r="A463" s="1" cm="1">
        <f t="array" ref="A463">INDEX(Weekly_Inventory_Flow!$A$2:$A$261,INT((ROW()-2)/4)+1)</f>
        <v>46188</v>
      </c>
      <c r="B463" t="str" cm="1">
        <f t="array" ref="B463">INDEX(Weekly_Inventory_Flow!$B$2:$B$261,INT((ROW()-2)/4)+1)</f>
        <v>P001</v>
      </c>
      <c r="C463" t="str" cm="1">
        <f t="array" ref="C463">INDEX(BOM!$B$2:$B$21,MATCH(B463,BOM!$A$2:$A$21,0)+MOD(ROW()-2,4))</f>
        <v>M006</v>
      </c>
      <c r="D463" cm="1">
        <f t="array" ref="D463">INDEX(Weekly_Inventory_Flow!$I$2:$I$261,INT((ROW()-2)/4)+1)</f>
        <v>15200</v>
      </c>
      <c r="E463" cm="1">
        <f t="array" ref="E463">INDEX(BOM!$C$2:$C$21,MATCH(B463,BOM!$A$2:$A$21,0)+MOD(ROW()-2,4))</f>
        <v>0.01</v>
      </c>
      <c r="F463">
        <f t="shared" si="7"/>
        <v>152</v>
      </c>
    </row>
    <row r="464" spans="1:6">
      <c r="A464" s="1" cm="1">
        <f t="array" ref="A464">INDEX(Weekly_Inventory_Flow!$A$2:$A$261,INT((ROW()-2)/4)+1)</f>
        <v>46188</v>
      </c>
      <c r="B464" t="str" cm="1">
        <f t="array" ref="B464">INDEX(Weekly_Inventory_Flow!$B$2:$B$261,INT((ROW()-2)/4)+1)</f>
        <v>P001</v>
      </c>
      <c r="C464" t="str" cm="1">
        <f t="array" ref="C464">INDEX(BOM!$B$2:$B$21,MATCH(B464,BOM!$A$2:$A$21,0)+MOD(ROW()-2,4))</f>
        <v>M007</v>
      </c>
      <c r="D464" cm="1">
        <f t="array" ref="D464">INDEX(Weekly_Inventory_Flow!$I$2:$I$261,INT((ROW()-2)/4)+1)</f>
        <v>15200</v>
      </c>
      <c r="E464" cm="1">
        <f t="array" ref="E464">INDEX(BOM!$C$2:$C$21,MATCH(B464,BOM!$A$2:$A$21,0)+MOD(ROW()-2,4))</f>
        <v>1</v>
      </c>
      <c r="F464">
        <f t="shared" si="7"/>
        <v>15200</v>
      </c>
    </row>
    <row r="465" spans="1:6">
      <c r="A465" s="1" cm="1">
        <f t="array" ref="A465">INDEX(Weekly_Inventory_Flow!$A$2:$A$261,INT((ROW()-2)/4)+1)</f>
        <v>46188</v>
      </c>
      <c r="B465" t="str" cm="1">
        <f t="array" ref="B465">INDEX(Weekly_Inventory_Flow!$B$2:$B$261,INT((ROW()-2)/4)+1)</f>
        <v>P001</v>
      </c>
      <c r="C465" t="str" cm="1">
        <f t="array" ref="C465">INDEX(BOM!$B$2:$B$21,MATCH(B465,BOM!$A$2:$A$21,0)+MOD(ROW()-2,4))</f>
        <v>M008</v>
      </c>
      <c r="D465" cm="1">
        <f t="array" ref="D465">INDEX(Weekly_Inventory_Flow!$I$2:$I$261,INT((ROW()-2)/4)+1)</f>
        <v>15200</v>
      </c>
      <c r="E465" cm="1">
        <f t="array" ref="E465">INDEX(BOM!$C$2:$C$21,MATCH(B465,BOM!$A$2:$A$21,0)+MOD(ROW()-2,4))</f>
        <v>1</v>
      </c>
      <c r="F465">
        <f t="shared" si="7"/>
        <v>15200</v>
      </c>
    </row>
    <row r="466" spans="1:6">
      <c r="A466" s="1" cm="1">
        <f t="array" ref="A466">INDEX(Weekly_Inventory_Flow!$A$2:$A$261,INT((ROW()-2)/4)+1)</f>
        <v>46188</v>
      </c>
      <c r="B466" t="str" cm="1">
        <f t="array" ref="B466">INDEX(Weekly_Inventory_Flow!$B$2:$B$261,INT((ROW()-2)/4)+1)</f>
        <v>P002</v>
      </c>
      <c r="C466" t="str" cm="1">
        <f t="array" ref="C466">INDEX(BOM!$B$2:$B$21,MATCH(B466,BOM!$A$2:$A$21,0)+MOD(ROW()-2,4))</f>
        <v>M002</v>
      </c>
      <c r="D466" cm="1">
        <f t="array" ref="D466">INDEX(Weekly_Inventory_Flow!$I$2:$I$261,INT((ROW()-2)/4)+1)</f>
        <v>12600</v>
      </c>
      <c r="E466" cm="1">
        <f t="array" ref="E466">INDEX(BOM!$C$2:$C$21,MATCH(B466,BOM!$A$2:$A$21,0)+MOD(ROW()-2,4))</f>
        <v>0.3</v>
      </c>
      <c r="F466">
        <f t="shared" si="7"/>
        <v>3780</v>
      </c>
    </row>
    <row r="467" spans="1:6">
      <c r="A467" s="1" cm="1">
        <f t="array" ref="A467">INDEX(Weekly_Inventory_Flow!$A$2:$A$261,INT((ROW()-2)/4)+1)</f>
        <v>46188</v>
      </c>
      <c r="B467" t="str" cm="1">
        <f t="array" ref="B467">INDEX(Weekly_Inventory_Flow!$B$2:$B$261,INT((ROW()-2)/4)+1)</f>
        <v>P002</v>
      </c>
      <c r="C467" t="str" cm="1">
        <f t="array" ref="C467">INDEX(BOM!$B$2:$B$21,MATCH(B467,BOM!$A$2:$A$21,0)+MOD(ROW()-2,4))</f>
        <v>M006</v>
      </c>
      <c r="D467" cm="1">
        <f t="array" ref="D467">INDEX(Weekly_Inventory_Flow!$I$2:$I$261,INT((ROW()-2)/4)+1)</f>
        <v>12600</v>
      </c>
      <c r="E467" cm="1">
        <f t="array" ref="E467">INDEX(BOM!$C$2:$C$21,MATCH(B467,BOM!$A$2:$A$21,0)+MOD(ROW()-2,4))</f>
        <v>8.0000000000000002E-3</v>
      </c>
      <c r="F467">
        <f t="shared" si="7"/>
        <v>100.8</v>
      </c>
    </row>
    <row r="468" spans="1:6">
      <c r="A468" s="1" cm="1">
        <f t="array" ref="A468">INDEX(Weekly_Inventory_Flow!$A$2:$A$261,INT((ROW()-2)/4)+1)</f>
        <v>46188</v>
      </c>
      <c r="B468" t="str" cm="1">
        <f t="array" ref="B468">INDEX(Weekly_Inventory_Flow!$B$2:$B$261,INT((ROW()-2)/4)+1)</f>
        <v>P002</v>
      </c>
      <c r="C468" t="str" cm="1">
        <f t="array" ref="C468">INDEX(BOM!$B$2:$B$21,MATCH(B468,BOM!$A$2:$A$21,0)+MOD(ROW()-2,4))</f>
        <v>M007</v>
      </c>
      <c r="D468" cm="1">
        <f t="array" ref="D468">INDEX(Weekly_Inventory_Flow!$I$2:$I$261,INT((ROW()-2)/4)+1)</f>
        <v>12600</v>
      </c>
      <c r="E468" cm="1">
        <f t="array" ref="E468">INDEX(BOM!$C$2:$C$21,MATCH(B468,BOM!$A$2:$A$21,0)+MOD(ROW()-2,4))</f>
        <v>1</v>
      </c>
      <c r="F468">
        <f t="shared" si="7"/>
        <v>12600</v>
      </c>
    </row>
    <row r="469" spans="1:6">
      <c r="A469" s="1" cm="1">
        <f t="array" ref="A469">INDEX(Weekly_Inventory_Flow!$A$2:$A$261,INT((ROW()-2)/4)+1)</f>
        <v>46188</v>
      </c>
      <c r="B469" t="str" cm="1">
        <f t="array" ref="B469">INDEX(Weekly_Inventory_Flow!$B$2:$B$261,INT((ROW()-2)/4)+1)</f>
        <v>P002</v>
      </c>
      <c r="C469" t="str" cm="1">
        <f t="array" ref="C469">INDEX(BOM!$B$2:$B$21,MATCH(B469,BOM!$A$2:$A$21,0)+MOD(ROW()-2,4))</f>
        <v>M008</v>
      </c>
      <c r="D469" cm="1">
        <f t="array" ref="D469">INDEX(Weekly_Inventory_Flow!$I$2:$I$261,INT((ROW()-2)/4)+1)</f>
        <v>12600</v>
      </c>
      <c r="E469" cm="1">
        <f t="array" ref="E469">INDEX(BOM!$C$2:$C$21,MATCH(B469,BOM!$A$2:$A$21,0)+MOD(ROW()-2,4))</f>
        <v>1</v>
      </c>
      <c r="F469">
        <f t="shared" si="7"/>
        <v>12600</v>
      </c>
    </row>
    <row r="470" spans="1:6">
      <c r="A470" s="1" cm="1">
        <f t="array" ref="A470">INDEX(Weekly_Inventory_Flow!$A$2:$A$261,INT((ROW()-2)/4)+1)</f>
        <v>46188</v>
      </c>
      <c r="B470" t="str" cm="1">
        <f t="array" ref="B470">INDEX(Weekly_Inventory_Flow!$B$2:$B$261,INT((ROW()-2)/4)+1)</f>
        <v>P003</v>
      </c>
      <c r="C470" t="str" cm="1">
        <f t="array" ref="C470">INDEX(BOM!$B$2:$B$21,MATCH(B470,BOM!$A$2:$A$21,0)+MOD(ROW()-2,4))</f>
        <v>M003</v>
      </c>
      <c r="D470" cm="1">
        <f t="array" ref="D470">INDEX(Weekly_Inventory_Flow!$I$2:$I$261,INT((ROW()-2)/4)+1)</f>
        <v>10800</v>
      </c>
      <c r="E470" cm="1">
        <f t="array" ref="E470">INDEX(BOM!$C$2:$C$21,MATCH(B470,BOM!$A$2:$A$21,0)+MOD(ROW()-2,4))</f>
        <v>0.25</v>
      </c>
      <c r="F470">
        <f t="shared" si="7"/>
        <v>2700</v>
      </c>
    </row>
    <row r="471" spans="1:6">
      <c r="A471" s="1" cm="1">
        <f t="array" ref="A471">INDEX(Weekly_Inventory_Flow!$A$2:$A$261,INT((ROW()-2)/4)+1)</f>
        <v>46188</v>
      </c>
      <c r="B471" t="str" cm="1">
        <f t="array" ref="B471">INDEX(Weekly_Inventory_Flow!$B$2:$B$261,INT((ROW()-2)/4)+1)</f>
        <v>P003</v>
      </c>
      <c r="C471" t="str" cm="1">
        <f t="array" ref="C471">INDEX(BOM!$B$2:$B$21,MATCH(B471,BOM!$A$2:$A$21,0)+MOD(ROW()-2,4))</f>
        <v>M006</v>
      </c>
      <c r="D471" cm="1">
        <f t="array" ref="D471">INDEX(Weekly_Inventory_Flow!$I$2:$I$261,INT((ROW()-2)/4)+1)</f>
        <v>10800</v>
      </c>
      <c r="E471" cm="1">
        <f t="array" ref="E471">INDEX(BOM!$C$2:$C$21,MATCH(B471,BOM!$A$2:$A$21,0)+MOD(ROW()-2,4))</f>
        <v>6.0000000000000001E-3</v>
      </c>
      <c r="F471">
        <f t="shared" si="7"/>
        <v>64.8</v>
      </c>
    </row>
    <row r="472" spans="1:6">
      <c r="A472" s="1" cm="1">
        <f t="array" ref="A472">INDEX(Weekly_Inventory_Flow!$A$2:$A$261,INT((ROW()-2)/4)+1)</f>
        <v>46188</v>
      </c>
      <c r="B472" t="str" cm="1">
        <f t="array" ref="B472">INDEX(Weekly_Inventory_Flow!$B$2:$B$261,INT((ROW()-2)/4)+1)</f>
        <v>P003</v>
      </c>
      <c r="C472" t="str" cm="1">
        <f t="array" ref="C472">INDEX(BOM!$B$2:$B$21,MATCH(B472,BOM!$A$2:$A$21,0)+MOD(ROW()-2,4))</f>
        <v>M007</v>
      </c>
      <c r="D472" cm="1">
        <f t="array" ref="D472">INDEX(Weekly_Inventory_Flow!$I$2:$I$261,INT((ROW()-2)/4)+1)</f>
        <v>10800</v>
      </c>
      <c r="E472" cm="1">
        <f t="array" ref="E472">INDEX(BOM!$C$2:$C$21,MATCH(B472,BOM!$A$2:$A$21,0)+MOD(ROW()-2,4))</f>
        <v>1</v>
      </c>
      <c r="F472">
        <f t="shared" si="7"/>
        <v>10800</v>
      </c>
    </row>
    <row r="473" spans="1:6">
      <c r="A473" s="1" cm="1">
        <f t="array" ref="A473">INDEX(Weekly_Inventory_Flow!$A$2:$A$261,INT((ROW()-2)/4)+1)</f>
        <v>46188</v>
      </c>
      <c r="B473" t="str" cm="1">
        <f t="array" ref="B473">INDEX(Weekly_Inventory_Flow!$B$2:$B$261,INT((ROW()-2)/4)+1)</f>
        <v>P003</v>
      </c>
      <c r="C473" t="str" cm="1">
        <f t="array" ref="C473">INDEX(BOM!$B$2:$B$21,MATCH(B473,BOM!$A$2:$A$21,0)+MOD(ROW()-2,4))</f>
        <v>M008</v>
      </c>
      <c r="D473" cm="1">
        <f t="array" ref="D473">INDEX(Weekly_Inventory_Flow!$I$2:$I$261,INT((ROW()-2)/4)+1)</f>
        <v>10800</v>
      </c>
      <c r="E473" cm="1">
        <f t="array" ref="E473">INDEX(BOM!$C$2:$C$21,MATCH(B473,BOM!$A$2:$A$21,0)+MOD(ROW()-2,4))</f>
        <v>1</v>
      </c>
      <c r="F473">
        <f t="shared" si="7"/>
        <v>10800</v>
      </c>
    </row>
    <row r="474" spans="1:6">
      <c r="A474" s="1" cm="1">
        <f t="array" ref="A474">INDEX(Weekly_Inventory_Flow!$A$2:$A$261,INT((ROW()-2)/4)+1)</f>
        <v>46188</v>
      </c>
      <c r="B474" t="str" cm="1">
        <f t="array" ref="B474">INDEX(Weekly_Inventory_Flow!$B$2:$B$261,INT((ROW()-2)/4)+1)</f>
        <v>P004</v>
      </c>
      <c r="C474" t="str" cm="1">
        <f t="array" ref="C474">INDEX(BOM!$B$2:$B$21,MATCH(B474,BOM!$A$2:$A$21,0)+MOD(ROW()-2,4))</f>
        <v>M004</v>
      </c>
      <c r="D474" cm="1">
        <f t="array" ref="D474">INDEX(Weekly_Inventory_Flow!$I$2:$I$261,INT((ROW()-2)/4)+1)</f>
        <v>12500</v>
      </c>
      <c r="E474" cm="1">
        <f t="array" ref="E474">INDEX(BOM!$C$2:$C$21,MATCH(B474,BOM!$A$2:$A$21,0)+MOD(ROW()-2,4))</f>
        <v>0.34</v>
      </c>
      <c r="F474">
        <f t="shared" si="7"/>
        <v>4250</v>
      </c>
    </row>
    <row r="475" spans="1:6">
      <c r="A475" s="1" cm="1">
        <f t="array" ref="A475">INDEX(Weekly_Inventory_Flow!$A$2:$A$261,INT((ROW()-2)/4)+1)</f>
        <v>46188</v>
      </c>
      <c r="B475" t="str" cm="1">
        <f t="array" ref="B475">INDEX(Weekly_Inventory_Flow!$B$2:$B$261,INT((ROW()-2)/4)+1)</f>
        <v>P004</v>
      </c>
      <c r="C475" t="str" cm="1">
        <f t="array" ref="C475">INDEX(BOM!$B$2:$B$21,MATCH(B475,BOM!$A$2:$A$21,0)+MOD(ROW()-2,4))</f>
        <v>M006</v>
      </c>
      <c r="D475" cm="1">
        <f t="array" ref="D475">INDEX(Weekly_Inventory_Flow!$I$2:$I$261,INT((ROW()-2)/4)+1)</f>
        <v>12500</v>
      </c>
      <c r="E475" cm="1">
        <f t="array" ref="E475">INDEX(BOM!$C$2:$C$21,MATCH(B475,BOM!$A$2:$A$21,0)+MOD(ROW()-2,4))</f>
        <v>8.9999999999999993E-3</v>
      </c>
      <c r="F475">
        <f t="shared" si="7"/>
        <v>112.49999999999999</v>
      </c>
    </row>
    <row r="476" spans="1:6">
      <c r="A476" s="1" cm="1">
        <f t="array" ref="A476">INDEX(Weekly_Inventory_Flow!$A$2:$A$261,INT((ROW()-2)/4)+1)</f>
        <v>46188</v>
      </c>
      <c r="B476" t="str" cm="1">
        <f t="array" ref="B476">INDEX(Weekly_Inventory_Flow!$B$2:$B$261,INT((ROW()-2)/4)+1)</f>
        <v>P004</v>
      </c>
      <c r="C476" t="str" cm="1">
        <f t="array" ref="C476">INDEX(BOM!$B$2:$B$21,MATCH(B476,BOM!$A$2:$A$21,0)+MOD(ROW()-2,4))</f>
        <v>M007</v>
      </c>
      <c r="D476" cm="1">
        <f t="array" ref="D476">INDEX(Weekly_Inventory_Flow!$I$2:$I$261,INT((ROW()-2)/4)+1)</f>
        <v>12500</v>
      </c>
      <c r="E476" cm="1">
        <f t="array" ref="E476">INDEX(BOM!$C$2:$C$21,MATCH(B476,BOM!$A$2:$A$21,0)+MOD(ROW()-2,4))</f>
        <v>1</v>
      </c>
      <c r="F476">
        <f t="shared" si="7"/>
        <v>12500</v>
      </c>
    </row>
    <row r="477" spans="1:6">
      <c r="A477" s="1" cm="1">
        <f t="array" ref="A477">INDEX(Weekly_Inventory_Flow!$A$2:$A$261,INT((ROW()-2)/4)+1)</f>
        <v>46188</v>
      </c>
      <c r="B477" t="str" cm="1">
        <f t="array" ref="B477">INDEX(Weekly_Inventory_Flow!$B$2:$B$261,INT((ROW()-2)/4)+1)</f>
        <v>P004</v>
      </c>
      <c r="C477" t="str" cm="1">
        <f t="array" ref="C477">INDEX(BOM!$B$2:$B$21,MATCH(B477,BOM!$A$2:$A$21,0)+MOD(ROW()-2,4))</f>
        <v>M008</v>
      </c>
      <c r="D477" cm="1">
        <f t="array" ref="D477">INDEX(Weekly_Inventory_Flow!$I$2:$I$261,INT((ROW()-2)/4)+1)</f>
        <v>12500</v>
      </c>
      <c r="E477" cm="1">
        <f t="array" ref="E477">INDEX(BOM!$C$2:$C$21,MATCH(B477,BOM!$A$2:$A$21,0)+MOD(ROW()-2,4))</f>
        <v>1</v>
      </c>
      <c r="F477">
        <f t="shared" si="7"/>
        <v>12500</v>
      </c>
    </row>
    <row r="478" spans="1:6">
      <c r="A478" s="1" cm="1">
        <f t="array" ref="A478">INDEX(Weekly_Inventory_Flow!$A$2:$A$261,INT((ROW()-2)/4)+1)</f>
        <v>46188</v>
      </c>
      <c r="B478" t="str" cm="1">
        <f t="array" ref="B478">INDEX(Weekly_Inventory_Flow!$B$2:$B$261,INT((ROW()-2)/4)+1)</f>
        <v>P005</v>
      </c>
      <c r="C478" t="str" cm="1">
        <f t="array" ref="C478">INDEX(BOM!$B$2:$B$21,MATCH(B478,BOM!$A$2:$A$21,0)+MOD(ROW()-2,4))</f>
        <v>M005</v>
      </c>
      <c r="D478" cm="1">
        <f t="array" ref="D478">INDEX(Weekly_Inventory_Flow!$I$2:$I$261,INT((ROW()-2)/4)+1)</f>
        <v>8900</v>
      </c>
      <c r="E478" cm="1">
        <f t="array" ref="E478">INDEX(BOM!$C$2:$C$21,MATCH(B478,BOM!$A$2:$A$21,0)+MOD(ROW()-2,4))</f>
        <v>0.52</v>
      </c>
      <c r="F478">
        <f t="shared" si="7"/>
        <v>4628</v>
      </c>
    </row>
    <row r="479" spans="1:6">
      <c r="A479" s="1" cm="1">
        <f t="array" ref="A479">INDEX(Weekly_Inventory_Flow!$A$2:$A$261,INT((ROW()-2)/4)+1)</f>
        <v>46188</v>
      </c>
      <c r="B479" t="str" cm="1">
        <f t="array" ref="B479">INDEX(Weekly_Inventory_Flow!$B$2:$B$261,INT((ROW()-2)/4)+1)</f>
        <v>P005</v>
      </c>
      <c r="C479" t="str" cm="1">
        <f t="array" ref="C479">INDEX(BOM!$B$2:$B$21,MATCH(B479,BOM!$A$2:$A$21,0)+MOD(ROW()-2,4))</f>
        <v>M006</v>
      </c>
      <c r="D479" cm="1">
        <f t="array" ref="D479">INDEX(Weekly_Inventory_Flow!$I$2:$I$261,INT((ROW()-2)/4)+1)</f>
        <v>8900</v>
      </c>
      <c r="E479" cm="1">
        <f t="array" ref="E479">INDEX(BOM!$C$2:$C$21,MATCH(B479,BOM!$A$2:$A$21,0)+MOD(ROW()-2,4))</f>
        <v>1.2E-2</v>
      </c>
      <c r="F479">
        <f t="shared" si="7"/>
        <v>106.8</v>
      </c>
    </row>
    <row r="480" spans="1:6">
      <c r="A480" s="1" cm="1">
        <f t="array" ref="A480">INDEX(Weekly_Inventory_Flow!$A$2:$A$261,INT((ROW()-2)/4)+1)</f>
        <v>46188</v>
      </c>
      <c r="B480" t="str" cm="1">
        <f t="array" ref="B480">INDEX(Weekly_Inventory_Flow!$B$2:$B$261,INT((ROW()-2)/4)+1)</f>
        <v>P005</v>
      </c>
      <c r="C480" t="str" cm="1">
        <f t="array" ref="C480">INDEX(BOM!$B$2:$B$21,MATCH(B480,BOM!$A$2:$A$21,0)+MOD(ROW()-2,4))</f>
        <v>M007</v>
      </c>
      <c r="D480" cm="1">
        <f t="array" ref="D480">INDEX(Weekly_Inventory_Flow!$I$2:$I$261,INT((ROW()-2)/4)+1)</f>
        <v>8900</v>
      </c>
      <c r="E480" cm="1">
        <f t="array" ref="E480">INDEX(BOM!$C$2:$C$21,MATCH(B480,BOM!$A$2:$A$21,0)+MOD(ROW()-2,4))</f>
        <v>1</v>
      </c>
      <c r="F480">
        <f t="shared" si="7"/>
        <v>8900</v>
      </c>
    </row>
    <row r="481" spans="1:6">
      <c r="A481" s="1" cm="1">
        <f t="array" ref="A481">INDEX(Weekly_Inventory_Flow!$A$2:$A$261,INT((ROW()-2)/4)+1)</f>
        <v>46188</v>
      </c>
      <c r="B481" t="str" cm="1">
        <f t="array" ref="B481">INDEX(Weekly_Inventory_Flow!$B$2:$B$261,INT((ROW()-2)/4)+1)</f>
        <v>P005</v>
      </c>
      <c r="C481" t="str" cm="1">
        <f t="array" ref="C481">INDEX(BOM!$B$2:$B$21,MATCH(B481,BOM!$A$2:$A$21,0)+MOD(ROW()-2,4))</f>
        <v>M008</v>
      </c>
      <c r="D481" cm="1">
        <f t="array" ref="D481">INDEX(Weekly_Inventory_Flow!$I$2:$I$261,INT((ROW()-2)/4)+1)</f>
        <v>8900</v>
      </c>
      <c r="E481" cm="1">
        <f t="array" ref="E481">INDEX(BOM!$C$2:$C$21,MATCH(B481,BOM!$A$2:$A$21,0)+MOD(ROW()-2,4))</f>
        <v>1</v>
      </c>
      <c r="F481">
        <f t="shared" si="7"/>
        <v>8900</v>
      </c>
    </row>
    <row r="482" spans="1:6">
      <c r="A482" s="1" cm="1">
        <f t="array" ref="A482">INDEX(Weekly_Inventory_Flow!$A$2:$A$261,INT((ROW()-2)/4)+1)</f>
        <v>46195</v>
      </c>
      <c r="B482" t="str" cm="1">
        <f t="array" ref="B482">INDEX(Weekly_Inventory_Flow!$B$2:$B$261,INT((ROW()-2)/4)+1)</f>
        <v>P001</v>
      </c>
      <c r="C482" t="str" cm="1">
        <f t="array" ref="C482">INDEX(BOM!$B$2:$B$21,MATCH(B482,BOM!$A$2:$A$21,0)+MOD(ROW()-2,4))</f>
        <v>M001</v>
      </c>
      <c r="D482" cm="1">
        <f t="array" ref="D482">INDEX(Weekly_Inventory_Flow!$I$2:$I$261,INT((ROW()-2)/4)+1)</f>
        <v>15700</v>
      </c>
      <c r="E482" cm="1">
        <f t="array" ref="E482">INDEX(BOM!$C$2:$C$21,MATCH(B482,BOM!$A$2:$A$21,0)+MOD(ROW()-2,4))</f>
        <v>0.35</v>
      </c>
      <c r="F482">
        <f t="shared" si="7"/>
        <v>5495</v>
      </c>
    </row>
    <row r="483" spans="1:6">
      <c r="A483" s="1" cm="1">
        <f t="array" ref="A483">INDEX(Weekly_Inventory_Flow!$A$2:$A$261,INT((ROW()-2)/4)+1)</f>
        <v>46195</v>
      </c>
      <c r="B483" t="str" cm="1">
        <f t="array" ref="B483">INDEX(Weekly_Inventory_Flow!$B$2:$B$261,INT((ROW()-2)/4)+1)</f>
        <v>P001</v>
      </c>
      <c r="C483" t="str" cm="1">
        <f t="array" ref="C483">INDEX(BOM!$B$2:$B$21,MATCH(B483,BOM!$A$2:$A$21,0)+MOD(ROW()-2,4))</f>
        <v>M006</v>
      </c>
      <c r="D483" cm="1">
        <f t="array" ref="D483">INDEX(Weekly_Inventory_Flow!$I$2:$I$261,INT((ROW()-2)/4)+1)</f>
        <v>15700</v>
      </c>
      <c r="E483" cm="1">
        <f t="array" ref="E483">INDEX(BOM!$C$2:$C$21,MATCH(B483,BOM!$A$2:$A$21,0)+MOD(ROW()-2,4))</f>
        <v>0.01</v>
      </c>
      <c r="F483">
        <f t="shared" si="7"/>
        <v>157</v>
      </c>
    </row>
    <row r="484" spans="1:6">
      <c r="A484" s="1" cm="1">
        <f t="array" ref="A484">INDEX(Weekly_Inventory_Flow!$A$2:$A$261,INT((ROW()-2)/4)+1)</f>
        <v>46195</v>
      </c>
      <c r="B484" t="str" cm="1">
        <f t="array" ref="B484">INDEX(Weekly_Inventory_Flow!$B$2:$B$261,INT((ROW()-2)/4)+1)</f>
        <v>P001</v>
      </c>
      <c r="C484" t="str" cm="1">
        <f t="array" ref="C484">INDEX(BOM!$B$2:$B$21,MATCH(B484,BOM!$A$2:$A$21,0)+MOD(ROW()-2,4))</f>
        <v>M007</v>
      </c>
      <c r="D484" cm="1">
        <f t="array" ref="D484">INDEX(Weekly_Inventory_Flow!$I$2:$I$261,INT((ROW()-2)/4)+1)</f>
        <v>15700</v>
      </c>
      <c r="E484" cm="1">
        <f t="array" ref="E484">INDEX(BOM!$C$2:$C$21,MATCH(B484,BOM!$A$2:$A$21,0)+MOD(ROW()-2,4))</f>
        <v>1</v>
      </c>
      <c r="F484">
        <f t="shared" si="7"/>
        <v>15700</v>
      </c>
    </row>
    <row r="485" spans="1:6">
      <c r="A485" s="1" cm="1">
        <f t="array" ref="A485">INDEX(Weekly_Inventory_Flow!$A$2:$A$261,INT((ROW()-2)/4)+1)</f>
        <v>46195</v>
      </c>
      <c r="B485" t="str" cm="1">
        <f t="array" ref="B485">INDEX(Weekly_Inventory_Flow!$B$2:$B$261,INT((ROW()-2)/4)+1)</f>
        <v>P001</v>
      </c>
      <c r="C485" t="str" cm="1">
        <f t="array" ref="C485">INDEX(BOM!$B$2:$B$21,MATCH(B485,BOM!$A$2:$A$21,0)+MOD(ROW()-2,4))</f>
        <v>M008</v>
      </c>
      <c r="D485" cm="1">
        <f t="array" ref="D485">INDEX(Weekly_Inventory_Flow!$I$2:$I$261,INT((ROW()-2)/4)+1)</f>
        <v>15700</v>
      </c>
      <c r="E485" cm="1">
        <f t="array" ref="E485">INDEX(BOM!$C$2:$C$21,MATCH(B485,BOM!$A$2:$A$21,0)+MOD(ROW()-2,4))</f>
        <v>1</v>
      </c>
      <c r="F485">
        <f t="shared" si="7"/>
        <v>15700</v>
      </c>
    </row>
    <row r="486" spans="1:6">
      <c r="A486" s="1" cm="1">
        <f t="array" ref="A486">INDEX(Weekly_Inventory_Flow!$A$2:$A$261,INT((ROW()-2)/4)+1)</f>
        <v>46195</v>
      </c>
      <c r="B486" t="str" cm="1">
        <f t="array" ref="B486">INDEX(Weekly_Inventory_Flow!$B$2:$B$261,INT((ROW()-2)/4)+1)</f>
        <v>P002</v>
      </c>
      <c r="C486" t="str" cm="1">
        <f t="array" ref="C486">INDEX(BOM!$B$2:$B$21,MATCH(B486,BOM!$A$2:$A$21,0)+MOD(ROW()-2,4))</f>
        <v>M002</v>
      </c>
      <c r="D486" cm="1">
        <f t="array" ref="D486">INDEX(Weekly_Inventory_Flow!$I$2:$I$261,INT((ROW()-2)/4)+1)</f>
        <v>13800</v>
      </c>
      <c r="E486" cm="1">
        <f t="array" ref="E486">INDEX(BOM!$C$2:$C$21,MATCH(B486,BOM!$A$2:$A$21,0)+MOD(ROW()-2,4))</f>
        <v>0.3</v>
      </c>
      <c r="F486">
        <f t="shared" si="7"/>
        <v>4140</v>
      </c>
    </row>
    <row r="487" spans="1:6">
      <c r="A487" s="1" cm="1">
        <f t="array" ref="A487">INDEX(Weekly_Inventory_Flow!$A$2:$A$261,INT((ROW()-2)/4)+1)</f>
        <v>46195</v>
      </c>
      <c r="B487" t="str" cm="1">
        <f t="array" ref="B487">INDEX(Weekly_Inventory_Flow!$B$2:$B$261,INT((ROW()-2)/4)+1)</f>
        <v>P002</v>
      </c>
      <c r="C487" t="str" cm="1">
        <f t="array" ref="C487">INDEX(BOM!$B$2:$B$21,MATCH(B487,BOM!$A$2:$A$21,0)+MOD(ROW()-2,4))</f>
        <v>M006</v>
      </c>
      <c r="D487" cm="1">
        <f t="array" ref="D487">INDEX(Weekly_Inventory_Flow!$I$2:$I$261,INT((ROW()-2)/4)+1)</f>
        <v>13800</v>
      </c>
      <c r="E487" cm="1">
        <f t="array" ref="E487">INDEX(BOM!$C$2:$C$21,MATCH(B487,BOM!$A$2:$A$21,0)+MOD(ROW()-2,4))</f>
        <v>8.0000000000000002E-3</v>
      </c>
      <c r="F487">
        <f t="shared" si="7"/>
        <v>110.4</v>
      </c>
    </row>
    <row r="488" spans="1:6">
      <c r="A488" s="1" cm="1">
        <f t="array" ref="A488">INDEX(Weekly_Inventory_Flow!$A$2:$A$261,INT((ROW()-2)/4)+1)</f>
        <v>46195</v>
      </c>
      <c r="B488" t="str" cm="1">
        <f t="array" ref="B488">INDEX(Weekly_Inventory_Flow!$B$2:$B$261,INT((ROW()-2)/4)+1)</f>
        <v>P002</v>
      </c>
      <c r="C488" t="str" cm="1">
        <f t="array" ref="C488">INDEX(BOM!$B$2:$B$21,MATCH(B488,BOM!$A$2:$A$21,0)+MOD(ROW()-2,4))</f>
        <v>M007</v>
      </c>
      <c r="D488" cm="1">
        <f t="array" ref="D488">INDEX(Weekly_Inventory_Flow!$I$2:$I$261,INT((ROW()-2)/4)+1)</f>
        <v>13800</v>
      </c>
      <c r="E488" cm="1">
        <f t="array" ref="E488">INDEX(BOM!$C$2:$C$21,MATCH(B488,BOM!$A$2:$A$21,0)+MOD(ROW()-2,4))</f>
        <v>1</v>
      </c>
      <c r="F488">
        <f t="shared" si="7"/>
        <v>13800</v>
      </c>
    </row>
    <row r="489" spans="1:6">
      <c r="A489" s="1" cm="1">
        <f t="array" ref="A489">INDEX(Weekly_Inventory_Flow!$A$2:$A$261,INT((ROW()-2)/4)+1)</f>
        <v>46195</v>
      </c>
      <c r="B489" t="str" cm="1">
        <f t="array" ref="B489">INDEX(Weekly_Inventory_Flow!$B$2:$B$261,INT((ROW()-2)/4)+1)</f>
        <v>P002</v>
      </c>
      <c r="C489" t="str" cm="1">
        <f t="array" ref="C489">INDEX(BOM!$B$2:$B$21,MATCH(B489,BOM!$A$2:$A$21,0)+MOD(ROW()-2,4))</f>
        <v>M008</v>
      </c>
      <c r="D489" cm="1">
        <f t="array" ref="D489">INDEX(Weekly_Inventory_Flow!$I$2:$I$261,INT((ROW()-2)/4)+1)</f>
        <v>13800</v>
      </c>
      <c r="E489" cm="1">
        <f t="array" ref="E489">INDEX(BOM!$C$2:$C$21,MATCH(B489,BOM!$A$2:$A$21,0)+MOD(ROW()-2,4))</f>
        <v>1</v>
      </c>
      <c r="F489">
        <f t="shared" si="7"/>
        <v>13800</v>
      </c>
    </row>
    <row r="490" spans="1:6">
      <c r="A490" s="1" cm="1">
        <f t="array" ref="A490">INDEX(Weekly_Inventory_Flow!$A$2:$A$261,INT((ROW()-2)/4)+1)</f>
        <v>46195</v>
      </c>
      <c r="B490" t="str" cm="1">
        <f t="array" ref="B490">INDEX(Weekly_Inventory_Flow!$B$2:$B$261,INT((ROW()-2)/4)+1)</f>
        <v>P003</v>
      </c>
      <c r="C490" t="str" cm="1">
        <f t="array" ref="C490">INDEX(BOM!$B$2:$B$21,MATCH(B490,BOM!$A$2:$A$21,0)+MOD(ROW()-2,4))</f>
        <v>M003</v>
      </c>
      <c r="D490" cm="1">
        <f t="array" ref="D490">INDEX(Weekly_Inventory_Flow!$I$2:$I$261,INT((ROW()-2)/4)+1)</f>
        <v>11700</v>
      </c>
      <c r="E490" cm="1">
        <f t="array" ref="E490">INDEX(BOM!$C$2:$C$21,MATCH(B490,BOM!$A$2:$A$21,0)+MOD(ROW()-2,4))</f>
        <v>0.25</v>
      </c>
      <c r="F490">
        <f t="shared" si="7"/>
        <v>2925</v>
      </c>
    </row>
    <row r="491" spans="1:6">
      <c r="A491" s="1" cm="1">
        <f t="array" ref="A491">INDEX(Weekly_Inventory_Flow!$A$2:$A$261,INT((ROW()-2)/4)+1)</f>
        <v>46195</v>
      </c>
      <c r="B491" t="str" cm="1">
        <f t="array" ref="B491">INDEX(Weekly_Inventory_Flow!$B$2:$B$261,INT((ROW()-2)/4)+1)</f>
        <v>P003</v>
      </c>
      <c r="C491" t="str" cm="1">
        <f t="array" ref="C491">INDEX(BOM!$B$2:$B$21,MATCH(B491,BOM!$A$2:$A$21,0)+MOD(ROW()-2,4))</f>
        <v>M006</v>
      </c>
      <c r="D491" cm="1">
        <f t="array" ref="D491">INDEX(Weekly_Inventory_Flow!$I$2:$I$261,INT((ROW()-2)/4)+1)</f>
        <v>11700</v>
      </c>
      <c r="E491" cm="1">
        <f t="array" ref="E491">INDEX(BOM!$C$2:$C$21,MATCH(B491,BOM!$A$2:$A$21,0)+MOD(ROW()-2,4))</f>
        <v>6.0000000000000001E-3</v>
      </c>
      <c r="F491">
        <f t="shared" si="7"/>
        <v>70.2</v>
      </c>
    </row>
    <row r="492" spans="1:6">
      <c r="A492" s="1" cm="1">
        <f t="array" ref="A492">INDEX(Weekly_Inventory_Flow!$A$2:$A$261,INT((ROW()-2)/4)+1)</f>
        <v>46195</v>
      </c>
      <c r="B492" t="str" cm="1">
        <f t="array" ref="B492">INDEX(Weekly_Inventory_Flow!$B$2:$B$261,INT((ROW()-2)/4)+1)</f>
        <v>P003</v>
      </c>
      <c r="C492" t="str" cm="1">
        <f t="array" ref="C492">INDEX(BOM!$B$2:$B$21,MATCH(B492,BOM!$A$2:$A$21,0)+MOD(ROW()-2,4))</f>
        <v>M007</v>
      </c>
      <c r="D492" cm="1">
        <f t="array" ref="D492">INDEX(Weekly_Inventory_Flow!$I$2:$I$261,INT((ROW()-2)/4)+1)</f>
        <v>11700</v>
      </c>
      <c r="E492" cm="1">
        <f t="array" ref="E492">INDEX(BOM!$C$2:$C$21,MATCH(B492,BOM!$A$2:$A$21,0)+MOD(ROW()-2,4))</f>
        <v>1</v>
      </c>
      <c r="F492">
        <f t="shared" si="7"/>
        <v>11700</v>
      </c>
    </row>
    <row r="493" spans="1:6">
      <c r="A493" s="1" cm="1">
        <f t="array" ref="A493">INDEX(Weekly_Inventory_Flow!$A$2:$A$261,INT((ROW()-2)/4)+1)</f>
        <v>46195</v>
      </c>
      <c r="B493" t="str" cm="1">
        <f t="array" ref="B493">INDEX(Weekly_Inventory_Flow!$B$2:$B$261,INT((ROW()-2)/4)+1)</f>
        <v>P003</v>
      </c>
      <c r="C493" t="str" cm="1">
        <f t="array" ref="C493">INDEX(BOM!$B$2:$B$21,MATCH(B493,BOM!$A$2:$A$21,0)+MOD(ROW()-2,4))</f>
        <v>M008</v>
      </c>
      <c r="D493" cm="1">
        <f t="array" ref="D493">INDEX(Weekly_Inventory_Flow!$I$2:$I$261,INT((ROW()-2)/4)+1)</f>
        <v>11700</v>
      </c>
      <c r="E493" cm="1">
        <f t="array" ref="E493">INDEX(BOM!$C$2:$C$21,MATCH(B493,BOM!$A$2:$A$21,0)+MOD(ROW()-2,4))</f>
        <v>1</v>
      </c>
      <c r="F493">
        <f t="shared" si="7"/>
        <v>11700</v>
      </c>
    </row>
    <row r="494" spans="1:6">
      <c r="A494" s="1" cm="1">
        <f t="array" ref="A494">INDEX(Weekly_Inventory_Flow!$A$2:$A$261,INT((ROW()-2)/4)+1)</f>
        <v>46195</v>
      </c>
      <c r="B494" t="str" cm="1">
        <f t="array" ref="B494">INDEX(Weekly_Inventory_Flow!$B$2:$B$261,INT((ROW()-2)/4)+1)</f>
        <v>P004</v>
      </c>
      <c r="C494" t="str" cm="1">
        <f t="array" ref="C494">INDEX(BOM!$B$2:$B$21,MATCH(B494,BOM!$A$2:$A$21,0)+MOD(ROW()-2,4))</f>
        <v>M004</v>
      </c>
      <c r="D494" cm="1">
        <f t="array" ref="D494">INDEX(Weekly_Inventory_Flow!$I$2:$I$261,INT((ROW()-2)/4)+1)</f>
        <v>12700</v>
      </c>
      <c r="E494" cm="1">
        <f t="array" ref="E494">INDEX(BOM!$C$2:$C$21,MATCH(B494,BOM!$A$2:$A$21,0)+MOD(ROW()-2,4))</f>
        <v>0.34</v>
      </c>
      <c r="F494">
        <f t="shared" si="7"/>
        <v>4318</v>
      </c>
    </row>
    <row r="495" spans="1:6">
      <c r="A495" s="1" cm="1">
        <f t="array" ref="A495">INDEX(Weekly_Inventory_Flow!$A$2:$A$261,INT((ROW()-2)/4)+1)</f>
        <v>46195</v>
      </c>
      <c r="B495" t="str" cm="1">
        <f t="array" ref="B495">INDEX(Weekly_Inventory_Flow!$B$2:$B$261,INT((ROW()-2)/4)+1)</f>
        <v>P004</v>
      </c>
      <c r="C495" t="str" cm="1">
        <f t="array" ref="C495">INDEX(BOM!$B$2:$B$21,MATCH(B495,BOM!$A$2:$A$21,0)+MOD(ROW()-2,4))</f>
        <v>M006</v>
      </c>
      <c r="D495" cm="1">
        <f t="array" ref="D495">INDEX(Weekly_Inventory_Flow!$I$2:$I$261,INT((ROW()-2)/4)+1)</f>
        <v>12700</v>
      </c>
      <c r="E495" cm="1">
        <f t="array" ref="E495">INDEX(BOM!$C$2:$C$21,MATCH(B495,BOM!$A$2:$A$21,0)+MOD(ROW()-2,4))</f>
        <v>8.9999999999999993E-3</v>
      </c>
      <c r="F495">
        <f t="shared" si="7"/>
        <v>114.3</v>
      </c>
    </row>
    <row r="496" spans="1:6">
      <c r="A496" s="1" cm="1">
        <f t="array" ref="A496">INDEX(Weekly_Inventory_Flow!$A$2:$A$261,INT((ROW()-2)/4)+1)</f>
        <v>46195</v>
      </c>
      <c r="B496" t="str" cm="1">
        <f t="array" ref="B496">INDEX(Weekly_Inventory_Flow!$B$2:$B$261,INT((ROW()-2)/4)+1)</f>
        <v>P004</v>
      </c>
      <c r="C496" t="str" cm="1">
        <f t="array" ref="C496">INDEX(BOM!$B$2:$B$21,MATCH(B496,BOM!$A$2:$A$21,0)+MOD(ROW()-2,4))</f>
        <v>M007</v>
      </c>
      <c r="D496" cm="1">
        <f t="array" ref="D496">INDEX(Weekly_Inventory_Flow!$I$2:$I$261,INT((ROW()-2)/4)+1)</f>
        <v>12700</v>
      </c>
      <c r="E496" cm="1">
        <f t="array" ref="E496">INDEX(BOM!$C$2:$C$21,MATCH(B496,BOM!$A$2:$A$21,0)+MOD(ROW()-2,4))</f>
        <v>1</v>
      </c>
      <c r="F496">
        <f t="shared" si="7"/>
        <v>12700</v>
      </c>
    </row>
    <row r="497" spans="1:6">
      <c r="A497" s="1" cm="1">
        <f t="array" ref="A497">INDEX(Weekly_Inventory_Flow!$A$2:$A$261,INT((ROW()-2)/4)+1)</f>
        <v>46195</v>
      </c>
      <c r="B497" t="str" cm="1">
        <f t="array" ref="B497">INDEX(Weekly_Inventory_Flow!$B$2:$B$261,INT((ROW()-2)/4)+1)</f>
        <v>P004</v>
      </c>
      <c r="C497" t="str" cm="1">
        <f t="array" ref="C497">INDEX(BOM!$B$2:$B$21,MATCH(B497,BOM!$A$2:$A$21,0)+MOD(ROW()-2,4))</f>
        <v>M008</v>
      </c>
      <c r="D497" cm="1">
        <f t="array" ref="D497">INDEX(Weekly_Inventory_Flow!$I$2:$I$261,INT((ROW()-2)/4)+1)</f>
        <v>12700</v>
      </c>
      <c r="E497" cm="1">
        <f t="array" ref="E497">INDEX(BOM!$C$2:$C$21,MATCH(B497,BOM!$A$2:$A$21,0)+MOD(ROW()-2,4))</f>
        <v>1</v>
      </c>
      <c r="F497">
        <f t="shared" si="7"/>
        <v>12700</v>
      </c>
    </row>
    <row r="498" spans="1:6">
      <c r="A498" s="1" cm="1">
        <f t="array" ref="A498">INDEX(Weekly_Inventory_Flow!$A$2:$A$261,INT((ROW()-2)/4)+1)</f>
        <v>46195</v>
      </c>
      <c r="B498" t="str" cm="1">
        <f t="array" ref="B498">INDEX(Weekly_Inventory_Flow!$B$2:$B$261,INT((ROW()-2)/4)+1)</f>
        <v>P005</v>
      </c>
      <c r="C498" t="str" cm="1">
        <f t="array" ref="C498">INDEX(BOM!$B$2:$B$21,MATCH(B498,BOM!$A$2:$A$21,0)+MOD(ROW()-2,4))</f>
        <v>M005</v>
      </c>
      <c r="D498" cm="1">
        <f t="array" ref="D498">INDEX(Weekly_Inventory_Flow!$I$2:$I$261,INT((ROW()-2)/4)+1)</f>
        <v>8900</v>
      </c>
      <c r="E498" cm="1">
        <f t="array" ref="E498">INDEX(BOM!$C$2:$C$21,MATCH(B498,BOM!$A$2:$A$21,0)+MOD(ROW()-2,4))</f>
        <v>0.52</v>
      </c>
      <c r="F498">
        <f t="shared" si="7"/>
        <v>4628</v>
      </c>
    </row>
    <row r="499" spans="1:6">
      <c r="A499" s="1" cm="1">
        <f t="array" ref="A499">INDEX(Weekly_Inventory_Flow!$A$2:$A$261,INT((ROW()-2)/4)+1)</f>
        <v>46195</v>
      </c>
      <c r="B499" t="str" cm="1">
        <f t="array" ref="B499">INDEX(Weekly_Inventory_Flow!$B$2:$B$261,INT((ROW()-2)/4)+1)</f>
        <v>P005</v>
      </c>
      <c r="C499" t="str" cm="1">
        <f t="array" ref="C499">INDEX(BOM!$B$2:$B$21,MATCH(B499,BOM!$A$2:$A$21,0)+MOD(ROW()-2,4))</f>
        <v>M006</v>
      </c>
      <c r="D499" cm="1">
        <f t="array" ref="D499">INDEX(Weekly_Inventory_Flow!$I$2:$I$261,INT((ROW()-2)/4)+1)</f>
        <v>8900</v>
      </c>
      <c r="E499" cm="1">
        <f t="array" ref="E499">INDEX(BOM!$C$2:$C$21,MATCH(B499,BOM!$A$2:$A$21,0)+MOD(ROW()-2,4))</f>
        <v>1.2E-2</v>
      </c>
      <c r="F499">
        <f t="shared" si="7"/>
        <v>106.8</v>
      </c>
    </row>
    <row r="500" spans="1:6">
      <c r="A500" s="1" cm="1">
        <f t="array" ref="A500">INDEX(Weekly_Inventory_Flow!$A$2:$A$261,INT((ROW()-2)/4)+1)</f>
        <v>46195</v>
      </c>
      <c r="B500" t="str" cm="1">
        <f t="array" ref="B500">INDEX(Weekly_Inventory_Flow!$B$2:$B$261,INT((ROW()-2)/4)+1)</f>
        <v>P005</v>
      </c>
      <c r="C500" t="str" cm="1">
        <f t="array" ref="C500">INDEX(BOM!$B$2:$B$21,MATCH(B500,BOM!$A$2:$A$21,0)+MOD(ROW()-2,4))</f>
        <v>M007</v>
      </c>
      <c r="D500" cm="1">
        <f t="array" ref="D500">INDEX(Weekly_Inventory_Flow!$I$2:$I$261,INT((ROW()-2)/4)+1)</f>
        <v>8900</v>
      </c>
      <c r="E500" cm="1">
        <f t="array" ref="E500">INDEX(BOM!$C$2:$C$21,MATCH(B500,BOM!$A$2:$A$21,0)+MOD(ROW()-2,4))</f>
        <v>1</v>
      </c>
      <c r="F500">
        <f t="shared" si="7"/>
        <v>8900</v>
      </c>
    </row>
    <row r="501" spans="1:6">
      <c r="A501" s="1" cm="1">
        <f t="array" ref="A501">INDEX(Weekly_Inventory_Flow!$A$2:$A$261,INT((ROW()-2)/4)+1)</f>
        <v>46195</v>
      </c>
      <c r="B501" t="str" cm="1">
        <f t="array" ref="B501">INDEX(Weekly_Inventory_Flow!$B$2:$B$261,INT((ROW()-2)/4)+1)</f>
        <v>P005</v>
      </c>
      <c r="C501" t="str" cm="1">
        <f t="array" ref="C501">INDEX(BOM!$B$2:$B$21,MATCH(B501,BOM!$A$2:$A$21,0)+MOD(ROW()-2,4))</f>
        <v>M008</v>
      </c>
      <c r="D501" cm="1">
        <f t="array" ref="D501">INDEX(Weekly_Inventory_Flow!$I$2:$I$261,INT((ROW()-2)/4)+1)</f>
        <v>8900</v>
      </c>
      <c r="E501" cm="1">
        <f t="array" ref="E501">INDEX(BOM!$C$2:$C$21,MATCH(B501,BOM!$A$2:$A$21,0)+MOD(ROW()-2,4))</f>
        <v>1</v>
      </c>
      <c r="F501">
        <f t="shared" si="7"/>
        <v>8900</v>
      </c>
    </row>
    <row r="502" spans="1:6">
      <c r="A502" s="1" cm="1">
        <f t="array" ref="A502">INDEX(Weekly_Inventory_Flow!$A$2:$A$261,INT((ROW()-2)/4)+1)</f>
        <v>46202</v>
      </c>
      <c r="B502" t="str" cm="1">
        <f t="array" ref="B502">INDEX(Weekly_Inventory_Flow!$B$2:$B$261,INT((ROW()-2)/4)+1)</f>
        <v>P001</v>
      </c>
      <c r="C502" t="str" cm="1">
        <f t="array" ref="C502">INDEX(BOM!$B$2:$B$21,MATCH(B502,BOM!$A$2:$A$21,0)+MOD(ROW()-2,4))</f>
        <v>M001</v>
      </c>
      <c r="D502" cm="1">
        <f t="array" ref="D502">INDEX(Weekly_Inventory_Flow!$I$2:$I$261,INT((ROW()-2)/4)+1)</f>
        <v>15300</v>
      </c>
      <c r="E502" cm="1">
        <f t="array" ref="E502">INDEX(BOM!$C$2:$C$21,MATCH(B502,BOM!$A$2:$A$21,0)+MOD(ROW()-2,4))</f>
        <v>0.35</v>
      </c>
      <c r="F502">
        <f t="shared" si="7"/>
        <v>5355</v>
      </c>
    </row>
    <row r="503" spans="1:6">
      <c r="A503" s="1" cm="1">
        <f t="array" ref="A503">INDEX(Weekly_Inventory_Flow!$A$2:$A$261,INT((ROW()-2)/4)+1)</f>
        <v>46202</v>
      </c>
      <c r="B503" t="str" cm="1">
        <f t="array" ref="B503">INDEX(Weekly_Inventory_Flow!$B$2:$B$261,INT((ROW()-2)/4)+1)</f>
        <v>P001</v>
      </c>
      <c r="C503" t="str" cm="1">
        <f t="array" ref="C503">INDEX(BOM!$B$2:$B$21,MATCH(B503,BOM!$A$2:$A$21,0)+MOD(ROW()-2,4))</f>
        <v>M006</v>
      </c>
      <c r="D503" cm="1">
        <f t="array" ref="D503">INDEX(Weekly_Inventory_Flow!$I$2:$I$261,INT((ROW()-2)/4)+1)</f>
        <v>15300</v>
      </c>
      <c r="E503" cm="1">
        <f t="array" ref="E503">INDEX(BOM!$C$2:$C$21,MATCH(B503,BOM!$A$2:$A$21,0)+MOD(ROW()-2,4))</f>
        <v>0.01</v>
      </c>
      <c r="F503">
        <f t="shared" si="7"/>
        <v>153</v>
      </c>
    </row>
    <row r="504" spans="1:6">
      <c r="A504" s="1" cm="1">
        <f t="array" ref="A504">INDEX(Weekly_Inventory_Flow!$A$2:$A$261,INT((ROW()-2)/4)+1)</f>
        <v>46202</v>
      </c>
      <c r="B504" t="str" cm="1">
        <f t="array" ref="B504">INDEX(Weekly_Inventory_Flow!$B$2:$B$261,INT((ROW()-2)/4)+1)</f>
        <v>P001</v>
      </c>
      <c r="C504" t="str" cm="1">
        <f t="array" ref="C504">INDEX(BOM!$B$2:$B$21,MATCH(B504,BOM!$A$2:$A$21,0)+MOD(ROW()-2,4))</f>
        <v>M007</v>
      </c>
      <c r="D504" cm="1">
        <f t="array" ref="D504">INDEX(Weekly_Inventory_Flow!$I$2:$I$261,INT((ROW()-2)/4)+1)</f>
        <v>15300</v>
      </c>
      <c r="E504" cm="1">
        <f t="array" ref="E504">INDEX(BOM!$C$2:$C$21,MATCH(B504,BOM!$A$2:$A$21,0)+MOD(ROW()-2,4))</f>
        <v>1</v>
      </c>
      <c r="F504">
        <f t="shared" si="7"/>
        <v>15300</v>
      </c>
    </row>
    <row r="505" spans="1:6">
      <c r="A505" s="1" cm="1">
        <f t="array" ref="A505">INDEX(Weekly_Inventory_Flow!$A$2:$A$261,INT((ROW()-2)/4)+1)</f>
        <v>46202</v>
      </c>
      <c r="B505" t="str" cm="1">
        <f t="array" ref="B505">INDEX(Weekly_Inventory_Flow!$B$2:$B$261,INT((ROW()-2)/4)+1)</f>
        <v>P001</v>
      </c>
      <c r="C505" t="str" cm="1">
        <f t="array" ref="C505">INDEX(BOM!$B$2:$B$21,MATCH(B505,BOM!$A$2:$A$21,0)+MOD(ROW()-2,4))</f>
        <v>M008</v>
      </c>
      <c r="D505" cm="1">
        <f t="array" ref="D505">INDEX(Weekly_Inventory_Flow!$I$2:$I$261,INT((ROW()-2)/4)+1)</f>
        <v>15300</v>
      </c>
      <c r="E505" cm="1">
        <f t="array" ref="E505">INDEX(BOM!$C$2:$C$21,MATCH(B505,BOM!$A$2:$A$21,0)+MOD(ROW()-2,4))</f>
        <v>1</v>
      </c>
      <c r="F505">
        <f t="shared" si="7"/>
        <v>15300</v>
      </c>
    </row>
    <row r="506" spans="1:6">
      <c r="A506" s="1" cm="1">
        <f t="array" ref="A506">INDEX(Weekly_Inventory_Flow!$A$2:$A$261,INT((ROW()-2)/4)+1)</f>
        <v>46202</v>
      </c>
      <c r="B506" t="str" cm="1">
        <f t="array" ref="B506">INDEX(Weekly_Inventory_Flow!$B$2:$B$261,INT((ROW()-2)/4)+1)</f>
        <v>P002</v>
      </c>
      <c r="C506" t="str" cm="1">
        <f t="array" ref="C506">INDEX(BOM!$B$2:$B$21,MATCH(B506,BOM!$A$2:$A$21,0)+MOD(ROW()-2,4))</f>
        <v>M002</v>
      </c>
      <c r="D506" cm="1">
        <f t="array" ref="D506">INDEX(Weekly_Inventory_Flow!$I$2:$I$261,INT((ROW()-2)/4)+1)</f>
        <v>13400</v>
      </c>
      <c r="E506" cm="1">
        <f t="array" ref="E506">INDEX(BOM!$C$2:$C$21,MATCH(B506,BOM!$A$2:$A$21,0)+MOD(ROW()-2,4))</f>
        <v>0.3</v>
      </c>
      <c r="F506">
        <f t="shared" si="7"/>
        <v>4020</v>
      </c>
    </row>
    <row r="507" spans="1:6">
      <c r="A507" s="1" cm="1">
        <f t="array" ref="A507">INDEX(Weekly_Inventory_Flow!$A$2:$A$261,INT((ROW()-2)/4)+1)</f>
        <v>46202</v>
      </c>
      <c r="B507" t="str" cm="1">
        <f t="array" ref="B507">INDEX(Weekly_Inventory_Flow!$B$2:$B$261,INT((ROW()-2)/4)+1)</f>
        <v>P002</v>
      </c>
      <c r="C507" t="str" cm="1">
        <f t="array" ref="C507">INDEX(BOM!$B$2:$B$21,MATCH(B507,BOM!$A$2:$A$21,0)+MOD(ROW()-2,4))</f>
        <v>M006</v>
      </c>
      <c r="D507" cm="1">
        <f t="array" ref="D507">INDEX(Weekly_Inventory_Flow!$I$2:$I$261,INT((ROW()-2)/4)+1)</f>
        <v>13400</v>
      </c>
      <c r="E507" cm="1">
        <f t="array" ref="E507">INDEX(BOM!$C$2:$C$21,MATCH(B507,BOM!$A$2:$A$21,0)+MOD(ROW()-2,4))</f>
        <v>8.0000000000000002E-3</v>
      </c>
      <c r="F507">
        <f t="shared" si="7"/>
        <v>107.2</v>
      </c>
    </row>
    <row r="508" spans="1:6">
      <c r="A508" s="1" cm="1">
        <f t="array" ref="A508">INDEX(Weekly_Inventory_Flow!$A$2:$A$261,INT((ROW()-2)/4)+1)</f>
        <v>46202</v>
      </c>
      <c r="B508" t="str" cm="1">
        <f t="array" ref="B508">INDEX(Weekly_Inventory_Flow!$B$2:$B$261,INT((ROW()-2)/4)+1)</f>
        <v>P002</v>
      </c>
      <c r="C508" t="str" cm="1">
        <f t="array" ref="C508">INDEX(BOM!$B$2:$B$21,MATCH(B508,BOM!$A$2:$A$21,0)+MOD(ROW()-2,4))</f>
        <v>M007</v>
      </c>
      <c r="D508" cm="1">
        <f t="array" ref="D508">INDEX(Weekly_Inventory_Flow!$I$2:$I$261,INT((ROW()-2)/4)+1)</f>
        <v>13400</v>
      </c>
      <c r="E508" cm="1">
        <f t="array" ref="E508">INDEX(BOM!$C$2:$C$21,MATCH(B508,BOM!$A$2:$A$21,0)+MOD(ROW()-2,4))</f>
        <v>1</v>
      </c>
      <c r="F508">
        <f t="shared" si="7"/>
        <v>13400</v>
      </c>
    </row>
    <row r="509" spans="1:6">
      <c r="A509" s="1" cm="1">
        <f t="array" ref="A509">INDEX(Weekly_Inventory_Flow!$A$2:$A$261,INT((ROW()-2)/4)+1)</f>
        <v>46202</v>
      </c>
      <c r="B509" t="str" cm="1">
        <f t="array" ref="B509">INDEX(Weekly_Inventory_Flow!$B$2:$B$261,INT((ROW()-2)/4)+1)</f>
        <v>P002</v>
      </c>
      <c r="C509" t="str" cm="1">
        <f t="array" ref="C509">INDEX(BOM!$B$2:$B$21,MATCH(B509,BOM!$A$2:$A$21,0)+MOD(ROW()-2,4))</f>
        <v>M008</v>
      </c>
      <c r="D509" cm="1">
        <f t="array" ref="D509">INDEX(Weekly_Inventory_Flow!$I$2:$I$261,INT((ROW()-2)/4)+1)</f>
        <v>13400</v>
      </c>
      <c r="E509" cm="1">
        <f t="array" ref="E509">INDEX(BOM!$C$2:$C$21,MATCH(B509,BOM!$A$2:$A$21,0)+MOD(ROW()-2,4))</f>
        <v>1</v>
      </c>
      <c r="F509">
        <f t="shared" si="7"/>
        <v>13400</v>
      </c>
    </row>
    <row r="510" spans="1:6">
      <c r="A510" s="1" cm="1">
        <f t="array" ref="A510">INDEX(Weekly_Inventory_Flow!$A$2:$A$261,INT((ROW()-2)/4)+1)</f>
        <v>46202</v>
      </c>
      <c r="B510" t="str" cm="1">
        <f t="array" ref="B510">INDEX(Weekly_Inventory_Flow!$B$2:$B$261,INT((ROW()-2)/4)+1)</f>
        <v>P003</v>
      </c>
      <c r="C510" t="str" cm="1">
        <f t="array" ref="C510">INDEX(BOM!$B$2:$B$21,MATCH(B510,BOM!$A$2:$A$21,0)+MOD(ROW()-2,4))</f>
        <v>M003</v>
      </c>
      <c r="D510" cm="1">
        <f t="array" ref="D510">INDEX(Weekly_Inventory_Flow!$I$2:$I$261,INT((ROW()-2)/4)+1)</f>
        <v>11700</v>
      </c>
      <c r="E510" cm="1">
        <f t="array" ref="E510">INDEX(BOM!$C$2:$C$21,MATCH(B510,BOM!$A$2:$A$21,0)+MOD(ROW()-2,4))</f>
        <v>0.25</v>
      </c>
      <c r="F510">
        <f t="shared" si="7"/>
        <v>2925</v>
      </c>
    </row>
    <row r="511" spans="1:6">
      <c r="A511" s="1" cm="1">
        <f t="array" ref="A511">INDEX(Weekly_Inventory_Flow!$A$2:$A$261,INT((ROW()-2)/4)+1)</f>
        <v>46202</v>
      </c>
      <c r="B511" t="str" cm="1">
        <f t="array" ref="B511">INDEX(Weekly_Inventory_Flow!$B$2:$B$261,INT((ROW()-2)/4)+1)</f>
        <v>P003</v>
      </c>
      <c r="C511" t="str" cm="1">
        <f t="array" ref="C511">INDEX(BOM!$B$2:$B$21,MATCH(B511,BOM!$A$2:$A$21,0)+MOD(ROW()-2,4))</f>
        <v>M006</v>
      </c>
      <c r="D511" cm="1">
        <f t="array" ref="D511">INDEX(Weekly_Inventory_Flow!$I$2:$I$261,INT((ROW()-2)/4)+1)</f>
        <v>11700</v>
      </c>
      <c r="E511" cm="1">
        <f t="array" ref="E511">INDEX(BOM!$C$2:$C$21,MATCH(B511,BOM!$A$2:$A$21,0)+MOD(ROW()-2,4))</f>
        <v>6.0000000000000001E-3</v>
      </c>
      <c r="F511">
        <f t="shared" si="7"/>
        <v>70.2</v>
      </c>
    </row>
    <row r="512" spans="1:6">
      <c r="A512" s="1" cm="1">
        <f t="array" ref="A512">INDEX(Weekly_Inventory_Flow!$A$2:$A$261,INT((ROW()-2)/4)+1)</f>
        <v>46202</v>
      </c>
      <c r="B512" t="str" cm="1">
        <f t="array" ref="B512">INDEX(Weekly_Inventory_Flow!$B$2:$B$261,INT((ROW()-2)/4)+1)</f>
        <v>P003</v>
      </c>
      <c r="C512" t="str" cm="1">
        <f t="array" ref="C512">INDEX(BOM!$B$2:$B$21,MATCH(B512,BOM!$A$2:$A$21,0)+MOD(ROW()-2,4))</f>
        <v>M007</v>
      </c>
      <c r="D512" cm="1">
        <f t="array" ref="D512">INDEX(Weekly_Inventory_Flow!$I$2:$I$261,INT((ROW()-2)/4)+1)</f>
        <v>11700</v>
      </c>
      <c r="E512" cm="1">
        <f t="array" ref="E512">INDEX(BOM!$C$2:$C$21,MATCH(B512,BOM!$A$2:$A$21,0)+MOD(ROW()-2,4))</f>
        <v>1</v>
      </c>
      <c r="F512">
        <f t="shared" si="7"/>
        <v>11700</v>
      </c>
    </row>
    <row r="513" spans="1:6">
      <c r="A513" s="1" cm="1">
        <f t="array" ref="A513">INDEX(Weekly_Inventory_Flow!$A$2:$A$261,INT((ROW()-2)/4)+1)</f>
        <v>46202</v>
      </c>
      <c r="B513" t="str" cm="1">
        <f t="array" ref="B513">INDEX(Weekly_Inventory_Flow!$B$2:$B$261,INT((ROW()-2)/4)+1)</f>
        <v>P003</v>
      </c>
      <c r="C513" t="str" cm="1">
        <f t="array" ref="C513">INDEX(BOM!$B$2:$B$21,MATCH(B513,BOM!$A$2:$A$21,0)+MOD(ROW()-2,4))</f>
        <v>M008</v>
      </c>
      <c r="D513" cm="1">
        <f t="array" ref="D513">INDEX(Weekly_Inventory_Flow!$I$2:$I$261,INT((ROW()-2)/4)+1)</f>
        <v>11700</v>
      </c>
      <c r="E513" cm="1">
        <f t="array" ref="E513">INDEX(BOM!$C$2:$C$21,MATCH(B513,BOM!$A$2:$A$21,0)+MOD(ROW()-2,4))</f>
        <v>1</v>
      </c>
      <c r="F513">
        <f t="shared" si="7"/>
        <v>11700</v>
      </c>
    </row>
    <row r="514" spans="1:6">
      <c r="A514" s="1" cm="1">
        <f t="array" ref="A514">INDEX(Weekly_Inventory_Flow!$A$2:$A$261,INT((ROW()-2)/4)+1)</f>
        <v>46202</v>
      </c>
      <c r="B514" t="str" cm="1">
        <f t="array" ref="B514">INDEX(Weekly_Inventory_Flow!$B$2:$B$261,INT((ROW()-2)/4)+1)</f>
        <v>P004</v>
      </c>
      <c r="C514" t="str" cm="1">
        <f t="array" ref="C514">INDEX(BOM!$B$2:$B$21,MATCH(B514,BOM!$A$2:$A$21,0)+MOD(ROW()-2,4))</f>
        <v>M004</v>
      </c>
      <c r="D514" cm="1">
        <f t="array" ref="D514">INDEX(Weekly_Inventory_Flow!$I$2:$I$261,INT((ROW()-2)/4)+1)</f>
        <v>12000</v>
      </c>
      <c r="E514" cm="1">
        <f t="array" ref="E514">INDEX(BOM!$C$2:$C$21,MATCH(B514,BOM!$A$2:$A$21,0)+MOD(ROW()-2,4))</f>
        <v>0.34</v>
      </c>
      <c r="F514">
        <f t="shared" si="7"/>
        <v>4080.0000000000005</v>
      </c>
    </row>
    <row r="515" spans="1:6">
      <c r="A515" s="1" cm="1">
        <f t="array" ref="A515">INDEX(Weekly_Inventory_Flow!$A$2:$A$261,INT((ROW()-2)/4)+1)</f>
        <v>46202</v>
      </c>
      <c r="B515" t="str" cm="1">
        <f t="array" ref="B515">INDEX(Weekly_Inventory_Flow!$B$2:$B$261,INT((ROW()-2)/4)+1)</f>
        <v>P004</v>
      </c>
      <c r="C515" t="str" cm="1">
        <f t="array" ref="C515">INDEX(BOM!$B$2:$B$21,MATCH(B515,BOM!$A$2:$A$21,0)+MOD(ROW()-2,4))</f>
        <v>M006</v>
      </c>
      <c r="D515" cm="1">
        <f t="array" ref="D515">INDEX(Weekly_Inventory_Flow!$I$2:$I$261,INT((ROW()-2)/4)+1)</f>
        <v>12000</v>
      </c>
      <c r="E515" cm="1">
        <f t="array" ref="E515">INDEX(BOM!$C$2:$C$21,MATCH(B515,BOM!$A$2:$A$21,0)+MOD(ROW()-2,4))</f>
        <v>8.9999999999999993E-3</v>
      </c>
      <c r="F515">
        <f t="shared" ref="F515:F578" si="8">D515*E515</f>
        <v>107.99999999999999</v>
      </c>
    </row>
    <row r="516" spans="1:6">
      <c r="A516" s="1" cm="1">
        <f t="array" ref="A516">INDEX(Weekly_Inventory_Flow!$A$2:$A$261,INT((ROW()-2)/4)+1)</f>
        <v>46202</v>
      </c>
      <c r="B516" t="str" cm="1">
        <f t="array" ref="B516">INDEX(Weekly_Inventory_Flow!$B$2:$B$261,INT((ROW()-2)/4)+1)</f>
        <v>P004</v>
      </c>
      <c r="C516" t="str" cm="1">
        <f t="array" ref="C516">INDEX(BOM!$B$2:$B$21,MATCH(B516,BOM!$A$2:$A$21,0)+MOD(ROW()-2,4))</f>
        <v>M007</v>
      </c>
      <c r="D516" cm="1">
        <f t="array" ref="D516">INDEX(Weekly_Inventory_Flow!$I$2:$I$261,INT((ROW()-2)/4)+1)</f>
        <v>12000</v>
      </c>
      <c r="E516" cm="1">
        <f t="array" ref="E516">INDEX(BOM!$C$2:$C$21,MATCH(B516,BOM!$A$2:$A$21,0)+MOD(ROW()-2,4))</f>
        <v>1</v>
      </c>
      <c r="F516">
        <f t="shared" si="8"/>
        <v>12000</v>
      </c>
    </row>
    <row r="517" spans="1:6">
      <c r="A517" s="1" cm="1">
        <f t="array" ref="A517">INDEX(Weekly_Inventory_Flow!$A$2:$A$261,INT((ROW()-2)/4)+1)</f>
        <v>46202</v>
      </c>
      <c r="B517" t="str" cm="1">
        <f t="array" ref="B517">INDEX(Weekly_Inventory_Flow!$B$2:$B$261,INT((ROW()-2)/4)+1)</f>
        <v>P004</v>
      </c>
      <c r="C517" t="str" cm="1">
        <f t="array" ref="C517">INDEX(BOM!$B$2:$B$21,MATCH(B517,BOM!$A$2:$A$21,0)+MOD(ROW()-2,4))</f>
        <v>M008</v>
      </c>
      <c r="D517" cm="1">
        <f t="array" ref="D517">INDEX(Weekly_Inventory_Flow!$I$2:$I$261,INT((ROW()-2)/4)+1)</f>
        <v>12000</v>
      </c>
      <c r="E517" cm="1">
        <f t="array" ref="E517">INDEX(BOM!$C$2:$C$21,MATCH(B517,BOM!$A$2:$A$21,0)+MOD(ROW()-2,4))</f>
        <v>1</v>
      </c>
      <c r="F517">
        <f t="shared" si="8"/>
        <v>12000</v>
      </c>
    </row>
    <row r="518" spans="1:6">
      <c r="A518" s="1" cm="1">
        <f t="array" ref="A518">INDEX(Weekly_Inventory_Flow!$A$2:$A$261,INT((ROW()-2)/4)+1)</f>
        <v>46202</v>
      </c>
      <c r="B518" t="str" cm="1">
        <f t="array" ref="B518">INDEX(Weekly_Inventory_Flow!$B$2:$B$261,INT((ROW()-2)/4)+1)</f>
        <v>P005</v>
      </c>
      <c r="C518" t="str" cm="1">
        <f t="array" ref="C518">INDEX(BOM!$B$2:$B$21,MATCH(B518,BOM!$A$2:$A$21,0)+MOD(ROW()-2,4))</f>
        <v>M005</v>
      </c>
      <c r="D518" cm="1">
        <f t="array" ref="D518">INDEX(Weekly_Inventory_Flow!$I$2:$I$261,INT((ROW()-2)/4)+1)</f>
        <v>9400</v>
      </c>
      <c r="E518" cm="1">
        <f t="array" ref="E518">INDEX(BOM!$C$2:$C$21,MATCH(B518,BOM!$A$2:$A$21,0)+MOD(ROW()-2,4))</f>
        <v>0.52</v>
      </c>
      <c r="F518">
        <f t="shared" si="8"/>
        <v>4888</v>
      </c>
    </row>
    <row r="519" spans="1:6">
      <c r="A519" s="1" cm="1">
        <f t="array" ref="A519">INDEX(Weekly_Inventory_Flow!$A$2:$A$261,INT((ROW()-2)/4)+1)</f>
        <v>46202</v>
      </c>
      <c r="B519" t="str" cm="1">
        <f t="array" ref="B519">INDEX(Weekly_Inventory_Flow!$B$2:$B$261,INT((ROW()-2)/4)+1)</f>
        <v>P005</v>
      </c>
      <c r="C519" t="str" cm="1">
        <f t="array" ref="C519">INDEX(BOM!$B$2:$B$21,MATCH(B519,BOM!$A$2:$A$21,0)+MOD(ROW()-2,4))</f>
        <v>M006</v>
      </c>
      <c r="D519" cm="1">
        <f t="array" ref="D519">INDEX(Weekly_Inventory_Flow!$I$2:$I$261,INT((ROW()-2)/4)+1)</f>
        <v>9400</v>
      </c>
      <c r="E519" cm="1">
        <f t="array" ref="E519">INDEX(BOM!$C$2:$C$21,MATCH(B519,BOM!$A$2:$A$21,0)+MOD(ROW()-2,4))</f>
        <v>1.2E-2</v>
      </c>
      <c r="F519">
        <f t="shared" si="8"/>
        <v>112.8</v>
      </c>
    </row>
    <row r="520" spans="1:6">
      <c r="A520" s="1" cm="1">
        <f t="array" ref="A520">INDEX(Weekly_Inventory_Flow!$A$2:$A$261,INT((ROW()-2)/4)+1)</f>
        <v>46202</v>
      </c>
      <c r="B520" t="str" cm="1">
        <f t="array" ref="B520">INDEX(Weekly_Inventory_Flow!$B$2:$B$261,INT((ROW()-2)/4)+1)</f>
        <v>P005</v>
      </c>
      <c r="C520" t="str" cm="1">
        <f t="array" ref="C520">INDEX(BOM!$B$2:$B$21,MATCH(B520,BOM!$A$2:$A$21,0)+MOD(ROW()-2,4))</f>
        <v>M007</v>
      </c>
      <c r="D520" cm="1">
        <f t="array" ref="D520">INDEX(Weekly_Inventory_Flow!$I$2:$I$261,INT((ROW()-2)/4)+1)</f>
        <v>9400</v>
      </c>
      <c r="E520" cm="1">
        <f t="array" ref="E520">INDEX(BOM!$C$2:$C$21,MATCH(B520,BOM!$A$2:$A$21,0)+MOD(ROW()-2,4))</f>
        <v>1</v>
      </c>
      <c r="F520">
        <f t="shared" si="8"/>
        <v>9400</v>
      </c>
    </row>
    <row r="521" spans="1:6">
      <c r="A521" s="1" cm="1">
        <f t="array" ref="A521">INDEX(Weekly_Inventory_Flow!$A$2:$A$261,INT((ROW()-2)/4)+1)</f>
        <v>46202</v>
      </c>
      <c r="B521" t="str" cm="1">
        <f t="array" ref="B521">INDEX(Weekly_Inventory_Flow!$B$2:$B$261,INT((ROW()-2)/4)+1)</f>
        <v>P005</v>
      </c>
      <c r="C521" t="str" cm="1">
        <f t="array" ref="C521">INDEX(BOM!$B$2:$B$21,MATCH(B521,BOM!$A$2:$A$21,0)+MOD(ROW()-2,4))</f>
        <v>M008</v>
      </c>
      <c r="D521" cm="1">
        <f t="array" ref="D521">INDEX(Weekly_Inventory_Flow!$I$2:$I$261,INT((ROW()-2)/4)+1)</f>
        <v>9400</v>
      </c>
      <c r="E521" cm="1">
        <f t="array" ref="E521">INDEX(BOM!$C$2:$C$21,MATCH(B521,BOM!$A$2:$A$21,0)+MOD(ROW()-2,4))</f>
        <v>1</v>
      </c>
      <c r="F521">
        <f t="shared" si="8"/>
        <v>9400</v>
      </c>
    </row>
    <row r="522" spans="1:6">
      <c r="A522" s="1" cm="1">
        <f t="array" ref="A522">INDEX(Weekly_Inventory_Flow!$A$2:$A$261,INT((ROW()-2)/4)+1)</f>
        <v>46209</v>
      </c>
      <c r="B522" t="str" cm="1">
        <f t="array" ref="B522">INDEX(Weekly_Inventory_Flow!$B$2:$B$261,INT((ROW()-2)/4)+1)</f>
        <v>P001</v>
      </c>
      <c r="C522" t="str" cm="1">
        <f t="array" ref="C522">INDEX(BOM!$B$2:$B$21,MATCH(B522,BOM!$A$2:$A$21,0)+MOD(ROW()-2,4))</f>
        <v>M001</v>
      </c>
      <c r="D522" cm="1">
        <f t="array" ref="D522">INDEX(Weekly_Inventory_Flow!$I$2:$I$261,INT((ROW()-2)/4)+1)</f>
        <v>15800</v>
      </c>
      <c r="E522" cm="1">
        <f t="array" ref="E522">INDEX(BOM!$C$2:$C$21,MATCH(B522,BOM!$A$2:$A$21,0)+MOD(ROW()-2,4))</f>
        <v>0.35</v>
      </c>
      <c r="F522">
        <f t="shared" si="8"/>
        <v>5530</v>
      </c>
    </row>
    <row r="523" spans="1:6">
      <c r="A523" s="1" cm="1">
        <f t="array" ref="A523">INDEX(Weekly_Inventory_Flow!$A$2:$A$261,INT((ROW()-2)/4)+1)</f>
        <v>46209</v>
      </c>
      <c r="B523" t="str" cm="1">
        <f t="array" ref="B523">INDEX(Weekly_Inventory_Flow!$B$2:$B$261,INT((ROW()-2)/4)+1)</f>
        <v>P001</v>
      </c>
      <c r="C523" t="str" cm="1">
        <f t="array" ref="C523">INDEX(BOM!$B$2:$B$21,MATCH(B523,BOM!$A$2:$A$21,0)+MOD(ROW()-2,4))</f>
        <v>M006</v>
      </c>
      <c r="D523" cm="1">
        <f t="array" ref="D523">INDEX(Weekly_Inventory_Flow!$I$2:$I$261,INT((ROW()-2)/4)+1)</f>
        <v>15800</v>
      </c>
      <c r="E523" cm="1">
        <f t="array" ref="E523">INDEX(BOM!$C$2:$C$21,MATCH(B523,BOM!$A$2:$A$21,0)+MOD(ROW()-2,4))</f>
        <v>0.01</v>
      </c>
      <c r="F523">
        <f t="shared" si="8"/>
        <v>158</v>
      </c>
    </row>
    <row r="524" spans="1:6">
      <c r="A524" s="1" cm="1">
        <f t="array" ref="A524">INDEX(Weekly_Inventory_Flow!$A$2:$A$261,INT((ROW()-2)/4)+1)</f>
        <v>46209</v>
      </c>
      <c r="B524" t="str" cm="1">
        <f t="array" ref="B524">INDEX(Weekly_Inventory_Flow!$B$2:$B$261,INT((ROW()-2)/4)+1)</f>
        <v>P001</v>
      </c>
      <c r="C524" t="str" cm="1">
        <f t="array" ref="C524">INDEX(BOM!$B$2:$B$21,MATCH(B524,BOM!$A$2:$A$21,0)+MOD(ROW()-2,4))</f>
        <v>M007</v>
      </c>
      <c r="D524" cm="1">
        <f t="array" ref="D524">INDEX(Weekly_Inventory_Flow!$I$2:$I$261,INT((ROW()-2)/4)+1)</f>
        <v>15800</v>
      </c>
      <c r="E524" cm="1">
        <f t="array" ref="E524">INDEX(BOM!$C$2:$C$21,MATCH(B524,BOM!$A$2:$A$21,0)+MOD(ROW()-2,4))</f>
        <v>1</v>
      </c>
      <c r="F524">
        <f t="shared" si="8"/>
        <v>15800</v>
      </c>
    </row>
    <row r="525" spans="1:6">
      <c r="A525" s="1" cm="1">
        <f t="array" ref="A525">INDEX(Weekly_Inventory_Flow!$A$2:$A$261,INT((ROW()-2)/4)+1)</f>
        <v>46209</v>
      </c>
      <c r="B525" t="str" cm="1">
        <f t="array" ref="B525">INDEX(Weekly_Inventory_Flow!$B$2:$B$261,INT((ROW()-2)/4)+1)</f>
        <v>P001</v>
      </c>
      <c r="C525" t="str" cm="1">
        <f t="array" ref="C525">INDEX(BOM!$B$2:$B$21,MATCH(B525,BOM!$A$2:$A$21,0)+MOD(ROW()-2,4))</f>
        <v>M008</v>
      </c>
      <c r="D525" cm="1">
        <f t="array" ref="D525">INDEX(Weekly_Inventory_Flow!$I$2:$I$261,INT((ROW()-2)/4)+1)</f>
        <v>15800</v>
      </c>
      <c r="E525" cm="1">
        <f t="array" ref="E525">INDEX(BOM!$C$2:$C$21,MATCH(B525,BOM!$A$2:$A$21,0)+MOD(ROW()-2,4))</f>
        <v>1</v>
      </c>
      <c r="F525">
        <f t="shared" si="8"/>
        <v>15800</v>
      </c>
    </row>
    <row r="526" spans="1:6">
      <c r="A526" s="1" cm="1">
        <f t="array" ref="A526">INDEX(Weekly_Inventory_Flow!$A$2:$A$261,INT((ROW()-2)/4)+1)</f>
        <v>46209</v>
      </c>
      <c r="B526" t="str" cm="1">
        <f t="array" ref="B526">INDEX(Weekly_Inventory_Flow!$B$2:$B$261,INT((ROW()-2)/4)+1)</f>
        <v>P002</v>
      </c>
      <c r="C526" t="str" cm="1">
        <f t="array" ref="C526">INDEX(BOM!$B$2:$B$21,MATCH(B526,BOM!$A$2:$A$21,0)+MOD(ROW()-2,4))</f>
        <v>M002</v>
      </c>
      <c r="D526" cm="1">
        <f t="array" ref="D526">INDEX(Weekly_Inventory_Flow!$I$2:$I$261,INT((ROW()-2)/4)+1)</f>
        <v>14300</v>
      </c>
      <c r="E526" cm="1">
        <f t="array" ref="E526">INDEX(BOM!$C$2:$C$21,MATCH(B526,BOM!$A$2:$A$21,0)+MOD(ROW()-2,4))</f>
        <v>0.3</v>
      </c>
      <c r="F526">
        <f t="shared" si="8"/>
        <v>4290</v>
      </c>
    </row>
    <row r="527" spans="1:6">
      <c r="A527" s="1" cm="1">
        <f t="array" ref="A527">INDEX(Weekly_Inventory_Flow!$A$2:$A$261,INT((ROW()-2)/4)+1)</f>
        <v>46209</v>
      </c>
      <c r="B527" t="str" cm="1">
        <f t="array" ref="B527">INDEX(Weekly_Inventory_Flow!$B$2:$B$261,INT((ROW()-2)/4)+1)</f>
        <v>P002</v>
      </c>
      <c r="C527" t="str" cm="1">
        <f t="array" ref="C527">INDEX(BOM!$B$2:$B$21,MATCH(B527,BOM!$A$2:$A$21,0)+MOD(ROW()-2,4))</f>
        <v>M006</v>
      </c>
      <c r="D527" cm="1">
        <f t="array" ref="D527">INDEX(Weekly_Inventory_Flow!$I$2:$I$261,INT((ROW()-2)/4)+1)</f>
        <v>14300</v>
      </c>
      <c r="E527" cm="1">
        <f t="array" ref="E527">INDEX(BOM!$C$2:$C$21,MATCH(B527,BOM!$A$2:$A$21,0)+MOD(ROW()-2,4))</f>
        <v>8.0000000000000002E-3</v>
      </c>
      <c r="F527">
        <f t="shared" si="8"/>
        <v>114.4</v>
      </c>
    </row>
    <row r="528" spans="1:6">
      <c r="A528" s="1" cm="1">
        <f t="array" ref="A528">INDEX(Weekly_Inventory_Flow!$A$2:$A$261,INT((ROW()-2)/4)+1)</f>
        <v>46209</v>
      </c>
      <c r="B528" t="str" cm="1">
        <f t="array" ref="B528">INDEX(Weekly_Inventory_Flow!$B$2:$B$261,INT((ROW()-2)/4)+1)</f>
        <v>P002</v>
      </c>
      <c r="C528" t="str" cm="1">
        <f t="array" ref="C528">INDEX(BOM!$B$2:$B$21,MATCH(B528,BOM!$A$2:$A$21,0)+MOD(ROW()-2,4))</f>
        <v>M007</v>
      </c>
      <c r="D528" cm="1">
        <f t="array" ref="D528">INDEX(Weekly_Inventory_Flow!$I$2:$I$261,INT((ROW()-2)/4)+1)</f>
        <v>14300</v>
      </c>
      <c r="E528" cm="1">
        <f t="array" ref="E528">INDEX(BOM!$C$2:$C$21,MATCH(B528,BOM!$A$2:$A$21,0)+MOD(ROW()-2,4))</f>
        <v>1</v>
      </c>
      <c r="F528">
        <f t="shared" si="8"/>
        <v>14300</v>
      </c>
    </row>
    <row r="529" spans="1:6">
      <c r="A529" s="1" cm="1">
        <f t="array" ref="A529">INDEX(Weekly_Inventory_Flow!$A$2:$A$261,INT((ROW()-2)/4)+1)</f>
        <v>46209</v>
      </c>
      <c r="B529" t="str" cm="1">
        <f t="array" ref="B529">INDEX(Weekly_Inventory_Flow!$B$2:$B$261,INT((ROW()-2)/4)+1)</f>
        <v>P002</v>
      </c>
      <c r="C529" t="str" cm="1">
        <f t="array" ref="C529">INDEX(BOM!$B$2:$B$21,MATCH(B529,BOM!$A$2:$A$21,0)+MOD(ROW()-2,4))</f>
        <v>M008</v>
      </c>
      <c r="D529" cm="1">
        <f t="array" ref="D529">INDEX(Weekly_Inventory_Flow!$I$2:$I$261,INT((ROW()-2)/4)+1)</f>
        <v>14300</v>
      </c>
      <c r="E529" cm="1">
        <f t="array" ref="E529">INDEX(BOM!$C$2:$C$21,MATCH(B529,BOM!$A$2:$A$21,0)+MOD(ROW()-2,4))</f>
        <v>1</v>
      </c>
      <c r="F529">
        <f t="shared" si="8"/>
        <v>14300</v>
      </c>
    </row>
    <row r="530" spans="1:6">
      <c r="A530" s="1" cm="1">
        <f t="array" ref="A530">INDEX(Weekly_Inventory_Flow!$A$2:$A$261,INT((ROW()-2)/4)+1)</f>
        <v>46209</v>
      </c>
      <c r="B530" t="str" cm="1">
        <f t="array" ref="B530">INDEX(Weekly_Inventory_Flow!$B$2:$B$261,INT((ROW()-2)/4)+1)</f>
        <v>P003</v>
      </c>
      <c r="C530" t="str" cm="1">
        <f t="array" ref="C530">INDEX(BOM!$B$2:$B$21,MATCH(B530,BOM!$A$2:$A$21,0)+MOD(ROW()-2,4))</f>
        <v>M003</v>
      </c>
      <c r="D530" cm="1">
        <f t="array" ref="D530">INDEX(Weekly_Inventory_Flow!$I$2:$I$261,INT((ROW()-2)/4)+1)</f>
        <v>11600</v>
      </c>
      <c r="E530" cm="1">
        <f t="array" ref="E530">INDEX(BOM!$C$2:$C$21,MATCH(B530,BOM!$A$2:$A$21,0)+MOD(ROW()-2,4))</f>
        <v>0.25</v>
      </c>
      <c r="F530">
        <f t="shared" si="8"/>
        <v>2900</v>
      </c>
    </row>
    <row r="531" spans="1:6">
      <c r="A531" s="1" cm="1">
        <f t="array" ref="A531">INDEX(Weekly_Inventory_Flow!$A$2:$A$261,INT((ROW()-2)/4)+1)</f>
        <v>46209</v>
      </c>
      <c r="B531" t="str" cm="1">
        <f t="array" ref="B531">INDEX(Weekly_Inventory_Flow!$B$2:$B$261,INT((ROW()-2)/4)+1)</f>
        <v>P003</v>
      </c>
      <c r="C531" t="str" cm="1">
        <f t="array" ref="C531">INDEX(BOM!$B$2:$B$21,MATCH(B531,BOM!$A$2:$A$21,0)+MOD(ROW()-2,4))</f>
        <v>M006</v>
      </c>
      <c r="D531" cm="1">
        <f t="array" ref="D531">INDEX(Weekly_Inventory_Flow!$I$2:$I$261,INT((ROW()-2)/4)+1)</f>
        <v>11600</v>
      </c>
      <c r="E531" cm="1">
        <f t="array" ref="E531">INDEX(BOM!$C$2:$C$21,MATCH(B531,BOM!$A$2:$A$21,0)+MOD(ROW()-2,4))</f>
        <v>6.0000000000000001E-3</v>
      </c>
      <c r="F531">
        <f t="shared" si="8"/>
        <v>69.600000000000009</v>
      </c>
    </row>
    <row r="532" spans="1:6">
      <c r="A532" s="1" cm="1">
        <f t="array" ref="A532">INDEX(Weekly_Inventory_Flow!$A$2:$A$261,INT((ROW()-2)/4)+1)</f>
        <v>46209</v>
      </c>
      <c r="B532" t="str" cm="1">
        <f t="array" ref="B532">INDEX(Weekly_Inventory_Flow!$B$2:$B$261,INT((ROW()-2)/4)+1)</f>
        <v>P003</v>
      </c>
      <c r="C532" t="str" cm="1">
        <f t="array" ref="C532">INDEX(BOM!$B$2:$B$21,MATCH(B532,BOM!$A$2:$A$21,0)+MOD(ROW()-2,4))</f>
        <v>M007</v>
      </c>
      <c r="D532" cm="1">
        <f t="array" ref="D532">INDEX(Weekly_Inventory_Flow!$I$2:$I$261,INT((ROW()-2)/4)+1)</f>
        <v>11600</v>
      </c>
      <c r="E532" cm="1">
        <f t="array" ref="E532">INDEX(BOM!$C$2:$C$21,MATCH(B532,BOM!$A$2:$A$21,0)+MOD(ROW()-2,4))</f>
        <v>1</v>
      </c>
      <c r="F532">
        <f t="shared" si="8"/>
        <v>11600</v>
      </c>
    </row>
    <row r="533" spans="1:6">
      <c r="A533" s="1" cm="1">
        <f t="array" ref="A533">INDEX(Weekly_Inventory_Flow!$A$2:$A$261,INT((ROW()-2)/4)+1)</f>
        <v>46209</v>
      </c>
      <c r="B533" t="str" cm="1">
        <f t="array" ref="B533">INDEX(Weekly_Inventory_Flow!$B$2:$B$261,INT((ROW()-2)/4)+1)</f>
        <v>P003</v>
      </c>
      <c r="C533" t="str" cm="1">
        <f t="array" ref="C533">INDEX(BOM!$B$2:$B$21,MATCH(B533,BOM!$A$2:$A$21,0)+MOD(ROW()-2,4))</f>
        <v>M008</v>
      </c>
      <c r="D533" cm="1">
        <f t="array" ref="D533">INDEX(Weekly_Inventory_Flow!$I$2:$I$261,INT((ROW()-2)/4)+1)</f>
        <v>11600</v>
      </c>
      <c r="E533" cm="1">
        <f t="array" ref="E533">INDEX(BOM!$C$2:$C$21,MATCH(B533,BOM!$A$2:$A$21,0)+MOD(ROW()-2,4))</f>
        <v>1</v>
      </c>
      <c r="F533">
        <f t="shared" si="8"/>
        <v>11600</v>
      </c>
    </row>
    <row r="534" spans="1:6">
      <c r="A534" s="1" cm="1">
        <f t="array" ref="A534">INDEX(Weekly_Inventory_Flow!$A$2:$A$261,INT((ROW()-2)/4)+1)</f>
        <v>46209</v>
      </c>
      <c r="B534" t="str" cm="1">
        <f t="array" ref="B534">INDEX(Weekly_Inventory_Flow!$B$2:$B$261,INT((ROW()-2)/4)+1)</f>
        <v>P004</v>
      </c>
      <c r="C534" t="str" cm="1">
        <f t="array" ref="C534">INDEX(BOM!$B$2:$B$21,MATCH(B534,BOM!$A$2:$A$21,0)+MOD(ROW()-2,4))</f>
        <v>M004</v>
      </c>
      <c r="D534" cm="1">
        <f t="array" ref="D534">INDEX(Weekly_Inventory_Flow!$I$2:$I$261,INT((ROW()-2)/4)+1)</f>
        <v>12500</v>
      </c>
      <c r="E534" cm="1">
        <f t="array" ref="E534">INDEX(BOM!$C$2:$C$21,MATCH(B534,BOM!$A$2:$A$21,0)+MOD(ROW()-2,4))</f>
        <v>0.34</v>
      </c>
      <c r="F534">
        <f t="shared" si="8"/>
        <v>4250</v>
      </c>
    </row>
    <row r="535" spans="1:6">
      <c r="A535" s="1" cm="1">
        <f t="array" ref="A535">INDEX(Weekly_Inventory_Flow!$A$2:$A$261,INT((ROW()-2)/4)+1)</f>
        <v>46209</v>
      </c>
      <c r="B535" t="str" cm="1">
        <f t="array" ref="B535">INDEX(Weekly_Inventory_Flow!$B$2:$B$261,INT((ROW()-2)/4)+1)</f>
        <v>P004</v>
      </c>
      <c r="C535" t="str" cm="1">
        <f t="array" ref="C535">INDEX(BOM!$B$2:$B$21,MATCH(B535,BOM!$A$2:$A$21,0)+MOD(ROW()-2,4))</f>
        <v>M006</v>
      </c>
      <c r="D535" cm="1">
        <f t="array" ref="D535">INDEX(Weekly_Inventory_Flow!$I$2:$I$261,INT((ROW()-2)/4)+1)</f>
        <v>12500</v>
      </c>
      <c r="E535" cm="1">
        <f t="array" ref="E535">INDEX(BOM!$C$2:$C$21,MATCH(B535,BOM!$A$2:$A$21,0)+MOD(ROW()-2,4))</f>
        <v>8.9999999999999993E-3</v>
      </c>
      <c r="F535">
        <f t="shared" si="8"/>
        <v>112.49999999999999</v>
      </c>
    </row>
    <row r="536" spans="1:6">
      <c r="A536" s="1" cm="1">
        <f t="array" ref="A536">INDEX(Weekly_Inventory_Flow!$A$2:$A$261,INT((ROW()-2)/4)+1)</f>
        <v>46209</v>
      </c>
      <c r="B536" t="str" cm="1">
        <f t="array" ref="B536">INDEX(Weekly_Inventory_Flow!$B$2:$B$261,INT((ROW()-2)/4)+1)</f>
        <v>P004</v>
      </c>
      <c r="C536" t="str" cm="1">
        <f t="array" ref="C536">INDEX(BOM!$B$2:$B$21,MATCH(B536,BOM!$A$2:$A$21,0)+MOD(ROW()-2,4))</f>
        <v>M007</v>
      </c>
      <c r="D536" cm="1">
        <f t="array" ref="D536">INDEX(Weekly_Inventory_Flow!$I$2:$I$261,INT((ROW()-2)/4)+1)</f>
        <v>12500</v>
      </c>
      <c r="E536" cm="1">
        <f t="array" ref="E536">INDEX(BOM!$C$2:$C$21,MATCH(B536,BOM!$A$2:$A$21,0)+MOD(ROW()-2,4))</f>
        <v>1</v>
      </c>
      <c r="F536">
        <f t="shared" si="8"/>
        <v>12500</v>
      </c>
    </row>
    <row r="537" spans="1:6">
      <c r="A537" s="1" cm="1">
        <f t="array" ref="A537">INDEX(Weekly_Inventory_Flow!$A$2:$A$261,INT((ROW()-2)/4)+1)</f>
        <v>46209</v>
      </c>
      <c r="B537" t="str" cm="1">
        <f t="array" ref="B537">INDEX(Weekly_Inventory_Flow!$B$2:$B$261,INT((ROW()-2)/4)+1)</f>
        <v>P004</v>
      </c>
      <c r="C537" t="str" cm="1">
        <f t="array" ref="C537">INDEX(BOM!$B$2:$B$21,MATCH(B537,BOM!$A$2:$A$21,0)+MOD(ROW()-2,4))</f>
        <v>M008</v>
      </c>
      <c r="D537" cm="1">
        <f t="array" ref="D537">INDEX(Weekly_Inventory_Flow!$I$2:$I$261,INT((ROW()-2)/4)+1)</f>
        <v>12500</v>
      </c>
      <c r="E537" cm="1">
        <f t="array" ref="E537">INDEX(BOM!$C$2:$C$21,MATCH(B537,BOM!$A$2:$A$21,0)+MOD(ROW()-2,4))</f>
        <v>1</v>
      </c>
      <c r="F537">
        <f t="shared" si="8"/>
        <v>12500</v>
      </c>
    </row>
    <row r="538" spans="1:6">
      <c r="A538" s="1" cm="1">
        <f t="array" ref="A538">INDEX(Weekly_Inventory_Flow!$A$2:$A$261,INT((ROW()-2)/4)+1)</f>
        <v>46209</v>
      </c>
      <c r="B538" t="str" cm="1">
        <f t="array" ref="B538">INDEX(Weekly_Inventory_Flow!$B$2:$B$261,INT((ROW()-2)/4)+1)</f>
        <v>P005</v>
      </c>
      <c r="C538" t="str" cm="1">
        <f t="array" ref="C538">INDEX(BOM!$B$2:$B$21,MATCH(B538,BOM!$A$2:$A$21,0)+MOD(ROW()-2,4))</f>
        <v>M005</v>
      </c>
      <c r="D538" cm="1">
        <f t="array" ref="D538">INDEX(Weekly_Inventory_Flow!$I$2:$I$261,INT((ROW()-2)/4)+1)</f>
        <v>10100</v>
      </c>
      <c r="E538" cm="1">
        <f t="array" ref="E538">INDEX(BOM!$C$2:$C$21,MATCH(B538,BOM!$A$2:$A$21,0)+MOD(ROW()-2,4))</f>
        <v>0.52</v>
      </c>
      <c r="F538">
        <f t="shared" si="8"/>
        <v>5252</v>
      </c>
    </row>
    <row r="539" spans="1:6">
      <c r="A539" s="1" cm="1">
        <f t="array" ref="A539">INDEX(Weekly_Inventory_Flow!$A$2:$A$261,INT((ROW()-2)/4)+1)</f>
        <v>46209</v>
      </c>
      <c r="B539" t="str" cm="1">
        <f t="array" ref="B539">INDEX(Weekly_Inventory_Flow!$B$2:$B$261,INT((ROW()-2)/4)+1)</f>
        <v>P005</v>
      </c>
      <c r="C539" t="str" cm="1">
        <f t="array" ref="C539">INDEX(BOM!$B$2:$B$21,MATCH(B539,BOM!$A$2:$A$21,0)+MOD(ROW()-2,4))</f>
        <v>M006</v>
      </c>
      <c r="D539" cm="1">
        <f t="array" ref="D539">INDEX(Weekly_Inventory_Flow!$I$2:$I$261,INT((ROW()-2)/4)+1)</f>
        <v>10100</v>
      </c>
      <c r="E539" cm="1">
        <f t="array" ref="E539">INDEX(BOM!$C$2:$C$21,MATCH(B539,BOM!$A$2:$A$21,0)+MOD(ROW()-2,4))</f>
        <v>1.2E-2</v>
      </c>
      <c r="F539">
        <f t="shared" si="8"/>
        <v>121.2</v>
      </c>
    </row>
    <row r="540" spans="1:6">
      <c r="A540" s="1" cm="1">
        <f t="array" ref="A540">INDEX(Weekly_Inventory_Flow!$A$2:$A$261,INT((ROW()-2)/4)+1)</f>
        <v>46209</v>
      </c>
      <c r="B540" t="str" cm="1">
        <f t="array" ref="B540">INDEX(Weekly_Inventory_Flow!$B$2:$B$261,INT((ROW()-2)/4)+1)</f>
        <v>P005</v>
      </c>
      <c r="C540" t="str" cm="1">
        <f t="array" ref="C540">INDEX(BOM!$B$2:$B$21,MATCH(B540,BOM!$A$2:$A$21,0)+MOD(ROW()-2,4))</f>
        <v>M007</v>
      </c>
      <c r="D540" cm="1">
        <f t="array" ref="D540">INDEX(Weekly_Inventory_Flow!$I$2:$I$261,INT((ROW()-2)/4)+1)</f>
        <v>10100</v>
      </c>
      <c r="E540" cm="1">
        <f t="array" ref="E540">INDEX(BOM!$C$2:$C$21,MATCH(B540,BOM!$A$2:$A$21,0)+MOD(ROW()-2,4))</f>
        <v>1</v>
      </c>
      <c r="F540">
        <f t="shared" si="8"/>
        <v>10100</v>
      </c>
    </row>
    <row r="541" spans="1:6">
      <c r="A541" s="1" cm="1">
        <f t="array" ref="A541">INDEX(Weekly_Inventory_Flow!$A$2:$A$261,INT((ROW()-2)/4)+1)</f>
        <v>46209</v>
      </c>
      <c r="B541" t="str" cm="1">
        <f t="array" ref="B541">INDEX(Weekly_Inventory_Flow!$B$2:$B$261,INT((ROW()-2)/4)+1)</f>
        <v>P005</v>
      </c>
      <c r="C541" t="str" cm="1">
        <f t="array" ref="C541">INDEX(BOM!$B$2:$B$21,MATCH(B541,BOM!$A$2:$A$21,0)+MOD(ROW()-2,4))</f>
        <v>M008</v>
      </c>
      <c r="D541" cm="1">
        <f t="array" ref="D541">INDEX(Weekly_Inventory_Flow!$I$2:$I$261,INT((ROW()-2)/4)+1)</f>
        <v>10100</v>
      </c>
      <c r="E541" cm="1">
        <f t="array" ref="E541">INDEX(BOM!$C$2:$C$21,MATCH(B541,BOM!$A$2:$A$21,0)+MOD(ROW()-2,4))</f>
        <v>1</v>
      </c>
      <c r="F541">
        <f t="shared" si="8"/>
        <v>10100</v>
      </c>
    </row>
    <row r="542" spans="1:6">
      <c r="A542" s="1" cm="1">
        <f t="array" ref="A542">INDEX(Weekly_Inventory_Flow!$A$2:$A$261,INT((ROW()-2)/4)+1)</f>
        <v>46216</v>
      </c>
      <c r="B542" t="str" cm="1">
        <f t="array" ref="B542">INDEX(Weekly_Inventory_Flow!$B$2:$B$261,INT((ROW()-2)/4)+1)</f>
        <v>P001</v>
      </c>
      <c r="C542" t="str" cm="1">
        <f t="array" ref="C542">INDEX(BOM!$B$2:$B$21,MATCH(B542,BOM!$A$2:$A$21,0)+MOD(ROW()-2,4))</f>
        <v>M001</v>
      </c>
      <c r="D542" cm="1">
        <f t="array" ref="D542">INDEX(Weekly_Inventory_Flow!$I$2:$I$261,INT((ROW()-2)/4)+1)</f>
        <v>15700</v>
      </c>
      <c r="E542" cm="1">
        <f t="array" ref="E542">INDEX(BOM!$C$2:$C$21,MATCH(B542,BOM!$A$2:$A$21,0)+MOD(ROW()-2,4))</f>
        <v>0.35</v>
      </c>
      <c r="F542">
        <f t="shared" si="8"/>
        <v>5495</v>
      </c>
    </row>
    <row r="543" spans="1:6">
      <c r="A543" s="1" cm="1">
        <f t="array" ref="A543">INDEX(Weekly_Inventory_Flow!$A$2:$A$261,INT((ROW()-2)/4)+1)</f>
        <v>46216</v>
      </c>
      <c r="B543" t="str" cm="1">
        <f t="array" ref="B543">INDEX(Weekly_Inventory_Flow!$B$2:$B$261,INT((ROW()-2)/4)+1)</f>
        <v>P001</v>
      </c>
      <c r="C543" t="str" cm="1">
        <f t="array" ref="C543">INDEX(BOM!$B$2:$B$21,MATCH(B543,BOM!$A$2:$A$21,0)+MOD(ROW()-2,4))</f>
        <v>M006</v>
      </c>
      <c r="D543" cm="1">
        <f t="array" ref="D543">INDEX(Weekly_Inventory_Flow!$I$2:$I$261,INT((ROW()-2)/4)+1)</f>
        <v>15700</v>
      </c>
      <c r="E543" cm="1">
        <f t="array" ref="E543">INDEX(BOM!$C$2:$C$21,MATCH(B543,BOM!$A$2:$A$21,0)+MOD(ROW()-2,4))</f>
        <v>0.01</v>
      </c>
      <c r="F543">
        <f t="shared" si="8"/>
        <v>157</v>
      </c>
    </row>
    <row r="544" spans="1:6">
      <c r="A544" s="1" cm="1">
        <f t="array" ref="A544">INDEX(Weekly_Inventory_Flow!$A$2:$A$261,INT((ROW()-2)/4)+1)</f>
        <v>46216</v>
      </c>
      <c r="B544" t="str" cm="1">
        <f t="array" ref="B544">INDEX(Weekly_Inventory_Flow!$B$2:$B$261,INT((ROW()-2)/4)+1)</f>
        <v>P001</v>
      </c>
      <c r="C544" t="str" cm="1">
        <f t="array" ref="C544">INDEX(BOM!$B$2:$B$21,MATCH(B544,BOM!$A$2:$A$21,0)+MOD(ROW()-2,4))</f>
        <v>M007</v>
      </c>
      <c r="D544" cm="1">
        <f t="array" ref="D544">INDEX(Weekly_Inventory_Flow!$I$2:$I$261,INT((ROW()-2)/4)+1)</f>
        <v>15700</v>
      </c>
      <c r="E544" cm="1">
        <f t="array" ref="E544">INDEX(BOM!$C$2:$C$21,MATCH(B544,BOM!$A$2:$A$21,0)+MOD(ROW()-2,4))</f>
        <v>1</v>
      </c>
      <c r="F544">
        <f t="shared" si="8"/>
        <v>15700</v>
      </c>
    </row>
    <row r="545" spans="1:6">
      <c r="A545" s="1" cm="1">
        <f t="array" ref="A545">INDEX(Weekly_Inventory_Flow!$A$2:$A$261,INT((ROW()-2)/4)+1)</f>
        <v>46216</v>
      </c>
      <c r="B545" t="str" cm="1">
        <f t="array" ref="B545">INDEX(Weekly_Inventory_Flow!$B$2:$B$261,INT((ROW()-2)/4)+1)</f>
        <v>P001</v>
      </c>
      <c r="C545" t="str" cm="1">
        <f t="array" ref="C545">INDEX(BOM!$B$2:$B$21,MATCH(B545,BOM!$A$2:$A$21,0)+MOD(ROW()-2,4))</f>
        <v>M008</v>
      </c>
      <c r="D545" cm="1">
        <f t="array" ref="D545">INDEX(Weekly_Inventory_Flow!$I$2:$I$261,INT((ROW()-2)/4)+1)</f>
        <v>15700</v>
      </c>
      <c r="E545" cm="1">
        <f t="array" ref="E545">INDEX(BOM!$C$2:$C$21,MATCH(B545,BOM!$A$2:$A$21,0)+MOD(ROW()-2,4))</f>
        <v>1</v>
      </c>
      <c r="F545">
        <f t="shared" si="8"/>
        <v>15700</v>
      </c>
    </row>
    <row r="546" spans="1:6">
      <c r="A546" s="1" cm="1">
        <f t="array" ref="A546">INDEX(Weekly_Inventory_Flow!$A$2:$A$261,INT((ROW()-2)/4)+1)</f>
        <v>46216</v>
      </c>
      <c r="B546" t="str" cm="1">
        <f t="array" ref="B546">INDEX(Weekly_Inventory_Flow!$B$2:$B$261,INT((ROW()-2)/4)+1)</f>
        <v>P002</v>
      </c>
      <c r="C546" t="str" cm="1">
        <f t="array" ref="C546">INDEX(BOM!$B$2:$B$21,MATCH(B546,BOM!$A$2:$A$21,0)+MOD(ROW()-2,4))</f>
        <v>M002</v>
      </c>
      <c r="D546" cm="1">
        <f t="array" ref="D546">INDEX(Weekly_Inventory_Flow!$I$2:$I$261,INT((ROW()-2)/4)+1)</f>
        <v>14100</v>
      </c>
      <c r="E546" cm="1">
        <f t="array" ref="E546">INDEX(BOM!$C$2:$C$21,MATCH(B546,BOM!$A$2:$A$21,0)+MOD(ROW()-2,4))</f>
        <v>0.3</v>
      </c>
      <c r="F546">
        <f t="shared" si="8"/>
        <v>4230</v>
      </c>
    </row>
    <row r="547" spans="1:6">
      <c r="A547" s="1" cm="1">
        <f t="array" ref="A547">INDEX(Weekly_Inventory_Flow!$A$2:$A$261,INT((ROW()-2)/4)+1)</f>
        <v>46216</v>
      </c>
      <c r="B547" t="str" cm="1">
        <f t="array" ref="B547">INDEX(Weekly_Inventory_Flow!$B$2:$B$261,INT((ROW()-2)/4)+1)</f>
        <v>P002</v>
      </c>
      <c r="C547" t="str" cm="1">
        <f t="array" ref="C547">INDEX(BOM!$B$2:$B$21,MATCH(B547,BOM!$A$2:$A$21,0)+MOD(ROW()-2,4))</f>
        <v>M006</v>
      </c>
      <c r="D547" cm="1">
        <f t="array" ref="D547">INDEX(Weekly_Inventory_Flow!$I$2:$I$261,INT((ROW()-2)/4)+1)</f>
        <v>14100</v>
      </c>
      <c r="E547" cm="1">
        <f t="array" ref="E547">INDEX(BOM!$C$2:$C$21,MATCH(B547,BOM!$A$2:$A$21,0)+MOD(ROW()-2,4))</f>
        <v>8.0000000000000002E-3</v>
      </c>
      <c r="F547">
        <f t="shared" si="8"/>
        <v>112.8</v>
      </c>
    </row>
    <row r="548" spans="1:6">
      <c r="A548" s="1" cm="1">
        <f t="array" ref="A548">INDEX(Weekly_Inventory_Flow!$A$2:$A$261,INT((ROW()-2)/4)+1)</f>
        <v>46216</v>
      </c>
      <c r="B548" t="str" cm="1">
        <f t="array" ref="B548">INDEX(Weekly_Inventory_Flow!$B$2:$B$261,INT((ROW()-2)/4)+1)</f>
        <v>P002</v>
      </c>
      <c r="C548" t="str" cm="1">
        <f t="array" ref="C548">INDEX(BOM!$B$2:$B$21,MATCH(B548,BOM!$A$2:$A$21,0)+MOD(ROW()-2,4))</f>
        <v>M007</v>
      </c>
      <c r="D548" cm="1">
        <f t="array" ref="D548">INDEX(Weekly_Inventory_Flow!$I$2:$I$261,INT((ROW()-2)/4)+1)</f>
        <v>14100</v>
      </c>
      <c r="E548" cm="1">
        <f t="array" ref="E548">INDEX(BOM!$C$2:$C$21,MATCH(B548,BOM!$A$2:$A$21,0)+MOD(ROW()-2,4))</f>
        <v>1</v>
      </c>
      <c r="F548">
        <f t="shared" si="8"/>
        <v>14100</v>
      </c>
    </row>
    <row r="549" spans="1:6">
      <c r="A549" s="1" cm="1">
        <f t="array" ref="A549">INDEX(Weekly_Inventory_Flow!$A$2:$A$261,INT((ROW()-2)/4)+1)</f>
        <v>46216</v>
      </c>
      <c r="B549" t="str" cm="1">
        <f t="array" ref="B549">INDEX(Weekly_Inventory_Flow!$B$2:$B$261,INT((ROW()-2)/4)+1)</f>
        <v>P002</v>
      </c>
      <c r="C549" t="str" cm="1">
        <f t="array" ref="C549">INDEX(BOM!$B$2:$B$21,MATCH(B549,BOM!$A$2:$A$21,0)+MOD(ROW()-2,4))</f>
        <v>M008</v>
      </c>
      <c r="D549" cm="1">
        <f t="array" ref="D549">INDEX(Weekly_Inventory_Flow!$I$2:$I$261,INT((ROW()-2)/4)+1)</f>
        <v>14100</v>
      </c>
      <c r="E549" cm="1">
        <f t="array" ref="E549">INDEX(BOM!$C$2:$C$21,MATCH(B549,BOM!$A$2:$A$21,0)+MOD(ROW()-2,4))</f>
        <v>1</v>
      </c>
      <c r="F549">
        <f t="shared" si="8"/>
        <v>14100</v>
      </c>
    </row>
    <row r="550" spans="1:6">
      <c r="A550" s="1" cm="1">
        <f t="array" ref="A550">INDEX(Weekly_Inventory_Flow!$A$2:$A$261,INT((ROW()-2)/4)+1)</f>
        <v>46216</v>
      </c>
      <c r="B550" t="str" cm="1">
        <f t="array" ref="B550">INDEX(Weekly_Inventory_Flow!$B$2:$B$261,INT((ROW()-2)/4)+1)</f>
        <v>P003</v>
      </c>
      <c r="C550" t="str" cm="1">
        <f t="array" ref="C550">INDEX(BOM!$B$2:$B$21,MATCH(B550,BOM!$A$2:$A$21,0)+MOD(ROW()-2,4))</f>
        <v>M003</v>
      </c>
      <c r="D550" cm="1">
        <f t="array" ref="D550">INDEX(Weekly_Inventory_Flow!$I$2:$I$261,INT((ROW()-2)/4)+1)</f>
        <v>12100</v>
      </c>
      <c r="E550" cm="1">
        <f t="array" ref="E550">INDEX(BOM!$C$2:$C$21,MATCH(B550,BOM!$A$2:$A$21,0)+MOD(ROW()-2,4))</f>
        <v>0.25</v>
      </c>
      <c r="F550">
        <f t="shared" si="8"/>
        <v>3025</v>
      </c>
    </row>
    <row r="551" spans="1:6">
      <c r="A551" s="1" cm="1">
        <f t="array" ref="A551">INDEX(Weekly_Inventory_Flow!$A$2:$A$261,INT((ROW()-2)/4)+1)</f>
        <v>46216</v>
      </c>
      <c r="B551" t="str" cm="1">
        <f t="array" ref="B551">INDEX(Weekly_Inventory_Flow!$B$2:$B$261,INT((ROW()-2)/4)+1)</f>
        <v>P003</v>
      </c>
      <c r="C551" t="str" cm="1">
        <f t="array" ref="C551">INDEX(BOM!$B$2:$B$21,MATCH(B551,BOM!$A$2:$A$21,0)+MOD(ROW()-2,4))</f>
        <v>M006</v>
      </c>
      <c r="D551" cm="1">
        <f t="array" ref="D551">INDEX(Weekly_Inventory_Flow!$I$2:$I$261,INT((ROW()-2)/4)+1)</f>
        <v>12100</v>
      </c>
      <c r="E551" cm="1">
        <f t="array" ref="E551">INDEX(BOM!$C$2:$C$21,MATCH(B551,BOM!$A$2:$A$21,0)+MOD(ROW()-2,4))</f>
        <v>6.0000000000000001E-3</v>
      </c>
      <c r="F551">
        <f t="shared" si="8"/>
        <v>72.600000000000009</v>
      </c>
    </row>
    <row r="552" spans="1:6">
      <c r="A552" s="1" cm="1">
        <f t="array" ref="A552">INDEX(Weekly_Inventory_Flow!$A$2:$A$261,INT((ROW()-2)/4)+1)</f>
        <v>46216</v>
      </c>
      <c r="B552" t="str" cm="1">
        <f t="array" ref="B552">INDEX(Weekly_Inventory_Flow!$B$2:$B$261,INT((ROW()-2)/4)+1)</f>
        <v>P003</v>
      </c>
      <c r="C552" t="str" cm="1">
        <f t="array" ref="C552">INDEX(BOM!$B$2:$B$21,MATCH(B552,BOM!$A$2:$A$21,0)+MOD(ROW()-2,4))</f>
        <v>M007</v>
      </c>
      <c r="D552" cm="1">
        <f t="array" ref="D552">INDEX(Weekly_Inventory_Flow!$I$2:$I$261,INT((ROW()-2)/4)+1)</f>
        <v>12100</v>
      </c>
      <c r="E552" cm="1">
        <f t="array" ref="E552">INDEX(BOM!$C$2:$C$21,MATCH(B552,BOM!$A$2:$A$21,0)+MOD(ROW()-2,4))</f>
        <v>1</v>
      </c>
      <c r="F552">
        <f t="shared" si="8"/>
        <v>12100</v>
      </c>
    </row>
    <row r="553" spans="1:6">
      <c r="A553" s="1" cm="1">
        <f t="array" ref="A553">INDEX(Weekly_Inventory_Flow!$A$2:$A$261,INT((ROW()-2)/4)+1)</f>
        <v>46216</v>
      </c>
      <c r="B553" t="str" cm="1">
        <f t="array" ref="B553">INDEX(Weekly_Inventory_Flow!$B$2:$B$261,INT((ROW()-2)/4)+1)</f>
        <v>P003</v>
      </c>
      <c r="C553" t="str" cm="1">
        <f t="array" ref="C553">INDEX(BOM!$B$2:$B$21,MATCH(B553,BOM!$A$2:$A$21,0)+MOD(ROW()-2,4))</f>
        <v>M008</v>
      </c>
      <c r="D553" cm="1">
        <f t="array" ref="D553">INDEX(Weekly_Inventory_Flow!$I$2:$I$261,INT((ROW()-2)/4)+1)</f>
        <v>12100</v>
      </c>
      <c r="E553" cm="1">
        <f t="array" ref="E553">INDEX(BOM!$C$2:$C$21,MATCH(B553,BOM!$A$2:$A$21,0)+MOD(ROW()-2,4))</f>
        <v>1</v>
      </c>
      <c r="F553">
        <f t="shared" si="8"/>
        <v>12100</v>
      </c>
    </row>
    <row r="554" spans="1:6">
      <c r="A554" s="1" cm="1">
        <f t="array" ref="A554">INDEX(Weekly_Inventory_Flow!$A$2:$A$261,INT((ROW()-2)/4)+1)</f>
        <v>46216</v>
      </c>
      <c r="B554" t="str" cm="1">
        <f t="array" ref="B554">INDEX(Weekly_Inventory_Flow!$B$2:$B$261,INT((ROW()-2)/4)+1)</f>
        <v>P004</v>
      </c>
      <c r="C554" t="str" cm="1">
        <f t="array" ref="C554">INDEX(BOM!$B$2:$B$21,MATCH(B554,BOM!$A$2:$A$21,0)+MOD(ROW()-2,4))</f>
        <v>M004</v>
      </c>
      <c r="D554" cm="1">
        <f t="array" ref="D554">INDEX(Weekly_Inventory_Flow!$I$2:$I$261,INT((ROW()-2)/4)+1)</f>
        <v>12100</v>
      </c>
      <c r="E554" cm="1">
        <f t="array" ref="E554">INDEX(BOM!$C$2:$C$21,MATCH(B554,BOM!$A$2:$A$21,0)+MOD(ROW()-2,4))</f>
        <v>0.34</v>
      </c>
      <c r="F554">
        <f t="shared" si="8"/>
        <v>4114</v>
      </c>
    </row>
    <row r="555" spans="1:6">
      <c r="A555" s="1" cm="1">
        <f t="array" ref="A555">INDEX(Weekly_Inventory_Flow!$A$2:$A$261,INT((ROW()-2)/4)+1)</f>
        <v>46216</v>
      </c>
      <c r="B555" t="str" cm="1">
        <f t="array" ref="B555">INDEX(Weekly_Inventory_Flow!$B$2:$B$261,INT((ROW()-2)/4)+1)</f>
        <v>P004</v>
      </c>
      <c r="C555" t="str" cm="1">
        <f t="array" ref="C555">INDEX(BOM!$B$2:$B$21,MATCH(B555,BOM!$A$2:$A$21,0)+MOD(ROW()-2,4))</f>
        <v>M006</v>
      </c>
      <c r="D555" cm="1">
        <f t="array" ref="D555">INDEX(Weekly_Inventory_Flow!$I$2:$I$261,INT((ROW()-2)/4)+1)</f>
        <v>12100</v>
      </c>
      <c r="E555" cm="1">
        <f t="array" ref="E555">INDEX(BOM!$C$2:$C$21,MATCH(B555,BOM!$A$2:$A$21,0)+MOD(ROW()-2,4))</f>
        <v>8.9999999999999993E-3</v>
      </c>
      <c r="F555">
        <f t="shared" si="8"/>
        <v>108.89999999999999</v>
      </c>
    </row>
    <row r="556" spans="1:6">
      <c r="A556" s="1" cm="1">
        <f t="array" ref="A556">INDEX(Weekly_Inventory_Flow!$A$2:$A$261,INT((ROW()-2)/4)+1)</f>
        <v>46216</v>
      </c>
      <c r="B556" t="str" cm="1">
        <f t="array" ref="B556">INDEX(Weekly_Inventory_Flow!$B$2:$B$261,INT((ROW()-2)/4)+1)</f>
        <v>P004</v>
      </c>
      <c r="C556" t="str" cm="1">
        <f t="array" ref="C556">INDEX(BOM!$B$2:$B$21,MATCH(B556,BOM!$A$2:$A$21,0)+MOD(ROW()-2,4))</f>
        <v>M007</v>
      </c>
      <c r="D556" cm="1">
        <f t="array" ref="D556">INDEX(Weekly_Inventory_Flow!$I$2:$I$261,INT((ROW()-2)/4)+1)</f>
        <v>12100</v>
      </c>
      <c r="E556" cm="1">
        <f t="array" ref="E556">INDEX(BOM!$C$2:$C$21,MATCH(B556,BOM!$A$2:$A$21,0)+MOD(ROW()-2,4))</f>
        <v>1</v>
      </c>
      <c r="F556">
        <f t="shared" si="8"/>
        <v>12100</v>
      </c>
    </row>
    <row r="557" spans="1:6">
      <c r="A557" s="1" cm="1">
        <f t="array" ref="A557">INDEX(Weekly_Inventory_Flow!$A$2:$A$261,INT((ROW()-2)/4)+1)</f>
        <v>46216</v>
      </c>
      <c r="B557" t="str" cm="1">
        <f t="array" ref="B557">INDEX(Weekly_Inventory_Flow!$B$2:$B$261,INT((ROW()-2)/4)+1)</f>
        <v>P004</v>
      </c>
      <c r="C557" t="str" cm="1">
        <f t="array" ref="C557">INDEX(BOM!$B$2:$B$21,MATCH(B557,BOM!$A$2:$A$21,0)+MOD(ROW()-2,4))</f>
        <v>M008</v>
      </c>
      <c r="D557" cm="1">
        <f t="array" ref="D557">INDEX(Weekly_Inventory_Flow!$I$2:$I$261,INT((ROW()-2)/4)+1)</f>
        <v>12100</v>
      </c>
      <c r="E557" cm="1">
        <f t="array" ref="E557">INDEX(BOM!$C$2:$C$21,MATCH(B557,BOM!$A$2:$A$21,0)+MOD(ROW()-2,4))</f>
        <v>1</v>
      </c>
      <c r="F557">
        <f t="shared" si="8"/>
        <v>12100</v>
      </c>
    </row>
    <row r="558" spans="1:6">
      <c r="A558" s="1" cm="1">
        <f t="array" ref="A558">INDEX(Weekly_Inventory_Flow!$A$2:$A$261,INT((ROW()-2)/4)+1)</f>
        <v>46216</v>
      </c>
      <c r="B558" t="str" cm="1">
        <f t="array" ref="B558">INDEX(Weekly_Inventory_Flow!$B$2:$B$261,INT((ROW()-2)/4)+1)</f>
        <v>P005</v>
      </c>
      <c r="C558" t="str" cm="1">
        <f t="array" ref="C558">INDEX(BOM!$B$2:$B$21,MATCH(B558,BOM!$A$2:$A$21,0)+MOD(ROW()-2,4))</f>
        <v>M005</v>
      </c>
      <c r="D558" cm="1">
        <f t="array" ref="D558">INDEX(Weekly_Inventory_Flow!$I$2:$I$261,INT((ROW()-2)/4)+1)</f>
        <v>9800</v>
      </c>
      <c r="E558" cm="1">
        <f t="array" ref="E558">INDEX(BOM!$C$2:$C$21,MATCH(B558,BOM!$A$2:$A$21,0)+MOD(ROW()-2,4))</f>
        <v>0.52</v>
      </c>
      <c r="F558">
        <f t="shared" si="8"/>
        <v>5096</v>
      </c>
    </row>
    <row r="559" spans="1:6">
      <c r="A559" s="1" cm="1">
        <f t="array" ref="A559">INDEX(Weekly_Inventory_Flow!$A$2:$A$261,INT((ROW()-2)/4)+1)</f>
        <v>46216</v>
      </c>
      <c r="B559" t="str" cm="1">
        <f t="array" ref="B559">INDEX(Weekly_Inventory_Flow!$B$2:$B$261,INT((ROW()-2)/4)+1)</f>
        <v>P005</v>
      </c>
      <c r="C559" t="str" cm="1">
        <f t="array" ref="C559">INDEX(BOM!$B$2:$B$21,MATCH(B559,BOM!$A$2:$A$21,0)+MOD(ROW()-2,4))</f>
        <v>M006</v>
      </c>
      <c r="D559" cm="1">
        <f t="array" ref="D559">INDEX(Weekly_Inventory_Flow!$I$2:$I$261,INT((ROW()-2)/4)+1)</f>
        <v>9800</v>
      </c>
      <c r="E559" cm="1">
        <f t="array" ref="E559">INDEX(BOM!$C$2:$C$21,MATCH(B559,BOM!$A$2:$A$21,0)+MOD(ROW()-2,4))</f>
        <v>1.2E-2</v>
      </c>
      <c r="F559">
        <f t="shared" si="8"/>
        <v>117.60000000000001</v>
      </c>
    </row>
    <row r="560" spans="1:6">
      <c r="A560" s="1" cm="1">
        <f t="array" ref="A560">INDEX(Weekly_Inventory_Flow!$A$2:$A$261,INT((ROW()-2)/4)+1)</f>
        <v>46216</v>
      </c>
      <c r="B560" t="str" cm="1">
        <f t="array" ref="B560">INDEX(Weekly_Inventory_Flow!$B$2:$B$261,INT((ROW()-2)/4)+1)</f>
        <v>P005</v>
      </c>
      <c r="C560" t="str" cm="1">
        <f t="array" ref="C560">INDEX(BOM!$B$2:$B$21,MATCH(B560,BOM!$A$2:$A$21,0)+MOD(ROW()-2,4))</f>
        <v>M007</v>
      </c>
      <c r="D560" cm="1">
        <f t="array" ref="D560">INDEX(Weekly_Inventory_Flow!$I$2:$I$261,INT((ROW()-2)/4)+1)</f>
        <v>9800</v>
      </c>
      <c r="E560" cm="1">
        <f t="array" ref="E560">INDEX(BOM!$C$2:$C$21,MATCH(B560,BOM!$A$2:$A$21,0)+MOD(ROW()-2,4))</f>
        <v>1</v>
      </c>
      <c r="F560">
        <f t="shared" si="8"/>
        <v>9800</v>
      </c>
    </row>
    <row r="561" spans="1:6">
      <c r="A561" s="1" cm="1">
        <f t="array" ref="A561">INDEX(Weekly_Inventory_Flow!$A$2:$A$261,INT((ROW()-2)/4)+1)</f>
        <v>46216</v>
      </c>
      <c r="B561" t="str" cm="1">
        <f t="array" ref="B561">INDEX(Weekly_Inventory_Flow!$B$2:$B$261,INT((ROW()-2)/4)+1)</f>
        <v>P005</v>
      </c>
      <c r="C561" t="str" cm="1">
        <f t="array" ref="C561">INDEX(BOM!$B$2:$B$21,MATCH(B561,BOM!$A$2:$A$21,0)+MOD(ROW()-2,4))</f>
        <v>M008</v>
      </c>
      <c r="D561" cm="1">
        <f t="array" ref="D561">INDEX(Weekly_Inventory_Flow!$I$2:$I$261,INT((ROW()-2)/4)+1)</f>
        <v>9800</v>
      </c>
      <c r="E561" cm="1">
        <f t="array" ref="E561">INDEX(BOM!$C$2:$C$21,MATCH(B561,BOM!$A$2:$A$21,0)+MOD(ROW()-2,4))</f>
        <v>1</v>
      </c>
      <c r="F561">
        <f t="shared" si="8"/>
        <v>9800</v>
      </c>
    </row>
    <row r="562" spans="1:6">
      <c r="A562" s="1" cm="1">
        <f t="array" ref="A562">INDEX(Weekly_Inventory_Flow!$A$2:$A$261,INT((ROW()-2)/4)+1)</f>
        <v>46223</v>
      </c>
      <c r="B562" t="str" cm="1">
        <f t="array" ref="B562">INDEX(Weekly_Inventory_Flow!$B$2:$B$261,INT((ROW()-2)/4)+1)</f>
        <v>P001</v>
      </c>
      <c r="C562" t="str" cm="1">
        <f t="array" ref="C562">INDEX(BOM!$B$2:$B$21,MATCH(B562,BOM!$A$2:$A$21,0)+MOD(ROW()-2,4))</f>
        <v>M001</v>
      </c>
      <c r="D562" cm="1">
        <f t="array" ref="D562">INDEX(Weekly_Inventory_Flow!$I$2:$I$261,INT((ROW()-2)/4)+1)</f>
        <v>16000</v>
      </c>
      <c r="E562" cm="1">
        <f t="array" ref="E562">INDEX(BOM!$C$2:$C$21,MATCH(B562,BOM!$A$2:$A$21,0)+MOD(ROW()-2,4))</f>
        <v>0.35</v>
      </c>
      <c r="F562">
        <f t="shared" si="8"/>
        <v>5600</v>
      </c>
    </row>
    <row r="563" spans="1:6">
      <c r="A563" s="1" cm="1">
        <f t="array" ref="A563">INDEX(Weekly_Inventory_Flow!$A$2:$A$261,INT((ROW()-2)/4)+1)</f>
        <v>46223</v>
      </c>
      <c r="B563" t="str" cm="1">
        <f t="array" ref="B563">INDEX(Weekly_Inventory_Flow!$B$2:$B$261,INT((ROW()-2)/4)+1)</f>
        <v>P001</v>
      </c>
      <c r="C563" t="str" cm="1">
        <f t="array" ref="C563">INDEX(BOM!$B$2:$B$21,MATCH(B563,BOM!$A$2:$A$21,0)+MOD(ROW()-2,4))</f>
        <v>M006</v>
      </c>
      <c r="D563" cm="1">
        <f t="array" ref="D563">INDEX(Weekly_Inventory_Flow!$I$2:$I$261,INT((ROW()-2)/4)+1)</f>
        <v>16000</v>
      </c>
      <c r="E563" cm="1">
        <f t="array" ref="E563">INDEX(BOM!$C$2:$C$21,MATCH(B563,BOM!$A$2:$A$21,0)+MOD(ROW()-2,4))</f>
        <v>0.01</v>
      </c>
      <c r="F563">
        <f t="shared" si="8"/>
        <v>160</v>
      </c>
    </row>
    <row r="564" spans="1:6">
      <c r="A564" s="1" cm="1">
        <f t="array" ref="A564">INDEX(Weekly_Inventory_Flow!$A$2:$A$261,INT((ROW()-2)/4)+1)</f>
        <v>46223</v>
      </c>
      <c r="B564" t="str" cm="1">
        <f t="array" ref="B564">INDEX(Weekly_Inventory_Flow!$B$2:$B$261,INT((ROW()-2)/4)+1)</f>
        <v>P001</v>
      </c>
      <c r="C564" t="str" cm="1">
        <f t="array" ref="C564">INDEX(BOM!$B$2:$B$21,MATCH(B564,BOM!$A$2:$A$21,0)+MOD(ROW()-2,4))</f>
        <v>M007</v>
      </c>
      <c r="D564" cm="1">
        <f t="array" ref="D564">INDEX(Weekly_Inventory_Flow!$I$2:$I$261,INT((ROW()-2)/4)+1)</f>
        <v>16000</v>
      </c>
      <c r="E564" cm="1">
        <f t="array" ref="E564">INDEX(BOM!$C$2:$C$21,MATCH(B564,BOM!$A$2:$A$21,0)+MOD(ROW()-2,4))</f>
        <v>1</v>
      </c>
      <c r="F564">
        <f t="shared" si="8"/>
        <v>16000</v>
      </c>
    </row>
    <row r="565" spans="1:6">
      <c r="A565" s="1" cm="1">
        <f t="array" ref="A565">INDEX(Weekly_Inventory_Flow!$A$2:$A$261,INT((ROW()-2)/4)+1)</f>
        <v>46223</v>
      </c>
      <c r="B565" t="str" cm="1">
        <f t="array" ref="B565">INDEX(Weekly_Inventory_Flow!$B$2:$B$261,INT((ROW()-2)/4)+1)</f>
        <v>P001</v>
      </c>
      <c r="C565" t="str" cm="1">
        <f t="array" ref="C565">INDEX(BOM!$B$2:$B$21,MATCH(B565,BOM!$A$2:$A$21,0)+MOD(ROW()-2,4))</f>
        <v>M008</v>
      </c>
      <c r="D565" cm="1">
        <f t="array" ref="D565">INDEX(Weekly_Inventory_Flow!$I$2:$I$261,INT((ROW()-2)/4)+1)</f>
        <v>16000</v>
      </c>
      <c r="E565" cm="1">
        <f t="array" ref="E565">INDEX(BOM!$C$2:$C$21,MATCH(B565,BOM!$A$2:$A$21,0)+MOD(ROW()-2,4))</f>
        <v>1</v>
      </c>
      <c r="F565">
        <f t="shared" si="8"/>
        <v>16000</v>
      </c>
    </row>
    <row r="566" spans="1:6">
      <c r="A566" s="1" cm="1">
        <f t="array" ref="A566">INDEX(Weekly_Inventory_Flow!$A$2:$A$261,INT((ROW()-2)/4)+1)</f>
        <v>46223</v>
      </c>
      <c r="B566" t="str" cm="1">
        <f t="array" ref="B566">INDEX(Weekly_Inventory_Flow!$B$2:$B$261,INT((ROW()-2)/4)+1)</f>
        <v>P002</v>
      </c>
      <c r="C566" t="str" cm="1">
        <f t="array" ref="C566">INDEX(BOM!$B$2:$B$21,MATCH(B566,BOM!$A$2:$A$21,0)+MOD(ROW()-2,4))</f>
        <v>M002</v>
      </c>
      <c r="D566" cm="1">
        <f t="array" ref="D566">INDEX(Weekly_Inventory_Flow!$I$2:$I$261,INT((ROW()-2)/4)+1)</f>
        <v>13700</v>
      </c>
      <c r="E566" cm="1">
        <f t="array" ref="E566">INDEX(BOM!$C$2:$C$21,MATCH(B566,BOM!$A$2:$A$21,0)+MOD(ROW()-2,4))</f>
        <v>0.3</v>
      </c>
      <c r="F566">
        <f t="shared" si="8"/>
        <v>4110</v>
      </c>
    </row>
    <row r="567" spans="1:6">
      <c r="A567" s="1" cm="1">
        <f t="array" ref="A567">INDEX(Weekly_Inventory_Flow!$A$2:$A$261,INT((ROW()-2)/4)+1)</f>
        <v>46223</v>
      </c>
      <c r="B567" t="str" cm="1">
        <f t="array" ref="B567">INDEX(Weekly_Inventory_Flow!$B$2:$B$261,INT((ROW()-2)/4)+1)</f>
        <v>P002</v>
      </c>
      <c r="C567" t="str" cm="1">
        <f t="array" ref="C567">INDEX(BOM!$B$2:$B$21,MATCH(B567,BOM!$A$2:$A$21,0)+MOD(ROW()-2,4))</f>
        <v>M006</v>
      </c>
      <c r="D567" cm="1">
        <f t="array" ref="D567">INDEX(Weekly_Inventory_Flow!$I$2:$I$261,INT((ROW()-2)/4)+1)</f>
        <v>13700</v>
      </c>
      <c r="E567" cm="1">
        <f t="array" ref="E567">INDEX(BOM!$C$2:$C$21,MATCH(B567,BOM!$A$2:$A$21,0)+MOD(ROW()-2,4))</f>
        <v>8.0000000000000002E-3</v>
      </c>
      <c r="F567">
        <f t="shared" si="8"/>
        <v>109.60000000000001</v>
      </c>
    </row>
    <row r="568" spans="1:6">
      <c r="A568" s="1" cm="1">
        <f t="array" ref="A568">INDEX(Weekly_Inventory_Flow!$A$2:$A$261,INT((ROW()-2)/4)+1)</f>
        <v>46223</v>
      </c>
      <c r="B568" t="str" cm="1">
        <f t="array" ref="B568">INDEX(Weekly_Inventory_Flow!$B$2:$B$261,INT((ROW()-2)/4)+1)</f>
        <v>P002</v>
      </c>
      <c r="C568" t="str" cm="1">
        <f t="array" ref="C568">INDEX(BOM!$B$2:$B$21,MATCH(B568,BOM!$A$2:$A$21,0)+MOD(ROW()-2,4))</f>
        <v>M007</v>
      </c>
      <c r="D568" cm="1">
        <f t="array" ref="D568">INDEX(Weekly_Inventory_Flow!$I$2:$I$261,INT((ROW()-2)/4)+1)</f>
        <v>13700</v>
      </c>
      <c r="E568" cm="1">
        <f t="array" ref="E568">INDEX(BOM!$C$2:$C$21,MATCH(B568,BOM!$A$2:$A$21,0)+MOD(ROW()-2,4))</f>
        <v>1</v>
      </c>
      <c r="F568">
        <f t="shared" si="8"/>
        <v>13700</v>
      </c>
    </row>
    <row r="569" spans="1:6">
      <c r="A569" s="1" cm="1">
        <f t="array" ref="A569">INDEX(Weekly_Inventory_Flow!$A$2:$A$261,INT((ROW()-2)/4)+1)</f>
        <v>46223</v>
      </c>
      <c r="B569" t="str" cm="1">
        <f t="array" ref="B569">INDEX(Weekly_Inventory_Flow!$B$2:$B$261,INT((ROW()-2)/4)+1)</f>
        <v>P002</v>
      </c>
      <c r="C569" t="str" cm="1">
        <f t="array" ref="C569">INDEX(BOM!$B$2:$B$21,MATCH(B569,BOM!$A$2:$A$21,0)+MOD(ROW()-2,4))</f>
        <v>M008</v>
      </c>
      <c r="D569" cm="1">
        <f t="array" ref="D569">INDEX(Weekly_Inventory_Flow!$I$2:$I$261,INT((ROW()-2)/4)+1)</f>
        <v>13700</v>
      </c>
      <c r="E569" cm="1">
        <f t="array" ref="E569">INDEX(BOM!$C$2:$C$21,MATCH(B569,BOM!$A$2:$A$21,0)+MOD(ROW()-2,4))</f>
        <v>1</v>
      </c>
      <c r="F569">
        <f t="shared" si="8"/>
        <v>13700</v>
      </c>
    </row>
    <row r="570" spans="1:6">
      <c r="A570" s="1" cm="1">
        <f t="array" ref="A570">INDEX(Weekly_Inventory_Flow!$A$2:$A$261,INT((ROW()-2)/4)+1)</f>
        <v>46223</v>
      </c>
      <c r="B570" t="str" cm="1">
        <f t="array" ref="B570">INDEX(Weekly_Inventory_Flow!$B$2:$B$261,INT((ROW()-2)/4)+1)</f>
        <v>P003</v>
      </c>
      <c r="C570" t="str" cm="1">
        <f t="array" ref="C570">INDEX(BOM!$B$2:$B$21,MATCH(B570,BOM!$A$2:$A$21,0)+MOD(ROW()-2,4))</f>
        <v>M003</v>
      </c>
      <c r="D570" cm="1">
        <f t="array" ref="D570">INDEX(Weekly_Inventory_Flow!$I$2:$I$261,INT((ROW()-2)/4)+1)</f>
        <v>11000</v>
      </c>
      <c r="E570" cm="1">
        <f t="array" ref="E570">INDEX(BOM!$C$2:$C$21,MATCH(B570,BOM!$A$2:$A$21,0)+MOD(ROW()-2,4))</f>
        <v>0.25</v>
      </c>
      <c r="F570">
        <f t="shared" si="8"/>
        <v>2750</v>
      </c>
    </row>
    <row r="571" spans="1:6">
      <c r="A571" s="1" cm="1">
        <f t="array" ref="A571">INDEX(Weekly_Inventory_Flow!$A$2:$A$261,INT((ROW()-2)/4)+1)</f>
        <v>46223</v>
      </c>
      <c r="B571" t="str" cm="1">
        <f t="array" ref="B571">INDEX(Weekly_Inventory_Flow!$B$2:$B$261,INT((ROW()-2)/4)+1)</f>
        <v>P003</v>
      </c>
      <c r="C571" t="str" cm="1">
        <f t="array" ref="C571">INDEX(BOM!$B$2:$B$21,MATCH(B571,BOM!$A$2:$A$21,0)+MOD(ROW()-2,4))</f>
        <v>M006</v>
      </c>
      <c r="D571" cm="1">
        <f t="array" ref="D571">INDEX(Weekly_Inventory_Flow!$I$2:$I$261,INT((ROW()-2)/4)+1)</f>
        <v>11000</v>
      </c>
      <c r="E571" cm="1">
        <f t="array" ref="E571">INDEX(BOM!$C$2:$C$21,MATCH(B571,BOM!$A$2:$A$21,0)+MOD(ROW()-2,4))</f>
        <v>6.0000000000000001E-3</v>
      </c>
      <c r="F571">
        <f t="shared" si="8"/>
        <v>66</v>
      </c>
    </row>
    <row r="572" spans="1:6">
      <c r="A572" s="1" cm="1">
        <f t="array" ref="A572">INDEX(Weekly_Inventory_Flow!$A$2:$A$261,INT((ROW()-2)/4)+1)</f>
        <v>46223</v>
      </c>
      <c r="B572" t="str" cm="1">
        <f t="array" ref="B572">INDEX(Weekly_Inventory_Flow!$B$2:$B$261,INT((ROW()-2)/4)+1)</f>
        <v>P003</v>
      </c>
      <c r="C572" t="str" cm="1">
        <f t="array" ref="C572">INDEX(BOM!$B$2:$B$21,MATCH(B572,BOM!$A$2:$A$21,0)+MOD(ROW()-2,4))</f>
        <v>M007</v>
      </c>
      <c r="D572" cm="1">
        <f t="array" ref="D572">INDEX(Weekly_Inventory_Flow!$I$2:$I$261,INT((ROW()-2)/4)+1)</f>
        <v>11000</v>
      </c>
      <c r="E572" cm="1">
        <f t="array" ref="E572">INDEX(BOM!$C$2:$C$21,MATCH(B572,BOM!$A$2:$A$21,0)+MOD(ROW()-2,4))</f>
        <v>1</v>
      </c>
      <c r="F572">
        <f t="shared" si="8"/>
        <v>11000</v>
      </c>
    </row>
    <row r="573" spans="1:6">
      <c r="A573" s="1" cm="1">
        <f t="array" ref="A573">INDEX(Weekly_Inventory_Flow!$A$2:$A$261,INT((ROW()-2)/4)+1)</f>
        <v>46223</v>
      </c>
      <c r="B573" t="str" cm="1">
        <f t="array" ref="B573">INDEX(Weekly_Inventory_Flow!$B$2:$B$261,INT((ROW()-2)/4)+1)</f>
        <v>P003</v>
      </c>
      <c r="C573" t="str" cm="1">
        <f t="array" ref="C573">INDEX(BOM!$B$2:$B$21,MATCH(B573,BOM!$A$2:$A$21,0)+MOD(ROW()-2,4))</f>
        <v>M008</v>
      </c>
      <c r="D573" cm="1">
        <f t="array" ref="D573">INDEX(Weekly_Inventory_Flow!$I$2:$I$261,INT((ROW()-2)/4)+1)</f>
        <v>11000</v>
      </c>
      <c r="E573" cm="1">
        <f t="array" ref="E573">INDEX(BOM!$C$2:$C$21,MATCH(B573,BOM!$A$2:$A$21,0)+MOD(ROW()-2,4))</f>
        <v>1</v>
      </c>
      <c r="F573">
        <f t="shared" si="8"/>
        <v>11000</v>
      </c>
    </row>
    <row r="574" spans="1:6">
      <c r="A574" s="1" cm="1">
        <f t="array" ref="A574">INDEX(Weekly_Inventory_Flow!$A$2:$A$261,INT((ROW()-2)/4)+1)</f>
        <v>46223</v>
      </c>
      <c r="B574" t="str" cm="1">
        <f t="array" ref="B574">INDEX(Weekly_Inventory_Flow!$B$2:$B$261,INT((ROW()-2)/4)+1)</f>
        <v>P004</v>
      </c>
      <c r="C574" t="str" cm="1">
        <f t="array" ref="C574">INDEX(BOM!$B$2:$B$21,MATCH(B574,BOM!$A$2:$A$21,0)+MOD(ROW()-2,4))</f>
        <v>M004</v>
      </c>
      <c r="D574" cm="1">
        <f t="array" ref="D574">INDEX(Weekly_Inventory_Flow!$I$2:$I$261,INT((ROW()-2)/4)+1)</f>
        <v>12800</v>
      </c>
      <c r="E574" cm="1">
        <f t="array" ref="E574">INDEX(BOM!$C$2:$C$21,MATCH(B574,BOM!$A$2:$A$21,0)+MOD(ROW()-2,4))</f>
        <v>0.34</v>
      </c>
      <c r="F574">
        <f t="shared" si="8"/>
        <v>4352</v>
      </c>
    </row>
    <row r="575" spans="1:6">
      <c r="A575" s="1" cm="1">
        <f t="array" ref="A575">INDEX(Weekly_Inventory_Flow!$A$2:$A$261,INT((ROW()-2)/4)+1)</f>
        <v>46223</v>
      </c>
      <c r="B575" t="str" cm="1">
        <f t="array" ref="B575">INDEX(Weekly_Inventory_Flow!$B$2:$B$261,INT((ROW()-2)/4)+1)</f>
        <v>P004</v>
      </c>
      <c r="C575" t="str" cm="1">
        <f t="array" ref="C575">INDEX(BOM!$B$2:$B$21,MATCH(B575,BOM!$A$2:$A$21,0)+MOD(ROW()-2,4))</f>
        <v>M006</v>
      </c>
      <c r="D575" cm="1">
        <f t="array" ref="D575">INDEX(Weekly_Inventory_Flow!$I$2:$I$261,INT((ROW()-2)/4)+1)</f>
        <v>12800</v>
      </c>
      <c r="E575" cm="1">
        <f t="array" ref="E575">INDEX(BOM!$C$2:$C$21,MATCH(B575,BOM!$A$2:$A$21,0)+MOD(ROW()-2,4))</f>
        <v>8.9999999999999993E-3</v>
      </c>
      <c r="F575">
        <f t="shared" si="8"/>
        <v>115.19999999999999</v>
      </c>
    </row>
    <row r="576" spans="1:6">
      <c r="A576" s="1" cm="1">
        <f t="array" ref="A576">INDEX(Weekly_Inventory_Flow!$A$2:$A$261,INT((ROW()-2)/4)+1)</f>
        <v>46223</v>
      </c>
      <c r="B576" t="str" cm="1">
        <f t="array" ref="B576">INDEX(Weekly_Inventory_Flow!$B$2:$B$261,INT((ROW()-2)/4)+1)</f>
        <v>P004</v>
      </c>
      <c r="C576" t="str" cm="1">
        <f t="array" ref="C576">INDEX(BOM!$B$2:$B$21,MATCH(B576,BOM!$A$2:$A$21,0)+MOD(ROW()-2,4))</f>
        <v>M007</v>
      </c>
      <c r="D576" cm="1">
        <f t="array" ref="D576">INDEX(Weekly_Inventory_Flow!$I$2:$I$261,INT((ROW()-2)/4)+1)</f>
        <v>12800</v>
      </c>
      <c r="E576" cm="1">
        <f t="array" ref="E576">INDEX(BOM!$C$2:$C$21,MATCH(B576,BOM!$A$2:$A$21,0)+MOD(ROW()-2,4))</f>
        <v>1</v>
      </c>
      <c r="F576">
        <f t="shared" si="8"/>
        <v>12800</v>
      </c>
    </row>
    <row r="577" spans="1:6">
      <c r="A577" s="1" cm="1">
        <f t="array" ref="A577">INDEX(Weekly_Inventory_Flow!$A$2:$A$261,INT((ROW()-2)/4)+1)</f>
        <v>46223</v>
      </c>
      <c r="B577" t="str" cm="1">
        <f t="array" ref="B577">INDEX(Weekly_Inventory_Flow!$B$2:$B$261,INT((ROW()-2)/4)+1)</f>
        <v>P004</v>
      </c>
      <c r="C577" t="str" cm="1">
        <f t="array" ref="C577">INDEX(BOM!$B$2:$B$21,MATCH(B577,BOM!$A$2:$A$21,0)+MOD(ROW()-2,4))</f>
        <v>M008</v>
      </c>
      <c r="D577" cm="1">
        <f t="array" ref="D577">INDEX(Weekly_Inventory_Flow!$I$2:$I$261,INT((ROW()-2)/4)+1)</f>
        <v>12800</v>
      </c>
      <c r="E577" cm="1">
        <f t="array" ref="E577">INDEX(BOM!$C$2:$C$21,MATCH(B577,BOM!$A$2:$A$21,0)+MOD(ROW()-2,4))</f>
        <v>1</v>
      </c>
      <c r="F577">
        <f t="shared" si="8"/>
        <v>12800</v>
      </c>
    </row>
    <row r="578" spans="1:6">
      <c r="A578" s="1" cm="1">
        <f t="array" ref="A578">INDEX(Weekly_Inventory_Flow!$A$2:$A$261,INT((ROW()-2)/4)+1)</f>
        <v>46223</v>
      </c>
      <c r="B578" t="str" cm="1">
        <f t="array" ref="B578">INDEX(Weekly_Inventory_Flow!$B$2:$B$261,INT((ROW()-2)/4)+1)</f>
        <v>P005</v>
      </c>
      <c r="C578" t="str" cm="1">
        <f t="array" ref="C578">INDEX(BOM!$B$2:$B$21,MATCH(B578,BOM!$A$2:$A$21,0)+MOD(ROW()-2,4))</f>
        <v>M005</v>
      </c>
      <c r="D578" cm="1">
        <f t="array" ref="D578">INDEX(Weekly_Inventory_Flow!$I$2:$I$261,INT((ROW()-2)/4)+1)</f>
        <v>9700</v>
      </c>
      <c r="E578" cm="1">
        <f t="array" ref="E578">INDEX(BOM!$C$2:$C$21,MATCH(B578,BOM!$A$2:$A$21,0)+MOD(ROW()-2,4))</f>
        <v>0.52</v>
      </c>
      <c r="F578">
        <f t="shared" si="8"/>
        <v>5044</v>
      </c>
    </row>
    <row r="579" spans="1:6">
      <c r="A579" s="1" cm="1">
        <f t="array" ref="A579">INDEX(Weekly_Inventory_Flow!$A$2:$A$261,INT((ROW()-2)/4)+1)</f>
        <v>46223</v>
      </c>
      <c r="B579" t="str" cm="1">
        <f t="array" ref="B579">INDEX(Weekly_Inventory_Flow!$B$2:$B$261,INT((ROW()-2)/4)+1)</f>
        <v>P005</v>
      </c>
      <c r="C579" t="str" cm="1">
        <f t="array" ref="C579">INDEX(BOM!$B$2:$B$21,MATCH(B579,BOM!$A$2:$A$21,0)+MOD(ROW()-2,4))</f>
        <v>M006</v>
      </c>
      <c r="D579" cm="1">
        <f t="array" ref="D579">INDEX(Weekly_Inventory_Flow!$I$2:$I$261,INT((ROW()-2)/4)+1)</f>
        <v>9700</v>
      </c>
      <c r="E579" cm="1">
        <f t="array" ref="E579">INDEX(BOM!$C$2:$C$21,MATCH(B579,BOM!$A$2:$A$21,0)+MOD(ROW()-2,4))</f>
        <v>1.2E-2</v>
      </c>
      <c r="F579">
        <f t="shared" ref="F579:F642" si="9">D579*E579</f>
        <v>116.4</v>
      </c>
    </row>
    <row r="580" spans="1:6">
      <c r="A580" s="1" cm="1">
        <f t="array" ref="A580">INDEX(Weekly_Inventory_Flow!$A$2:$A$261,INT((ROW()-2)/4)+1)</f>
        <v>46223</v>
      </c>
      <c r="B580" t="str" cm="1">
        <f t="array" ref="B580">INDEX(Weekly_Inventory_Flow!$B$2:$B$261,INT((ROW()-2)/4)+1)</f>
        <v>P005</v>
      </c>
      <c r="C580" t="str" cm="1">
        <f t="array" ref="C580">INDEX(BOM!$B$2:$B$21,MATCH(B580,BOM!$A$2:$A$21,0)+MOD(ROW()-2,4))</f>
        <v>M007</v>
      </c>
      <c r="D580" cm="1">
        <f t="array" ref="D580">INDEX(Weekly_Inventory_Flow!$I$2:$I$261,INT((ROW()-2)/4)+1)</f>
        <v>9700</v>
      </c>
      <c r="E580" cm="1">
        <f t="array" ref="E580">INDEX(BOM!$C$2:$C$21,MATCH(B580,BOM!$A$2:$A$21,0)+MOD(ROW()-2,4))</f>
        <v>1</v>
      </c>
      <c r="F580">
        <f t="shared" si="9"/>
        <v>9700</v>
      </c>
    </row>
    <row r="581" spans="1:6">
      <c r="A581" s="1" cm="1">
        <f t="array" ref="A581">INDEX(Weekly_Inventory_Flow!$A$2:$A$261,INT((ROW()-2)/4)+1)</f>
        <v>46223</v>
      </c>
      <c r="B581" t="str" cm="1">
        <f t="array" ref="B581">INDEX(Weekly_Inventory_Flow!$B$2:$B$261,INT((ROW()-2)/4)+1)</f>
        <v>P005</v>
      </c>
      <c r="C581" t="str" cm="1">
        <f t="array" ref="C581">INDEX(BOM!$B$2:$B$21,MATCH(B581,BOM!$A$2:$A$21,0)+MOD(ROW()-2,4))</f>
        <v>M008</v>
      </c>
      <c r="D581" cm="1">
        <f t="array" ref="D581">INDEX(Weekly_Inventory_Flow!$I$2:$I$261,INT((ROW()-2)/4)+1)</f>
        <v>9700</v>
      </c>
      <c r="E581" cm="1">
        <f t="array" ref="E581">INDEX(BOM!$C$2:$C$21,MATCH(B581,BOM!$A$2:$A$21,0)+MOD(ROW()-2,4))</f>
        <v>1</v>
      </c>
      <c r="F581">
        <f t="shared" si="9"/>
        <v>9700</v>
      </c>
    </row>
    <row r="582" spans="1:6">
      <c r="A582" s="1" cm="1">
        <f t="array" ref="A582">INDEX(Weekly_Inventory_Flow!$A$2:$A$261,INT((ROW()-2)/4)+1)</f>
        <v>46230</v>
      </c>
      <c r="B582" t="str" cm="1">
        <f t="array" ref="B582">INDEX(Weekly_Inventory_Flow!$B$2:$B$261,INT((ROW()-2)/4)+1)</f>
        <v>P001</v>
      </c>
      <c r="C582" t="str" cm="1">
        <f t="array" ref="C582">INDEX(BOM!$B$2:$B$21,MATCH(B582,BOM!$A$2:$A$21,0)+MOD(ROW()-2,4))</f>
        <v>M001</v>
      </c>
      <c r="D582" cm="1">
        <f t="array" ref="D582">INDEX(Weekly_Inventory_Flow!$I$2:$I$261,INT((ROW()-2)/4)+1)</f>
        <v>15700</v>
      </c>
      <c r="E582" cm="1">
        <f t="array" ref="E582">INDEX(BOM!$C$2:$C$21,MATCH(B582,BOM!$A$2:$A$21,0)+MOD(ROW()-2,4))</f>
        <v>0.35</v>
      </c>
      <c r="F582">
        <f t="shared" si="9"/>
        <v>5495</v>
      </c>
    </row>
    <row r="583" spans="1:6">
      <c r="A583" s="1" cm="1">
        <f t="array" ref="A583">INDEX(Weekly_Inventory_Flow!$A$2:$A$261,INT((ROW()-2)/4)+1)</f>
        <v>46230</v>
      </c>
      <c r="B583" t="str" cm="1">
        <f t="array" ref="B583">INDEX(Weekly_Inventory_Flow!$B$2:$B$261,INT((ROW()-2)/4)+1)</f>
        <v>P001</v>
      </c>
      <c r="C583" t="str" cm="1">
        <f t="array" ref="C583">INDEX(BOM!$B$2:$B$21,MATCH(B583,BOM!$A$2:$A$21,0)+MOD(ROW()-2,4))</f>
        <v>M006</v>
      </c>
      <c r="D583" cm="1">
        <f t="array" ref="D583">INDEX(Weekly_Inventory_Flow!$I$2:$I$261,INT((ROW()-2)/4)+1)</f>
        <v>15700</v>
      </c>
      <c r="E583" cm="1">
        <f t="array" ref="E583">INDEX(BOM!$C$2:$C$21,MATCH(B583,BOM!$A$2:$A$21,0)+MOD(ROW()-2,4))</f>
        <v>0.01</v>
      </c>
      <c r="F583">
        <f t="shared" si="9"/>
        <v>157</v>
      </c>
    </row>
    <row r="584" spans="1:6">
      <c r="A584" s="1" cm="1">
        <f t="array" ref="A584">INDEX(Weekly_Inventory_Flow!$A$2:$A$261,INT((ROW()-2)/4)+1)</f>
        <v>46230</v>
      </c>
      <c r="B584" t="str" cm="1">
        <f t="array" ref="B584">INDEX(Weekly_Inventory_Flow!$B$2:$B$261,INT((ROW()-2)/4)+1)</f>
        <v>P001</v>
      </c>
      <c r="C584" t="str" cm="1">
        <f t="array" ref="C584">INDEX(BOM!$B$2:$B$21,MATCH(B584,BOM!$A$2:$A$21,0)+MOD(ROW()-2,4))</f>
        <v>M007</v>
      </c>
      <c r="D584" cm="1">
        <f t="array" ref="D584">INDEX(Weekly_Inventory_Flow!$I$2:$I$261,INT((ROW()-2)/4)+1)</f>
        <v>15700</v>
      </c>
      <c r="E584" cm="1">
        <f t="array" ref="E584">INDEX(BOM!$C$2:$C$21,MATCH(B584,BOM!$A$2:$A$21,0)+MOD(ROW()-2,4))</f>
        <v>1</v>
      </c>
      <c r="F584">
        <f t="shared" si="9"/>
        <v>15700</v>
      </c>
    </row>
    <row r="585" spans="1:6">
      <c r="A585" s="1" cm="1">
        <f t="array" ref="A585">INDEX(Weekly_Inventory_Flow!$A$2:$A$261,INT((ROW()-2)/4)+1)</f>
        <v>46230</v>
      </c>
      <c r="B585" t="str" cm="1">
        <f t="array" ref="B585">INDEX(Weekly_Inventory_Flow!$B$2:$B$261,INT((ROW()-2)/4)+1)</f>
        <v>P001</v>
      </c>
      <c r="C585" t="str" cm="1">
        <f t="array" ref="C585">INDEX(BOM!$B$2:$B$21,MATCH(B585,BOM!$A$2:$A$21,0)+MOD(ROW()-2,4))</f>
        <v>M008</v>
      </c>
      <c r="D585" cm="1">
        <f t="array" ref="D585">INDEX(Weekly_Inventory_Flow!$I$2:$I$261,INT((ROW()-2)/4)+1)</f>
        <v>15700</v>
      </c>
      <c r="E585" cm="1">
        <f t="array" ref="E585">INDEX(BOM!$C$2:$C$21,MATCH(B585,BOM!$A$2:$A$21,0)+MOD(ROW()-2,4))</f>
        <v>1</v>
      </c>
      <c r="F585">
        <f t="shared" si="9"/>
        <v>15700</v>
      </c>
    </row>
    <row r="586" spans="1:6">
      <c r="A586" s="1" cm="1">
        <f t="array" ref="A586">INDEX(Weekly_Inventory_Flow!$A$2:$A$261,INT((ROW()-2)/4)+1)</f>
        <v>46230</v>
      </c>
      <c r="B586" t="str" cm="1">
        <f t="array" ref="B586">INDEX(Weekly_Inventory_Flow!$B$2:$B$261,INT((ROW()-2)/4)+1)</f>
        <v>P002</v>
      </c>
      <c r="C586" t="str" cm="1">
        <f t="array" ref="C586">INDEX(BOM!$B$2:$B$21,MATCH(B586,BOM!$A$2:$A$21,0)+MOD(ROW()-2,4))</f>
        <v>M002</v>
      </c>
      <c r="D586" cm="1">
        <f t="array" ref="D586">INDEX(Weekly_Inventory_Flow!$I$2:$I$261,INT((ROW()-2)/4)+1)</f>
        <v>14200</v>
      </c>
      <c r="E586" cm="1">
        <f t="array" ref="E586">INDEX(BOM!$C$2:$C$21,MATCH(B586,BOM!$A$2:$A$21,0)+MOD(ROW()-2,4))</f>
        <v>0.3</v>
      </c>
      <c r="F586">
        <f t="shared" si="9"/>
        <v>4260</v>
      </c>
    </row>
    <row r="587" spans="1:6">
      <c r="A587" s="1" cm="1">
        <f t="array" ref="A587">INDEX(Weekly_Inventory_Flow!$A$2:$A$261,INT((ROW()-2)/4)+1)</f>
        <v>46230</v>
      </c>
      <c r="B587" t="str" cm="1">
        <f t="array" ref="B587">INDEX(Weekly_Inventory_Flow!$B$2:$B$261,INT((ROW()-2)/4)+1)</f>
        <v>P002</v>
      </c>
      <c r="C587" t="str" cm="1">
        <f t="array" ref="C587">INDEX(BOM!$B$2:$B$21,MATCH(B587,BOM!$A$2:$A$21,0)+MOD(ROW()-2,4))</f>
        <v>M006</v>
      </c>
      <c r="D587" cm="1">
        <f t="array" ref="D587">INDEX(Weekly_Inventory_Flow!$I$2:$I$261,INT((ROW()-2)/4)+1)</f>
        <v>14200</v>
      </c>
      <c r="E587" cm="1">
        <f t="array" ref="E587">INDEX(BOM!$C$2:$C$21,MATCH(B587,BOM!$A$2:$A$21,0)+MOD(ROW()-2,4))</f>
        <v>8.0000000000000002E-3</v>
      </c>
      <c r="F587">
        <f t="shared" si="9"/>
        <v>113.60000000000001</v>
      </c>
    </row>
    <row r="588" spans="1:6">
      <c r="A588" s="1" cm="1">
        <f t="array" ref="A588">INDEX(Weekly_Inventory_Flow!$A$2:$A$261,INT((ROW()-2)/4)+1)</f>
        <v>46230</v>
      </c>
      <c r="B588" t="str" cm="1">
        <f t="array" ref="B588">INDEX(Weekly_Inventory_Flow!$B$2:$B$261,INT((ROW()-2)/4)+1)</f>
        <v>P002</v>
      </c>
      <c r="C588" t="str" cm="1">
        <f t="array" ref="C588">INDEX(BOM!$B$2:$B$21,MATCH(B588,BOM!$A$2:$A$21,0)+MOD(ROW()-2,4))</f>
        <v>M007</v>
      </c>
      <c r="D588" cm="1">
        <f t="array" ref="D588">INDEX(Weekly_Inventory_Flow!$I$2:$I$261,INT((ROW()-2)/4)+1)</f>
        <v>14200</v>
      </c>
      <c r="E588" cm="1">
        <f t="array" ref="E588">INDEX(BOM!$C$2:$C$21,MATCH(B588,BOM!$A$2:$A$21,0)+MOD(ROW()-2,4))</f>
        <v>1</v>
      </c>
      <c r="F588">
        <f t="shared" si="9"/>
        <v>14200</v>
      </c>
    </row>
    <row r="589" spans="1:6">
      <c r="A589" s="1" cm="1">
        <f t="array" ref="A589">INDEX(Weekly_Inventory_Flow!$A$2:$A$261,INT((ROW()-2)/4)+1)</f>
        <v>46230</v>
      </c>
      <c r="B589" t="str" cm="1">
        <f t="array" ref="B589">INDEX(Weekly_Inventory_Flow!$B$2:$B$261,INT((ROW()-2)/4)+1)</f>
        <v>P002</v>
      </c>
      <c r="C589" t="str" cm="1">
        <f t="array" ref="C589">INDEX(BOM!$B$2:$B$21,MATCH(B589,BOM!$A$2:$A$21,0)+MOD(ROW()-2,4))</f>
        <v>M008</v>
      </c>
      <c r="D589" cm="1">
        <f t="array" ref="D589">INDEX(Weekly_Inventory_Flow!$I$2:$I$261,INT((ROW()-2)/4)+1)</f>
        <v>14200</v>
      </c>
      <c r="E589" cm="1">
        <f t="array" ref="E589">INDEX(BOM!$C$2:$C$21,MATCH(B589,BOM!$A$2:$A$21,0)+MOD(ROW()-2,4))</f>
        <v>1</v>
      </c>
      <c r="F589">
        <f t="shared" si="9"/>
        <v>14200</v>
      </c>
    </row>
    <row r="590" spans="1:6">
      <c r="A590" s="1" cm="1">
        <f t="array" ref="A590">INDEX(Weekly_Inventory_Flow!$A$2:$A$261,INT((ROW()-2)/4)+1)</f>
        <v>46230</v>
      </c>
      <c r="B590" t="str" cm="1">
        <f t="array" ref="B590">INDEX(Weekly_Inventory_Flow!$B$2:$B$261,INT((ROW()-2)/4)+1)</f>
        <v>P003</v>
      </c>
      <c r="C590" t="str" cm="1">
        <f t="array" ref="C590">INDEX(BOM!$B$2:$B$21,MATCH(B590,BOM!$A$2:$A$21,0)+MOD(ROW()-2,4))</f>
        <v>M003</v>
      </c>
      <c r="D590" cm="1">
        <f t="array" ref="D590">INDEX(Weekly_Inventory_Flow!$I$2:$I$261,INT((ROW()-2)/4)+1)</f>
        <v>12400</v>
      </c>
      <c r="E590" cm="1">
        <f t="array" ref="E590">INDEX(BOM!$C$2:$C$21,MATCH(B590,BOM!$A$2:$A$21,0)+MOD(ROW()-2,4))</f>
        <v>0.25</v>
      </c>
      <c r="F590">
        <f t="shared" si="9"/>
        <v>3100</v>
      </c>
    </row>
    <row r="591" spans="1:6">
      <c r="A591" s="1" cm="1">
        <f t="array" ref="A591">INDEX(Weekly_Inventory_Flow!$A$2:$A$261,INT((ROW()-2)/4)+1)</f>
        <v>46230</v>
      </c>
      <c r="B591" t="str" cm="1">
        <f t="array" ref="B591">INDEX(Weekly_Inventory_Flow!$B$2:$B$261,INT((ROW()-2)/4)+1)</f>
        <v>P003</v>
      </c>
      <c r="C591" t="str" cm="1">
        <f t="array" ref="C591">INDEX(BOM!$B$2:$B$21,MATCH(B591,BOM!$A$2:$A$21,0)+MOD(ROW()-2,4))</f>
        <v>M006</v>
      </c>
      <c r="D591" cm="1">
        <f t="array" ref="D591">INDEX(Weekly_Inventory_Flow!$I$2:$I$261,INT((ROW()-2)/4)+1)</f>
        <v>12400</v>
      </c>
      <c r="E591" cm="1">
        <f t="array" ref="E591">INDEX(BOM!$C$2:$C$21,MATCH(B591,BOM!$A$2:$A$21,0)+MOD(ROW()-2,4))</f>
        <v>6.0000000000000001E-3</v>
      </c>
      <c r="F591">
        <f t="shared" si="9"/>
        <v>74.400000000000006</v>
      </c>
    </row>
    <row r="592" spans="1:6">
      <c r="A592" s="1" cm="1">
        <f t="array" ref="A592">INDEX(Weekly_Inventory_Flow!$A$2:$A$261,INT((ROW()-2)/4)+1)</f>
        <v>46230</v>
      </c>
      <c r="B592" t="str" cm="1">
        <f t="array" ref="B592">INDEX(Weekly_Inventory_Flow!$B$2:$B$261,INT((ROW()-2)/4)+1)</f>
        <v>P003</v>
      </c>
      <c r="C592" t="str" cm="1">
        <f t="array" ref="C592">INDEX(BOM!$B$2:$B$21,MATCH(B592,BOM!$A$2:$A$21,0)+MOD(ROW()-2,4))</f>
        <v>M007</v>
      </c>
      <c r="D592" cm="1">
        <f t="array" ref="D592">INDEX(Weekly_Inventory_Flow!$I$2:$I$261,INT((ROW()-2)/4)+1)</f>
        <v>12400</v>
      </c>
      <c r="E592" cm="1">
        <f t="array" ref="E592">INDEX(BOM!$C$2:$C$21,MATCH(B592,BOM!$A$2:$A$21,0)+MOD(ROW()-2,4))</f>
        <v>1</v>
      </c>
      <c r="F592">
        <f t="shared" si="9"/>
        <v>12400</v>
      </c>
    </row>
    <row r="593" spans="1:6">
      <c r="A593" s="1" cm="1">
        <f t="array" ref="A593">INDEX(Weekly_Inventory_Flow!$A$2:$A$261,INT((ROW()-2)/4)+1)</f>
        <v>46230</v>
      </c>
      <c r="B593" t="str" cm="1">
        <f t="array" ref="B593">INDEX(Weekly_Inventory_Flow!$B$2:$B$261,INT((ROW()-2)/4)+1)</f>
        <v>P003</v>
      </c>
      <c r="C593" t="str" cm="1">
        <f t="array" ref="C593">INDEX(BOM!$B$2:$B$21,MATCH(B593,BOM!$A$2:$A$21,0)+MOD(ROW()-2,4))</f>
        <v>M008</v>
      </c>
      <c r="D593" cm="1">
        <f t="array" ref="D593">INDEX(Weekly_Inventory_Flow!$I$2:$I$261,INT((ROW()-2)/4)+1)</f>
        <v>12400</v>
      </c>
      <c r="E593" cm="1">
        <f t="array" ref="E593">INDEX(BOM!$C$2:$C$21,MATCH(B593,BOM!$A$2:$A$21,0)+MOD(ROW()-2,4))</f>
        <v>1</v>
      </c>
      <c r="F593">
        <f t="shared" si="9"/>
        <v>12400</v>
      </c>
    </row>
    <row r="594" spans="1:6">
      <c r="A594" s="1" cm="1">
        <f t="array" ref="A594">INDEX(Weekly_Inventory_Flow!$A$2:$A$261,INT((ROW()-2)/4)+1)</f>
        <v>46230</v>
      </c>
      <c r="B594" t="str" cm="1">
        <f t="array" ref="B594">INDEX(Weekly_Inventory_Flow!$B$2:$B$261,INT((ROW()-2)/4)+1)</f>
        <v>P004</v>
      </c>
      <c r="C594" t="str" cm="1">
        <f t="array" ref="C594">INDEX(BOM!$B$2:$B$21,MATCH(B594,BOM!$A$2:$A$21,0)+MOD(ROW()-2,4))</f>
        <v>M004</v>
      </c>
      <c r="D594" cm="1">
        <f t="array" ref="D594">INDEX(Weekly_Inventory_Flow!$I$2:$I$261,INT((ROW()-2)/4)+1)</f>
        <v>11900</v>
      </c>
      <c r="E594" cm="1">
        <f t="array" ref="E594">INDEX(BOM!$C$2:$C$21,MATCH(B594,BOM!$A$2:$A$21,0)+MOD(ROW()-2,4))</f>
        <v>0.34</v>
      </c>
      <c r="F594">
        <f t="shared" si="9"/>
        <v>4046.0000000000005</v>
      </c>
    </row>
    <row r="595" spans="1:6">
      <c r="A595" s="1" cm="1">
        <f t="array" ref="A595">INDEX(Weekly_Inventory_Flow!$A$2:$A$261,INT((ROW()-2)/4)+1)</f>
        <v>46230</v>
      </c>
      <c r="B595" t="str" cm="1">
        <f t="array" ref="B595">INDEX(Weekly_Inventory_Flow!$B$2:$B$261,INT((ROW()-2)/4)+1)</f>
        <v>P004</v>
      </c>
      <c r="C595" t="str" cm="1">
        <f t="array" ref="C595">INDEX(BOM!$B$2:$B$21,MATCH(B595,BOM!$A$2:$A$21,0)+MOD(ROW()-2,4))</f>
        <v>M006</v>
      </c>
      <c r="D595" cm="1">
        <f t="array" ref="D595">INDEX(Weekly_Inventory_Flow!$I$2:$I$261,INT((ROW()-2)/4)+1)</f>
        <v>11900</v>
      </c>
      <c r="E595" cm="1">
        <f t="array" ref="E595">INDEX(BOM!$C$2:$C$21,MATCH(B595,BOM!$A$2:$A$21,0)+MOD(ROW()-2,4))</f>
        <v>8.9999999999999993E-3</v>
      </c>
      <c r="F595">
        <f t="shared" si="9"/>
        <v>107.1</v>
      </c>
    </row>
    <row r="596" spans="1:6">
      <c r="A596" s="1" cm="1">
        <f t="array" ref="A596">INDEX(Weekly_Inventory_Flow!$A$2:$A$261,INT((ROW()-2)/4)+1)</f>
        <v>46230</v>
      </c>
      <c r="B596" t="str" cm="1">
        <f t="array" ref="B596">INDEX(Weekly_Inventory_Flow!$B$2:$B$261,INT((ROW()-2)/4)+1)</f>
        <v>P004</v>
      </c>
      <c r="C596" t="str" cm="1">
        <f t="array" ref="C596">INDEX(BOM!$B$2:$B$21,MATCH(B596,BOM!$A$2:$A$21,0)+MOD(ROW()-2,4))</f>
        <v>M007</v>
      </c>
      <c r="D596" cm="1">
        <f t="array" ref="D596">INDEX(Weekly_Inventory_Flow!$I$2:$I$261,INT((ROW()-2)/4)+1)</f>
        <v>11900</v>
      </c>
      <c r="E596" cm="1">
        <f t="array" ref="E596">INDEX(BOM!$C$2:$C$21,MATCH(B596,BOM!$A$2:$A$21,0)+MOD(ROW()-2,4))</f>
        <v>1</v>
      </c>
      <c r="F596">
        <f t="shared" si="9"/>
        <v>11900</v>
      </c>
    </row>
    <row r="597" spans="1:6">
      <c r="A597" s="1" cm="1">
        <f t="array" ref="A597">INDEX(Weekly_Inventory_Flow!$A$2:$A$261,INT((ROW()-2)/4)+1)</f>
        <v>46230</v>
      </c>
      <c r="B597" t="str" cm="1">
        <f t="array" ref="B597">INDEX(Weekly_Inventory_Flow!$B$2:$B$261,INT((ROW()-2)/4)+1)</f>
        <v>P004</v>
      </c>
      <c r="C597" t="str" cm="1">
        <f t="array" ref="C597">INDEX(BOM!$B$2:$B$21,MATCH(B597,BOM!$A$2:$A$21,0)+MOD(ROW()-2,4))</f>
        <v>M008</v>
      </c>
      <c r="D597" cm="1">
        <f t="array" ref="D597">INDEX(Weekly_Inventory_Flow!$I$2:$I$261,INT((ROW()-2)/4)+1)</f>
        <v>11900</v>
      </c>
      <c r="E597" cm="1">
        <f t="array" ref="E597">INDEX(BOM!$C$2:$C$21,MATCH(B597,BOM!$A$2:$A$21,0)+MOD(ROW()-2,4))</f>
        <v>1</v>
      </c>
      <c r="F597">
        <f t="shared" si="9"/>
        <v>11900</v>
      </c>
    </row>
    <row r="598" spans="1:6">
      <c r="A598" s="1" cm="1">
        <f t="array" ref="A598">INDEX(Weekly_Inventory_Flow!$A$2:$A$261,INT((ROW()-2)/4)+1)</f>
        <v>46230</v>
      </c>
      <c r="B598" t="str" cm="1">
        <f t="array" ref="B598">INDEX(Weekly_Inventory_Flow!$B$2:$B$261,INT((ROW()-2)/4)+1)</f>
        <v>P005</v>
      </c>
      <c r="C598" t="str" cm="1">
        <f t="array" ref="C598">INDEX(BOM!$B$2:$B$21,MATCH(B598,BOM!$A$2:$A$21,0)+MOD(ROW()-2,4))</f>
        <v>M005</v>
      </c>
      <c r="D598" cm="1">
        <f t="array" ref="D598">INDEX(Weekly_Inventory_Flow!$I$2:$I$261,INT((ROW()-2)/4)+1)</f>
        <v>9300</v>
      </c>
      <c r="E598" cm="1">
        <f t="array" ref="E598">INDEX(BOM!$C$2:$C$21,MATCH(B598,BOM!$A$2:$A$21,0)+MOD(ROW()-2,4))</f>
        <v>0.52</v>
      </c>
      <c r="F598">
        <f t="shared" si="9"/>
        <v>4836</v>
      </c>
    </row>
    <row r="599" spans="1:6">
      <c r="A599" s="1" cm="1">
        <f t="array" ref="A599">INDEX(Weekly_Inventory_Flow!$A$2:$A$261,INT((ROW()-2)/4)+1)</f>
        <v>46230</v>
      </c>
      <c r="B599" t="str" cm="1">
        <f t="array" ref="B599">INDEX(Weekly_Inventory_Flow!$B$2:$B$261,INT((ROW()-2)/4)+1)</f>
        <v>P005</v>
      </c>
      <c r="C599" t="str" cm="1">
        <f t="array" ref="C599">INDEX(BOM!$B$2:$B$21,MATCH(B599,BOM!$A$2:$A$21,0)+MOD(ROW()-2,4))</f>
        <v>M006</v>
      </c>
      <c r="D599" cm="1">
        <f t="array" ref="D599">INDEX(Weekly_Inventory_Flow!$I$2:$I$261,INT((ROW()-2)/4)+1)</f>
        <v>9300</v>
      </c>
      <c r="E599" cm="1">
        <f t="array" ref="E599">INDEX(BOM!$C$2:$C$21,MATCH(B599,BOM!$A$2:$A$21,0)+MOD(ROW()-2,4))</f>
        <v>1.2E-2</v>
      </c>
      <c r="F599">
        <f t="shared" si="9"/>
        <v>111.60000000000001</v>
      </c>
    </row>
    <row r="600" spans="1:6">
      <c r="A600" s="1" cm="1">
        <f t="array" ref="A600">INDEX(Weekly_Inventory_Flow!$A$2:$A$261,INT((ROW()-2)/4)+1)</f>
        <v>46230</v>
      </c>
      <c r="B600" t="str" cm="1">
        <f t="array" ref="B600">INDEX(Weekly_Inventory_Flow!$B$2:$B$261,INT((ROW()-2)/4)+1)</f>
        <v>P005</v>
      </c>
      <c r="C600" t="str" cm="1">
        <f t="array" ref="C600">INDEX(BOM!$B$2:$B$21,MATCH(B600,BOM!$A$2:$A$21,0)+MOD(ROW()-2,4))</f>
        <v>M007</v>
      </c>
      <c r="D600" cm="1">
        <f t="array" ref="D600">INDEX(Weekly_Inventory_Flow!$I$2:$I$261,INT((ROW()-2)/4)+1)</f>
        <v>9300</v>
      </c>
      <c r="E600" cm="1">
        <f t="array" ref="E600">INDEX(BOM!$C$2:$C$21,MATCH(B600,BOM!$A$2:$A$21,0)+MOD(ROW()-2,4))</f>
        <v>1</v>
      </c>
      <c r="F600">
        <f t="shared" si="9"/>
        <v>9300</v>
      </c>
    </row>
    <row r="601" spans="1:6">
      <c r="A601" s="1" cm="1">
        <f t="array" ref="A601">INDEX(Weekly_Inventory_Flow!$A$2:$A$261,INT((ROW()-2)/4)+1)</f>
        <v>46230</v>
      </c>
      <c r="B601" t="str" cm="1">
        <f t="array" ref="B601">INDEX(Weekly_Inventory_Flow!$B$2:$B$261,INT((ROW()-2)/4)+1)</f>
        <v>P005</v>
      </c>
      <c r="C601" t="str" cm="1">
        <f t="array" ref="C601">INDEX(BOM!$B$2:$B$21,MATCH(B601,BOM!$A$2:$A$21,0)+MOD(ROW()-2,4))</f>
        <v>M008</v>
      </c>
      <c r="D601" cm="1">
        <f t="array" ref="D601">INDEX(Weekly_Inventory_Flow!$I$2:$I$261,INT((ROW()-2)/4)+1)</f>
        <v>9300</v>
      </c>
      <c r="E601" cm="1">
        <f t="array" ref="E601">INDEX(BOM!$C$2:$C$21,MATCH(B601,BOM!$A$2:$A$21,0)+MOD(ROW()-2,4))</f>
        <v>1</v>
      </c>
      <c r="F601">
        <f t="shared" si="9"/>
        <v>9300</v>
      </c>
    </row>
    <row r="602" spans="1:6">
      <c r="A602" s="1" cm="1">
        <f t="array" ref="A602">INDEX(Weekly_Inventory_Flow!$A$2:$A$261,INT((ROW()-2)/4)+1)</f>
        <v>46237</v>
      </c>
      <c r="B602" t="str" cm="1">
        <f t="array" ref="B602">INDEX(Weekly_Inventory_Flow!$B$2:$B$261,INT((ROW()-2)/4)+1)</f>
        <v>P001</v>
      </c>
      <c r="C602" t="str" cm="1">
        <f t="array" ref="C602">INDEX(BOM!$B$2:$B$21,MATCH(B602,BOM!$A$2:$A$21,0)+MOD(ROW()-2,4))</f>
        <v>M001</v>
      </c>
      <c r="D602" cm="1">
        <f t="array" ref="D602">INDEX(Weekly_Inventory_Flow!$I$2:$I$261,INT((ROW()-2)/4)+1)</f>
        <v>16000</v>
      </c>
      <c r="E602" cm="1">
        <f t="array" ref="E602">INDEX(BOM!$C$2:$C$21,MATCH(B602,BOM!$A$2:$A$21,0)+MOD(ROW()-2,4))</f>
        <v>0.35</v>
      </c>
      <c r="F602">
        <f t="shared" si="9"/>
        <v>5600</v>
      </c>
    </row>
    <row r="603" spans="1:6">
      <c r="A603" s="1" cm="1">
        <f t="array" ref="A603">INDEX(Weekly_Inventory_Flow!$A$2:$A$261,INT((ROW()-2)/4)+1)</f>
        <v>46237</v>
      </c>
      <c r="B603" t="str" cm="1">
        <f t="array" ref="B603">INDEX(Weekly_Inventory_Flow!$B$2:$B$261,INT((ROW()-2)/4)+1)</f>
        <v>P001</v>
      </c>
      <c r="C603" t="str" cm="1">
        <f t="array" ref="C603">INDEX(BOM!$B$2:$B$21,MATCH(B603,BOM!$A$2:$A$21,0)+MOD(ROW()-2,4))</f>
        <v>M006</v>
      </c>
      <c r="D603" cm="1">
        <f t="array" ref="D603">INDEX(Weekly_Inventory_Flow!$I$2:$I$261,INT((ROW()-2)/4)+1)</f>
        <v>16000</v>
      </c>
      <c r="E603" cm="1">
        <f t="array" ref="E603">INDEX(BOM!$C$2:$C$21,MATCH(B603,BOM!$A$2:$A$21,0)+MOD(ROW()-2,4))</f>
        <v>0.01</v>
      </c>
      <c r="F603">
        <f t="shared" si="9"/>
        <v>160</v>
      </c>
    </row>
    <row r="604" spans="1:6">
      <c r="A604" s="1" cm="1">
        <f t="array" ref="A604">INDEX(Weekly_Inventory_Flow!$A$2:$A$261,INT((ROW()-2)/4)+1)</f>
        <v>46237</v>
      </c>
      <c r="B604" t="str" cm="1">
        <f t="array" ref="B604">INDEX(Weekly_Inventory_Flow!$B$2:$B$261,INT((ROW()-2)/4)+1)</f>
        <v>P001</v>
      </c>
      <c r="C604" t="str" cm="1">
        <f t="array" ref="C604">INDEX(BOM!$B$2:$B$21,MATCH(B604,BOM!$A$2:$A$21,0)+MOD(ROW()-2,4))</f>
        <v>M007</v>
      </c>
      <c r="D604" cm="1">
        <f t="array" ref="D604">INDEX(Weekly_Inventory_Flow!$I$2:$I$261,INT((ROW()-2)/4)+1)</f>
        <v>16000</v>
      </c>
      <c r="E604" cm="1">
        <f t="array" ref="E604">INDEX(BOM!$C$2:$C$21,MATCH(B604,BOM!$A$2:$A$21,0)+MOD(ROW()-2,4))</f>
        <v>1</v>
      </c>
      <c r="F604">
        <f t="shared" si="9"/>
        <v>16000</v>
      </c>
    </row>
    <row r="605" spans="1:6">
      <c r="A605" s="1" cm="1">
        <f t="array" ref="A605">INDEX(Weekly_Inventory_Flow!$A$2:$A$261,INT((ROW()-2)/4)+1)</f>
        <v>46237</v>
      </c>
      <c r="B605" t="str" cm="1">
        <f t="array" ref="B605">INDEX(Weekly_Inventory_Flow!$B$2:$B$261,INT((ROW()-2)/4)+1)</f>
        <v>P001</v>
      </c>
      <c r="C605" t="str" cm="1">
        <f t="array" ref="C605">INDEX(BOM!$B$2:$B$21,MATCH(B605,BOM!$A$2:$A$21,0)+MOD(ROW()-2,4))</f>
        <v>M008</v>
      </c>
      <c r="D605" cm="1">
        <f t="array" ref="D605">INDEX(Weekly_Inventory_Flow!$I$2:$I$261,INT((ROW()-2)/4)+1)</f>
        <v>16000</v>
      </c>
      <c r="E605" cm="1">
        <f t="array" ref="E605">INDEX(BOM!$C$2:$C$21,MATCH(B605,BOM!$A$2:$A$21,0)+MOD(ROW()-2,4))</f>
        <v>1</v>
      </c>
      <c r="F605">
        <f t="shared" si="9"/>
        <v>16000</v>
      </c>
    </row>
    <row r="606" spans="1:6">
      <c r="A606" s="1" cm="1">
        <f t="array" ref="A606">INDEX(Weekly_Inventory_Flow!$A$2:$A$261,INT((ROW()-2)/4)+1)</f>
        <v>46237</v>
      </c>
      <c r="B606" t="str" cm="1">
        <f t="array" ref="B606">INDEX(Weekly_Inventory_Flow!$B$2:$B$261,INT((ROW()-2)/4)+1)</f>
        <v>P002</v>
      </c>
      <c r="C606" t="str" cm="1">
        <f t="array" ref="C606">INDEX(BOM!$B$2:$B$21,MATCH(B606,BOM!$A$2:$A$21,0)+MOD(ROW()-2,4))</f>
        <v>M002</v>
      </c>
      <c r="D606" cm="1">
        <f t="array" ref="D606">INDEX(Weekly_Inventory_Flow!$I$2:$I$261,INT((ROW()-2)/4)+1)</f>
        <v>13200</v>
      </c>
      <c r="E606" cm="1">
        <f t="array" ref="E606">INDEX(BOM!$C$2:$C$21,MATCH(B606,BOM!$A$2:$A$21,0)+MOD(ROW()-2,4))</f>
        <v>0.3</v>
      </c>
      <c r="F606">
        <f t="shared" si="9"/>
        <v>3960</v>
      </c>
    </row>
    <row r="607" spans="1:6">
      <c r="A607" s="1" cm="1">
        <f t="array" ref="A607">INDEX(Weekly_Inventory_Flow!$A$2:$A$261,INT((ROW()-2)/4)+1)</f>
        <v>46237</v>
      </c>
      <c r="B607" t="str" cm="1">
        <f t="array" ref="B607">INDEX(Weekly_Inventory_Flow!$B$2:$B$261,INT((ROW()-2)/4)+1)</f>
        <v>P002</v>
      </c>
      <c r="C607" t="str" cm="1">
        <f t="array" ref="C607">INDEX(BOM!$B$2:$B$21,MATCH(B607,BOM!$A$2:$A$21,0)+MOD(ROW()-2,4))</f>
        <v>M006</v>
      </c>
      <c r="D607" cm="1">
        <f t="array" ref="D607">INDEX(Weekly_Inventory_Flow!$I$2:$I$261,INT((ROW()-2)/4)+1)</f>
        <v>13200</v>
      </c>
      <c r="E607" cm="1">
        <f t="array" ref="E607">INDEX(BOM!$C$2:$C$21,MATCH(B607,BOM!$A$2:$A$21,0)+MOD(ROW()-2,4))</f>
        <v>8.0000000000000002E-3</v>
      </c>
      <c r="F607">
        <f t="shared" si="9"/>
        <v>105.60000000000001</v>
      </c>
    </row>
    <row r="608" spans="1:6">
      <c r="A608" s="1" cm="1">
        <f t="array" ref="A608">INDEX(Weekly_Inventory_Flow!$A$2:$A$261,INT((ROW()-2)/4)+1)</f>
        <v>46237</v>
      </c>
      <c r="B608" t="str" cm="1">
        <f t="array" ref="B608">INDEX(Weekly_Inventory_Flow!$B$2:$B$261,INT((ROW()-2)/4)+1)</f>
        <v>P002</v>
      </c>
      <c r="C608" t="str" cm="1">
        <f t="array" ref="C608">INDEX(BOM!$B$2:$B$21,MATCH(B608,BOM!$A$2:$A$21,0)+MOD(ROW()-2,4))</f>
        <v>M007</v>
      </c>
      <c r="D608" cm="1">
        <f t="array" ref="D608">INDEX(Weekly_Inventory_Flow!$I$2:$I$261,INT((ROW()-2)/4)+1)</f>
        <v>13200</v>
      </c>
      <c r="E608" cm="1">
        <f t="array" ref="E608">INDEX(BOM!$C$2:$C$21,MATCH(B608,BOM!$A$2:$A$21,0)+MOD(ROW()-2,4))</f>
        <v>1</v>
      </c>
      <c r="F608">
        <f t="shared" si="9"/>
        <v>13200</v>
      </c>
    </row>
    <row r="609" spans="1:6">
      <c r="A609" s="1" cm="1">
        <f t="array" ref="A609">INDEX(Weekly_Inventory_Flow!$A$2:$A$261,INT((ROW()-2)/4)+1)</f>
        <v>46237</v>
      </c>
      <c r="B609" t="str" cm="1">
        <f t="array" ref="B609">INDEX(Weekly_Inventory_Flow!$B$2:$B$261,INT((ROW()-2)/4)+1)</f>
        <v>P002</v>
      </c>
      <c r="C609" t="str" cm="1">
        <f t="array" ref="C609">INDEX(BOM!$B$2:$B$21,MATCH(B609,BOM!$A$2:$A$21,0)+MOD(ROW()-2,4))</f>
        <v>M008</v>
      </c>
      <c r="D609" cm="1">
        <f t="array" ref="D609">INDEX(Weekly_Inventory_Flow!$I$2:$I$261,INT((ROW()-2)/4)+1)</f>
        <v>13200</v>
      </c>
      <c r="E609" cm="1">
        <f t="array" ref="E609">INDEX(BOM!$C$2:$C$21,MATCH(B609,BOM!$A$2:$A$21,0)+MOD(ROW()-2,4))</f>
        <v>1</v>
      </c>
      <c r="F609">
        <f t="shared" si="9"/>
        <v>13200</v>
      </c>
    </row>
    <row r="610" spans="1:6">
      <c r="A610" s="1" cm="1">
        <f t="array" ref="A610">INDEX(Weekly_Inventory_Flow!$A$2:$A$261,INT((ROW()-2)/4)+1)</f>
        <v>46237</v>
      </c>
      <c r="B610" t="str" cm="1">
        <f t="array" ref="B610">INDEX(Weekly_Inventory_Flow!$B$2:$B$261,INT((ROW()-2)/4)+1)</f>
        <v>P003</v>
      </c>
      <c r="C610" t="str" cm="1">
        <f t="array" ref="C610">INDEX(BOM!$B$2:$B$21,MATCH(B610,BOM!$A$2:$A$21,0)+MOD(ROW()-2,4))</f>
        <v>M003</v>
      </c>
      <c r="D610" cm="1">
        <f t="array" ref="D610">INDEX(Weekly_Inventory_Flow!$I$2:$I$261,INT((ROW()-2)/4)+1)</f>
        <v>11900</v>
      </c>
      <c r="E610" cm="1">
        <f t="array" ref="E610">INDEX(BOM!$C$2:$C$21,MATCH(B610,BOM!$A$2:$A$21,0)+MOD(ROW()-2,4))</f>
        <v>0.25</v>
      </c>
      <c r="F610">
        <f t="shared" si="9"/>
        <v>2975</v>
      </c>
    </row>
    <row r="611" spans="1:6">
      <c r="A611" s="1" cm="1">
        <f t="array" ref="A611">INDEX(Weekly_Inventory_Flow!$A$2:$A$261,INT((ROW()-2)/4)+1)</f>
        <v>46237</v>
      </c>
      <c r="B611" t="str" cm="1">
        <f t="array" ref="B611">INDEX(Weekly_Inventory_Flow!$B$2:$B$261,INT((ROW()-2)/4)+1)</f>
        <v>P003</v>
      </c>
      <c r="C611" t="str" cm="1">
        <f t="array" ref="C611">INDEX(BOM!$B$2:$B$21,MATCH(B611,BOM!$A$2:$A$21,0)+MOD(ROW()-2,4))</f>
        <v>M006</v>
      </c>
      <c r="D611" cm="1">
        <f t="array" ref="D611">INDEX(Weekly_Inventory_Flow!$I$2:$I$261,INT((ROW()-2)/4)+1)</f>
        <v>11900</v>
      </c>
      <c r="E611" cm="1">
        <f t="array" ref="E611">INDEX(BOM!$C$2:$C$21,MATCH(B611,BOM!$A$2:$A$21,0)+MOD(ROW()-2,4))</f>
        <v>6.0000000000000001E-3</v>
      </c>
      <c r="F611">
        <f t="shared" si="9"/>
        <v>71.400000000000006</v>
      </c>
    </row>
    <row r="612" spans="1:6">
      <c r="A612" s="1" cm="1">
        <f t="array" ref="A612">INDEX(Weekly_Inventory_Flow!$A$2:$A$261,INT((ROW()-2)/4)+1)</f>
        <v>46237</v>
      </c>
      <c r="B612" t="str" cm="1">
        <f t="array" ref="B612">INDEX(Weekly_Inventory_Flow!$B$2:$B$261,INT((ROW()-2)/4)+1)</f>
        <v>P003</v>
      </c>
      <c r="C612" t="str" cm="1">
        <f t="array" ref="C612">INDEX(BOM!$B$2:$B$21,MATCH(B612,BOM!$A$2:$A$21,0)+MOD(ROW()-2,4))</f>
        <v>M007</v>
      </c>
      <c r="D612" cm="1">
        <f t="array" ref="D612">INDEX(Weekly_Inventory_Flow!$I$2:$I$261,INT((ROW()-2)/4)+1)</f>
        <v>11900</v>
      </c>
      <c r="E612" cm="1">
        <f t="array" ref="E612">INDEX(BOM!$C$2:$C$21,MATCH(B612,BOM!$A$2:$A$21,0)+MOD(ROW()-2,4))</f>
        <v>1</v>
      </c>
      <c r="F612">
        <f t="shared" si="9"/>
        <v>11900</v>
      </c>
    </row>
    <row r="613" spans="1:6">
      <c r="A613" s="1" cm="1">
        <f t="array" ref="A613">INDEX(Weekly_Inventory_Flow!$A$2:$A$261,INT((ROW()-2)/4)+1)</f>
        <v>46237</v>
      </c>
      <c r="B613" t="str" cm="1">
        <f t="array" ref="B613">INDEX(Weekly_Inventory_Flow!$B$2:$B$261,INT((ROW()-2)/4)+1)</f>
        <v>P003</v>
      </c>
      <c r="C613" t="str" cm="1">
        <f t="array" ref="C613">INDEX(BOM!$B$2:$B$21,MATCH(B613,BOM!$A$2:$A$21,0)+MOD(ROW()-2,4))</f>
        <v>M008</v>
      </c>
      <c r="D613" cm="1">
        <f t="array" ref="D613">INDEX(Weekly_Inventory_Flow!$I$2:$I$261,INT((ROW()-2)/4)+1)</f>
        <v>11900</v>
      </c>
      <c r="E613" cm="1">
        <f t="array" ref="E613">INDEX(BOM!$C$2:$C$21,MATCH(B613,BOM!$A$2:$A$21,0)+MOD(ROW()-2,4))</f>
        <v>1</v>
      </c>
      <c r="F613">
        <f t="shared" si="9"/>
        <v>11900</v>
      </c>
    </row>
    <row r="614" spans="1:6">
      <c r="A614" s="1" cm="1">
        <f t="array" ref="A614">INDEX(Weekly_Inventory_Flow!$A$2:$A$261,INT((ROW()-2)/4)+1)</f>
        <v>46237</v>
      </c>
      <c r="B614" t="str" cm="1">
        <f t="array" ref="B614">INDEX(Weekly_Inventory_Flow!$B$2:$B$261,INT((ROW()-2)/4)+1)</f>
        <v>P004</v>
      </c>
      <c r="C614" t="str" cm="1">
        <f t="array" ref="C614">INDEX(BOM!$B$2:$B$21,MATCH(B614,BOM!$A$2:$A$21,0)+MOD(ROW()-2,4))</f>
        <v>M004</v>
      </c>
      <c r="D614" cm="1">
        <f t="array" ref="D614">INDEX(Weekly_Inventory_Flow!$I$2:$I$261,INT((ROW()-2)/4)+1)</f>
        <v>12600</v>
      </c>
      <c r="E614" cm="1">
        <f t="array" ref="E614">INDEX(BOM!$C$2:$C$21,MATCH(B614,BOM!$A$2:$A$21,0)+MOD(ROW()-2,4))</f>
        <v>0.34</v>
      </c>
      <c r="F614">
        <f t="shared" si="9"/>
        <v>4284</v>
      </c>
    </row>
    <row r="615" spans="1:6">
      <c r="A615" s="1" cm="1">
        <f t="array" ref="A615">INDEX(Weekly_Inventory_Flow!$A$2:$A$261,INT((ROW()-2)/4)+1)</f>
        <v>46237</v>
      </c>
      <c r="B615" t="str" cm="1">
        <f t="array" ref="B615">INDEX(Weekly_Inventory_Flow!$B$2:$B$261,INT((ROW()-2)/4)+1)</f>
        <v>P004</v>
      </c>
      <c r="C615" t="str" cm="1">
        <f t="array" ref="C615">INDEX(BOM!$B$2:$B$21,MATCH(B615,BOM!$A$2:$A$21,0)+MOD(ROW()-2,4))</f>
        <v>M006</v>
      </c>
      <c r="D615" cm="1">
        <f t="array" ref="D615">INDEX(Weekly_Inventory_Flow!$I$2:$I$261,INT((ROW()-2)/4)+1)</f>
        <v>12600</v>
      </c>
      <c r="E615" cm="1">
        <f t="array" ref="E615">INDEX(BOM!$C$2:$C$21,MATCH(B615,BOM!$A$2:$A$21,0)+MOD(ROW()-2,4))</f>
        <v>8.9999999999999993E-3</v>
      </c>
      <c r="F615">
        <f t="shared" si="9"/>
        <v>113.39999999999999</v>
      </c>
    </row>
    <row r="616" spans="1:6">
      <c r="A616" s="1" cm="1">
        <f t="array" ref="A616">INDEX(Weekly_Inventory_Flow!$A$2:$A$261,INT((ROW()-2)/4)+1)</f>
        <v>46237</v>
      </c>
      <c r="B616" t="str" cm="1">
        <f t="array" ref="B616">INDEX(Weekly_Inventory_Flow!$B$2:$B$261,INT((ROW()-2)/4)+1)</f>
        <v>P004</v>
      </c>
      <c r="C616" t="str" cm="1">
        <f t="array" ref="C616">INDEX(BOM!$B$2:$B$21,MATCH(B616,BOM!$A$2:$A$21,0)+MOD(ROW()-2,4))</f>
        <v>M007</v>
      </c>
      <c r="D616" cm="1">
        <f t="array" ref="D616">INDEX(Weekly_Inventory_Flow!$I$2:$I$261,INT((ROW()-2)/4)+1)</f>
        <v>12600</v>
      </c>
      <c r="E616" cm="1">
        <f t="array" ref="E616">INDEX(BOM!$C$2:$C$21,MATCH(B616,BOM!$A$2:$A$21,0)+MOD(ROW()-2,4))</f>
        <v>1</v>
      </c>
      <c r="F616">
        <f t="shared" si="9"/>
        <v>12600</v>
      </c>
    </row>
    <row r="617" spans="1:6">
      <c r="A617" s="1" cm="1">
        <f t="array" ref="A617">INDEX(Weekly_Inventory_Flow!$A$2:$A$261,INT((ROW()-2)/4)+1)</f>
        <v>46237</v>
      </c>
      <c r="B617" t="str" cm="1">
        <f t="array" ref="B617">INDEX(Weekly_Inventory_Flow!$B$2:$B$261,INT((ROW()-2)/4)+1)</f>
        <v>P004</v>
      </c>
      <c r="C617" t="str" cm="1">
        <f t="array" ref="C617">INDEX(BOM!$B$2:$B$21,MATCH(B617,BOM!$A$2:$A$21,0)+MOD(ROW()-2,4))</f>
        <v>M008</v>
      </c>
      <c r="D617" cm="1">
        <f t="array" ref="D617">INDEX(Weekly_Inventory_Flow!$I$2:$I$261,INT((ROW()-2)/4)+1)</f>
        <v>12600</v>
      </c>
      <c r="E617" cm="1">
        <f t="array" ref="E617">INDEX(BOM!$C$2:$C$21,MATCH(B617,BOM!$A$2:$A$21,0)+MOD(ROW()-2,4))</f>
        <v>1</v>
      </c>
      <c r="F617">
        <f t="shared" si="9"/>
        <v>12600</v>
      </c>
    </row>
    <row r="618" spans="1:6">
      <c r="A618" s="1" cm="1">
        <f t="array" ref="A618">INDEX(Weekly_Inventory_Flow!$A$2:$A$261,INT((ROW()-2)/4)+1)</f>
        <v>46237</v>
      </c>
      <c r="B618" t="str" cm="1">
        <f t="array" ref="B618">INDEX(Weekly_Inventory_Flow!$B$2:$B$261,INT((ROW()-2)/4)+1)</f>
        <v>P005</v>
      </c>
      <c r="C618" t="str" cm="1">
        <f t="array" ref="C618">INDEX(BOM!$B$2:$B$21,MATCH(B618,BOM!$A$2:$A$21,0)+MOD(ROW()-2,4))</f>
        <v>M005</v>
      </c>
      <c r="D618" cm="1">
        <f t="array" ref="D618">INDEX(Weekly_Inventory_Flow!$I$2:$I$261,INT((ROW()-2)/4)+1)</f>
        <v>9700</v>
      </c>
      <c r="E618" cm="1">
        <f t="array" ref="E618">INDEX(BOM!$C$2:$C$21,MATCH(B618,BOM!$A$2:$A$21,0)+MOD(ROW()-2,4))</f>
        <v>0.52</v>
      </c>
      <c r="F618">
        <f t="shared" si="9"/>
        <v>5044</v>
      </c>
    </row>
    <row r="619" spans="1:6">
      <c r="A619" s="1" cm="1">
        <f t="array" ref="A619">INDEX(Weekly_Inventory_Flow!$A$2:$A$261,INT((ROW()-2)/4)+1)</f>
        <v>46237</v>
      </c>
      <c r="B619" t="str" cm="1">
        <f t="array" ref="B619">INDEX(Weekly_Inventory_Flow!$B$2:$B$261,INT((ROW()-2)/4)+1)</f>
        <v>P005</v>
      </c>
      <c r="C619" t="str" cm="1">
        <f t="array" ref="C619">INDEX(BOM!$B$2:$B$21,MATCH(B619,BOM!$A$2:$A$21,0)+MOD(ROW()-2,4))</f>
        <v>M006</v>
      </c>
      <c r="D619" cm="1">
        <f t="array" ref="D619">INDEX(Weekly_Inventory_Flow!$I$2:$I$261,INT((ROW()-2)/4)+1)</f>
        <v>9700</v>
      </c>
      <c r="E619" cm="1">
        <f t="array" ref="E619">INDEX(BOM!$C$2:$C$21,MATCH(B619,BOM!$A$2:$A$21,0)+MOD(ROW()-2,4))</f>
        <v>1.2E-2</v>
      </c>
      <c r="F619">
        <f t="shared" si="9"/>
        <v>116.4</v>
      </c>
    </row>
    <row r="620" spans="1:6">
      <c r="A620" s="1" cm="1">
        <f t="array" ref="A620">INDEX(Weekly_Inventory_Flow!$A$2:$A$261,INT((ROW()-2)/4)+1)</f>
        <v>46237</v>
      </c>
      <c r="B620" t="str" cm="1">
        <f t="array" ref="B620">INDEX(Weekly_Inventory_Flow!$B$2:$B$261,INT((ROW()-2)/4)+1)</f>
        <v>P005</v>
      </c>
      <c r="C620" t="str" cm="1">
        <f t="array" ref="C620">INDEX(BOM!$B$2:$B$21,MATCH(B620,BOM!$A$2:$A$21,0)+MOD(ROW()-2,4))</f>
        <v>M007</v>
      </c>
      <c r="D620" cm="1">
        <f t="array" ref="D620">INDEX(Weekly_Inventory_Flow!$I$2:$I$261,INT((ROW()-2)/4)+1)</f>
        <v>9700</v>
      </c>
      <c r="E620" cm="1">
        <f t="array" ref="E620">INDEX(BOM!$C$2:$C$21,MATCH(B620,BOM!$A$2:$A$21,0)+MOD(ROW()-2,4))</f>
        <v>1</v>
      </c>
      <c r="F620">
        <f t="shared" si="9"/>
        <v>9700</v>
      </c>
    </row>
    <row r="621" spans="1:6">
      <c r="A621" s="1" cm="1">
        <f t="array" ref="A621">INDEX(Weekly_Inventory_Flow!$A$2:$A$261,INT((ROW()-2)/4)+1)</f>
        <v>46237</v>
      </c>
      <c r="B621" t="str" cm="1">
        <f t="array" ref="B621">INDEX(Weekly_Inventory_Flow!$B$2:$B$261,INT((ROW()-2)/4)+1)</f>
        <v>P005</v>
      </c>
      <c r="C621" t="str" cm="1">
        <f t="array" ref="C621">INDEX(BOM!$B$2:$B$21,MATCH(B621,BOM!$A$2:$A$21,0)+MOD(ROW()-2,4))</f>
        <v>M008</v>
      </c>
      <c r="D621" cm="1">
        <f t="array" ref="D621">INDEX(Weekly_Inventory_Flow!$I$2:$I$261,INT((ROW()-2)/4)+1)</f>
        <v>9700</v>
      </c>
      <c r="E621" cm="1">
        <f t="array" ref="E621">INDEX(BOM!$C$2:$C$21,MATCH(B621,BOM!$A$2:$A$21,0)+MOD(ROW()-2,4))</f>
        <v>1</v>
      </c>
      <c r="F621">
        <f t="shared" si="9"/>
        <v>9700</v>
      </c>
    </row>
    <row r="622" spans="1:6">
      <c r="A622" s="1" cm="1">
        <f t="array" ref="A622">INDEX(Weekly_Inventory_Flow!$A$2:$A$261,INT((ROW()-2)/4)+1)</f>
        <v>46244</v>
      </c>
      <c r="B622" t="str" cm="1">
        <f t="array" ref="B622">INDEX(Weekly_Inventory_Flow!$B$2:$B$261,INT((ROW()-2)/4)+1)</f>
        <v>P001</v>
      </c>
      <c r="C622" t="str" cm="1">
        <f t="array" ref="C622">INDEX(BOM!$B$2:$B$21,MATCH(B622,BOM!$A$2:$A$21,0)+MOD(ROW()-2,4))</f>
        <v>M001</v>
      </c>
      <c r="D622" cm="1">
        <f t="array" ref="D622">INDEX(Weekly_Inventory_Flow!$I$2:$I$261,INT((ROW()-2)/4)+1)</f>
        <v>15400</v>
      </c>
      <c r="E622" cm="1">
        <f t="array" ref="E622">INDEX(BOM!$C$2:$C$21,MATCH(B622,BOM!$A$2:$A$21,0)+MOD(ROW()-2,4))</f>
        <v>0.35</v>
      </c>
      <c r="F622">
        <f t="shared" si="9"/>
        <v>5390</v>
      </c>
    </row>
    <row r="623" spans="1:6">
      <c r="A623" s="1" cm="1">
        <f t="array" ref="A623">INDEX(Weekly_Inventory_Flow!$A$2:$A$261,INT((ROW()-2)/4)+1)</f>
        <v>46244</v>
      </c>
      <c r="B623" t="str" cm="1">
        <f t="array" ref="B623">INDEX(Weekly_Inventory_Flow!$B$2:$B$261,INT((ROW()-2)/4)+1)</f>
        <v>P001</v>
      </c>
      <c r="C623" t="str" cm="1">
        <f t="array" ref="C623">INDEX(BOM!$B$2:$B$21,MATCH(B623,BOM!$A$2:$A$21,0)+MOD(ROW()-2,4))</f>
        <v>M006</v>
      </c>
      <c r="D623" cm="1">
        <f t="array" ref="D623">INDEX(Weekly_Inventory_Flow!$I$2:$I$261,INT((ROW()-2)/4)+1)</f>
        <v>15400</v>
      </c>
      <c r="E623" cm="1">
        <f t="array" ref="E623">INDEX(BOM!$C$2:$C$21,MATCH(B623,BOM!$A$2:$A$21,0)+MOD(ROW()-2,4))</f>
        <v>0.01</v>
      </c>
      <c r="F623">
        <f t="shared" si="9"/>
        <v>154</v>
      </c>
    </row>
    <row r="624" spans="1:6">
      <c r="A624" s="1" cm="1">
        <f t="array" ref="A624">INDEX(Weekly_Inventory_Flow!$A$2:$A$261,INT((ROW()-2)/4)+1)</f>
        <v>46244</v>
      </c>
      <c r="B624" t="str" cm="1">
        <f t="array" ref="B624">INDEX(Weekly_Inventory_Flow!$B$2:$B$261,INT((ROW()-2)/4)+1)</f>
        <v>P001</v>
      </c>
      <c r="C624" t="str" cm="1">
        <f t="array" ref="C624">INDEX(BOM!$B$2:$B$21,MATCH(B624,BOM!$A$2:$A$21,0)+MOD(ROW()-2,4))</f>
        <v>M007</v>
      </c>
      <c r="D624" cm="1">
        <f t="array" ref="D624">INDEX(Weekly_Inventory_Flow!$I$2:$I$261,INT((ROW()-2)/4)+1)</f>
        <v>15400</v>
      </c>
      <c r="E624" cm="1">
        <f t="array" ref="E624">INDEX(BOM!$C$2:$C$21,MATCH(B624,BOM!$A$2:$A$21,0)+MOD(ROW()-2,4))</f>
        <v>1</v>
      </c>
      <c r="F624">
        <f t="shared" si="9"/>
        <v>15400</v>
      </c>
    </row>
    <row r="625" spans="1:6">
      <c r="A625" s="1" cm="1">
        <f t="array" ref="A625">INDEX(Weekly_Inventory_Flow!$A$2:$A$261,INT((ROW()-2)/4)+1)</f>
        <v>46244</v>
      </c>
      <c r="B625" t="str" cm="1">
        <f t="array" ref="B625">INDEX(Weekly_Inventory_Flow!$B$2:$B$261,INT((ROW()-2)/4)+1)</f>
        <v>P001</v>
      </c>
      <c r="C625" t="str" cm="1">
        <f t="array" ref="C625">INDEX(BOM!$B$2:$B$21,MATCH(B625,BOM!$A$2:$A$21,0)+MOD(ROW()-2,4))</f>
        <v>M008</v>
      </c>
      <c r="D625" cm="1">
        <f t="array" ref="D625">INDEX(Weekly_Inventory_Flow!$I$2:$I$261,INT((ROW()-2)/4)+1)</f>
        <v>15400</v>
      </c>
      <c r="E625" cm="1">
        <f t="array" ref="E625">INDEX(BOM!$C$2:$C$21,MATCH(B625,BOM!$A$2:$A$21,0)+MOD(ROW()-2,4))</f>
        <v>1</v>
      </c>
      <c r="F625">
        <f t="shared" si="9"/>
        <v>15400</v>
      </c>
    </row>
    <row r="626" spans="1:6">
      <c r="A626" s="1" cm="1">
        <f t="array" ref="A626">INDEX(Weekly_Inventory_Flow!$A$2:$A$261,INT((ROW()-2)/4)+1)</f>
        <v>46244</v>
      </c>
      <c r="B626" t="str" cm="1">
        <f t="array" ref="B626">INDEX(Weekly_Inventory_Flow!$B$2:$B$261,INT((ROW()-2)/4)+1)</f>
        <v>P002</v>
      </c>
      <c r="C626" t="str" cm="1">
        <f t="array" ref="C626">INDEX(BOM!$B$2:$B$21,MATCH(B626,BOM!$A$2:$A$21,0)+MOD(ROW()-2,4))</f>
        <v>M002</v>
      </c>
      <c r="D626" cm="1">
        <f t="array" ref="D626">INDEX(Weekly_Inventory_Flow!$I$2:$I$261,INT((ROW()-2)/4)+1)</f>
        <v>13500</v>
      </c>
      <c r="E626" cm="1">
        <f t="array" ref="E626">INDEX(BOM!$C$2:$C$21,MATCH(B626,BOM!$A$2:$A$21,0)+MOD(ROW()-2,4))</f>
        <v>0.3</v>
      </c>
      <c r="F626">
        <f t="shared" si="9"/>
        <v>4050</v>
      </c>
    </row>
    <row r="627" spans="1:6">
      <c r="A627" s="1" cm="1">
        <f t="array" ref="A627">INDEX(Weekly_Inventory_Flow!$A$2:$A$261,INT((ROW()-2)/4)+1)</f>
        <v>46244</v>
      </c>
      <c r="B627" t="str" cm="1">
        <f t="array" ref="B627">INDEX(Weekly_Inventory_Flow!$B$2:$B$261,INT((ROW()-2)/4)+1)</f>
        <v>P002</v>
      </c>
      <c r="C627" t="str" cm="1">
        <f t="array" ref="C627">INDEX(BOM!$B$2:$B$21,MATCH(B627,BOM!$A$2:$A$21,0)+MOD(ROW()-2,4))</f>
        <v>M006</v>
      </c>
      <c r="D627" cm="1">
        <f t="array" ref="D627">INDEX(Weekly_Inventory_Flow!$I$2:$I$261,INT((ROW()-2)/4)+1)</f>
        <v>13500</v>
      </c>
      <c r="E627" cm="1">
        <f t="array" ref="E627">INDEX(BOM!$C$2:$C$21,MATCH(B627,BOM!$A$2:$A$21,0)+MOD(ROW()-2,4))</f>
        <v>8.0000000000000002E-3</v>
      </c>
      <c r="F627">
        <f t="shared" si="9"/>
        <v>108</v>
      </c>
    </row>
    <row r="628" spans="1:6">
      <c r="A628" s="1" cm="1">
        <f t="array" ref="A628">INDEX(Weekly_Inventory_Flow!$A$2:$A$261,INT((ROW()-2)/4)+1)</f>
        <v>46244</v>
      </c>
      <c r="B628" t="str" cm="1">
        <f t="array" ref="B628">INDEX(Weekly_Inventory_Flow!$B$2:$B$261,INT((ROW()-2)/4)+1)</f>
        <v>P002</v>
      </c>
      <c r="C628" t="str" cm="1">
        <f t="array" ref="C628">INDEX(BOM!$B$2:$B$21,MATCH(B628,BOM!$A$2:$A$21,0)+MOD(ROW()-2,4))</f>
        <v>M007</v>
      </c>
      <c r="D628" cm="1">
        <f t="array" ref="D628">INDEX(Weekly_Inventory_Flow!$I$2:$I$261,INT((ROW()-2)/4)+1)</f>
        <v>13500</v>
      </c>
      <c r="E628" cm="1">
        <f t="array" ref="E628">INDEX(BOM!$C$2:$C$21,MATCH(B628,BOM!$A$2:$A$21,0)+MOD(ROW()-2,4))</f>
        <v>1</v>
      </c>
      <c r="F628">
        <f t="shared" si="9"/>
        <v>13500</v>
      </c>
    </row>
    <row r="629" spans="1:6">
      <c r="A629" s="1" cm="1">
        <f t="array" ref="A629">INDEX(Weekly_Inventory_Flow!$A$2:$A$261,INT((ROW()-2)/4)+1)</f>
        <v>46244</v>
      </c>
      <c r="B629" t="str" cm="1">
        <f t="array" ref="B629">INDEX(Weekly_Inventory_Flow!$B$2:$B$261,INT((ROW()-2)/4)+1)</f>
        <v>P002</v>
      </c>
      <c r="C629" t="str" cm="1">
        <f t="array" ref="C629">INDEX(BOM!$B$2:$B$21,MATCH(B629,BOM!$A$2:$A$21,0)+MOD(ROW()-2,4))</f>
        <v>M008</v>
      </c>
      <c r="D629" cm="1">
        <f t="array" ref="D629">INDEX(Weekly_Inventory_Flow!$I$2:$I$261,INT((ROW()-2)/4)+1)</f>
        <v>13500</v>
      </c>
      <c r="E629" cm="1">
        <f t="array" ref="E629">INDEX(BOM!$C$2:$C$21,MATCH(B629,BOM!$A$2:$A$21,0)+MOD(ROW()-2,4))</f>
        <v>1</v>
      </c>
      <c r="F629">
        <f t="shared" si="9"/>
        <v>13500</v>
      </c>
    </row>
    <row r="630" spans="1:6">
      <c r="A630" s="1" cm="1">
        <f t="array" ref="A630">INDEX(Weekly_Inventory_Flow!$A$2:$A$261,INT((ROW()-2)/4)+1)</f>
        <v>46244</v>
      </c>
      <c r="B630" t="str" cm="1">
        <f t="array" ref="B630">INDEX(Weekly_Inventory_Flow!$B$2:$B$261,INT((ROW()-2)/4)+1)</f>
        <v>P003</v>
      </c>
      <c r="C630" t="str" cm="1">
        <f t="array" ref="C630">INDEX(BOM!$B$2:$B$21,MATCH(B630,BOM!$A$2:$A$21,0)+MOD(ROW()-2,4))</f>
        <v>M003</v>
      </c>
      <c r="D630" cm="1">
        <f t="array" ref="D630">INDEX(Weekly_Inventory_Flow!$I$2:$I$261,INT((ROW()-2)/4)+1)</f>
        <v>11100</v>
      </c>
      <c r="E630" cm="1">
        <f t="array" ref="E630">INDEX(BOM!$C$2:$C$21,MATCH(B630,BOM!$A$2:$A$21,0)+MOD(ROW()-2,4))</f>
        <v>0.25</v>
      </c>
      <c r="F630">
        <f t="shared" si="9"/>
        <v>2775</v>
      </c>
    </row>
    <row r="631" spans="1:6">
      <c r="A631" s="1" cm="1">
        <f t="array" ref="A631">INDEX(Weekly_Inventory_Flow!$A$2:$A$261,INT((ROW()-2)/4)+1)</f>
        <v>46244</v>
      </c>
      <c r="B631" t="str" cm="1">
        <f t="array" ref="B631">INDEX(Weekly_Inventory_Flow!$B$2:$B$261,INT((ROW()-2)/4)+1)</f>
        <v>P003</v>
      </c>
      <c r="C631" t="str" cm="1">
        <f t="array" ref="C631">INDEX(BOM!$B$2:$B$21,MATCH(B631,BOM!$A$2:$A$21,0)+MOD(ROW()-2,4))</f>
        <v>M006</v>
      </c>
      <c r="D631" cm="1">
        <f t="array" ref="D631">INDEX(Weekly_Inventory_Flow!$I$2:$I$261,INT((ROW()-2)/4)+1)</f>
        <v>11100</v>
      </c>
      <c r="E631" cm="1">
        <f t="array" ref="E631">INDEX(BOM!$C$2:$C$21,MATCH(B631,BOM!$A$2:$A$21,0)+MOD(ROW()-2,4))</f>
        <v>6.0000000000000001E-3</v>
      </c>
      <c r="F631">
        <f t="shared" si="9"/>
        <v>66.599999999999994</v>
      </c>
    </row>
    <row r="632" spans="1:6">
      <c r="A632" s="1" cm="1">
        <f t="array" ref="A632">INDEX(Weekly_Inventory_Flow!$A$2:$A$261,INT((ROW()-2)/4)+1)</f>
        <v>46244</v>
      </c>
      <c r="B632" t="str" cm="1">
        <f t="array" ref="B632">INDEX(Weekly_Inventory_Flow!$B$2:$B$261,INT((ROW()-2)/4)+1)</f>
        <v>P003</v>
      </c>
      <c r="C632" t="str" cm="1">
        <f t="array" ref="C632">INDEX(BOM!$B$2:$B$21,MATCH(B632,BOM!$A$2:$A$21,0)+MOD(ROW()-2,4))</f>
        <v>M007</v>
      </c>
      <c r="D632" cm="1">
        <f t="array" ref="D632">INDEX(Weekly_Inventory_Flow!$I$2:$I$261,INT((ROW()-2)/4)+1)</f>
        <v>11100</v>
      </c>
      <c r="E632" cm="1">
        <f t="array" ref="E632">INDEX(BOM!$C$2:$C$21,MATCH(B632,BOM!$A$2:$A$21,0)+MOD(ROW()-2,4))</f>
        <v>1</v>
      </c>
      <c r="F632">
        <f t="shared" si="9"/>
        <v>11100</v>
      </c>
    </row>
    <row r="633" spans="1:6">
      <c r="A633" s="1" cm="1">
        <f t="array" ref="A633">INDEX(Weekly_Inventory_Flow!$A$2:$A$261,INT((ROW()-2)/4)+1)</f>
        <v>46244</v>
      </c>
      <c r="B633" t="str" cm="1">
        <f t="array" ref="B633">INDEX(Weekly_Inventory_Flow!$B$2:$B$261,INT((ROW()-2)/4)+1)</f>
        <v>P003</v>
      </c>
      <c r="C633" t="str" cm="1">
        <f t="array" ref="C633">INDEX(BOM!$B$2:$B$21,MATCH(B633,BOM!$A$2:$A$21,0)+MOD(ROW()-2,4))</f>
        <v>M008</v>
      </c>
      <c r="D633" cm="1">
        <f t="array" ref="D633">INDEX(Weekly_Inventory_Flow!$I$2:$I$261,INT((ROW()-2)/4)+1)</f>
        <v>11100</v>
      </c>
      <c r="E633" cm="1">
        <f t="array" ref="E633">INDEX(BOM!$C$2:$C$21,MATCH(B633,BOM!$A$2:$A$21,0)+MOD(ROW()-2,4))</f>
        <v>1</v>
      </c>
      <c r="F633">
        <f t="shared" si="9"/>
        <v>11100</v>
      </c>
    </row>
    <row r="634" spans="1:6">
      <c r="A634" s="1" cm="1">
        <f t="array" ref="A634">INDEX(Weekly_Inventory_Flow!$A$2:$A$261,INT((ROW()-2)/4)+1)</f>
        <v>46244</v>
      </c>
      <c r="B634" t="str" cm="1">
        <f t="array" ref="B634">INDEX(Weekly_Inventory_Flow!$B$2:$B$261,INT((ROW()-2)/4)+1)</f>
        <v>P004</v>
      </c>
      <c r="C634" t="str" cm="1">
        <f t="array" ref="C634">INDEX(BOM!$B$2:$B$21,MATCH(B634,BOM!$A$2:$A$21,0)+MOD(ROW()-2,4))</f>
        <v>M004</v>
      </c>
      <c r="D634" cm="1">
        <f t="array" ref="D634">INDEX(Weekly_Inventory_Flow!$I$2:$I$261,INT((ROW()-2)/4)+1)</f>
        <v>13200</v>
      </c>
      <c r="E634" cm="1">
        <f t="array" ref="E634">INDEX(BOM!$C$2:$C$21,MATCH(B634,BOM!$A$2:$A$21,0)+MOD(ROW()-2,4))</f>
        <v>0.34</v>
      </c>
      <c r="F634">
        <f t="shared" si="9"/>
        <v>4488</v>
      </c>
    </row>
    <row r="635" spans="1:6">
      <c r="A635" s="1" cm="1">
        <f t="array" ref="A635">INDEX(Weekly_Inventory_Flow!$A$2:$A$261,INT((ROW()-2)/4)+1)</f>
        <v>46244</v>
      </c>
      <c r="B635" t="str" cm="1">
        <f t="array" ref="B635">INDEX(Weekly_Inventory_Flow!$B$2:$B$261,INT((ROW()-2)/4)+1)</f>
        <v>P004</v>
      </c>
      <c r="C635" t="str" cm="1">
        <f t="array" ref="C635">INDEX(BOM!$B$2:$B$21,MATCH(B635,BOM!$A$2:$A$21,0)+MOD(ROW()-2,4))</f>
        <v>M006</v>
      </c>
      <c r="D635" cm="1">
        <f t="array" ref="D635">INDEX(Weekly_Inventory_Flow!$I$2:$I$261,INT((ROW()-2)/4)+1)</f>
        <v>13200</v>
      </c>
      <c r="E635" cm="1">
        <f t="array" ref="E635">INDEX(BOM!$C$2:$C$21,MATCH(B635,BOM!$A$2:$A$21,0)+MOD(ROW()-2,4))</f>
        <v>8.9999999999999993E-3</v>
      </c>
      <c r="F635">
        <f t="shared" si="9"/>
        <v>118.8</v>
      </c>
    </row>
    <row r="636" spans="1:6">
      <c r="A636" s="1" cm="1">
        <f t="array" ref="A636">INDEX(Weekly_Inventory_Flow!$A$2:$A$261,INT((ROW()-2)/4)+1)</f>
        <v>46244</v>
      </c>
      <c r="B636" t="str" cm="1">
        <f t="array" ref="B636">INDEX(Weekly_Inventory_Flow!$B$2:$B$261,INT((ROW()-2)/4)+1)</f>
        <v>P004</v>
      </c>
      <c r="C636" t="str" cm="1">
        <f t="array" ref="C636">INDEX(BOM!$B$2:$B$21,MATCH(B636,BOM!$A$2:$A$21,0)+MOD(ROW()-2,4))</f>
        <v>M007</v>
      </c>
      <c r="D636" cm="1">
        <f t="array" ref="D636">INDEX(Weekly_Inventory_Flow!$I$2:$I$261,INT((ROW()-2)/4)+1)</f>
        <v>13200</v>
      </c>
      <c r="E636" cm="1">
        <f t="array" ref="E636">INDEX(BOM!$C$2:$C$21,MATCH(B636,BOM!$A$2:$A$21,0)+MOD(ROW()-2,4))</f>
        <v>1</v>
      </c>
      <c r="F636">
        <f t="shared" si="9"/>
        <v>13200</v>
      </c>
    </row>
    <row r="637" spans="1:6">
      <c r="A637" s="1" cm="1">
        <f t="array" ref="A637">INDEX(Weekly_Inventory_Flow!$A$2:$A$261,INT((ROW()-2)/4)+1)</f>
        <v>46244</v>
      </c>
      <c r="B637" t="str" cm="1">
        <f t="array" ref="B637">INDEX(Weekly_Inventory_Flow!$B$2:$B$261,INT((ROW()-2)/4)+1)</f>
        <v>P004</v>
      </c>
      <c r="C637" t="str" cm="1">
        <f t="array" ref="C637">INDEX(BOM!$B$2:$B$21,MATCH(B637,BOM!$A$2:$A$21,0)+MOD(ROW()-2,4))</f>
        <v>M008</v>
      </c>
      <c r="D637" cm="1">
        <f t="array" ref="D637">INDEX(Weekly_Inventory_Flow!$I$2:$I$261,INT((ROW()-2)/4)+1)</f>
        <v>13200</v>
      </c>
      <c r="E637" cm="1">
        <f t="array" ref="E637">INDEX(BOM!$C$2:$C$21,MATCH(B637,BOM!$A$2:$A$21,0)+MOD(ROW()-2,4))</f>
        <v>1</v>
      </c>
      <c r="F637">
        <f t="shared" si="9"/>
        <v>13200</v>
      </c>
    </row>
    <row r="638" spans="1:6">
      <c r="A638" s="1" cm="1">
        <f t="array" ref="A638">INDEX(Weekly_Inventory_Flow!$A$2:$A$261,INT((ROW()-2)/4)+1)</f>
        <v>46244</v>
      </c>
      <c r="B638" t="str" cm="1">
        <f t="array" ref="B638">INDEX(Weekly_Inventory_Flow!$B$2:$B$261,INT((ROW()-2)/4)+1)</f>
        <v>P005</v>
      </c>
      <c r="C638" t="str" cm="1">
        <f t="array" ref="C638">INDEX(BOM!$B$2:$B$21,MATCH(B638,BOM!$A$2:$A$21,0)+MOD(ROW()-2,4))</f>
        <v>M005</v>
      </c>
      <c r="D638" cm="1">
        <f t="array" ref="D638">INDEX(Weekly_Inventory_Flow!$I$2:$I$261,INT((ROW()-2)/4)+1)</f>
        <v>10200</v>
      </c>
      <c r="E638" cm="1">
        <f t="array" ref="E638">INDEX(BOM!$C$2:$C$21,MATCH(B638,BOM!$A$2:$A$21,0)+MOD(ROW()-2,4))</f>
        <v>0.52</v>
      </c>
      <c r="F638">
        <f t="shared" si="9"/>
        <v>5304</v>
      </c>
    </row>
    <row r="639" spans="1:6">
      <c r="A639" s="1" cm="1">
        <f t="array" ref="A639">INDEX(Weekly_Inventory_Flow!$A$2:$A$261,INT((ROW()-2)/4)+1)</f>
        <v>46244</v>
      </c>
      <c r="B639" t="str" cm="1">
        <f t="array" ref="B639">INDEX(Weekly_Inventory_Flow!$B$2:$B$261,INT((ROW()-2)/4)+1)</f>
        <v>P005</v>
      </c>
      <c r="C639" t="str" cm="1">
        <f t="array" ref="C639">INDEX(BOM!$B$2:$B$21,MATCH(B639,BOM!$A$2:$A$21,0)+MOD(ROW()-2,4))</f>
        <v>M006</v>
      </c>
      <c r="D639" cm="1">
        <f t="array" ref="D639">INDEX(Weekly_Inventory_Flow!$I$2:$I$261,INT((ROW()-2)/4)+1)</f>
        <v>10200</v>
      </c>
      <c r="E639" cm="1">
        <f t="array" ref="E639">INDEX(BOM!$C$2:$C$21,MATCH(B639,BOM!$A$2:$A$21,0)+MOD(ROW()-2,4))</f>
        <v>1.2E-2</v>
      </c>
      <c r="F639">
        <f t="shared" si="9"/>
        <v>122.4</v>
      </c>
    </row>
    <row r="640" spans="1:6">
      <c r="A640" s="1" cm="1">
        <f t="array" ref="A640">INDEX(Weekly_Inventory_Flow!$A$2:$A$261,INT((ROW()-2)/4)+1)</f>
        <v>46244</v>
      </c>
      <c r="B640" t="str" cm="1">
        <f t="array" ref="B640">INDEX(Weekly_Inventory_Flow!$B$2:$B$261,INT((ROW()-2)/4)+1)</f>
        <v>P005</v>
      </c>
      <c r="C640" t="str" cm="1">
        <f t="array" ref="C640">INDEX(BOM!$B$2:$B$21,MATCH(B640,BOM!$A$2:$A$21,0)+MOD(ROW()-2,4))</f>
        <v>M007</v>
      </c>
      <c r="D640" cm="1">
        <f t="array" ref="D640">INDEX(Weekly_Inventory_Flow!$I$2:$I$261,INT((ROW()-2)/4)+1)</f>
        <v>10200</v>
      </c>
      <c r="E640" cm="1">
        <f t="array" ref="E640">INDEX(BOM!$C$2:$C$21,MATCH(B640,BOM!$A$2:$A$21,0)+MOD(ROW()-2,4))</f>
        <v>1</v>
      </c>
      <c r="F640">
        <f t="shared" si="9"/>
        <v>10200</v>
      </c>
    </row>
    <row r="641" spans="1:6">
      <c r="A641" s="1" cm="1">
        <f t="array" ref="A641">INDEX(Weekly_Inventory_Flow!$A$2:$A$261,INT((ROW()-2)/4)+1)</f>
        <v>46244</v>
      </c>
      <c r="B641" t="str" cm="1">
        <f t="array" ref="B641">INDEX(Weekly_Inventory_Flow!$B$2:$B$261,INT((ROW()-2)/4)+1)</f>
        <v>P005</v>
      </c>
      <c r="C641" t="str" cm="1">
        <f t="array" ref="C641">INDEX(BOM!$B$2:$B$21,MATCH(B641,BOM!$A$2:$A$21,0)+MOD(ROW()-2,4))</f>
        <v>M008</v>
      </c>
      <c r="D641" cm="1">
        <f t="array" ref="D641">INDEX(Weekly_Inventory_Flow!$I$2:$I$261,INT((ROW()-2)/4)+1)</f>
        <v>10200</v>
      </c>
      <c r="E641" cm="1">
        <f t="array" ref="E641">INDEX(BOM!$C$2:$C$21,MATCH(B641,BOM!$A$2:$A$21,0)+MOD(ROW()-2,4))</f>
        <v>1</v>
      </c>
      <c r="F641">
        <f t="shared" si="9"/>
        <v>10200</v>
      </c>
    </row>
    <row r="642" spans="1:6">
      <c r="A642" s="1" cm="1">
        <f t="array" ref="A642">INDEX(Weekly_Inventory_Flow!$A$2:$A$261,INT((ROW()-2)/4)+1)</f>
        <v>46251</v>
      </c>
      <c r="B642" t="str" cm="1">
        <f t="array" ref="B642">INDEX(Weekly_Inventory_Flow!$B$2:$B$261,INT((ROW()-2)/4)+1)</f>
        <v>P001</v>
      </c>
      <c r="C642" t="str" cm="1">
        <f t="array" ref="C642">INDEX(BOM!$B$2:$B$21,MATCH(B642,BOM!$A$2:$A$21,0)+MOD(ROW()-2,4))</f>
        <v>M001</v>
      </c>
      <c r="D642" cm="1">
        <f t="array" ref="D642">INDEX(Weekly_Inventory_Flow!$I$2:$I$261,INT((ROW()-2)/4)+1)</f>
        <v>16600</v>
      </c>
      <c r="E642" cm="1">
        <f t="array" ref="E642">INDEX(BOM!$C$2:$C$21,MATCH(B642,BOM!$A$2:$A$21,0)+MOD(ROW()-2,4))</f>
        <v>0.35</v>
      </c>
      <c r="F642">
        <f t="shared" si="9"/>
        <v>5810</v>
      </c>
    </row>
    <row r="643" spans="1:6">
      <c r="A643" s="1" cm="1">
        <f t="array" ref="A643">INDEX(Weekly_Inventory_Flow!$A$2:$A$261,INT((ROW()-2)/4)+1)</f>
        <v>46251</v>
      </c>
      <c r="B643" t="str" cm="1">
        <f t="array" ref="B643">INDEX(Weekly_Inventory_Flow!$B$2:$B$261,INT((ROW()-2)/4)+1)</f>
        <v>P001</v>
      </c>
      <c r="C643" t="str" cm="1">
        <f t="array" ref="C643">INDEX(BOM!$B$2:$B$21,MATCH(B643,BOM!$A$2:$A$21,0)+MOD(ROW()-2,4))</f>
        <v>M006</v>
      </c>
      <c r="D643" cm="1">
        <f t="array" ref="D643">INDEX(Weekly_Inventory_Flow!$I$2:$I$261,INT((ROW()-2)/4)+1)</f>
        <v>16600</v>
      </c>
      <c r="E643" cm="1">
        <f t="array" ref="E643">INDEX(BOM!$C$2:$C$21,MATCH(B643,BOM!$A$2:$A$21,0)+MOD(ROW()-2,4))</f>
        <v>0.01</v>
      </c>
      <c r="F643">
        <f t="shared" ref="F643:F706" si="10">D643*E643</f>
        <v>166</v>
      </c>
    </row>
    <row r="644" spans="1:6">
      <c r="A644" s="1" cm="1">
        <f t="array" ref="A644">INDEX(Weekly_Inventory_Flow!$A$2:$A$261,INT((ROW()-2)/4)+1)</f>
        <v>46251</v>
      </c>
      <c r="B644" t="str" cm="1">
        <f t="array" ref="B644">INDEX(Weekly_Inventory_Flow!$B$2:$B$261,INT((ROW()-2)/4)+1)</f>
        <v>P001</v>
      </c>
      <c r="C644" t="str" cm="1">
        <f t="array" ref="C644">INDEX(BOM!$B$2:$B$21,MATCH(B644,BOM!$A$2:$A$21,0)+MOD(ROW()-2,4))</f>
        <v>M007</v>
      </c>
      <c r="D644" cm="1">
        <f t="array" ref="D644">INDEX(Weekly_Inventory_Flow!$I$2:$I$261,INT((ROW()-2)/4)+1)</f>
        <v>16600</v>
      </c>
      <c r="E644" cm="1">
        <f t="array" ref="E644">INDEX(BOM!$C$2:$C$21,MATCH(B644,BOM!$A$2:$A$21,0)+MOD(ROW()-2,4))</f>
        <v>1</v>
      </c>
      <c r="F644">
        <f t="shared" si="10"/>
        <v>16600</v>
      </c>
    </row>
    <row r="645" spans="1:6">
      <c r="A645" s="1" cm="1">
        <f t="array" ref="A645">INDEX(Weekly_Inventory_Flow!$A$2:$A$261,INT((ROW()-2)/4)+1)</f>
        <v>46251</v>
      </c>
      <c r="B645" t="str" cm="1">
        <f t="array" ref="B645">INDEX(Weekly_Inventory_Flow!$B$2:$B$261,INT((ROW()-2)/4)+1)</f>
        <v>P001</v>
      </c>
      <c r="C645" t="str" cm="1">
        <f t="array" ref="C645">INDEX(BOM!$B$2:$B$21,MATCH(B645,BOM!$A$2:$A$21,0)+MOD(ROW()-2,4))</f>
        <v>M008</v>
      </c>
      <c r="D645" cm="1">
        <f t="array" ref="D645">INDEX(Weekly_Inventory_Flow!$I$2:$I$261,INT((ROW()-2)/4)+1)</f>
        <v>16600</v>
      </c>
      <c r="E645" cm="1">
        <f t="array" ref="E645">INDEX(BOM!$C$2:$C$21,MATCH(B645,BOM!$A$2:$A$21,0)+MOD(ROW()-2,4))</f>
        <v>1</v>
      </c>
      <c r="F645">
        <f t="shared" si="10"/>
        <v>16600</v>
      </c>
    </row>
    <row r="646" spans="1:6">
      <c r="A646" s="1" cm="1">
        <f t="array" ref="A646">INDEX(Weekly_Inventory_Flow!$A$2:$A$261,INT((ROW()-2)/4)+1)</f>
        <v>46251</v>
      </c>
      <c r="B646" t="str" cm="1">
        <f t="array" ref="B646">INDEX(Weekly_Inventory_Flow!$B$2:$B$261,INT((ROW()-2)/4)+1)</f>
        <v>P002</v>
      </c>
      <c r="C646" t="str" cm="1">
        <f t="array" ref="C646">INDEX(BOM!$B$2:$B$21,MATCH(B646,BOM!$A$2:$A$21,0)+MOD(ROW()-2,4))</f>
        <v>M002</v>
      </c>
      <c r="D646" cm="1">
        <f t="array" ref="D646">INDEX(Weekly_Inventory_Flow!$I$2:$I$261,INT((ROW()-2)/4)+1)</f>
        <v>13300</v>
      </c>
      <c r="E646" cm="1">
        <f t="array" ref="E646">INDEX(BOM!$C$2:$C$21,MATCH(B646,BOM!$A$2:$A$21,0)+MOD(ROW()-2,4))</f>
        <v>0.3</v>
      </c>
      <c r="F646">
        <f t="shared" si="10"/>
        <v>3990</v>
      </c>
    </row>
    <row r="647" spans="1:6">
      <c r="A647" s="1" cm="1">
        <f t="array" ref="A647">INDEX(Weekly_Inventory_Flow!$A$2:$A$261,INT((ROW()-2)/4)+1)</f>
        <v>46251</v>
      </c>
      <c r="B647" t="str" cm="1">
        <f t="array" ref="B647">INDEX(Weekly_Inventory_Flow!$B$2:$B$261,INT((ROW()-2)/4)+1)</f>
        <v>P002</v>
      </c>
      <c r="C647" t="str" cm="1">
        <f t="array" ref="C647">INDEX(BOM!$B$2:$B$21,MATCH(B647,BOM!$A$2:$A$21,0)+MOD(ROW()-2,4))</f>
        <v>M006</v>
      </c>
      <c r="D647" cm="1">
        <f t="array" ref="D647">INDEX(Weekly_Inventory_Flow!$I$2:$I$261,INT((ROW()-2)/4)+1)</f>
        <v>13300</v>
      </c>
      <c r="E647" cm="1">
        <f t="array" ref="E647">INDEX(BOM!$C$2:$C$21,MATCH(B647,BOM!$A$2:$A$21,0)+MOD(ROW()-2,4))</f>
        <v>8.0000000000000002E-3</v>
      </c>
      <c r="F647">
        <f t="shared" si="10"/>
        <v>106.4</v>
      </c>
    </row>
    <row r="648" spans="1:6">
      <c r="A648" s="1" cm="1">
        <f t="array" ref="A648">INDEX(Weekly_Inventory_Flow!$A$2:$A$261,INT((ROW()-2)/4)+1)</f>
        <v>46251</v>
      </c>
      <c r="B648" t="str" cm="1">
        <f t="array" ref="B648">INDEX(Weekly_Inventory_Flow!$B$2:$B$261,INT((ROW()-2)/4)+1)</f>
        <v>P002</v>
      </c>
      <c r="C648" t="str" cm="1">
        <f t="array" ref="C648">INDEX(BOM!$B$2:$B$21,MATCH(B648,BOM!$A$2:$A$21,0)+MOD(ROW()-2,4))</f>
        <v>M007</v>
      </c>
      <c r="D648" cm="1">
        <f t="array" ref="D648">INDEX(Weekly_Inventory_Flow!$I$2:$I$261,INT((ROW()-2)/4)+1)</f>
        <v>13300</v>
      </c>
      <c r="E648" cm="1">
        <f t="array" ref="E648">INDEX(BOM!$C$2:$C$21,MATCH(B648,BOM!$A$2:$A$21,0)+MOD(ROW()-2,4))</f>
        <v>1</v>
      </c>
      <c r="F648">
        <f t="shared" si="10"/>
        <v>13300</v>
      </c>
    </row>
    <row r="649" spans="1:6">
      <c r="A649" s="1" cm="1">
        <f t="array" ref="A649">INDEX(Weekly_Inventory_Flow!$A$2:$A$261,INT((ROW()-2)/4)+1)</f>
        <v>46251</v>
      </c>
      <c r="B649" t="str" cm="1">
        <f t="array" ref="B649">INDEX(Weekly_Inventory_Flow!$B$2:$B$261,INT((ROW()-2)/4)+1)</f>
        <v>P002</v>
      </c>
      <c r="C649" t="str" cm="1">
        <f t="array" ref="C649">INDEX(BOM!$B$2:$B$21,MATCH(B649,BOM!$A$2:$A$21,0)+MOD(ROW()-2,4))</f>
        <v>M008</v>
      </c>
      <c r="D649" cm="1">
        <f t="array" ref="D649">INDEX(Weekly_Inventory_Flow!$I$2:$I$261,INT((ROW()-2)/4)+1)</f>
        <v>13300</v>
      </c>
      <c r="E649" cm="1">
        <f t="array" ref="E649">INDEX(BOM!$C$2:$C$21,MATCH(B649,BOM!$A$2:$A$21,0)+MOD(ROW()-2,4))</f>
        <v>1</v>
      </c>
      <c r="F649">
        <f t="shared" si="10"/>
        <v>13300</v>
      </c>
    </row>
    <row r="650" spans="1:6">
      <c r="A650" s="1" cm="1">
        <f t="array" ref="A650">INDEX(Weekly_Inventory_Flow!$A$2:$A$261,INT((ROW()-2)/4)+1)</f>
        <v>46251</v>
      </c>
      <c r="B650" t="str" cm="1">
        <f t="array" ref="B650">INDEX(Weekly_Inventory_Flow!$B$2:$B$261,INT((ROW()-2)/4)+1)</f>
        <v>P003</v>
      </c>
      <c r="C650" t="str" cm="1">
        <f t="array" ref="C650">INDEX(BOM!$B$2:$B$21,MATCH(B650,BOM!$A$2:$A$21,0)+MOD(ROW()-2,4))</f>
        <v>M003</v>
      </c>
      <c r="D650" cm="1">
        <f t="array" ref="D650">INDEX(Weekly_Inventory_Flow!$I$2:$I$261,INT((ROW()-2)/4)+1)</f>
        <v>11700</v>
      </c>
      <c r="E650" cm="1">
        <f t="array" ref="E650">INDEX(BOM!$C$2:$C$21,MATCH(B650,BOM!$A$2:$A$21,0)+MOD(ROW()-2,4))</f>
        <v>0.25</v>
      </c>
      <c r="F650">
        <f t="shared" si="10"/>
        <v>2925</v>
      </c>
    </row>
    <row r="651" spans="1:6">
      <c r="A651" s="1" cm="1">
        <f t="array" ref="A651">INDEX(Weekly_Inventory_Flow!$A$2:$A$261,INT((ROW()-2)/4)+1)</f>
        <v>46251</v>
      </c>
      <c r="B651" t="str" cm="1">
        <f t="array" ref="B651">INDEX(Weekly_Inventory_Flow!$B$2:$B$261,INT((ROW()-2)/4)+1)</f>
        <v>P003</v>
      </c>
      <c r="C651" t="str" cm="1">
        <f t="array" ref="C651">INDEX(BOM!$B$2:$B$21,MATCH(B651,BOM!$A$2:$A$21,0)+MOD(ROW()-2,4))</f>
        <v>M006</v>
      </c>
      <c r="D651" cm="1">
        <f t="array" ref="D651">INDEX(Weekly_Inventory_Flow!$I$2:$I$261,INT((ROW()-2)/4)+1)</f>
        <v>11700</v>
      </c>
      <c r="E651" cm="1">
        <f t="array" ref="E651">INDEX(BOM!$C$2:$C$21,MATCH(B651,BOM!$A$2:$A$21,0)+MOD(ROW()-2,4))</f>
        <v>6.0000000000000001E-3</v>
      </c>
      <c r="F651">
        <f t="shared" si="10"/>
        <v>70.2</v>
      </c>
    </row>
    <row r="652" spans="1:6">
      <c r="A652" s="1" cm="1">
        <f t="array" ref="A652">INDEX(Weekly_Inventory_Flow!$A$2:$A$261,INT((ROW()-2)/4)+1)</f>
        <v>46251</v>
      </c>
      <c r="B652" t="str" cm="1">
        <f t="array" ref="B652">INDEX(Weekly_Inventory_Flow!$B$2:$B$261,INT((ROW()-2)/4)+1)</f>
        <v>P003</v>
      </c>
      <c r="C652" t="str" cm="1">
        <f t="array" ref="C652">INDEX(BOM!$B$2:$B$21,MATCH(B652,BOM!$A$2:$A$21,0)+MOD(ROW()-2,4))</f>
        <v>M007</v>
      </c>
      <c r="D652" cm="1">
        <f t="array" ref="D652">INDEX(Weekly_Inventory_Flow!$I$2:$I$261,INT((ROW()-2)/4)+1)</f>
        <v>11700</v>
      </c>
      <c r="E652" cm="1">
        <f t="array" ref="E652">INDEX(BOM!$C$2:$C$21,MATCH(B652,BOM!$A$2:$A$21,0)+MOD(ROW()-2,4))</f>
        <v>1</v>
      </c>
      <c r="F652">
        <f t="shared" si="10"/>
        <v>11700</v>
      </c>
    </row>
    <row r="653" spans="1:6">
      <c r="A653" s="1" cm="1">
        <f t="array" ref="A653">INDEX(Weekly_Inventory_Flow!$A$2:$A$261,INT((ROW()-2)/4)+1)</f>
        <v>46251</v>
      </c>
      <c r="B653" t="str" cm="1">
        <f t="array" ref="B653">INDEX(Weekly_Inventory_Flow!$B$2:$B$261,INT((ROW()-2)/4)+1)</f>
        <v>P003</v>
      </c>
      <c r="C653" t="str" cm="1">
        <f t="array" ref="C653">INDEX(BOM!$B$2:$B$21,MATCH(B653,BOM!$A$2:$A$21,0)+MOD(ROW()-2,4))</f>
        <v>M008</v>
      </c>
      <c r="D653" cm="1">
        <f t="array" ref="D653">INDEX(Weekly_Inventory_Flow!$I$2:$I$261,INT((ROW()-2)/4)+1)</f>
        <v>11700</v>
      </c>
      <c r="E653" cm="1">
        <f t="array" ref="E653">INDEX(BOM!$C$2:$C$21,MATCH(B653,BOM!$A$2:$A$21,0)+MOD(ROW()-2,4))</f>
        <v>1</v>
      </c>
      <c r="F653">
        <f t="shared" si="10"/>
        <v>11700</v>
      </c>
    </row>
    <row r="654" spans="1:6">
      <c r="A654" s="1" cm="1">
        <f t="array" ref="A654">INDEX(Weekly_Inventory_Flow!$A$2:$A$261,INT((ROW()-2)/4)+1)</f>
        <v>46251</v>
      </c>
      <c r="B654" t="str" cm="1">
        <f t="array" ref="B654">INDEX(Weekly_Inventory_Flow!$B$2:$B$261,INT((ROW()-2)/4)+1)</f>
        <v>P004</v>
      </c>
      <c r="C654" t="str" cm="1">
        <f t="array" ref="C654">INDEX(BOM!$B$2:$B$21,MATCH(B654,BOM!$A$2:$A$21,0)+MOD(ROW()-2,4))</f>
        <v>M004</v>
      </c>
      <c r="D654" cm="1">
        <f t="array" ref="D654">INDEX(Weekly_Inventory_Flow!$I$2:$I$261,INT((ROW()-2)/4)+1)</f>
        <v>12700</v>
      </c>
      <c r="E654" cm="1">
        <f t="array" ref="E654">INDEX(BOM!$C$2:$C$21,MATCH(B654,BOM!$A$2:$A$21,0)+MOD(ROW()-2,4))</f>
        <v>0.34</v>
      </c>
      <c r="F654">
        <f t="shared" si="10"/>
        <v>4318</v>
      </c>
    </row>
    <row r="655" spans="1:6">
      <c r="A655" s="1" cm="1">
        <f t="array" ref="A655">INDEX(Weekly_Inventory_Flow!$A$2:$A$261,INT((ROW()-2)/4)+1)</f>
        <v>46251</v>
      </c>
      <c r="B655" t="str" cm="1">
        <f t="array" ref="B655">INDEX(Weekly_Inventory_Flow!$B$2:$B$261,INT((ROW()-2)/4)+1)</f>
        <v>P004</v>
      </c>
      <c r="C655" t="str" cm="1">
        <f t="array" ref="C655">INDEX(BOM!$B$2:$B$21,MATCH(B655,BOM!$A$2:$A$21,0)+MOD(ROW()-2,4))</f>
        <v>M006</v>
      </c>
      <c r="D655" cm="1">
        <f t="array" ref="D655">INDEX(Weekly_Inventory_Flow!$I$2:$I$261,INT((ROW()-2)/4)+1)</f>
        <v>12700</v>
      </c>
      <c r="E655" cm="1">
        <f t="array" ref="E655">INDEX(BOM!$C$2:$C$21,MATCH(B655,BOM!$A$2:$A$21,0)+MOD(ROW()-2,4))</f>
        <v>8.9999999999999993E-3</v>
      </c>
      <c r="F655">
        <f t="shared" si="10"/>
        <v>114.3</v>
      </c>
    </row>
    <row r="656" spans="1:6">
      <c r="A656" s="1" cm="1">
        <f t="array" ref="A656">INDEX(Weekly_Inventory_Flow!$A$2:$A$261,INT((ROW()-2)/4)+1)</f>
        <v>46251</v>
      </c>
      <c r="B656" t="str" cm="1">
        <f t="array" ref="B656">INDEX(Weekly_Inventory_Flow!$B$2:$B$261,INT((ROW()-2)/4)+1)</f>
        <v>P004</v>
      </c>
      <c r="C656" t="str" cm="1">
        <f t="array" ref="C656">INDEX(BOM!$B$2:$B$21,MATCH(B656,BOM!$A$2:$A$21,0)+MOD(ROW()-2,4))</f>
        <v>M007</v>
      </c>
      <c r="D656" cm="1">
        <f t="array" ref="D656">INDEX(Weekly_Inventory_Flow!$I$2:$I$261,INT((ROW()-2)/4)+1)</f>
        <v>12700</v>
      </c>
      <c r="E656" cm="1">
        <f t="array" ref="E656">INDEX(BOM!$C$2:$C$21,MATCH(B656,BOM!$A$2:$A$21,0)+MOD(ROW()-2,4))</f>
        <v>1</v>
      </c>
      <c r="F656">
        <f t="shared" si="10"/>
        <v>12700</v>
      </c>
    </row>
    <row r="657" spans="1:6">
      <c r="A657" s="1" cm="1">
        <f t="array" ref="A657">INDEX(Weekly_Inventory_Flow!$A$2:$A$261,INT((ROW()-2)/4)+1)</f>
        <v>46251</v>
      </c>
      <c r="B657" t="str" cm="1">
        <f t="array" ref="B657">INDEX(Weekly_Inventory_Flow!$B$2:$B$261,INT((ROW()-2)/4)+1)</f>
        <v>P004</v>
      </c>
      <c r="C657" t="str" cm="1">
        <f t="array" ref="C657">INDEX(BOM!$B$2:$B$21,MATCH(B657,BOM!$A$2:$A$21,0)+MOD(ROW()-2,4))</f>
        <v>M008</v>
      </c>
      <c r="D657" cm="1">
        <f t="array" ref="D657">INDEX(Weekly_Inventory_Flow!$I$2:$I$261,INT((ROW()-2)/4)+1)</f>
        <v>12700</v>
      </c>
      <c r="E657" cm="1">
        <f t="array" ref="E657">INDEX(BOM!$C$2:$C$21,MATCH(B657,BOM!$A$2:$A$21,0)+MOD(ROW()-2,4))</f>
        <v>1</v>
      </c>
      <c r="F657">
        <f t="shared" si="10"/>
        <v>12700</v>
      </c>
    </row>
    <row r="658" spans="1:6">
      <c r="A658" s="1" cm="1">
        <f t="array" ref="A658">INDEX(Weekly_Inventory_Flow!$A$2:$A$261,INT((ROW()-2)/4)+1)</f>
        <v>46251</v>
      </c>
      <c r="B658" t="str" cm="1">
        <f t="array" ref="B658">INDEX(Weekly_Inventory_Flow!$B$2:$B$261,INT((ROW()-2)/4)+1)</f>
        <v>P005</v>
      </c>
      <c r="C658" t="str" cm="1">
        <f t="array" ref="C658">INDEX(BOM!$B$2:$B$21,MATCH(B658,BOM!$A$2:$A$21,0)+MOD(ROW()-2,4))</f>
        <v>M005</v>
      </c>
      <c r="D658" cm="1">
        <f t="array" ref="D658">INDEX(Weekly_Inventory_Flow!$I$2:$I$261,INT((ROW()-2)/4)+1)</f>
        <v>9300</v>
      </c>
      <c r="E658" cm="1">
        <f t="array" ref="E658">INDEX(BOM!$C$2:$C$21,MATCH(B658,BOM!$A$2:$A$21,0)+MOD(ROW()-2,4))</f>
        <v>0.52</v>
      </c>
      <c r="F658">
        <f t="shared" si="10"/>
        <v>4836</v>
      </c>
    </row>
    <row r="659" spans="1:6">
      <c r="A659" s="1" cm="1">
        <f t="array" ref="A659">INDEX(Weekly_Inventory_Flow!$A$2:$A$261,INT((ROW()-2)/4)+1)</f>
        <v>46251</v>
      </c>
      <c r="B659" t="str" cm="1">
        <f t="array" ref="B659">INDEX(Weekly_Inventory_Flow!$B$2:$B$261,INT((ROW()-2)/4)+1)</f>
        <v>P005</v>
      </c>
      <c r="C659" t="str" cm="1">
        <f t="array" ref="C659">INDEX(BOM!$B$2:$B$21,MATCH(B659,BOM!$A$2:$A$21,0)+MOD(ROW()-2,4))</f>
        <v>M006</v>
      </c>
      <c r="D659" cm="1">
        <f t="array" ref="D659">INDEX(Weekly_Inventory_Flow!$I$2:$I$261,INT((ROW()-2)/4)+1)</f>
        <v>9300</v>
      </c>
      <c r="E659" cm="1">
        <f t="array" ref="E659">INDEX(BOM!$C$2:$C$21,MATCH(B659,BOM!$A$2:$A$21,0)+MOD(ROW()-2,4))</f>
        <v>1.2E-2</v>
      </c>
      <c r="F659">
        <f t="shared" si="10"/>
        <v>111.60000000000001</v>
      </c>
    </row>
    <row r="660" spans="1:6">
      <c r="A660" s="1" cm="1">
        <f t="array" ref="A660">INDEX(Weekly_Inventory_Flow!$A$2:$A$261,INT((ROW()-2)/4)+1)</f>
        <v>46251</v>
      </c>
      <c r="B660" t="str" cm="1">
        <f t="array" ref="B660">INDEX(Weekly_Inventory_Flow!$B$2:$B$261,INT((ROW()-2)/4)+1)</f>
        <v>P005</v>
      </c>
      <c r="C660" t="str" cm="1">
        <f t="array" ref="C660">INDEX(BOM!$B$2:$B$21,MATCH(B660,BOM!$A$2:$A$21,0)+MOD(ROW()-2,4))</f>
        <v>M007</v>
      </c>
      <c r="D660" cm="1">
        <f t="array" ref="D660">INDEX(Weekly_Inventory_Flow!$I$2:$I$261,INT((ROW()-2)/4)+1)</f>
        <v>9300</v>
      </c>
      <c r="E660" cm="1">
        <f t="array" ref="E660">INDEX(BOM!$C$2:$C$21,MATCH(B660,BOM!$A$2:$A$21,0)+MOD(ROW()-2,4))</f>
        <v>1</v>
      </c>
      <c r="F660">
        <f t="shared" si="10"/>
        <v>9300</v>
      </c>
    </row>
    <row r="661" spans="1:6">
      <c r="A661" s="1" cm="1">
        <f t="array" ref="A661">INDEX(Weekly_Inventory_Flow!$A$2:$A$261,INT((ROW()-2)/4)+1)</f>
        <v>46251</v>
      </c>
      <c r="B661" t="str" cm="1">
        <f t="array" ref="B661">INDEX(Weekly_Inventory_Flow!$B$2:$B$261,INT((ROW()-2)/4)+1)</f>
        <v>P005</v>
      </c>
      <c r="C661" t="str" cm="1">
        <f t="array" ref="C661">INDEX(BOM!$B$2:$B$21,MATCH(B661,BOM!$A$2:$A$21,0)+MOD(ROW()-2,4))</f>
        <v>M008</v>
      </c>
      <c r="D661" cm="1">
        <f t="array" ref="D661">INDEX(Weekly_Inventory_Flow!$I$2:$I$261,INT((ROW()-2)/4)+1)</f>
        <v>9300</v>
      </c>
      <c r="E661" cm="1">
        <f t="array" ref="E661">INDEX(BOM!$C$2:$C$21,MATCH(B661,BOM!$A$2:$A$21,0)+MOD(ROW()-2,4))</f>
        <v>1</v>
      </c>
      <c r="F661">
        <f t="shared" si="10"/>
        <v>9300</v>
      </c>
    </row>
    <row r="662" spans="1:6">
      <c r="A662" s="1" cm="1">
        <f t="array" ref="A662">INDEX(Weekly_Inventory_Flow!$A$2:$A$261,INT((ROW()-2)/4)+1)</f>
        <v>46258</v>
      </c>
      <c r="B662" t="str" cm="1">
        <f t="array" ref="B662">INDEX(Weekly_Inventory_Flow!$B$2:$B$261,INT((ROW()-2)/4)+1)</f>
        <v>P001</v>
      </c>
      <c r="C662" t="str" cm="1">
        <f t="array" ref="C662">INDEX(BOM!$B$2:$B$21,MATCH(B662,BOM!$A$2:$A$21,0)+MOD(ROW()-2,4))</f>
        <v>M001</v>
      </c>
      <c r="D662" cm="1">
        <f t="array" ref="D662">INDEX(Weekly_Inventory_Flow!$I$2:$I$261,INT((ROW()-2)/4)+1)</f>
        <v>15400</v>
      </c>
      <c r="E662" cm="1">
        <f t="array" ref="E662">INDEX(BOM!$C$2:$C$21,MATCH(B662,BOM!$A$2:$A$21,0)+MOD(ROW()-2,4))</f>
        <v>0.35</v>
      </c>
      <c r="F662">
        <f t="shared" si="10"/>
        <v>5390</v>
      </c>
    </row>
    <row r="663" spans="1:6">
      <c r="A663" s="1" cm="1">
        <f t="array" ref="A663">INDEX(Weekly_Inventory_Flow!$A$2:$A$261,INT((ROW()-2)/4)+1)</f>
        <v>46258</v>
      </c>
      <c r="B663" t="str" cm="1">
        <f t="array" ref="B663">INDEX(Weekly_Inventory_Flow!$B$2:$B$261,INT((ROW()-2)/4)+1)</f>
        <v>P001</v>
      </c>
      <c r="C663" t="str" cm="1">
        <f t="array" ref="C663">INDEX(BOM!$B$2:$B$21,MATCH(B663,BOM!$A$2:$A$21,0)+MOD(ROW()-2,4))</f>
        <v>M006</v>
      </c>
      <c r="D663" cm="1">
        <f t="array" ref="D663">INDEX(Weekly_Inventory_Flow!$I$2:$I$261,INT((ROW()-2)/4)+1)</f>
        <v>15400</v>
      </c>
      <c r="E663" cm="1">
        <f t="array" ref="E663">INDEX(BOM!$C$2:$C$21,MATCH(B663,BOM!$A$2:$A$21,0)+MOD(ROW()-2,4))</f>
        <v>0.01</v>
      </c>
      <c r="F663">
        <f t="shared" si="10"/>
        <v>154</v>
      </c>
    </row>
    <row r="664" spans="1:6">
      <c r="A664" s="1" cm="1">
        <f t="array" ref="A664">INDEX(Weekly_Inventory_Flow!$A$2:$A$261,INT((ROW()-2)/4)+1)</f>
        <v>46258</v>
      </c>
      <c r="B664" t="str" cm="1">
        <f t="array" ref="B664">INDEX(Weekly_Inventory_Flow!$B$2:$B$261,INT((ROW()-2)/4)+1)</f>
        <v>P001</v>
      </c>
      <c r="C664" t="str" cm="1">
        <f t="array" ref="C664">INDEX(BOM!$B$2:$B$21,MATCH(B664,BOM!$A$2:$A$21,0)+MOD(ROW()-2,4))</f>
        <v>M007</v>
      </c>
      <c r="D664" cm="1">
        <f t="array" ref="D664">INDEX(Weekly_Inventory_Flow!$I$2:$I$261,INT((ROW()-2)/4)+1)</f>
        <v>15400</v>
      </c>
      <c r="E664" cm="1">
        <f t="array" ref="E664">INDEX(BOM!$C$2:$C$21,MATCH(B664,BOM!$A$2:$A$21,0)+MOD(ROW()-2,4))</f>
        <v>1</v>
      </c>
      <c r="F664">
        <f t="shared" si="10"/>
        <v>15400</v>
      </c>
    </row>
    <row r="665" spans="1:6">
      <c r="A665" s="1" cm="1">
        <f t="array" ref="A665">INDEX(Weekly_Inventory_Flow!$A$2:$A$261,INT((ROW()-2)/4)+1)</f>
        <v>46258</v>
      </c>
      <c r="B665" t="str" cm="1">
        <f t="array" ref="B665">INDEX(Weekly_Inventory_Flow!$B$2:$B$261,INT((ROW()-2)/4)+1)</f>
        <v>P001</v>
      </c>
      <c r="C665" t="str" cm="1">
        <f t="array" ref="C665">INDEX(BOM!$B$2:$B$21,MATCH(B665,BOM!$A$2:$A$21,0)+MOD(ROW()-2,4))</f>
        <v>M008</v>
      </c>
      <c r="D665" cm="1">
        <f t="array" ref="D665">INDEX(Weekly_Inventory_Flow!$I$2:$I$261,INT((ROW()-2)/4)+1)</f>
        <v>15400</v>
      </c>
      <c r="E665" cm="1">
        <f t="array" ref="E665">INDEX(BOM!$C$2:$C$21,MATCH(B665,BOM!$A$2:$A$21,0)+MOD(ROW()-2,4))</f>
        <v>1</v>
      </c>
      <c r="F665">
        <f t="shared" si="10"/>
        <v>15400</v>
      </c>
    </row>
    <row r="666" spans="1:6">
      <c r="A666" s="1" cm="1">
        <f t="array" ref="A666">INDEX(Weekly_Inventory_Flow!$A$2:$A$261,INT((ROW()-2)/4)+1)</f>
        <v>46258</v>
      </c>
      <c r="B666" t="str" cm="1">
        <f t="array" ref="B666">INDEX(Weekly_Inventory_Flow!$B$2:$B$261,INT((ROW()-2)/4)+1)</f>
        <v>P002</v>
      </c>
      <c r="C666" t="str" cm="1">
        <f t="array" ref="C666">INDEX(BOM!$B$2:$B$21,MATCH(B666,BOM!$A$2:$A$21,0)+MOD(ROW()-2,4))</f>
        <v>M002</v>
      </c>
      <c r="D666" cm="1">
        <f t="array" ref="D666">INDEX(Weekly_Inventory_Flow!$I$2:$I$261,INT((ROW()-2)/4)+1)</f>
        <v>13100</v>
      </c>
      <c r="E666" cm="1">
        <f t="array" ref="E666">INDEX(BOM!$C$2:$C$21,MATCH(B666,BOM!$A$2:$A$21,0)+MOD(ROW()-2,4))</f>
        <v>0.3</v>
      </c>
      <c r="F666">
        <f t="shared" si="10"/>
        <v>3930</v>
      </c>
    </row>
    <row r="667" spans="1:6">
      <c r="A667" s="1" cm="1">
        <f t="array" ref="A667">INDEX(Weekly_Inventory_Flow!$A$2:$A$261,INT((ROW()-2)/4)+1)</f>
        <v>46258</v>
      </c>
      <c r="B667" t="str" cm="1">
        <f t="array" ref="B667">INDEX(Weekly_Inventory_Flow!$B$2:$B$261,INT((ROW()-2)/4)+1)</f>
        <v>P002</v>
      </c>
      <c r="C667" t="str" cm="1">
        <f t="array" ref="C667">INDEX(BOM!$B$2:$B$21,MATCH(B667,BOM!$A$2:$A$21,0)+MOD(ROW()-2,4))</f>
        <v>M006</v>
      </c>
      <c r="D667" cm="1">
        <f t="array" ref="D667">INDEX(Weekly_Inventory_Flow!$I$2:$I$261,INT((ROW()-2)/4)+1)</f>
        <v>13100</v>
      </c>
      <c r="E667" cm="1">
        <f t="array" ref="E667">INDEX(BOM!$C$2:$C$21,MATCH(B667,BOM!$A$2:$A$21,0)+MOD(ROW()-2,4))</f>
        <v>8.0000000000000002E-3</v>
      </c>
      <c r="F667">
        <f t="shared" si="10"/>
        <v>104.8</v>
      </c>
    </row>
    <row r="668" spans="1:6">
      <c r="A668" s="1" cm="1">
        <f t="array" ref="A668">INDEX(Weekly_Inventory_Flow!$A$2:$A$261,INT((ROW()-2)/4)+1)</f>
        <v>46258</v>
      </c>
      <c r="B668" t="str" cm="1">
        <f t="array" ref="B668">INDEX(Weekly_Inventory_Flow!$B$2:$B$261,INT((ROW()-2)/4)+1)</f>
        <v>P002</v>
      </c>
      <c r="C668" t="str" cm="1">
        <f t="array" ref="C668">INDEX(BOM!$B$2:$B$21,MATCH(B668,BOM!$A$2:$A$21,0)+MOD(ROW()-2,4))</f>
        <v>M007</v>
      </c>
      <c r="D668" cm="1">
        <f t="array" ref="D668">INDEX(Weekly_Inventory_Flow!$I$2:$I$261,INT((ROW()-2)/4)+1)</f>
        <v>13100</v>
      </c>
      <c r="E668" cm="1">
        <f t="array" ref="E668">INDEX(BOM!$C$2:$C$21,MATCH(B668,BOM!$A$2:$A$21,0)+MOD(ROW()-2,4))</f>
        <v>1</v>
      </c>
      <c r="F668">
        <f t="shared" si="10"/>
        <v>13100</v>
      </c>
    </row>
    <row r="669" spans="1:6">
      <c r="A669" s="1" cm="1">
        <f t="array" ref="A669">INDEX(Weekly_Inventory_Flow!$A$2:$A$261,INT((ROW()-2)/4)+1)</f>
        <v>46258</v>
      </c>
      <c r="B669" t="str" cm="1">
        <f t="array" ref="B669">INDEX(Weekly_Inventory_Flow!$B$2:$B$261,INT((ROW()-2)/4)+1)</f>
        <v>P002</v>
      </c>
      <c r="C669" t="str" cm="1">
        <f t="array" ref="C669">INDEX(BOM!$B$2:$B$21,MATCH(B669,BOM!$A$2:$A$21,0)+MOD(ROW()-2,4))</f>
        <v>M008</v>
      </c>
      <c r="D669" cm="1">
        <f t="array" ref="D669">INDEX(Weekly_Inventory_Flow!$I$2:$I$261,INT((ROW()-2)/4)+1)</f>
        <v>13100</v>
      </c>
      <c r="E669" cm="1">
        <f t="array" ref="E669">INDEX(BOM!$C$2:$C$21,MATCH(B669,BOM!$A$2:$A$21,0)+MOD(ROW()-2,4))</f>
        <v>1</v>
      </c>
      <c r="F669">
        <f t="shared" si="10"/>
        <v>13100</v>
      </c>
    </row>
    <row r="670" spans="1:6">
      <c r="A670" s="1" cm="1">
        <f t="array" ref="A670">INDEX(Weekly_Inventory_Flow!$A$2:$A$261,INT((ROW()-2)/4)+1)</f>
        <v>46258</v>
      </c>
      <c r="B670" t="str" cm="1">
        <f t="array" ref="B670">INDEX(Weekly_Inventory_Flow!$B$2:$B$261,INT((ROW()-2)/4)+1)</f>
        <v>P003</v>
      </c>
      <c r="C670" t="str" cm="1">
        <f t="array" ref="C670">INDEX(BOM!$B$2:$B$21,MATCH(B670,BOM!$A$2:$A$21,0)+MOD(ROW()-2,4))</f>
        <v>M003</v>
      </c>
      <c r="D670" cm="1">
        <f t="array" ref="D670">INDEX(Weekly_Inventory_Flow!$I$2:$I$261,INT((ROW()-2)/4)+1)</f>
        <v>11900</v>
      </c>
      <c r="E670" cm="1">
        <f t="array" ref="E670">INDEX(BOM!$C$2:$C$21,MATCH(B670,BOM!$A$2:$A$21,0)+MOD(ROW()-2,4))</f>
        <v>0.25</v>
      </c>
      <c r="F670">
        <f t="shared" si="10"/>
        <v>2975</v>
      </c>
    </row>
    <row r="671" spans="1:6">
      <c r="A671" s="1" cm="1">
        <f t="array" ref="A671">INDEX(Weekly_Inventory_Flow!$A$2:$A$261,INT((ROW()-2)/4)+1)</f>
        <v>46258</v>
      </c>
      <c r="B671" t="str" cm="1">
        <f t="array" ref="B671">INDEX(Weekly_Inventory_Flow!$B$2:$B$261,INT((ROW()-2)/4)+1)</f>
        <v>P003</v>
      </c>
      <c r="C671" t="str" cm="1">
        <f t="array" ref="C671">INDEX(BOM!$B$2:$B$21,MATCH(B671,BOM!$A$2:$A$21,0)+MOD(ROW()-2,4))</f>
        <v>M006</v>
      </c>
      <c r="D671" cm="1">
        <f t="array" ref="D671">INDEX(Weekly_Inventory_Flow!$I$2:$I$261,INT((ROW()-2)/4)+1)</f>
        <v>11900</v>
      </c>
      <c r="E671" cm="1">
        <f t="array" ref="E671">INDEX(BOM!$C$2:$C$21,MATCH(B671,BOM!$A$2:$A$21,0)+MOD(ROW()-2,4))</f>
        <v>6.0000000000000001E-3</v>
      </c>
      <c r="F671">
        <f t="shared" si="10"/>
        <v>71.400000000000006</v>
      </c>
    </row>
    <row r="672" spans="1:6">
      <c r="A672" s="1" cm="1">
        <f t="array" ref="A672">INDEX(Weekly_Inventory_Flow!$A$2:$A$261,INT((ROW()-2)/4)+1)</f>
        <v>46258</v>
      </c>
      <c r="B672" t="str" cm="1">
        <f t="array" ref="B672">INDEX(Weekly_Inventory_Flow!$B$2:$B$261,INT((ROW()-2)/4)+1)</f>
        <v>P003</v>
      </c>
      <c r="C672" t="str" cm="1">
        <f t="array" ref="C672">INDEX(BOM!$B$2:$B$21,MATCH(B672,BOM!$A$2:$A$21,0)+MOD(ROW()-2,4))</f>
        <v>M007</v>
      </c>
      <c r="D672" cm="1">
        <f t="array" ref="D672">INDEX(Weekly_Inventory_Flow!$I$2:$I$261,INT((ROW()-2)/4)+1)</f>
        <v>11900</v>
      </c>
      <c r="E672" cm="1">
        <f t="array" ref="E672">INDEX(BOM!$C$2:$C$21,MATCH(B672,BOM!$A$2:$A$21,0)+MOD(ROW()-2,4))</f>
        <v>1</v>
      </c>
      <c r="F672">
        <f t="shared" si="10"/>
        <v>11900</v>
      </c>
    </row>
    <row r="673" spans="1:6">
      <c r="A673" s="1" cm="1">
        <f t="array" ref="A673">INDEX(Weekly_Inventory_Flow!$A$2:$A$261,INT((ROW()-2)/4)+1)</f>
        <v>46258</v>
      </c>
      <c r="B673" t="str" cm="1">
        <f t="array" ref="B673">INDEX(Weekly_Inventory_Flow!$B$2:$B$261,INT((ROW()-2)/4)+1)</f>
        <v>P003</v>
      </c>
      <c r="C673" t="str" cm="1">
        <f t="array" ref="C673">INDEX(BOM!$B$2:$B$21,MATCH(B673,BOM!$A$2:$A$21,0)+MOD(ROW()-2,4))</f>
        <v>M008</v>
      </c>
      <c r="D673" cm="1">
        <f t="array" ref="D673">INDEX(Weekly_Inventory_Flow!$I$2:$I$261,INT((ROW()-2)/4)+1)</f>
        <v>11900</v>
      </c>
      <c r="E673" cm="1">
        <f t="array" ref="E673">INDEX(BOM!$C$2:$C$21,MATCH(B673,BOM!$A$2:$A$21,0)+MOD(ROW()-2,4))</f>
        <v>1</v>
      </c>
      <c r="F673">
        <f t="shared" si="10"/>
        <v>11900</v>
      </c>
    </row>
    <row r="674" spans="1:6">
      <c r="A674" s="1" cm="1">
        <f t="array" ref="A674">INDEX(Weekly_Inventory_Flow!$A$2:$A$261,INT((ROW()-2)/4)+1)</f>
        <v>46258</v>
      </c>
      <c r="B674" t="str" cm="1">
        <f t="array" ref="B674">INDEX(Weekly_Inventory_Flow!$B$2:$B$261,INT((ROW()-2)/4)+1)</f>
        <v>P004</v>
      </c>
      <c r="C674" t="str" cm="1">
        <f t="array" ref="C674">INDEX(BOM!$B$2:$B$21,MATCH(B674,BOM!$A$2:$A$21,0)+MOD(ROW()-2,4))</f>
        <v>M004</v>
      </c>
      <c r="D674" cm="1">
        <f t="array" ref="D674">INDEX(Weekly_Inventory_Flow!$I$2:$I$261,INT((ROW()-2)/4)+1)</f>
        <v>12900</v>
      </c>
      <c r="E674" cm="1">
        <f t="array" ref="E674">INDEX(BOM!$C$2:$C$21,MATCH(B674,BOM!$A$2:$A$21,0)+MOD(ROW()-2,4))</f>
        <v>0.34</v>
      </c>
      <c r="F674">
        <f t="shared" si="10"/>
        <v>4386</v>
      </c>
    </row>
    <row r="675" spans="1:6">
      <c r="A675" s="1" cm="1">
        <f t="array" ref="A675">INDEX(Weekly_Inventory_Flow!$A$2:$A$261,INT((ROW()-2)/4)+1)</f>
        <v>46258</v>
      </c>
      <c r="B675" t="str" cm="1">
        <f t="array" ref="B675">INDEX(Weekly_Inventory_Flow!$B$2:$B$261,INT((ROW()-2)/4)+1)</f>
        <v>P004</v>
      </c>
      <c r="C675" t="str" cm="1">
        <f t="array" ref="C675">INDEX(BOM!$B$2:$B$21,MATCH(B675,BOM!$A$2:$A$21,0)+MOD(ROW()-2,4))</f>
        <v>M006</v>
      </c>
      <c r="D675" cm="1">
        <f t="array" ref="D675">INDEX(Weekly_Inventory_Flow!$I$2:$I$261,INT((ROW()-2)/4)+1)</f>
        <v>12900</v>
      </c>
      <c r="E675" cm="1">
        <f t="array" ref="E675">INDEX(BOM!$C$2:$C$21,MATCH(B675,BOM!$A$2:$A$21,0)+MOD(ROW()-2,4))</f>
        <v>8.9999999999999993E-3</v>
      </c>
      <c r="F675">
        <f t="shared" si="10"/>
        <v>116.1</v>
      </c>
    </row>
    <row r="676" spans="1:6">
      <c r="A676" s="1" cm="1">
        <f t="array" ref="A676">INDEX(Weekly_Inventory_Flow!$A$2:$A$261,INT((ROW()-2)/4)+1)</f>
        <v>46258</v>
      </c>
      <c r="B676" t="str" cm="1">
        <f t="array" ref="B676">INDEX(Weekly_Inventory_Flow!$B$2:$B$261,INT((ROW()-2)/4)+1)</f>
        <v>P004</v>
      </c>
      <c r="C676" t="str" cm="1">
        <f t="array" ref="C676">INDEX(BOM!$B$2:$B$21,MATCH(B676,BOM!$A$2:$A$21,0)+MOD(ROW()-2,4))</f>
        <v>M007</v>
      </c>
      <c r="D676" cm="1">
        <f t="array" ref="D676">INDEX(Weekly_Inventory_Flow!$I$2:$I$261,INT((ROW()-2)/4)+1)</f>
        <v>12900</v>
      </c>
      <c r="E676" cm="1">
        <f t="array" ref="E676">INDEX(BOM!$C$2:$C$21,MATCH(B676,BOM!$A$2:$A$21,0)+MOD(ROW()-2,4))</f>
        <v>1</v>
      </c>
      <c r="F676">
        <f t="shared" si="10"/>
        <v>12900</v>
      </c>
    </row>
    <row r="677" spans="1:6">
      <c r="A677" s="1" cm="1">
        <f t="array" ref="A677">INDEX(Weekly_Inventory_Flow!$A$2:$A$261,INT((ROW()-2)/4)+1)</f>
        <v>46258</v>
      </c>
      <c r="B677" t="str" cm="1">
        <f t="array" ref="B677">INDEX(Weekly_Inventory_Flow!$B$2:$B$261,INT((ROW()-2)/4)+1)</f>
        <v>P004</v>
      </c>
      <c r="C677" t="str" cm="1">
        <f t="array" ref="C677">INDEX(BOM!$B$2:$B$21,MATCH(B677,BOM!$A$2:$A$21,0)+MOD(ROW()-2,4))</f>
        <v>M008</v>
      </c>
      <c r="D677" cm="1">
        <f t="array" ref="D677">INDEX(Weekly_Inventory_Flow!$I$2:$I$261,INT((ROW()-2)/4)+1)</f>
        <v>12900</v>
      </c>
      <c r="E677" cm="1">
        <f t="array" ref="E677">INDEX(BOM!$C$2:$C$21,MATCH(B677,BOM!$A$2:$A$21,0)+MOD(ROW()-2,4))</f>
        <v>1</v>
      </c>
      <c r="F677">
        <f t="shared" si="10"/>
        <v>12900</v>
      </c>
    </row>
    <row r="678" spans="1:6">
      <c r="A678" s="1" cm="1">
        <f t="array" ref="A678">INDEX(Weekly_Inventory_Flow!$A$2:$A$261,INT((ROW()-2)/4)+1)</f>
        <v>46258</v>
      </c>
      <c r="B678" t="str" cm="1">
        <f t="array" ref="B678">INDEX(Weekly_Inventory_Flow!$B$2:$B$261,INT((ROW()-2)/4)+1)</f>
        <v>P005</v>
      </c>
      <c r="C678" t="str" cm="1">
        <f t="array" ref="C678">INDEX(BOM!$B$2:$B$21,MATCH(B678,BOM!$A$2:$A$21,0)+MOD(ROW()-2,4))</f>
        <v>M005</v>
      </c>
      <c r="D678" cm="1">
        <f t="array" ref="D678">INDEX(Weekly_Inventory_Flow!$I$2:$I$261,INT((ROW()-2)/4)+1)</f>
        <v>9900</v>
      </c>
      <c r="E678" cm="1">
        <f t="array" ref="E678">INDEX(BOM!$C$2:$C$21,MATCH(B678,BOM!$A$2:$A$21,0)+MOD(ROW()-2,4))</f>
        <v>0.52</v>
      </c>
      <c r="F678">
        <f t="shared" si="10"/>
        <v>5148</v>
      </c>
    </row>
    <row r="679" spans="1:6">
      <c r="A679" s="1" cm="1">
        <f t="array" ref="A679">INDEX(Weekly_Inventory_Flow!$A$2:$A$261,INT((ROW()-2)/4)+1)</f>
        <v>46258</v>
      </c>
      <c r="B679" t="str" cm="1">
        <f t="array" ref="B679">INDEX(Weekly_Inventory_Flow!$B$2:$B$261,INT((ROW()-2)/4)+1)</f>
        <v>P005</v>
      </c>
      <c r="C679" t="str" cm="1">
        <f t="array" ref="C679">INDEX(BOM!$B$2:$B$21,MATCH(B679,BOM!$A$2:$A$21,0)+MOD(ROW()-2,4))</f>
        <v>M006</v>
      </c>
      <c r="D679" cm="1">
        <f t="array" ref="D679">INDEX(Weekly_Inventory_Flow!$I$2:$I$261,INT((ROW()-2)/4)+1)</f>
        <v>9900</v>
      </c>
      <c r="E679" cm="1">
        <f t="array" ref="E679">INDEX(BOM!$C$2:$C$21,MATCH(B679,BOM!$A$2:$A$21,0)+MOD(ROW()-2,4))</f>
        <v>1.2E-2</v>
      </c>
      <c r="F679">
        <f t="shared" si="10"/>
        <v>118.8</v>
      </c>
    </row>
    <row r="680" spans="1:6">
      <c r="A680" s="1" cm="1">
        <f t="array" ref="A680">INDEX(Weekly_Inventory_Flow!$A$2:$A$261,INT((ROW()-2)/4)+1)</f>
        <v>46258</v>
      </c>
      <c r="B680" t="str" cm="1">
        <f t="array" ref="B680">INDEX(Weekly_Inventory_Flow!$B$2:$B$261,INT((ROW()-2)/4)+1)</f>
        <v>P005</v>
      </c>
      <c r="C680" t="str" cm="1">
        <f t="array" ref="C680">INDEX(BOM!$B$2:$B$21,MATCH(B680,BOM!$A$2:$A$21,0)+MOD(ROW()-2,4))</f>
        <v>M007</v>
      </c>
      <c r="D680" cm="1">
        <f t="array" ref="D680">INDEX(Weekly_Inventory_Flow!$I$2:$I$261,INT((ROW()-2)/4)+1)</f>
        <v>9900</v>
      </c>
      <c r="E680" cm="1">
        <f t="array" ref="E680">INDEX(BOM!$C$2:$C$21,MATCH(B680,BOM!$A$2:$A$21,0)+MOD(ROW()-2,4))</f>
        <v>1</v>
      </c>
      <c r="F680">
        <f t="shared" si="10"/>
        <v>9900</v>
      </c>
    </row>
    <row r="681" spans="1:6">
      <c r="A681" s="1" cm="1">
        <f t="array" ref="A681">INDEX(Weekly_Inventory_Flow!$A$2:$A$261,INT((ROW()-2)/4)+1)</f>
        <v>46258</v>
      </c>
      <c r="B681" t="str" cm="1">
        <f t="array" ref="B681">INDEX(Weekly_Inventory_Flow!$B$2:$B$261,INT((ROW()-2)/4)+1)</f>
        <v>P005</v>
      </c>
      <c r="C681" t="str" cm="1">
        <f t="array" ref="C681">INDEX(BOM!$B$2:$B$21,MATCH(B681,BOM!$A$2:$A$21,0)+MOD(ROW()-2,4))</f>
        <v>M008</v>
      </c>
      <c r="D681" cm="1">
        <f t="array" ref="D681">INDEX(Weekly_Inventory_Flow!$I$2:$I$261,INT((ROW()-2)/4)+1)</f>
        <v>9900</v>
      </c>
      <c r="E681" cm="1">
        <f t="array" ref="E681">INDEX(BOM!$C$2:$C$21,MATCH(B681,BOM!$A$2:$A$21,0)+MOD(ROW()-2,4))</f>
        <v>1</v>
      </c>
      <c r="F681">
        <f t="shared" si="10"/>
        <v>9900</v>
      </c>
    </row>
    <row r="682" spans="1:6">
      <c r="A682" s="1" cm="1">
        <f t="array" ref="A682">INDEX(Weekly_Inventory_Flow!$A$2:$A$261,INT((ROW()-2)/4)+1)</f>
        <v>46265</v>
      </c>
      <c r="B682" t="str" cm="1">
        <f t="array" ref="B682">INDEX(Weekly_Inventory_Flow!$B$2:$B$261,INT((ROW()-2)/4)+1)</f>
        <v>P001</v>
      </c>
      <c r="C682" t="str" cm="1">
        <f t="array" ref="C682">INDEX(BOM!$B$2:$B$21,MATCH(B682,BOM!$A$2:$A$21,0)+MOD(ROW()-2,4))</f>
        <v>M001</v>
      </c>
      <c r="D682" cm="1">
        <f t="array" ref="D682">INDEX(Weekly_Inventory_Flow!$I$2:$I$261,INT((ROW()-2)/4)+1)</f>
        <v>15500</v>
      </c>
      <c r="E682" cm="1">
        <f t="array" ref="E682">INDEX(BOM!$C$2:$C$21,MATCH(B682,BOM!$A$2:$A$21,0)+MOD(ROW()-2,4))</f>
        <v>0.35</v>
      </c>
      <c r="F682">
        <f t="shared" si="10"/>
        <v>5425</v>
      </c>
    </row>
    <row r="683" spans="1:6">
      <c r="A683" s="1" cm="1">
        <f t="array" ref="A683">INDEX(Weekly_Inventory_Flow!$A$2:$A$261,INT((ROW()-2)/4)+1)</f>
        <v>46265</v>
      </c>
      <c r="B683" t="str" cm="1">
        <f t="array" ref="B683">INDEX(Weekly_Inventory_Flow!$B$2:$B$261,INT((ROW()-2)/4)+1)</f>
        <v>P001</v>
      </c>
      <c r="C683" t="str" cm="1">
        <f t="array" ref="C683">INDEX(BOM!$B$2:$B$21,MATCH(B683,BOM!$A$2:$A$21,0)+MOD(ROW()-2,4))</f>
        <v>M006</v>
      </c>
      <c r="D683" cm="1">
        <f t="array" ref="D683">INDEX(Weekly_Inventory_Flow!$I$2:$I$261,INT((ROW()-2)/4)+1)</f>
        <v>15500</v>
      </c>
      <c r="E683" cm="1">
        <f t="array" ref="E683">INDEX(BOM!$C$2:$C$21,MATCH(B683,BOM!$A$2:$A$21,0)+MOD(ROW()-2,4))</f>
        <v>0.01</v>
      </c>
      <c r="F683">
        <f t="shared" si="10"/>
        <v>155</v>
      </c>
    </row>
    <row r="684" spans="1:6">
      <c r="A684" s="1" cm="1">
        <f t="array" ref="A684">INDEX(Weekly_Inventory_Flow!$A$2:$A$261,INT((ROW()-2)/4)+1)</f>
        <v>46265</v>
      </c>
      <c r="B684" t="str" cm="1">
        <f t="array" ref="B684">INDEX(Weekly_Inventory_Flow!$B$2:$B$261,INT((ROW()-2)/4)+1)</f>
        <v>P001</v>
      </c>
      <c r="C684" t="str" cm="1">
        <f t="array" ref="C684">INDEX(BOM!$B$2:$B$21,MATCH(B684,BOM!$A$2:$A$21,0)+MOD(ROW()-2,4))</f>
        <v>M007</v>
      </c>
      <c r="D684" cm="1">
        <f t="array" ref="D684">INDEX(Weekly_Inventory_Flow!$I$2:$I$261,INT((ROW()-2)/4)+1)</f>
        <v>15500</v>
      </c>
      <c r="E684" cm="1">
        <f t="array" ref="E684">INDEX(BOM!$C$2:$C$21,MATCH(B684,BOM!$A$2:$A$21,0)+MOD(ROW()-2,4))</f>
        <v>1</v>
      </c>
      <c r="F684">
        <f t="shared" si="10"/>
        <v>15500</v>
      </c>
    </row>
    <row r="685" spans="1:6">
      <c r="A685" s="1" cm="1">
        <f t="array" ref="A685">INDEX(Weekly_Inventory_Flow!$A$2:$A$261,INT((ROW()-2)/4)+1)</f>
        <v>46265</v>
      </c>
      <c r="B685" t="str" cm="1">
        <f t="array" ref="B685">INDEX(Weekly_Inventory_Flow!$B$2:$B$261,INT((ROW()-2)/4)+1)</f>
        <v>P001</v>
      </c>
      <c r="C685" t="str" cm="1">
        <f t="array" ref="C685">INDEX(BOM!$B$2:$B$21,MATCH(B685,BOM!$A$2:$A$21,0)+MOD(ROW()-2,4))</f>
        <v>M008</v>
      </c>
      <c r="D685" cm="1">
        <f t="array" ref="D685">INDEX(Weekly_Inventory_Flow!$I$2:$I$261,INT((ROW()-2)/4)+1)</f>
        <v>15500</v>
      </c>
      <c r="E685" cm="1">
        <f t="array" ref="E685">INDEX(BOM!$C$2:$C$21,MATCH(B685,BOM!$A$2:$A$21,0)+MOD(ROW()-2,4))</f>
        <v>1</v>
      </c>
      <c r="F685">
        <f t="shared" si="10"/>
        <v>15500</v>
      </c>
    </row>
    <row r="686" spans="1:6">
      <c r="A686" s="1" cm="1">
        <f t="array" ref="A686">INDEX(Weekly_Inventory_Flow!$A$2:$A$261,INT((ROW()-2)/4)+1)</f>
        <v>46265</v>
      </c>
      <c r="B686" t="str" cm="1">
        <f t="array" ref="B686">INDEX(Weekly_Inventory_Flow!$B$2:$B$261,INT((ROW()-2)/4)+1)</f>
        <v>P002</v>
      </c>
      <c r="C686" t="str" cm="1">
        <f t="array" ref="C686">INDEX(BOM!$B$2:$B$21,MATCH(B686,BOM!$A$2:$A$21,0)+MOD(ROW()-2,4))</f>
        <v>M002</v>
      </c>
      <c r="D686" cm="1">
        <f t="array" ref="D686">INDEX(Weekly_Inventory_Flow!$I$2:$I$261,INT((ROW()-2)/4)+1)</f>
        <v>13500</v>
      </c>
      <c r="E686" cm="1">
        <f t="array" ref="E686">INDEX(BOM!$C$2:$C$21,MATCH(B686,BOM!$A$2:$A$21,0)+MOD(ROW()-2,4))</f>
        <v>0.3</v>
      </c>
      <c r="F686">
        <f t="shared" si="10"/>
        <v>4050</v>
      </c>
    </row>
    <row r="687" spans="1:6">
      <c r="A687" s="1" cm="1">
        <f t="array" ref="A687">INDEX(Weekly_Inventory_Flow!$A$2:$A$261,INT((ROW()-2)/4)+1)</f>
        <v>46265</v>
      </c>
      <c r="B687" t="str" cm="1">
        <f t="array" ref="B687">INDEX(Weekly_Inventory_Flow!$B$2:$B$261,INT((ROW()-2)/4)+1)</f>
        <v>P002</v>
      </c>
      <c r="C687" t="str" cm="1">
        <f t="array" ref="C687">INDEX(BOM!$B$2:$B$21,MATCH(B687,BOM!$A$2:$A$21,0)+MOD(ROW()-2,4))</f>
        <v>M006</v>
      </c>
      <c r="D687" cm="1">
        <f t="array" ref="D687">INDEX(Weekly_Inventory_Flow!$I$2:$I$261,INT((ROW()-2)/4)+1)</f>
        <v>13500</v>
      </c>
      <c r="E687" cm="1">
        <f t="array" ref="E687">INDEX(BOM!$C$2:$C$21,MATCH(B687,BOM!$A$2:$A$21,0)+MOD(ROW()-2,4))</f>
        <v>8.0000000000000002E-3</v>
      </c>
      <c r="F687">
        <f t="shared" si="10"/>
        <v>108</v>
      </c>
    </row>
    <row r="688" spans="1:6">
      <c r="A688" s="1" cm="1">
        <f t="array" ref="A688">INDEX(Weekly_Inventory_Flow!$A$2:$A$261,INT((ROW()-2)/4)+1)</f>
        <v>46265</v>
      </c>
      <c r="B688" t="str" cm="1">
        <f t="array" ref="B688">INDEX(Weekly_Inventory_Flow!$B$2:$B$261,INT((ROW()-2)/4)+1)</f>
        <v>P002</v>
      </c>
      <c r="C688" t="str" cm="1">
        <f t="array" ref="C688">INDEX(BOM!$B$2:$B$21,MATCH(B688,BOM!$A$2:$A$21,0)+MOD(ROW()-2,4))</f>
        <v>M007</v>
      </c>
      <c r="D688" cm="1">
        <f t="array" ref="D688">INDEX(Weekly_Inventory_Flow!$I$2:$I$261,INT((ROW()-2)/4)+1)</f>
        <v>13500</v>
      </c>
      <c r="E688" cm="1">
        <f t="array" ref="E688">INDEX(BOM!$C$2:$C$21,MATCH(B688,BOM!$A$2:$A$21,0)+MOD(ROW()-2,4))</f>
        <v>1</v>
      </c>
      <c r="F688">
        <f t="shared" si="10"/>
        <v>13500</v>
      </c>
    </row>
    <row r="689" spans="1:6">
      <c r="A689" s="1" cm="1">
        <f t="array" ref="A689">INDEX(Weekly_Inventory_Flow!$A$2:$A$261,INT((ROW()-2)/4)+1)</f>
        <v>46265</v>
      </c>
      <c r="B689" t="str" cm="1">
        <f t="array" ref="B689">INDEX(Weekly_Inventory_Flow!$B$2:$B$261,INT((ROW()-2)/4)+1)</f>
        <v>P002</v>
      </c>
      <c r="C689" t="str" cm="1">
        <f t="array" ref="C689">INDEX(BOM!$B$2:$B$21,MATCH(B689,BOM!$A$2:$A$21,0)+MOD(ROW()-2,4))</f>
        <v>M008</v>
      </c>
      <c r="D689" cm="1">
        <f t="array" ref="D689">INDEX(Weekly_Inventory_Flow!$I$2:$I$261,INT((ROW()-2)/4)+1)</f>
        <v>13500</v>
      </c>
      <c r="E689" cm="1">
        <f t="array" ref="E689">INDEX(BOM!$C$2:$C$21,MATCH(B689,BOM!$A$2:$A$21,0)+MOD(ROW()-2,4))</f>
        <v>1</v>
      </c>
      <c r="F689">
        <f t="shared" si="10"/>
        <v>13500</v>
      </c>
    </row>
    <row r="690" spans="1:6">
      <c r="A690" s="1" cm="1">
        <f t="array" ref="A690">INDEX(Weekly_Inventory_Flow!$A$2:$A$261,INT((ROW()-2)/4)+1)</f>
        <v>46265</v>
      </c>
      <c r="B690" t="str" cm="1">
        <f t="array" ref="B690">INDEX(Weekly_Inventory_Flow!$B$2:$B$261,INT((ROW()-2)/4)+1)</f>
        <v>P003</v>
      </c>
      <c r="C690" t="str" cm="1">
        <f t="array" ref="C690">INDEX(BOM!$B$2:$B$21,MATCH(B690,BOM!$A$2:$A$21,0)+MOD(ROW()-2,4))</f>
        <v>M003</v>
      </c>
      <c r="D690" cm="1">
        <f t="array" ref="D690">INDEX(Weekly_Inventory_Flow!$I$2:$I$261,INT((ROW()-2)/4)+1)</f>
        <v>11700</v>
      </c>
      <c r="E690" cm="1">
        <f t="array" ref="E690">INDEX(BOM!$C$2:$C$21,MATCH(B690,BOM!$A$2:$A$21,0)+MOD(ROW()-2,4))</f>
        <v>0.25</v>
      </c>
      <c r="F690">
        <f t="shared" si="10"/>
        <v>2925</v>
      </c>
    </row>
    <row r="691" spans="1:6">
      <c r="A691" s="1" cm="1">
        <f t="array" ref="A691">INDEX(Weekly_Inventory_Flow!$A$2:$A$261,INT((ROW()-2)/4)+1)</f>
        <v>46265</v>
      </c>
      <c r="B691" t="str" cm="1">
        <f t="array" ref="B691">INDEX(Weekly_Inventory_Flow!$B$2:$B$261,INT((ROW()-2)/4)+1)</f>
        <v>P003</v>
      </c>
      <c r="C691" t="str" cm="1">
        <f t="array" ref="C691">INDEX(BOM!$B$2:$B$21,MATCH(B691,BOM!$A$2:$A$21,0)+MOD(ROW()-2,4))</f>
        <v>M006</v>
      </c>
      <c r="D691" cm="1">
        <f t="array" ref="D691">INDEX(Weekly_Inventory_Flow!$I$2:$I$261,INT((ROW()-2)/4)+1)</f>
        <v>11700</v>
      </c>
      <c r="E691" cm="1">
        <f t="array" ref="E691">INDEX(BOM!$C$2:$C$21,MATCH(B691,BOM!$A$2:$A$21,0)+MOD(ROW()-2,4))</f>
        <v>6.0000000000000001E-3</v>
      </c>
      <c r="F691">
        <f t="shared" si="10"/>
        <v>70.2</v>
      </c>
    </row>
    <row r="692" spans="1:6">
      <c r="A692" s="1" cm="1">
        <f t="array" ref="A692">INDEX(Weekly_Inventory_Flow!$A$2:$A$261,INT((ROW()-2)/4)+1)</f>
        <v>46265</v>
      </c>
      <c r="B692" t="str" cm="1">
        <f t="array" ref="B692">INDEX(Weekly_Inventory_Flow!$B$2:$B$261,INT((ROW()-2)/4)+1)</f>
        <v>P003</v>
      </c>
      <c r="C692" t="str" cm="1">
        <f t="array" ref="C692">INDEX(BOM!$B$2:$B$21,MATCH(B692,BOM!$A$2:$A$21,0)+MOD(ROW()-2,4))</f>
        <v>M007</v>
      </c>
      <c r="D692" cm="1">
        <f t="array" ref="D692">INDEX(Weekly_Inventory_Flow!$I$2:$I$261,INT((ROW()-2)/4)+1)</f>
        <v>11700</v>
      </c>
      <c r="E692" cm="1">
        <f t="array" ref="E692">INDEX(BOM!$C$2:$C$21,MATCH(B692,BOM!$A$2:$A$21,0)+MOD(ROW()-2,4))</f>
        <v>1</v>
      </c>
      <c r="F692">
        <f t="shared" si="10"/>
        <v>11700</v>
      </c>
    </row>
    <row r="693" spans="1:6">
      <c r="A693" s="1" cm="1">
        <f t="array" ref="A693">INDEX(Weekly_Inventory_Flow!$A$2:$A$261,INT((ROW()-2)/4)+1)</f>
        <v>46265</v>
      </c>
      <c r="B693" t="str" cm="1">
        <f t="array" ref="B693">INDEX(Weekly_Inventory_Flow!$B$2:$B$261,INT((ROW()-2)/4)+1)</f>
        <v>P003</v>
      </c>
      <c r="C693" t="str" cm="1">
        <f t="array" ref="C693">INDEX(BOM!$B$2:$B$21,MATCH(B693,BOM!$A$2:$A$21,0)+MOD(ROW()-2,4))</f>
        <v>M008</v>
      </c>
      <c r="D693" cm="1">
        <f t="array" ref="D693">INDEX(Weekly_Inventory_Flow!$I$2:$I$261,INT((ROW()-2)/4)+1)</f>
        <v>11700</v>
      </c>
      <c r="E693" cm="1">
        <f t="array" ref="E693">INDEX(BOM!$C$2:$C$21,MATCH(B693,BOM!$A$2:$A$21,0)+MOD(ROW()-2,4))</f>
        <v>1</v>
      </c>
      <c r="F693">
        <f t="shared" si="10"/>
        <v>11700</v>
      </c>
    </row>
    <row r="694" spans="1:6">
      <c r="A694" s="1" cm="1">
        <f t="array" ref="A694">INDEX(Weekly_Inventory_Flow!$A$2:$A$261,INT((ROW()-2)/4)+1)</f>
        <v>46265</v>
      </c>
      <c r="B694" t="str" cm="1">
        <f t="array" ref="B694">INDEX(Weekly_Inventory_Flow!$B$2:$B$261,INT((ROW()-2)/4)+1)</f>
        <v>P004</v>
      </c>
      <c r="C694" t="str" cm="1">
        <f t="array" ref="C694">INDEX(BOM!$B$2:$B$21,MATCH(B694,BOM!$A$2:$A$21,0)+MOD(ROW()-2,4))</f>
        <v>M004</v>
      </c>
      <c r="D694" cm="1">
        <f t="array" ref="D694">INDEX(Weekly_Inventory_Flow!$I$2:$I$261,INT((ROW()-2)/4)+1)</f>
        <v>12900</v>
      </c>
      <c r="E694" cm="1">
        <f t="array" ref="E694">INDEX(BOM!$C$2:$C$21,MATCH(B694,BOM!$A$2:$A$21,0)+MOD(ROW()-2,4))</f>
        <v>0.34</v>
      </c>
      <c r="F694">
        <f t="shared" si="10"/>
        <v>4386</v>
      </c>
    </row>
    <row r="695" spans="1:6">
      <c r="A695" s="1" cm="1">
        <f t="array" ref="A695">INDEX(Weekly_Inventory_Flow!$A$2:$A$261,INT((ROW()-2)/4)+1)</f>
        <v>46265</v>
      </c>
      <c r="B695" t="str" cm="1">
        <f t="array" ref="B695">INDEX(Weekly_Inventory_Flow!$B$2:$B$261,INT((ROW()-2)/4)+1)</f>
        <v>P004</v>
      </c>
      <c r="C695" t="str" cm="1">
        <f t="array" ref="C695">INDEX(BOM!$B$2:$B$21,MATCH(B695,BOM!$A$2:$A$21,0)+MOD(ROW()-2,4))</f>
        <v>M006</v>
      </c>
      <c r="D695" cm="1">
        <f t="array" ref="D695">INDEX(Weekly_Inventory_Flow!$I$2:$I$261,INT((ROW()-2)/4)+1)</f>
        <v>12900</v>
      </c>
      <c r="E695" cm="1">
        <f t="array" ref="E695">INDEX(BOM!$C$2:$C$21,MATCH(B695,BOM!$A$2:$A$21,0)+MOD(ROW()-2,4))</f>
        <v>8.9999999999999993E-3</v>
      </c>
      <c r="F695">
        <f t="shared" si="10"/>
        <v>116.1</v>
      </c>
    </row>
    <row r="696" spans="1:6">
      <c r="A696" s="1" cm="1">
        <f t="array" ref="A696">INDEX(Weekly_Inventory_Flow!$A$2:$A$261,INT((ROW()-2)/4)+1)</f>
        <v>46265</v>
      </c>
      <c r="B696" t="str" cm="1">
        <f t="array" ref="B696">INDEX(Weekly_Inventory_Flow!$B$2:$B$261,INT((ROW()-2)/4)+1)</f>
        <v>P004</v>
      </c>
      <c r="C696" t="str" cm="1">
        <f t="array" ref="C696">INDEX(BOM!$B$2:$B$21,MATCH(B696,BOM!$A$2:$A$21,0)+MOD(ROW()-2,4))</f>
        <v>M007</v>
      </c>
      <c r="D696" cm="1">
        <f t="array" ref="D696">INDEX(Weekly_Inventory_Flow!$I$2:$I$261,INT((ROW()-2)/4)+1)</f>
        <v>12900</v>
      </c>
      <c r="E696" cm="1">
        <f t="array" ref="E696">INDEX(BOM!$C$2:$C$21,MATCH(B696,BOM!$A$2:$A$21,0)+MOD(ROW()-2,4))</f>
        <v>1</v>
      </c>
      <c r="F696">
        <f t="shared" si="10"/>
        <v>12900</v>
      </c>
    </row>
    <row r="697" spans="1:6">
      <c r="A697" s="1" cm="1">
        <f t="array" ref="A697">INDEX(Weekly_Inventory_Flow!$A$2:$A$261,INT((ROW()-2)/4)+1)</f>
        <v>46265</v>
      </c>
      <c r="B697" t="str" cm="1">
        <f t="array" ref="B697">INDEX(Weekly_Inventory_Flow!$B$2:$B$261,INT((ROW()-2)/4)+1)</f>
        <v>P004</v>
      </c>
      <c r="C697" t="str" cm="1">
        <f t="array" ref="C697">INDEX(BOM!$B$2:$B$21,MATCH(B697,BOM!$A$2:$A$21,0)+MOD(ROW()-2,4))</f>
        <v>M008</v>
      </c>
      <c r="D697" cm="1">
        <f t="array" ref="D697">INDEX(Weekly_Inventory_Flow!$I$2:$I$261,INT((ROW()-2)/4)+1)</f>
        <v>12900</v>
      </c>
      <c r="E697" cm="1">
        <f t="array" ref="E697">INDEX(BOM!$C$2:$C$21,MATCH(B697,BOM!$A$2:$A$21,0)+MOD(ROW()-2,4))</f>
        <v>1</v>
      </c>
      <c r="F697">
        <f t="shared" si="10"/>
        <v>12900</v>
      </c>
    </row>
    <row r="698" spans="1:6">
      <c r="A698" s="1" cm="1">
        <f t="array" ref="A698">INDEX(Weekly_Inventory_Flow!$A$2:$A$261,INT((ROW()-2)/4)+1)</f>
        <v>46265</v>
      </c>
      <c r="B698" t="str" cm="1">
        <f t="array" ref="B698">INDEX(Weekly_Inventory_Flow!$B$2:$B$261,INT((ROW()-2)/4)+1)</f>
        <v>P005</v>
      </c>
      <c r="C698" t="str" cm="1">
        <f t="array" ref="C698">INDEX(BOM!$B$2:$B$21,MATCH(B698,BOM!$A$2:$A$21,0)+MOD(ROW()-2,4))</f>
        <v>M005</v>
      </c>
      <c r="D698" cm="1">
        <f t="array" ref="D698">INDEX(Weekly_Inventory_Flow!$I$2:$I$261,INT((ROW()-2)/4)+1)</f>
        <v>9600</v>
      </c>
      <c r="E698" cm="1">
        <f t="array" ref="E698">INDEX(BOM!$C$2:$C$21,MATCH(B698,BOM!$A$2:$A$21,0)+MOD(ROW()-2,4))</f>
        <v>0.52</v>
      </c>
      <c r="F698">
        <f t="shared" si="10"/>
        <v>4992</v>
      </c>
    </row>
    <row r="699" spans="1:6">
      <c r="A699" s="1" cm="1">
        <f t="array" ref="A699">INDEX(Weekly_Inventory_Flow!$A$2:$A$261,INT((ROW()-2)/4)+1)</f>
        <v>46265</v>
      </c>
      <c r="B699" t="str" cm="1">
        <f t="array" ref="B699">INDEX(Weekly_Inventory_Flow!$B$2:$B$261,INT((ROW()-2)/4)+1)</f>
        <v>P005</v>
      </c>
      <c r="C699" t="str" cm="1">
        <f t="array" ref="C699">INDEX(BOM!$B$2:$B$21,MATCH(B699,BOM!$A$2:$A$21,0)+MOD(ROW()-2,4))</f>
        <v>M006</v>
      </c>
      <c r="D699" cm="1">
        <f t="array" ref="D699">INDEX(Weekly_Inventory_Flow!$I$2:$I$261,INT((ROW()-2)/4)+1)</f>
        <v>9600</v>
      </c>
      <c r="E699" cm="1">
        <f t="array" ref="E699">INDEX(BOM!$C$2:$C$21,MATCH(B699,BOM!$A$2:$A$21,0)+MOD(ROW()-2,4))</f>
        <v>1.2E-2</v>
      </c>
      <c r="F699">
        <f t="shared" si="10"/>
        <v>115.2</v>
      </c>
    </row>
    <row r="700" spans="1:6">
      <c r="A700" s="1" cm="1">
        <f t="array" ref="A700">INDEX(Weekly_Inventory_Flow!$A$2:$A$261,INT((ROW()-2)/4)+1)</f>
        <v>46265</v>
      </c>
      <c r="B700" t="str" cm="1">
        <f t="array" ref="B700">INDEX(Weekly_Inventory_Flow!$B$2:$B$261,INT((ROW()-2)/4)+1)</f>
        <v>P005</v>
      </c>
      <c r="C700" t="str" cm="1">
        <f t="array" ref="C700">INDEX(BOM!$B$2:$B$21,MATCH(B700,BOM!$A$2:$A$21,0)+MOD(ROW()-2,4))</f>
        <v>M007</v>
      </c>
      <c r="D700" cm="1">
        <f t="array" ref="D700">INDEX(Weekly_Inventory_Flow!$I$2:$I$261,INT((ROW()-2)/4)+1)</f>
        <v>9600</v>
      </c>
      <c r="E700" cm="1">
        <f t="array" ref="E700">INDEX(BOM!$C$2:$C$21,MATCH(B700,BOM!$A$2:$A$21,0)+MOD(ROW()-2,4))</f>
        <v>1</v>
      </c>
      <c r="F700">
        <f t="shared" si="10"/>
        <v>9600</v>
      </c>
    </row>
    <row r="701" spans="1:6">
      <c r="A701" s="1" cm="1">
        <f t="array" ref="A701">INDEX(Weekly_Inventory_Flow!$A$2:$A$261,INT((ROW()-2)/4)+1)</f>
        <v>46265</v>
      </c>
      <c r="B701" t="str" cm="1">
        <f t="array" ref="B701">INDEX(Weekly_Inventory_Flow!$B$2:$B$261,INT((ROW()-2)/4)+1)</f>
        <v>P005</v>
      </c>
      <c r="C701" t="str" cm="1">
        <f t="array" ref="C701">INDEX(BOM!$B$2:$B$21,MATCH(B701,BOM!$A$2:$A$21,0)+MOD(ROW()-2,4))</f>
        <v>M008</v>
      </c>
      <c r="D701" cm="1">
        <f t="array" ref="D701">INDEX(Weekly_Inventory_Flow!$I$2:$I$261,INT((ROW()-2)/4)+1)</f>
        <v>9600</v>
      </c>
      <c r="E701" cm="1">
        <f t="array" ref="E701">INDEX(BOM!$C$2:$C$21,MATCH(B701,BOM!$A$2:$A$21,0)+MOD(ROW()-2,4))</f>
        <v>1</v>
      </c>
      <c r="F701">
        <f t="shared" si="10"/>
        <v>9600</v>
      </c>
    </row>
    <row r="702" spans="1:6">
      <c r="A702" s="1" cm="1">
        <f t="array" ref="A702">INDEX(Weekly_Inventory_Flow!$A$2:$A$261,INT((ROW()-2)/4)+1)</f>
        <v>46272</v>
      </c>
      <c r="B702" t="str" cm="1">
        <f t="array" ref="B702">INDEX(Weekly_Inventory_Flow!$B$2:$B$261,INT((ROW()-2)/4)+1)</f>
        <v>P001</v>
      </c>
      <c r="C702" t="str" cm="1">
        <f t="array" ref="C702">INDEX(BOM!$B$2:$B$21,MATCH(B702,BOM!$A$2:$A$21,0)+MOD(ROW()-2,4))</f>
        <v>M001</v>
      </c>
      <c r="D702" cm="1">
        <f t="array" ref="D702">INDEX(Weekly_Inventory_Flow!$I$2:$I$261,INT((ROW()-2)/4)+1)</f>
        <v>14800</v>
      </c>
      <c r="E702" cm="1">
        <f t="array" ref="E702">INDEX(BOM!$C$2:$C$21,MATCH(B702,BOM!$A$2:$A$21,0)+MOD(ROW()-2,4))</f>
        <v>0.35</v>
      </c>
      <c r="F702">
        <f t="shared" si="10"/>
        <v>5180</v>
      </c>
    </row>
    <row r="703" spans="1:6">
      <c r="A703" s="1" cm="1">
        <f t="array" ref="A703">INDEX(Weekly_Inventory_Flow!$A$2:$A$261,INT((ROW()-2)/4)+1)</f>
        <v>46272</v>
      </c>
      <c r="B703" t="str" cm="1">
        <f t="array" ref="B703">INDEX(Weekly_Inventory_Flow!$B$2:$B$261,INT((ROW()-2)/4)+1)</f>
        <v>P001</v>
      </c>
      <c r="C703" t="str" cm="1">
        <f t="array" ref="C703">INDEX(BOM!$B$2:$B$21,MATCH(B703,BOM!$A$2:$A$21,0)+MOD(ROW()-2,4))</f>
        <v>M006</v>
      </c>
      <c r="D703" cm="1">
        <f t="array" ref="D703">INDEX(Weekly_Inventory_Flow!$I$2:$I$261,INT((ROW()-2)/4)+1)</f>
        <v>14800</v>
      </c>
      <c r="E703" cm="1">
        <f t="array" ref="E703">INDEX(BOM!$C$2:$C$21,MATCH(B703,BOM!$A$2:$A$21,0)+MOD(ROW()-2,4))</f>
        <v>0.01</v>
      </c>
      <c r="F703">
        <f t="shared" si="10"/>
        <v>148</v>
      </c>
    </row>
    <row r="704" spans="1:6">
      <c r="A704" s="1" cm="1">
        <f t="array" ref="A704">INDEX(Weekly_Inventory_Flow!$A$2:$A$261,INT((ROW()-2)/4)+1)</f>
        <v>46272</v>
      </c>
      <c r="B704" t="str" cm="1">
        <f t="array" ref="B704">INDEX(Weekly_Inventory_Flow!$B$2:$B$261,INT((ROW()-2)/4)+1)</f>
        <v>P001</v>
      </c>
      <c r="C704" t="str" cm="1">
        <f t="array" ref="C704">INDEX(BOM!$B$2:$B$21,MATCH(B704,BOM!$A$2:$A$21,0)+MOD(ROW()-2,4))</f>
        <v>M007</v>
      </c>
      <c r="D704" cm="1">
        <f t="array" ref="D704">INDEX(Weekly_Inventory_Flow!$I$2:$I$261,INT((ROW()-2)/4)+1)</f>
        <v>14800</v>
      </c>
      <c r="E704" cm="1">
        <f t="array" ref="E704">INDEX(BOM!$C$2:$C$21,MATCH(B704,BOM!$A$2:$A$21,0)+MOD(ROW()-2,4))</f>
        <v>1</v>
      </c>
      <c r="F704">
        <f t="shared" si="10"/>
        <v>14800</v>
      </c>
    </row>
    <row r="705" spans="1:6">
      <c r="A705" s="1" cm="1">
        <f t="array" ref="A705">INDEX(Weekly_Inventory_Flow!$A$2:$A$261,INT((ROW()-2)/4)+1)</f>
        <v>46272</v>
      </c>
      <c r="B705" t="str" cm="1">
        <f t="array" ref="B705">INDEX(Weekly_Inventory_Flow!$B$2:$B$261,INT((ROW()-2)/4)+1)</f>
        <v>P001</v>
      </c>
      <c r="C705" t="str" cm="1">
        <f t="array" ref="C705">INDEX(BOM!$B$2:$B$21,MATCH(B705,BOM!$A$2:$A$21,0)+MOD(ROW()-2,4))</f>
        <v>M008</v>
      </c>
      <c r="D705" cm="1">
        <f t="array" ref="D705">INDEX(Weekly_Inventory_Flow!$I$2:$I$261,INT((ROW()-2)/4)+1)</f>
        <v>14800</v>
      </c>
      <c r="E705" cm="1">
        <f t="array" ref="E705">INDEX(BOM!$C$2:$C$21,MATCH(B705,BOM!$A$2:$A$21,0)+MOD(ROW()-2,4))</f>
        <v>1</v>
      </c>
      <c r="F705">
        <f t="shared" si="10"/>
        <v>14800</v>
      </c>
    </row>
    <row r="706" spans="1:6">
      <c r="A706" s="1" cm="1">
        <f t="array" ref="A706">INDEX(Weekly_Inventory_Flow!$A$2:$A$261,INT((ROW()-2)/4)+1)</f>
        <v>46272</v>
      </c>
      <c r="B706" t="str" cm="1">
        <f t="array" ref="B706">INDEX(Weekly_Inventory_Flow!$B$2:$B$261,INT((ROW()-2)/4)+1)</f>
        <v>P002</v>
      </c>
      <c r="C706" t="str" cm="1">
        <f t="array" ref="C706">INDEX(BOM!$B$2:$B$21,MATCH(B706,BOM!$A$2:$A$21,0)+MOD(ROW()-2,4))</f>
        <v>M002</v>
      </c>
      <c r="D706" cm="1">
        <f t="array" ref="D706">INDEX(Weekly_Inventory_Flow!$I$2:$I$261,INT((ROW()-2)/4)+1)</f>
        <v>12300</v>
      </c>
      <c r="E706" cm="1">
        <f t="array" ref="E706">INDEX(BOM!$C$2:$C$21,MATCH(B706,BOM!$A$2:$A$21,0)+MOD(ROW()-2,4))</f>
        <v>0.3</v>
      </c>
      <c r="F706">
        <f t="shared" si="10"/>
        <v>3690</v>
      </c>
    </row>
    <row r="707" spans="1:6">
      <c r="A707" s="1" cm="1">
        <f t="array" ref="A707">INDEX(Weekly_Inventory_Flow!$A$2:$A$261,INT((ROW()-2)/4)+1)</f>
        <v>46272</v>
      </c>
      <c r="B707" t="str" cm="1">
        <f t="array" ref="B707">INDEX(Weekly_Inventory_Flow!$B$2:$B$261,INT((ROW()-2)/4)+1)</f>
        <v>P002</v>
      </c>
      <c r="C707" t="str" cm="1">
        <f t="array" ref="C707">INDEX(BOM!$B$2:$B$21,MATCH(B707,BOM!$A$2:$A$21,0)+MOD(ROW()-2,4))</f>
        <v>M006</v>
      </c>
      <c r="D707" cm="1">
        <f t="array" ref="D707">INDEX(Weekly_Inventory_Flow!$I$2:$I$261,INT((ROW()-2)/4)+1)</f>
        <v>12300</v>
      </c>
      <c r="E707" cm="1">
        <f t="array" ref="E707">INDEX(BOM!$C$2:$C$21,MATCH(B707,BOM!$A$2:$A$21,0)+MOD(ROW()-2,4))</f>
        <v>8.0000000000000002E-3</v>
      </c>
      <c r="F707">
        <f t="shared" ref="F707:F770" si="11">D707*E707</f>
        <v>98.4</v>
      </c>
    </row>
    <row r="708" spans="1:6">
      <c r="A708" s="1" cm="1">
        <f t="array" ref="A708">INDEX(Weekly_Inventory_Flow!$A$2:$A$261,INT((ROW()-2)/4)+1)</f>
        <v>46272</v>
      </c>
      <c r="B708" t="str" cm="1">
        <f t="array" ref="B708">INDEX(Weekly_Inventory_Flow!$B$2:$B$261,INT((ROW()-2)/4)+1)</f>
        <v>P002</v>
      </c>
      <c r="C708" t="str" cm="1">
        <f t="array" ref="C708">INDEX(BOM!$B$2:$B$21,MATCH(B708,BOM!$A$2:$A$21,0)+MOD(ROW()-2,4))</f>
        <v>M007</v>
      </c>
      <c r="D708" cm="1">
        <f t="array" ref="D708">INDEX(Weekly_Inventory_Flow!$I$2:$I$261,INT((ROW()-2)/4)+1)</f>
        <v>12300</v>
      </c>
      <c r="E708" cm="1">
        <f t="array" ref="E708">INDEX(BOM!$C$2:$C$21,MATCH(B708,BOM!$A$2:$A$21,0)+MOD(ROW()-2,4))</f>
        <v>1</v>
      </c>
      <c r="F708">
        <f t="shared" si="11"/>
        <v>12300</v>
      </c>
    </row>
    <row r="709" spans="1:6">
      <c r="A709" s="1" cm="1">
        <f t="array" ref="A709">INDEX(Weekly_Inventory_Flow!$A$2:$A$261,INT((ROW()-2)/4)+1)</f>
        <v>46272</v>
      </c>
      <c r="B709" t="str" cm="1">
        <f t="array" ref="B709">INDEX(Weekly_Inventory_Flow!$B$2:$B$261,INT((ROW()-2)/4)+1)</f>
        <v>P002</v>
      </c>
      <c r="C709" t="str" cm="1">
        <f t="array" ref="C709">INDEX(BOM!$B$2:$B$21,MATCH(B709,BOM!$A$2:$A$21,0)+MOD(ROW()-2,4))</f>
        <v>M008</v>
      </c>
      <c r="D709" cm="1">
        <f t="array" ref="D709">INDEX(Weekly_Inventory_Flow!$I$2:$I$261,INT((ROW()-2)/4)+1)</f>
        <v>12300</v>
      </c>
      <c r="E709" cm="1">
        <f t="array" ref="E709">INDEX(BOM!$C$2:$C$21,MATCH(B709,BOM!$A$2:$A$21,0)+MOD(ROW()-2,4))</f>
        <v>1</v>
      </c>
      <c r="F709">
        <f t="shared" si="11"/>
        <v>12300</v>
      </c>
    </row>
    <row r="710" spans="1:6">
      <c r="A710" s="1" cm="1">
        <f t="array" ref="A710">INDEX(Weekly_Inventory_Flow!$A$2:$A$261,INT((ROW()-2)/4)+1)</f>
        <v>46272</v>
      </c>
      <c r="B710" t="str" cm="1">
        <f t="array" ref="B710">INDEX(Weekly_Inventory_Flow!$B$2:$B$261,INT((ROW()-2)/4)+1)</f>
        <v>P003</v>
      </c>
      <c r="C710" t="str" cm="1">
        <f t="array" ref="C710">INDEX(BOM!$B$2:$B$21,MATCH(B710,BOM!$A$2:$A$21,0)+MOD(ROW()-2,4))</f>
        <v>M003</v>
      </c>
      <c r="D710" cm="1">
        <f t="array" ref="D710">INDEX(Weekly_Inventory_Flow!$I$2:$I$261,INT((ROW()-2)/4)+1)</f>
        <v>10400</v>
      </c>
      <c r="E710" cm="1">
        <f t="array" ref="E710">INDEX(BOM!$C$2:$C$21,MATCH(B710,BOM!$A$2:$A$21,0)+MOD(ROW()-2,4))</f>
        <v>0.25</v>
      </c>
      <c r="F710">
        <f t="shared" si="11"/>
        <v>2600</v>
      </c>
    </row>
    <row r="711" spans="1:6">
      <c r="A711" s="1" cm="1">
        <f t="array" ref="A711">INDEX(Weekly_Inventory_Flow!$A$2:$A$261,INT((ROW()-2)/4)+1)</f>
        <v>46272</v>
      </c>
      <c r="B711" t="str" cm="1">
        <f t="array" ref="B711">INDEX(Weekly_Inventory_Flow!$B$2:$B$261,INT((ROW()-2)/4)+1)</f>
        <v>P003</v>
      </c>
      <c r="C711" t="str" cm="1">
        <f t="array" ref="C711">INDEX(BOM!$B$2:$B$21,MATCH(B711,BOM!$A$2:$A$21,0)+MOD(ROW()-2,4))</f>
        <v>M006</v>
      </c>
      <c r="D711" cm="1">
        <f t="array" ref="D711">INDEX(Weekly_Inventory_Flow!$I$2:$I$261,INT((ROW()-2)/4)+1)</f>
        <v>10400</v>
      </c>
      <c r="E711" cm="1">
        <f t="array" ref="E711">INDEX(BOM!$C$2:$C$21,MATCH(B711,BOM!$A$2:$A$21,0)+MOD(ROW()-2,4))</f>
        <v>6.0000000000000001E-3</v>
      </c>
      <c r="F711">
        <f t="shared" si="11"/>
        <v>62.4</v>
      </c>
    </row>
    <row r="712" spans="1:6">
      <c r="A712" s="1" cm="1">
        <f t="array" ref="A712">INDEX(Weekly_Inventory_Flow!$A$2:$A$261,INT((ROW()-2)/4)+1)</f>
        <v>46272</v>
      </c>
      <c r="B712" t="str" cm="1">
        <f t="array" ref="B712">INDEX(Weekly_Inventory_Flow!$B$2:$B$261,INT((ROW()-2)/4)+1)</f>
        <v>P003</v>
      </c>
      <c r="C712" t="str" cm="1">
        <f t="array" ref="C712">INDEX(BOM!$B$2:$B$21,MATCH(B712,BOM!$A$2:$A$21,0)+MOD(ROW()-2,4))</f>
        <v>M007</v>
      </c>
      <c r="D712" cm="1">
        <f t="array" ref="D712">INDEX(Weekly_Inventory_Flow!$I$2:$I$261,INT((ROW()-2)/4)+1)</f>
        <v>10400</v>
      </c>
      <c r="E712" cm="1">
        <f t="array" ref="E712">INDEX(BOM!$C$2:$C$21,MATCH(B712,BOM!$A$2:$A$21,0)+MOD(ROW()-2,4))</f>
        <v>1</v>
      </c>
      <c r="F712">
        <f t="shared" si="11"/>
        <v>10400</v>
      </c>
    </row>
    <row r="713" spans="1:6">
      <c r="A713" s="1" cm="1">
        <f t="array" ref="A713">INDEX(Weekly_Inventory_Flow!$A$2:$A$261,INT((ROW()-2)/4)+1)</f>
        <v>46272</v>
      </c>
      <c r="B713" t="str" cm="1">
        <f t="array" ref="B713">INDEX(Weekly_Inventory_Flow!$B$2:$B$261,INT((ROW()-2)/4)+1)</f>
        <v>P003</v>
      </c>
      <c r="C713" t="str" cm="1">
        <f t="array" ref="C713">INDEX(BOM!$B$2:$B$21,MATCH(B713,BOM!$A$2:$A$21,0)+MOD(ROW()-2,4))</f>
        <v>M008</v>
      </c>
      <c r="D713" cm="1">
        <f t="array" ref="D713">INDEX(Weekly_Inventory_Flow!$I$2:$I$261,INT((ROW()-2)/4)+1)</f>
        <v>10400</v>
      </c>
      <c r="E713" cm="1">
        <f t="array" ref="E713">INDEX(BOM!$C$2:$C$21,MATCH(B713,BOM!$A$2:$A$21,0)+MOD(ROW()-2,4))</f>
        <v>1</v>
      </c>
      <c r="F713">
        <f t="shared" si="11"/>
        <v>10400</v>
      </c>
    </row>
    <row r="714" spans="1:6">
      <c r="A714" s="1" cm="1">
        <f t="array" ref="A714">INDEX(Weekly_Inventory_Flow!$A$2:$A$261,INT((ROW()-2)/4)+1)</f>
        <v>46272</v>
      </c>
      <c r="B714" t="str" cm="1">
        <f t="array" ref="B714">INDEX(Weekly_Inventory_Flow!$B$2:$B$261,INT((ROW()-2)/4)+1)</f>
        <v>P004</v>
      </c>
      <c r="C714" t="str" cm="1">
        <f t="array" ref="C714">INDEX(BOM!$B$2:$B$21,MATCH(B714,BOM!$A$2:$A$21,0)+MOD(ROW()-2,4))</f>
        <v>M004</v>
      </c>
      <c r="D714" cm="1">
        <f t="array" ref="D714">INDEX(Weekly_Inventory_Flow!$I$2:$I$261,INT((ROW()-2)/4)+1)</f>
        <v>11400</v>
      </c>
      <c r="E714" cm="1">
        <f t="array" ref="E714">INDEX(BOM!$C$2:$C$21,MATCH(B714,BOM!$A$2:$A$21,0)+MOD(ROW()-2,4))</f>
        <v>0.34</v>
      </c>
      <c r="F714">
        <f t="shared" si="11"/>
        <v>3876.0000000000005</v>
      </c>
    </row>
    <row r="715" spans="1:6">
      <c r="A715" s="1" cm="1">
        <f t="array" ref="A715">INDEX(Weekly_Inventory_Flow!$A$2:$A$261,INT((ROW()-2)/4)+1)</f>
        <v>46272</v>
      </c>
      <c r="B715" t="str" cm="1">
        <f t="array" ref="B715">INDEX(Weekly_Inventory_Flow!$B$2:$B$261,INT((ROW()-2)/4)+1)</f>
        <v>P004</v>
      </c>
      <c r="C715" t="str" cm="1">
        <f t="array" ref="C715">INDEX(BOM!$B$2:$B$21,MATCH(B715,BOM!$A$2:$A$21,0)+MOD(ROW()-2,4))</f>
        <v>M006</v>
      </c>
      <c r="D715" cm="1">
        <f t="array" ref="D715">INDEX(Weekly_Inventory_Flow!$I$2:$I$261,INT((ROW()-2)/4)+1)</f>
        <v>11400</v>
      </c>
      <c r="E715" cm="1">
        <f t="array" ref="E715">INDEX(BOM!$C$2:$C$21,MATCH(B715,BOM!$A$2:$A$21,0)+MOD(ROW()-2,4))</f>
        <v>8.9999999999999993E-3</v>
      </c>
      <c r="F715">
        <f t="shared" si="11"/>
        <v>102.6</v>
      </c>
    </row>
    <row r="716" spans="1:6">
      <c r="A716" s="1" cm="1">
        <f t="array" ref="A716">INDEX(Weekly_Inventory_Flow!$A$2:$A$261,INT((ROW()-2)/4)+1)</f>
        <v>46272</v>
      </c>
      <c r="B716" t="str" cm="1">
        <f t="array" ref="B716">INDEX(Weekly_Inventory_Flow!$B$2:$B$261,INT((ROW()-2)/4)+1)</f>
        <v>P004</v>
      </c>
      <c r="C716" t="str" cm="1">
        <f t="array" ref="C716">INDEX(BOM!$B$2:$B$21,MATCH(B716,BOM!$A$2:$A$21,0)+MOD(ROW()-2,4))</f>
        <v>M007</v>
      </c>
      <c r="D716" cm="1">
        <f t="array" ref="D716">INDEX(Weekly_Inventory_Flow!$I$2:$I$261,INT((ROW()-2)/4)+1)</f>
        <v>11400</v>
      </c>
      <c r="E716" cm="1">
        <f t="array" ref="E716">INDEX(BOM!$C$2:$C$21,MATCH(B716,BOM!$A$2:$A$21,0)+MOD(ROW()-2,4))</f>
        <v>1</v>
      </c>
      <c r="F716">
        <f t="shared" si="11"/>
        <v>11400</v>
      </c>
    </row>
    <row r="717" spans="1:6">
      <c r="A717" s="1" cm="1">
        <f t="array" ref="A717">INDEX(Weekly_Inventory_Flow!$A$2:$A$261,INT((ROW()-2)/4)+1)</f>
        <v>46272</v>
      </c>
      <c r="B717" t="str" cm="1">
        <f t="array" ref="B717">INDEX(Weekly_Inventory_Flow!$B$2:$B$261,INT((ROW()-2)/4)+1)</f>
        <v>P004</v>
      </c>
      <c r="C717" t="str" cm="1">
        <f t="array" ref="C717">INDEX(BOM!$B$2:$B$21,MATCH(B717,BOM!$A$2:$A$21,0)+MOD(ROW()-2,4))</f>
        <v>M008</v>
      </c>
      <c r="D717" cm="1">
        <f t="array" ref="D717">INDEX(Weekly_Inventory_Flow!$I$2:$I$261,INT((ROW()-2)/4)+1)</f>
        <v>11400</v>
      </c>
      <c r="E717" cm="1">
        <f t="array" ref="E717">INDEX(BOM!$C$2:$C$21,MATCH(B717,BOM!$A$2:$A$21,0)+MOD(ROW()-2,4))</f>
        <v>1</v>
      </c>
      <c r="F717">
        <f t="shared" si="11"/>
        <v>11400</v>
      </c>
    </row>
    <row r="718" spans="1:6">
      <c r="A718" s="1" cm="1">
        <f t="array" ref="A718">INDEX(Weekly_Inventory_Flow!$A$2:$A$261,INT((ROW()-2)/4)+1)</f>
        <v>46272</v>
      </c>
      <c r="B718" t="str" cm="1">
        <f t="array" ref="B718">INDEX(Weekly_Inventory_Flow!$B$2:$B$261,INT((ROW()-2)/4)+1)</f>
        <v>P005</v>
      </c>
      <c r="C718" t="str" cm="1">
        <f t="array" ref="C718">INDEX(BOM!$B$2:$B$21,MATCH(B718,BOM!$A$2:$A$21,0)+MOD(ROW()-2,4))</f>
        <v>M005</v>
      </c>
      <c r="D718" cm="1">
        <f t="array" ref="D718">INDEX(Weekly_Inventory_Flow!$I$2:$I$261,INT((ROW()-2)/4)+1)</f>
        <v>8500</v>
      </c>
      <c r="E718" cm="1">
        <f t="array" ref="E718">INDEX(BOM!$C$2:$C$21,MATCH(B718,BOM!$A$2:$A$21,0)+MOD(ROW()-2,4))</f>
        <v>0.52</v>
      </c>
      <c r="F718">
        <f t="shared" si="11"/>
        <v>4420</v>
      </c>
    </row>
    <row r="719" spans="1:6">
      <c r="A719" s="1" cm="1">
        <f t="array" ref="A719">INDEX(Weekly_Inventory_Flow!$A$2:$A$261,INT((ROW()-2)/4)+1)</f>
        <v>46272</v>
      </c>
      <c r="B719" t="str" cm="1">
        <f t="array" ref="B719">INDEX(Weekly_Inventory_Flow!$B$2:$B$261,INT((ROW()-2)/4)+1)</f>
        <v>P005</v>
      </c>
      <c r="C719" t="str" cm="1">
        <f t="array" ref="C719">INDEX(BOM!$B$2:$B$21,MATCH(B719,BOM!$A$2:$A$21,0)+MOD(ROW()-2,4))</f>
        <v>M006</v>
      </c>
      <c r="D719" cm="1">
        <f t="array" ref="D719">INDEX(Weekly_Inventory_Flow!$I$2:$I$261,INT((ROW()-2)/4)+1)</f>
        <v>8500</v>
      </c>
      <c r="E719" cm="1">
        <f t="array" ref="E719">INDEX(BOM!$C$2:$C$21,MATCH(B719,BOM!$A$2:$A$21,0)+MOD(ROW()-2,4))</f>
        <v>1.2E-2</v>
      </c>
      <c r="F719">
        <f t="shared" si="11"/>
        <v>102</v>
      </c>
    </row>
    <row r="720" spans="1:6">
      <c r="A720" s="1" cm="1">
        <f t="array" ref="A720">INDEX(Weekly_Inventory_Flow!$A$2:$A$261,INT((ROW()-2)/4)+1)</f>
        <v>46272</v>
      </c>
      <c r="B720" t="str" cm="1">
        <f t="array" ref="B720">INDEX(Weekly_Inventory_Flow!$B$2:$B$261,INT((ROW()-2)/4)+1)</f>
        <v>P005</v>
      </c>
      <c r="C720" t="str" cm="1">
        <f t="array" ref="C720">INDEX(BOM!$B$2:$B$21,MATCH(B720,BOM!$A$2:$A$21,0)+MOD(ROW()-2,4))</f>
        <v>M007</v>
      </c>
      <c r="D720" cm="1">
        <f t="array" ref="D720">INDEX(Weekly_Inventory_Flow!$I$2:$I$261,INT((ROW()-2)/4)+1)</f>
        <v>8500</v>
      </c>
      <c r="E720" cm="1">
        <f t="array" ref="E720">INDEX(BOM!$C$2:$C$21,MATCH(B720,BOM!$A$2:$A$21,0)+MOD(ROW()-2,4))</f>
        <v>1</v>
      </c>
      <c r="F720">
        <f t="shared" si="11"/>
        <v>8500</v>
      </c>
    </row>
    <row r="721" spans="1:6">
      <c r="A721" s="1" cm="1">
        <f t="array" ref="A721">INDEX(Weekly_Inventory_Flow!$A$2:$A$261,INT((ROW()-2)/4)+1)</f>
        <v>46272</v>
      </c>
      <c r="B721" t="str" cm="1">
        <f t="array" ref="B721">INDEX(Weekly_Inventory_Flow!$B$2:$B$261,INT((ROW()-2)/4)+1)</f>
        <v>P005</v>
      </c>
      <c r="C721" t="str" cm="1">
        <f t="array" ref="C721">INDEX(BOM!$B$2:$B$21,MATCH(B721,BOM!$A$2:$A$21,0)+MOD(ROW()-2,4))</f>
        <v>M008</v>
      </c>
      <c r="D721" cm="1">
        <f t="array" ref="D721">INDEX(Weekly_Inventory_Flow!$I$2:$I$261,INT((ROW()-2)/4)+1)</f>
        <v>8500</v>
      </c>
      <c r="E721" cm="1">
        <f t="array" ref="E721">INDEX(BOM!$C$2:$C$21,MATCH(B721,BOM!$A$2:$A$21,0)+MOD(ROW()-2,4))</f>
        <v>1</v>
      </c>
      <c r="F721">
        <f t="shared" si="11"/>
        <v>8500</v>
      </c>
    </row>
    <row r="722" spans="1:6">
      <c r="A722" s="1" cm="1">
        <f t="array" ref="A722">INDEX(Weekly_Inventory_Flow!$A$2:$A$261,INT((ROW()-2)/4)+1)</f>
        <v>46279</v>
      </c>
      <c r="B722" t="str" cm="1">
        <f t="array" ref="B722">INDEX(Weekly_Inventory_Flow!$B$2:$B$261,INT((ROW()-2)/4)+1)</f>
        <v>P001</v>
      </c>
      <c r="C722" t="str" cm="1">
        <f t="array" ref="C722">INDEX(BOM!$B$2:$B$21,MATCH(B722,BOM!$A$2:$A$21,0)+MOD(ROW()-2,4))</f>
        <v>M001</v>
      </c>
      <c r="D722" cm="1">
        <f t="array" ref="D722">INDEX(Weekly_Inventory_Flow!$I$2:$I$261,INT((ROW()-2)/4)+1)</f>
        <v>14100</v>
      </c>
      <c r="E722" cm="1">
        <f t="array" ref="E722">INDEX(BOM!$C$2:$C$21,MATCH(B722,BOM!$A$2:$A$21,0)+MOD(ROW()-2,4))</f>
        <v>0.35</v>
      </c>
      <c r="F722">
        <f t="shared" si="11"/>
        <v>4935</v>
      </c>
    </row>
    <row r="723" spans="1:6">
      <c r="A723" s="1" cm="1">
        <f t="array" ref="A723">INDEX(Weekly_Inventory_Flow!$A$2:$A$261,INT((ROW()-2)/4)+1)</f>
        <v>46279</v>
      </c>
      <c r="B723" t="str" cm="1">
        <f t="array" ref="B723">INDEX(Weekly_Inventory_Flow!$B$2:$B$261,INT((ROW()-2)/4)+1)</f>
        <v>P001</v>
      </c>
      <c r="C723" t="str" cm="1">
        <f t="array" ref="C723">INDEX(BOM!$B$2:$B$21,MATCH(B723,BOM!$A$2:$A$21,0)+MOD(ROW()-2,4))</f>
        <v>M006</v>
      </c>
      <c r="D723" cm="1">
        <f t="array" ref="D723">INDEX(Weekly_Inventory_Flow!$I$2:$I$261,INT((ROW()-2)/4)+1)</f>
        <v>14100</v>
      </c>
      <c r="E723" cm="1">
        <f t="array" ref="E723">INDEX(BOM!$C$2:$C$21,MATCH(B723,BOM!$A$2:$A$21,0)+MOD(ROW()-2,4))</f>
        <v>0.01</v>
      </c>
      <c r="F723">
        <f t="shared" si="11"/>
        <v>141</v>
      </c>
    </row>
    <row r="724" spans="1:6">
      <c r="A724" s="1" cm="1">
        <f t="array" ref="A724">INDEX(Weekly_Inventory_Flow!$A$2:$A$261,INT((ROW()-2)/4)+1)</f>
        <v>46279</v>
      </c>
      <c r="B724" t="str" cm="1">
        <f t="array" ref="B724">INDEX(Weekly_Inventory_Flow!$B$2:$B$261,INT((ROW()-2)/4)+1)</f>
        <v>P001</v>
      </c>
      <c r="C724" t="str" cm="1">
        <f t="array" ref="C724">INDEX(BOM!$B$2:$B$21,MATCH(B724,BOM!$A$2:$A$21,0)+MOD(ROW()-2,4))</f>
        <v>M007</v>
      </c>
      <c r="D724" cm="1">
        <f t="array" ref="D724">INDEX(Weekly_Inventory_Flow!$I$2:$I$261,INT((ROW()-2)/4)+1)</f>
        <v>14100</v>
      </c>
      <c r="E724" cm="1">
        <f t="array" ref="E724">INDEX(BOM!$C$2:$C$21,MATCH(B724,BOM!$A$2:$A$21,0)+MOD(ROW()-2,4))</f>
        <v>1</v>
      </c>
      <c r="F724">
        <f t="shared" si="11"/>
        <v>14100</v>
      </c>
    </row>
    <row r="725" spans="1:6">
      <c r="A725" s="1" cm="1">
        <f t="array" ref="A725">INDEX(Weekly_Inventory_Flow!$A$2:$A$261,INT((ROW()-2)/4)+1)</f>
        <v>46279</v>
      </c>
      <c r="B725" t="str" cm="1">
        <f t="array" ref="B725">INDEX(Weekly_Inventory_Flow!$B$2:$B$261,INT((ROW()-2)/4)+1)</f>
        <v>P001</v>
      </c>
      <c r="C725" t="str" cm="1">
        <f t="array" ref="C725">INDEX(BOM!$B$2:$B$21,MATCH(B725,BOM!$A$2:$A$21,0)+MOD(ROW()-2,4))</f>
        <v>M008</v>
      </c>
      <c r="D725" cm="1">
        <f t="array" ref="D725">INDEX(Weekly_Inventory_Flow!$I$2:$I$261,INT((ROW()-2)/4)+1)</f>
        <v>14100</v>
      </c>
      <c r="E725" cm="1">
        <f t="array" ref="E725">INDEX(BOM!$C$2:$C$21,MATCH(B725,BOM!$A$2:$A$21,0)+MOD(ROW()-2,4))</f>
        <v>1</v>
      </c>
      <c r="F725">
        <f t="shared" si="11"/>
        <v>14100</v>
      </c>
    </row>
    <row r="726" spans="1:6">
      <c r="A726" s="1" cm="1">
        <f t="array" ref="A726">INDEX(Weekly_Inventory_Flow!$A$2:$A$261,INT((ROW()-2)/4)+1)</f>
        <v>46279</v>
      </c>
      <c r="B726" t="str" cm="1">
        <f t="array" ref="B726">INDEX(Weekly_Inventory_Flow!$B$2:$B$261,INT((ROW()-2)/4)+1)</f>
        <v>P002</v>
      </c>
      <c r="C726" t="str" cm="1">
        <f t="array" ref="C726">INDEX(BOM!$B$2:$B$21,MATCH(B726,BOM!$A$2:$A$21,0)+MOD(ROW()-2,4))</f>
        <v>M002</v>
      </c>
      <c r="D726" cm="1">
        <f t="array" ref="D726">INDEX(Weekly_Inventory_Flow!$I$2:$I$261,INT((ROW()-2)/4)+1)</f>
        <v>12600</v>
      </c>
      <c r="E726" cm="1">
        <f t="array" ref="E726">INDEX(BOM!$C$2:$C$21,MATCH(B726,BOM!$A$2:$A$21,0)+MOD(ROW()-2,4))</f>
        <v>0.3</v>
      </c>
      <c r="F726">
        <f t="shared" si="11"/>
        <v>3780</v>
      </c>
    </row>
    <row r="727" spans="1:6">
      <c r="A727" s="1" cm="1">
        <f t="array" ref="A727">INDEX(Weekly_Inventory_Flow!$A$2:$A$261,INT((ROW()-2)/4)+1)</f>
        <v>46279</v>
      </c>
      <c r="B727" t="str" cm="1">
        <f t="array" ref="B727">INDEX(Weekly_Inventory_Flow!$B$2:$B$261,INT((ROW()-2)/4)+1)</f>
        <v>P002</v>
      </c>
      <c r="C727" t="str" cm="1">
        <f t="array" ref="C727">INDEX(BOM!$B$2:$B$21,MATCH(B727,BOM!$A$2:$A$21,0)+MOD(ROW()-2,4))</f>
        <v>M006</v>
      </c>
      <c r="D727" cm="1">
        <f t="array" ref="D727">INDEX(Weekly_Inventory_Flow!$I$2:$I$261,INT((ROW()-2)/4)+1)</f>
        <v>12600</v>
      </c>
      <c r="E727" cm="1">
        <f t="array" ref="E727">INDEX(BOM!$C$2:$C$21,MATCH(B727,BOM!$A$2:$A$21,0)+MOD(ROW()-2,4))</f>
        <v>8.0000000000000002E-3</v>
      </c>
      <c r="F727">
        <f t="shared" si="11"/>
        <v>100.8</v>
      </c>
    </row>
    <row r="728" spans="1:6">
      <c r="A728" s="1" cm="1">
        <f t="array" ref="A728">INDEX(Weekly_Inventory_Flow!$A$2:$A$261,INT((ROW()-2)/4)+1)</f>
        <v>46279</v>
      </c>
      <c r="B728" t="str" cm="1">
        <f t="array" ref="B728">INDEX(Weekly_Inventory_Flow!$B$2:$B$261,INT((ROW()-2)/4)+1)</f>
        <v>P002</v>
      </c>
      <c r="C728" t="str" cm="1">
        <f t="array" ref="C728">INDEX(BOM!$B$2:$B$21,MATCH(B728,BOM!$A$2:$A$21,0)+MOD(ROW()-2,4))</f>
        <v>M007</v>
      </c>
      <c r="D728" cm="1">
        <f t="array" ref="D728">INDEX(Weekly_Inventory_Flow!$I$2:$I$261,INT((ROW()-2)/4)+1)</f>
        <v>12600</v>
      </c>
      <c r="E728" cm="1">
        <f t="array" ref="E728">INDEX(BOM!$C$2:$C$21,MATCH(B728,BOM!$A$2:$A$21,0)+MOD(ROW()-2,4))</f>
        <v>1</v>
      </c>
      <c r="F728">
        <f t="shared" si="11"/>
        <v>12600</v>
      </c>
    </row>
    <row r="729" spans="1:6">
      <c r="A729" s="1" cm="1">
        <f t="array" ref="A729">INDEX(Weekly_Inventory_Flow!$A$2:$A$261,INT((ROW()-2)/4)+1)</f>
        <v>46279</v>
      </c>
      <c r="B729" t="str" cm="1">
        <f t="array" ref="B729">INDEX(Weekly_Inventory_Flow!$B$2:$B$261,INT((ROW()-2)/4)+1)</f>
        <v>P002</v>
      </c>
      <c r="C729" t="str" cm="1">
        <f t="array" ref="C729">INDEX(BOM!$B$2:$B$21,MATCH(B729,BOM!$A$2:$A$21,0)+MOD(ROW()-2,4))</f>
        <v>M008</v>
      </c>
      <c r="D729" cm="1">
        <f t="array" ref="D729">INDEX(Weekly_Inventory_Flow!$I$2:$I$261,INT((ROW()-2)/4)+1)</f>
        <v>12600</v>
      </c>
      <c r="E729" cm="1">
        <f t="array" ref="E729">INDEX(BOM!$C$2:$C$21,MATCH(B729,BOM!$A$2:$A$21,0)+MOD(ROW()-2,4))</f>
        <v>1</v>
      </c>
      <c r="F729">
        <f t="shared" si="11"/>
        <v>12600</v>
      </c>
    </row>
    <row r="730" spans="1:6">
      <c r="A730" s="1" cm="1">
        <f t="array" ref="A730">INDEX(Weekly_Inventory_Flow!$A$2:$A$261,INT((ROW()-2)/4)+1)</f>
        <v>46279</v>
      </c>
      <c r="B730" t="str" cm="1">
        <f t="array" ref="B730">INDEX(Weekly_Inventory_Flow!$B$2:$B$261,INT((ROW()-2)/4)+1)</f>
        <v>P003</v>
      </c>
      <c r="C730" t="str" cm="1">
        <f t="array" ref="C730">INDEX(BOM!$B$2:$B$21,MATCH(B730,BOM!$A$2:$A$21,0)+MOD(ROW()-2,4))</f>
        <v>M003</v>
      </c>
      <c r="D730" cm="1">
        <f t="array" ref="D730">INDEX(Weekly_Inventory_Flow!$I$2:$I$261,INT((ROW()-2)/4)+1)</f>
        <v>11100</v>
      </c>
      <c r="E730" cm="1">
        <f t="array" ref="E730">INDEX(BOM!$C$2:$C$21,MATCH(B730,BOM!$A$2:$A$21,0)+MOD(ROW()-2,4))</f>
        <v>0.25</v>
      </c>
      <c r="F730">
        <f t="shared" si="11"/>
        <v>2775</v>
      </c>
    </row>
    <row r="731" spans="1:6">
      <c r="A731" s="1" cm="1">
        <f t="array" ref="A731">INDEX(Weekly_Inventory_Flow!$A$2:$A$261,INT((ROW()-2)/4)+1)</f>
        <v>46279</v>
      </c>
      <c r="B731" t="str" cm="1">
        <f t="array" ref="B731">INDEX(Weekly_Inventory_Flow!$B$2:$B$261,INT((ROW()-2)/4)+1)</f>
        <v>P003</v>
      </c>
      <c r="C731" t="str" cm="1">
        <f t="array" ref="C731">INDEX(BOM!$B$2:$B$21,MATCH(B731,BOM!$A$2:$A$21,0)+MOD(ROW()-2,4))</f>
        <v>M006</v>
      </c>
      <c r="D731" cm="1">
        <f t="array" ref="D731">INDEX(Weekly_Inventory_Flow!$I$2:$I$261,INT((ROW()-2)/4)+1)</f>
        <v>11100</v>
      </c>
      <c r="E731" cm="1">
        <f t="array" ref="E731">INDEX(BOM!$C$2:$C$21,MATCH(B731,BOM!$A$2:$A$21,0)+MOD(ROW()-2,4))</f>
        <v>6.0000000000000001E-3</v>
      </c>
      <c r="F731">
        <f t="shared" si="11"/>
        <v>66.599999999999994</v>
      </c>
    </row>
    <row r="732" spans="1:6">
      <c r="A732" s="1" cm="1">
        <f t="array" ref="A732">INDEX(Weekly_Inventory_Flow!$A$2:$A$261,INT((ROW()-2)/4)+1)</f>
        <v>46279</v>
      </c>
      <c r="B732" t="str" cm="1">
        <f t="array" ref="B732">INDEX(Weekly_Inventory_Flow!$B$2:$B$261,INT((ROW()-2)/4)+1)</f>
        <v>P003</v>
      </c>
      <c r="C732" t="str" cm="1">
        <f t="array" ref="C732">INDEX(BOM!$B$2:$B$21,MATCH(B732,BOM!$A$2:$A$21,0)+MOD(ROW()-2,4))</f>
        <v>M007</v>
      </c>
      <c r="D732" cm="1">
        <f t="array" ref="D732">INDEX(Weekly_Inventory_Flow!$I$2:$I$261,INT((ROW()-2)/4)+1)</f>
        <v>11100</v>
      </c>
      <c r="E732" cm="1">
        <f t="array" ref="E732">INDEX(BOM!$C$2:$C$21,MATCH(B732,BOM!$A$2:$A$21,0)+MOD(ROW()-2,4))</f>
        <v>1</v>
      </c>
      <c r="F732">
        <f t="shared" si="11"/>
        <v>11100</v>
      </c>
    </row>
    <row r="733" spans="1:6">
      <c r="A733" s="1" cm="1">
        <f t="array" ref="A733">INDEX(Weekly_Inventory_Flow!$A$2:$A$261,INT((ROW()-2)/4)+1)</f>
        <v>46279</v>
      </c>
      <c r="B733" t="str" cm="1">
        <f t="array" ref="B733">INDEX(Weekly_Inventory_Flow!$B$2:$B$261,INT((ROW()-2)/4)+1)</f>
        <v>P003</v>
      </c>
      <c r="C733" t="str" cm="1">
        <f t="array" ref="C733">INDEX(BOM!$B$2:$B$21,MATCH(B733,BOM!$A$2:$A$21,0)+MOD(ROW()-2,4))</f>
        <v>M008</v>
      </c>
      <c r="D733" cm="1">
        <f t="array" ref="D733">INDEX(Weekly_Inventory_Flow!$I$2:$I$261,INT((ROW()-2)/4)+1)</f>
        <v>11100</v>
      </c>
      <c r="E733" cm="1">
        <f t="array" ref="E733">INDEX(BOM!$C$2:$C$21,MATCH(B733,BOM!$A$2:$A$21,0)+MOD(ROW()-2,4))</f>
        <v>1</v>
      </c>
      <c r="F733">
        <f t="shared" si="11"/>
        <v>11100</v>
      </c>
    </row>
    <row r="734" spans="1:6">
      <c r="A734" s="1" cm="1">
        <f t="array" ref="A734">INDEX(Weekly_Inventory_Flow!$A$2:$A$261,INT((ROW()-2)/4)+1)</f>
        <v>46279</v>
      </c>
      <c r="B734" t="str" cm="1">
        <f t="array" ref="B734">INDEX(Weekly_Inventory_Flow!$B$2:$B$261,INT((ROW()-2)/4)+1)</f>
        <v>P004</v>
      </c>
      <c r="C734" t="str" cm="1">
        <f t="array" ref="C734">INDEX(BOM!$B$2:$B$21,MATCH(B734,BOM!$A$2:$A$21,0)+MOD(ROW()-2,4))</f>
        <v>M004</v>
      </c>
      <c r="D734" cm="1">
        <f t="array" ref="D734">INDEX(Weekly_Inventory_Flow!$I$2:$I$261,INT((ROW()-2)/4)+1)</f>
        <v>11200</v>
      </c>
      <c r="E734" cm="1">
        <f t="array" ref="E734">INDEX(BOM!$C$2:$C$21,MATCH(B734,BOM!$A$2:$A$21,0)+MOD(ROW()-2,4))</f>
        <v>0.34</v>
      </c>
      <c r="F734">
        <f t="shared" si="11"/>
        <v>3808.0000000000005</v>
      </c>
    </row>
    <row r="735" spans="1:6">
      <c r="A735" s="1" cm="1">
        <f t="array" ref="A735">INDEX(Weekly_Inventory_Flow!$A$2:$A$261,INT((ROW()-2)/4)+1)</f>
        <v>46279</v>
      </c>
      <c r="B735" t="str" cm="1">
        <f t="array" ref="B735">INDEX(Weekly_Inventory_Flow!$B$2:$B$261,INT((ROW()-2)/4)+1)</f>
        <v>P004</v>
      </c>
      <c r="C735" t="str" cm="1">
        <f t="array" ref="C735">INDEX(BOM!$B$2:$B$21,MATCH(B735,BOM!$A$2:$A$21,0)+MOD(ROW()-2,4))</f>
        <v>M006</v>
      </c>
      <c r="D735" cm="1">
        <f t="array" ref="D735">INDEX(Weekly_Inventory_Flow!$I$2:$I$261,INT((ROW()-2)/4)+1)</f>
        <v>11200</v>
      </c>
      <c r="E735" cm="1">
        <f t="array" ref="E735">INDEX(BOM!$C$2:$C$21,MATCH(B735,BOM!$A$2:$A$21,0)+MOD(ROW()-2,4))</f>
        <v>8.9999999999999993E-3</v>
      </c>
      <c r="F735">
        <f t="shared" si="11"/>
        <v>100.8</v>
      </c>
    </row>
    <row r="736" spans="1:6">
      <c r="A736" s="1" cm="1">
        <f t="array" ref="A736">INDEX(Weekly_Inventory_Flow!$A$2:$A$261,INT((ROW()-2)/4)+1)</f>
        <v>46279</v>
      </c>
      <c r="B736" t="str" cm="1">
        <f t="array" ref="B736">INDEX(Weekly_Inventory_Flow!$B$2:$B$261,INT((ROW()-2)/4)+1)</f>
        <v>P004</v>
      </c>
      <c r="C736" t="str" cm="1">
        <f t="array" ref="C736">INDEX(BOM!$B$2:$B$21,MATCH(B736,BOM!$A$2:$A$21,0)+MOD(ROW()-2,4))</f>
        <v>M007</v>
      </c>
      <c r="D736" cm="1">
        <f t="array" ref="D736">INDEX(Weekly_Inventory_Flow!$I$2:$I$261,INT((ROW()-2)/4)+1)</f>
        <v>11200</v>
      </c>
      <c r="E736" cm="1">
        <f t="array" ref="E736">INDEX(BOM!$C$2:$C$21,MATCH(B736,BOM!$A$2:$A$21,0)+MOD(ROW()-2,4))</f>
        <v>1</v>
      </c>
      <c r="F736">
        <f t="shared" si="11"/>
        <v>11200</v>
      </c>
    </row>
    <row r="737" spans="1:6">
      <c r="A737" s="1" cm="1">
        <f t="array" ref="A737">INDEX(Weekly_Inventory_Flow!$A$2:$A$261,INT((ROW()-2)/4)+1)</f>
        <v>46279</v>
      </c>
      <c r="B737" t="str" cm="1">
        <f t="array" ref="B737">INDEX(Weekly_Inventory_Flow!$B$2:$B$261,INT((ROW()-2)/4)+1)</f>
        <v>P004</v>
      </c>
      <c r="C737" t="str" cm="1">
        <f t="array" ref="C737">INDEX(BOM!$B$2:$B$21,MATCH(B737,BOM!$A$2:$A$21,0)+MOD(ROW()-2,4))</f>
        <v>M008</v>
      </c>
      <c r="D737" cm="1">
        <f t="array" ref="D737">INDEX(Weekly_Inventory_Flow!$I$2:$I$261,INT((ROW()-2)/4)+1)</f>
        <v>11200</v>
      </c>
      <c r="E737" cm="1">
        <f t="array" ref="E737">INDEX(BOM!$C$2:$C$21,MATCH(B737,BOM!$A$2:$A$21,0)+MOD(ROW()-2,4))</f>
        <v>1</v>
      </c>
      <c r="F737">
        <f t="shared" si="11"/>
        <v>11200</v>
      </c>
    </row>
    <row r="738" spans="1:6">
      <c r="A738" s="1" cm="1">
        <f t="array" ref="A738">INDEX(Weekly_Inventory_Flow!$A$2:$A$261,INT((ROW()-2)/4)+1)</f>
        <v>46279</v>
      </c>
      <c r="B738" t="str" cm="1">
        <f t="array" ref="B738">INDEX(Weekly_Inventory_Flow!$B$2:$B$261,INT((ROW()-2)/4)+1)</f>
        <v>P005</v>
      </c>
      <c r="C738" t="str" cm="1">
        <f t="array" ref="C738">INDEX(BOM!$B$2:$B$21,MATCH(B738,BOM!$A$2:$A$21,0)+MOD(ROW()-2,4))</f>
        <v>M005</v>
      </c>
      <c r="D738" cm="1">
        <f t="array" ref="D738">INDEX(Weekly_Inventory_Flow!$I$2:$I$261,INT((ROW()-2)/4)+1)</f>
        <v>8500</v>
      </c>
      <c r="E738" cm="1">
        <f t="array" ref="E738">INDEX(BOM!$C$2:$C$21,MATCH(B738,BOM!$A$2:$A$21,0)+MOD(ROW()-2,4))</f>
        <v>0.52</v>
      </c>
      <c r="F738">
        <f t="shared" si="11"/>
        <v>4420</v>
      </c>
    </row>
    <row r="739" spans="1:6">
      <c r="A739" s="1" cm="1">
        <f t="array" ref="A739">INDEX(Weekly_Inventory_Flow!$A$2:$A$261,INT((ROW()-2)/4)+1)</f>
        <v>46279</v>
      </c>
      <c r="B739" t="str" cm="1">
        <f t="array" ref="B739">INDEX(Weekly_Inventory_Flow!$B$2:$B$261,INT((ROW()-2)/4)+1)</f>
        <v>P005</v>
      </c>
      <c r="C739" t="str" cm="1">
        <f t="array" ref="C739">INDEX(BOM!$B$2:$B$21,MATCH(B739,BOM!$A$2:$A$21,0)+MOD(ROW()-2,4))</f>
        <v>M006</v>
      </c>
      <c r="D739" cm="1">
        <f t="array" ref="D739">INDEX(Weekly_Inventory_Flow!$I$2:$I$261,INT((ROW()-2)/4)+1)</f>
        <v>8500</v>
      </c>
      <c r="E739" cm="1">
        <f t="array" ref="E739">INDEX(BOM!$C$2:$C$21,MATCH(B739,BOM!$A$2:$A$21,0)+MOD(ROW()-2,4))</f>
        <v>1.2E-2</v>
      </c>
      <c r="F739">
        <f t="shared" si="11"/>
        <v>102</v>
      </c>
    </row>
    <row r="740" spans="1:6">
      <c r="A740" s="1" cm="1">
        <f t="array" ref="A740">INDEX(Weekly_Inventory_Flow!$A$2:$A$261,INT((ROW()-2)/4)+1)</f>
        <v>46279</v>
      </c>
      <c r="B740" t="str" cm="1">
        <f t="array" ref="B740">INDEX(Weekly_Inventory_Flow!$B$2:$B$261,INT((ROW()-2)/4)+1)</f>
        <v>P005</v>
      </c>
      <c r="C740" t="str" cm="1">
        <f t="array" ref="C740">INDEX(BOM!$B$2:$B$21,MATCH(B740,BOM!$A$2:$A$21,0)+MOD(ROW()-2,4))</f>
        <v>M007</v>
      </c>
      <c r="D740" cm="1">
        <f t="array" ref="D740">INDEX(Weekly_Inventory_Flow!$I$2:$I$261,INT((ROW()-2)/4)+1)</f>
        <v>8500</v>
      </c>
      <c r="E740" cm="1">
        <f t="array" ref="E740">INDEX(BOM!$C$2:$C$21,MATCH(B740,BOM!$A$2:$A$21,0)+MOD(ROW()-2,4))</f>
        <v>1</v>
      </c>
      <c r="F740">
        <f t="shared" si="11"/>
        <v>8500</v>
      </c>
    </row>
    <row r="741" spans="1:6">
      <c r="A741" s="1" cm="1">
        <f t="array" ref="A741">INDEX(Weekly_Inventory_Flow!$A$2:$A$261,INT((ROW()-2)/4)+1)</f>
        <v>46279</v>
      </c>
      <c r="B741" t="str" cm="1">
        <f t="array" ref="B741">INDEX(Weekly_Inventory_Flow!$B$2:$B$261,INT((ROW()-2)/4)+1)</f>
        <v>P005</v>
      </c>
      <c r="C741" t="str" cm="1">
        <f t="array" ref="C741">INDEX(BOM!$B$2:$B$21,MATCH(B741,BOM!$A$2:$A$21,0)+MOD(ROW()-2,4))</f>
        <v>M008</v>
      </c>
      <c r="D741" cm="1">
        <f t="array" ref="D741">INDEX(Weekly_Inventory_Flow!$I$2:$I$261,INT((ROW()-2)/4)+1)</f>
        <v>8500</v>
      </c>
      <c r="E741" cm="1">
        <f t="array" ref="E741">INDEX(BOM!$C$2:$C$21,MATCH(B741,BOM!$A$2:$A$21,0)+MOD(ROW()-2,4))</f>
        <v>1</v>
      </c>
      <c r="F741">
        <f t="shared" si="11"/>
        <v>8500</v>
      </c>
    </row>
    <row r="742" spans="1:6">
      <c r="A742" s="1" cm="1">
        <f t="array" ref="A742">INDEX(Weekly_Inventory_Flow!$A$2:$A$261,INT((ROW()-2)/4)+1)</f>
        <v>46286</v>
      </c>
      <c r="B742" t="str" cm="1">
        <f t="array" ref="B742">INDEX(Weekly_Inventory_Flow!$B$2:$B$261,INT((ROW()-2)/4)+1)</f>
        <v>P001</v>
      </c>
      <c r="C742" t="str" cm="1">
        <f t="array" ref="C742">INDEX(BOM!$B$2:$B$21,MATCH(B742,BOM!$A$2:$A$21,0)+MOD(ROW()-2,4))</f>
        <v>M001</v>
      </c>
      <c r="D742" cm="1">
        <f t="array" ref="D742">INDEX(Weekly_Inventory_Flow!$I$2:$I$261,INT((ROW()-2)/4)+1)</f>
        <v>14300</v>
      </c>
      <c r="E742" cm="1">
        <f t="array" ref="E742">INDEX(BOM!$C$2:$C$21,MATCH(B742,BOM!$A$2:$A$21,0)+MOD(ROW()-2,4))</f>
        <v>0.35</v>
      </c>
      <c r="F742">
        <f t="shared" si="11"/>
        <v>5005</v>
      </c>
    </row>
    <row r="743" spans="1:6">
      <c r="A743" s="1" cm="1">
        <f t="array" ref="A743">INDEX(Weekly_Inventory_Flow!$A$2:$A$261,INT((ROW()-2)/4)+1)</f>
        <v>46286</v>
      </c>
      <c r="B743" t="str" cm="1">
        <f t="array" ref="B743">INDEX(Weekly_Inventory_Flow!$B$2:$B$261,INT((ROW()-2)/4)+1)</f>
        <v>P001</v>
      </c>
      <c r="C743" t="str" cm="1">
        <f t="array" ref="C743">INDEX(BOM!$B$2:$B$21,MATCH(B743,BOM!$A$2:$A$21,0)+MOD(ROW()-2,4))</f>
        <v>M006</v>
      </c>
      <c r="D743" cm="1">
        <f t="array" ref="D743">INDEX(Weekly_Inventory_Flow!$I$2:$I$261,INT((ROW()-2)/4)+1)</f>
        <v>14300</v>
      </c>
      <c r="E743" cm="1">
        <f t="array" ref="E743">INDEX(BOM!$C$2:$C$21,MATCH(B743,BOM!$A$2:$A$21,0)+MOD(ROW()-2,4))</f>
        <v>0.01</v>
      </c>
      <c r="F743">
        <f t="shared" si="11"/>
        <v>143</v>
      </c>
    </row>
    <row r="744" spans="1:6">
      <c r="A744" s="1" cm="1">
        <f t="array" ref="A744">INDEX(Weekly_Inventory_Flow!$A$2:$A$261,INT((ROW()-2)/4)+1)</f>
        <v>46286</v>
      </c>
      <c r="B744" t="str" cm="1">
        <f t="array" ref="B744">INDEX(Weekly_Inventory_Flow!$B$2:$B$261,INT((ROW()-2)/4)+1)</f>
        <v>P001</v>
      </c>
      <c r="C744" t="str" cm="1">
        <f t="array" ref="C744">INDEX(BOM!$B$2:$B$21,MATCH(B744,BOM!$A$2:$A$21,0)+MOD(ROW()-2,4))</f>
        <v>M007</v>
      </c>
      <c r="D744" cm="1">
        <f t="array" ref="D744">INDEX(Weekly_Inventory_Flow!$I$2:$I$261,INT((ROW()-2)/4)+1)</f>
        <v>14300</v>
      </c>
      <c r="E744" cm="1">
        <f t="array" ref="E744">INDEX(BOM!$C$2:$C$21,MATCH(B744,BOM!$A$2:$A$21,0)+MOD(ROW()-2,4))</f>
        <v>1</v>
      </c>
      <c r="F744">
        <f t="shared" si="11"/>
        <v>14300</v>
      </c>
    </row>
    <row r="745" spans="1:6">
      <c r="A745" s="1" cm="1">
        <f t="array" ref="A745">INDEX(Weekly_Inventory_Flow!$A$2:$A$261,INT((ROW()-2)/4)+1)</f>
        <v>46286</v>
      </c>
      <c r="B745" t="str" cm="1">
        <f t="array" ref="B745">INDEX(Weekly_Inventory_Flow!$B$2:$B$261,INT((ROW()-2)/4)+1)</f>
        <v>P001</v>
      </c>
      <c r="C745" t="str" cm="1">
        <f t="array" ref="C745">INDEX(BOM!$B$2:$B$21,MATCH(B745,BOM!$A$2:$A$21,0)+MOD(ROW()-2,4))</f>
        <v>M008</v>
      </c>
      <c r="D745" cm="1">
        <f t="array" ref="D745">INDEX(Weekly_Inventory_Flow!$I$2:$I$261,INT((ROW()-2)/4)+1)</f>
        <v>14300</v>
      </c>
      <c r="E745" cm="1">
        <f t="array" ref="E745">INDEX(BOM!$C$2:$C$21,MATCH(B745,BOM!$A$2:$A$21,0)+MOD(ROW()-2,4))</f>
        <v>1</v>
      </c>
      <c r="F745">
        <f t="shared" si="11"/>
        <v>14300</v>
      </c>
    </row>
    <row r="746" spans="1:6">
      <c r="A746" s="1" cm="1">
        <f t="array" ref="A746">INDEX(Weekly_Inventory_Flow!$A$2:$A$261,INT((ROW()-2)/4)+1)</f>
        <v>46286</v>
      </c>
      <c r="B746" t="str" cm="1">
        <f t="array" ref="B746">INDEX(Weekly_Inventory_Flow!$B$2:$B$261,INT((ROW()-2)/4)+1)</f>
        <v>P002</v>
      </c>
      <c r="C746" t="str" cm="1">
        <f t="array" ref="C746">INDEX(BOM!$B$2:$B$21,MATCH(B746,BOM!$A$2:$A$21,0)+MOD(ROW()-2,4))</f>
        <v>M002</v>
      </c>
      <c r="D746" cm="1">
        <f t="array" ref="D746">INDEX(Weekly_Inventory_Flow!$I$2:$I$261,INT((ROW()-2)/4)+1)</f>
        <v>13000</v>
      </c>
      <c r="E746" cm="1">
        <f t="array" ref="E746">INDEX(BOM!$C$2:$C$21,MATCH(B746,BOM!$A$2:$A$21,0)+MOD(ROW()-2,4))</f>
        <v>0.3</v>
      </c>
      <c r="F746">
        <f t="shared" si="11"/>
        <v>3900</v>
      </c>
    </row>
    <row r="747" spans="1:6">
      <c r="A747" s="1" cm="1">
        <f t="array" ref="A747">INDEX(Weekly_Inventory_Flow!$A$2:$A$261,INT((ROW()-2)/4)+1)</f>
        <v>46286</v>
      </c>
      <c r="B747" t="str" cm="1">
        <f t="array" ref="B747">INDEX(Weekly_Inventory_Flow!$B$2:$B$261,INT((ROW()-2)/4)+1)</f>
        <v>P002</v>
      </c>
      <c r="C747" t="str" cm="1">
        <f t="array" ref="C747">INDEX(BOM!$B$2:$B$21,MATCH(B747,BOM!$A$2:$A$21,0)+MOD(ROW()-2,4))</f>
        <v>M006</v>
      </c>
      <c r="D747" cm="1">
        <f t="array" ref="D747">INDEX(Weekly_Inventory_Flow!$I$2:$I$261,INT((ROW()-2)/4)+1)</f>
        <v>13000</v>
      </c>
      <c r="E747" cm="1">
        <f t="array" ref="E747">INDEX(BOM!$C$2:$C$21,MATCH(B747,BOM!$A$2:$A$21,0)+MOD(ROW()-2,4))</f>
        <v>8.0000000000000002E-3</v>
      </c>
      <c r="F747">
        <f t="shared" si="11"/>
        <v>104</v>
      </c>
    </row>
    <row r="748" spans="1:6">
      <c r="A748" s="1" cm="1">
        <f t="array" ref="A748">INDEX(Weekly_Inventory_Flow!$A$2:$A$261,INT((ROW()-2)/4)+1)</f>
        <v>46286</v>
      </c>
      <c r="B748" t="str" cm="1">
        <f t="array" ref="B748">INDEX(Weekly_Inventory_Flow!$B$2:$B$261,INT((ROW()-2)/4)+1)</f>
        <v>P002</v>
      </c>
      <c r="C748" t="str" cm="1">
        <f t="array" ref="C748">INDEX(BOM!$B$2:$B$21,MATCH(B748,BOM!$A$2:$A$21,0)+MOD(ROW()-2,4))</f>
        <v>M007</v>
      </c>
      <c r="D748" cm="1">
        <f t="array" ref="D748">INDEX(Weekly_Inventory_Flow!$I$2:$I$261,INT((ROW()-2)/4)+1)</f>
        <v>13000</v>
      </c>
      <c r="E748" cm="1">
        <f t="array" ref="E748">INDEX(BOM!$C$2:$C$21,MATCH(B748,BOM!$A$2:$A$21,0)+MOD(ROW()-2,4))</f>
        <v>1</v>
      </c>
      <c r="F748">
        <f t="shared" si="11"/>
        <v>13000</v>
      </c>
    </row>
    <row r="749" spans="1:6">
      <c r="A749" s="1" cm="1">
        <f t="array" ref="A749">INDEX(Weekly_Inventory_Flow!$A$2:$A$261,INT((ROW()-2)/4)+1)</f>
        <v>46286</v>
      </c>
      <c r="B749" t="str" cm="1">
        <f t="array" ref="B749">INDEX(Weekly_Inventory_Flow!$B$2:$B$261,INT((ROW()-2)/4)+1)</f>
        <v>P002</v>
      </c>
      <c r="C749" t="str" cm="1">
        <f t="array" ref="C749">INDEX(BOM!$B$2:$B$21,MATCH(B749,BOM!$A$2:$A$21,0)+MOD(ROW()-2,4))</f>
        <v>M008</v>
      </c>
      <c r="D749" cm="1">
        <f t="array" ref="D749">INDEX(Weekly_Inventory_Flow!$I$2:$I$261,INT((ROW()-2)/4)+1)</f>
        <v>13000</v>
      </c>
      <c r="E749" cm="1">
        <f t="array" ref="E749">INDEX(BOM!$C$2:$C$21,MATCH(B749,BOM!$A$2:$A$21,0)+MOD(ROW()-2,4))</f>
        <v>1</v>
      </c>
      <c r="F749">
        <f t="shared" si="11"/>
        <v>13000</v>
      </c>
    </row>
    <row r="750" spans="1:6">
      <c r="A750" s="1" cm="1">
        <f t="array" ref="A750">INDEX(Weekly_Inventory_Flow!$A$2:$A$261,INT((ROW()-2)/4)+1)</f>
        <v>46286</v>
      </c>
      <c r="B750" t="str" cm="1">
        <f t="array" ref="B750">INDEX(Weekly_Inventory_Flow!$B$2:$B$261,INT((ROW()-2)/4)+1)</f>
        <v>P003</v>
      </c>
      <c r="C750" t="str" cm="1">
        <f t="array" ref="C750">INDEX(BOM!$B$2:$B$21,MATCH(B750,BOM!$A$2:$A$21,0)+MOD(ROW()-2,4))</f>
        <v>M003</v>
      </c>
      <c r="D750" cm="1">
        <f t="array" ref="D750">INDEX(Weekly_Inventory_Flow!$I$2:$I$261,INT((ROW()-2)/4)+1)</f>
        <v>11500</v>
      </c>
      <c r="E750" cm="1">
        <f t="array" ref="E750">INDEX(BOM!$C$2:$C$21,MATCH(B750,BOM!$A$2:$A$21,0)+MOD(ROW()-2,4))</f>
        <v>0.25</v>
      </c>
      <c r="F750">
        <f t="shared" si="11"/>
        <v>2875</v>
      </c>
    </row>
    <row r="751" spans="1:6">
      <c r="A751" s="1" cm="1">
        <f t="array" ref="A751">INDEX(Weekly_Inventory_Flow!$A$2:$A$261,INT((ROW()-2)/4)+1)</f>
        <v>46286</v>
      </c>
      <c r="B751" t="str" cm="1">
        <f t="array" ref="B751">INDEX(Weekly_Inventory_Flow!$B$2:$B$261,INT((ROW()-2)/4)+1)</f>
        <v>P003</v>
      </c>
      <c r="C751" t="str" cm="1">
        <f t="array" ref="C751">INDEX(BOM!$B$2:$B$21,MATCH(B751,BOM!$A$2:$A$21,0)+MOD(ROW()-2,4))</f>
        <v>M006</v>
      </c>
      <c r="D751" cm="1">
        <f t="array" ref="D751">INDEX(Weekly_Inventory_Flow!$I$2:$I$261,INT((ROW()-2)/4)+1)</f>
        <v>11500</v>
      </c>
      <c r="E751" cm="1">
        <f t="array" ref="E751">INDEX(BOM!$C$2:$C$21,MATCH(B751,BOM!$A$2:$A$21,0)+MOD(ROW()-2,4))</f>
        <v>6.0000000000000001E-3</v>
      </c>
      <c r="F751">
        <f t="shared" si="11"/>
        <v>69</v>
      </c>
    </row>
    <row r="752" spans="1:6">
      <c r="A752" s="1" cm="1">
        <f t="array" ref="A752">INDEX(Weekly_Inventory_Flow!$A$2:$A$261,INT((ROW()-2)/4)+1)</f>
        <v>46286</v>
      </c>
      <c r="B752" t="str" cm="1">
        <f t="array" ref="B752">INDEX(Weekly_Inventory_Flow!$B$2:$B$261,INT((ROW()-2)/4)+1)</f>
        <v>P003</v>
      </c>
      <c r="C752" t="str" cm="1">
        <f t="array" ref="C752">INDEX(BOM!$B$2:$B$21,MATCH(B752,BOM!$A$2:$A$21,0)+MOD(ROW()-2,4))</f>
        <v>M007</v>
      </c>
      <c r="D752" cm="1">
        <f t="array" ref="D752">INDEX(Weekly_Inventory_Flow!$I$2:$I$261,INT((ROW()-2)/4)+1)</f>
        <v>11500</v>
      </c>
      <c r="E752" cm="1">
        <f t="array" ref="E752">INDEX(BOM!$C$2:$C$21,MATCH(B752,BOM!$A$2:$A$21,0)+MOD(ROW()-2,4))</f>
        <v>1</v>
      </c>
      <c r="F752">
        <f t="shared" si="11"/>
        <v>11500</v>
      </c>
    </row>
    <row r="753" spans="1:6">
      <c r="A753" s="1" cm="1">
        <f t="array" ref="A753">INDEX(Weekly_Inventory_Flow!$A$2:$A$261,INT((ROW()-2)/4)+1)</f>
        <v>46286</v>
      </c>
      <c r="B753" t="str" cm="1">
        <f t="array" ref="B753">INDEX(Weekly_Inventory_Flow!$B$2:$B$261,INT((ROW()-2)/4)+1)</f>
        <v>P003</v>
      </c>
      <c r="C753" t="str" cm="1">
        <f t="array" ref="C753">INDEX(BOM!$B$2:$B$21,MATCH(B753,BOM!$A$2:$A$21,0)+MOD(ROW()-2,4))</f>
        <v>M008</v>
      </c>
      <c r="D753" cm="1">
        <f t="array" ref="D753">INDEX(Weekly_Inventory_Flow!$I$2:$I$261,INT((ROW()-2)/4)+1)</f>
        <v>11500</v>
      </c>
      <c r="E753" cm="1">
        <f t="array" ref="E753">INDEX(BOM!$C$2:$C$21,MATCH(B753,BOM!$A$2:$A$21,0)+MOD(ROW()-2,4))</f>
        <v>1</v>
      </c>
      <c r="F753">
        <f t="shared" si="11"/>
        <v>11500</v>
      </c>
    </row>
    <row r="754" spans="1:6">
      <c r="A754" s="1" cm="1">
        <f t="array" ref="A754">INDEX(Weekly_Inventory_Flow!$A$2:$A$261,INT((ROW()-2)/4)+1)</f>
        <v>46286</v>
      </c>
      <c r="B754" t="str" cm="1">
        <f t="array" ref="B754">INDEX(Weekly_Inventory_Flow!$B$2:$B$261,INT((ROW()-2)/4)+1)</f>
        <v>P004</v>
      </c>
      <c r="C754" t="str" cm="1">
        <f t="array" ref="C754">INDEX(BOM!$B$2:$B$21,MATCH(B754,BOM!$A$2:$A$21,0)+MOD(ROW()-2,4))</f>
        <v>M004</v>
      </c>
      <c r="D754" cm="1">
        <f t="array" ref="D754">INDEX(Weekly_Inventory_Flow!$I$2:$I$261,INT((ROW()-2)/4)+1)</f>
        <v>11600</v>
      </c>
      <c r="E754" cm="1">
        <f t="array" ref="E754">INDEX(BOM!$C$2:$C$21,MATCH(B754,BOM!$A$2:$A$21,0)+MOD(ROW()-2,4))</f>
        <v>0.34</v>
      </c>
      <c r="F754">
        <f t="shared" si="11"/>
        <v>3944.0000000000005</v>
      </c>
    </row>
    <row r="755" spans="1:6">
      <c r="A755" s="1" cm="1">
        <f t="array" ref="A755">INDEX(Weekly_Inventory_Flow!$A$2:$A$261,INT((ROW()-2)/4)+1)</f>
        <v>46286</v>
      </c>
      <c r="B755" t="str" cm="1">
        <f t="array" ref="B755">INDEX(Weekly_Inventory_Flow!$B$2:$B$261,INT((ROW()-2)/4)+1)</f>
        <v>P004</v>
      </c>
      <c r="C755" t="str" cm="1">
        <f t="array" ref="C755">INDEX(BOM!$B$2:$B$21,MATCH(B755,BOM!$A$2:$A$21,0)+MOD(ROW()-2,4))</f>
        <v>M006</v>
      </c>
      <c r="D755" cm="1">
        <f t="array" ref="D755">INDEX(Weekly_Inventory_Flow!$I$2:$I$261,INT((ROW()-2)/4)+1)</f>
        <v>11600</v>
      </c>
      <c r="E755" cm="1">
        <f t="array" ref="E755">INDEX(BOM!$C$2:$C$21,MATCH(B755,BOM!$A$2:$A$21,0)+MOD(ROW()-2,4))</f>
        <v>8.9999999999999993E-3</v>
      </c>
      <c r="F755">
        <f t="shared" si="11"/>
        <v>104.39999999999999</v>
      </c>
    </row>
    <row r="756" spans="1:6">
      <c r="A756" s="1" cm="1">
        <f t="array" ref="A756">INDEX(Weekly_Inventory_Flow!$A$2:$A$261,INT((ROW()-2)/4)+1)</f>
        <v>46286</v>
      </c>
      <c r="B756" t="str" cm="1">
        <f t="array" ref="B756">INDEX(Weekly_Inventory_Flow!$B$2:$B$261,INT((ROW()-2)/4)+1)</f>
        <v>P004</v>
      </c>
      <c r="C756" t="str" cm="1">
        <f t="array" ref="C756">INDEX(BOM!$B$2:$B$21,MATCH(B756,BOM!$A$2:$A$21,0)+MOD(ROW()-2,4))</f>
        <v>M007</v>
      </c>
      <c r="D756" cm="1">
        <f t="array" ref="D756">INDEX(Weekly_Inventory_Flow!$I$2:$I$261,INT((ROW()-2)/4)+1)</f>
        <v>11600</v>
      </c>
      <c r="E756" cm="1">
        <f t="array" ref="E756">INDEX(BOM!$C$2:$C$21,MATCH(B756,BOM!$A$2:$A$21,0)+MOD(ROW()-2,4))</f>
        <v>1</v>
      </c>
      <c r="F756">
        <f t="shared" si="11"/>
        <v>11600</v>
      </c>
    </row>
    <row r="757" spans="1:6">
      <c r="A757" s="1" cm="1">
        <f t="array" ref="A757">INDEX(Weekly_Inventory_Flow!$A$2:$A$261,INT((ROW()-2)/4)+1)</f>
        <v>46286</v>
      </c>
      <c r="B757" t="str" cm="1">
        <f t="array" ref="B757">INDEX(Weekly_Inventory_Flow!$B$2:$B$261,INT((ROW()-2)/4)+1)</f>
        <v>P004</v>
      </c>
      <c r="C757" t="str" cm="1">
        <f t="array" ref="C757">INDEX(BOM!$B$2:$B$21,MATCH(B757,BOM!$A$2:$A$21,0)+MOD(ROW()-2,4))</f>
        <v>M008</v>
      </c>
      <c r="D757" cm="1">
        <f t="array" ref="D757">INDEX(Weekly_Inventory_Flow!$I$2:$I$261,INT((ROW()-2)/4)+1)</f>
        <v>11600</v>
      </c>
      <c r="E757" cm="1">
        <f t="array" ref="E757">INDEX(BOM!$C$2:$C$21,MATCH(B757,BOM!$A$2:$A$21,0)+MOD(ROW()-2,4))</f>
        <v>1</v>
      </c>
      <c r="F757">
        <f t="shared" si="11"/>
        <v>11600</v>
      </c>
    </row>
    <row r="758" spans="1:6">
      <c r="A758" s="1" cm="1">
        <f t="array" ref="A758">INDEX(Weekly_Inventory_Flow!$A$2:$A$261,INT((ROW()-2)/4)+1)</f>
        <v>46286</v>
      </c>
      <c r="B758" t="str" cm="1">
        <f t="array" ref="B758">INDEX(Weekly_Inventory_Flow!$B$2:$B$261,INT((ROW()-2)/4)+1)</f>
        <v>P005</v>
      </c>
      <c r="C758" t="str" cm="1">
        <f t="array" ref="C758">INDEX(BOM!$B$2:$B$21,MATCH(B758,BOM!$A$2:$A$21,0)+MOD(ROW()-2,4))</f>
        <v>M005</v>
      </c>
      <c r="D758" cm="1">
        <f t="array" ref="D758">INDEX(Weekly_Inventory_Flow!$I$2:$I$261,INT((ROW()-2)/4)+1)</f>
        <v>8700</v>
      </c>
      <c r="E758" cm="1">
        <f t="array" ref="E758">INDEX(BOM!$C$2:$C$21,MATCH(B758,BOM!$A$2:$A$21,0)+MOD(ROW()-2,4))</f>
        <v>0.52</v>
      </c>
      <c r="F758">
        <f t="shared" si="11"/>
        <v>4524</v>
      </c>
    </row>
    <row r="759" spans="1:6">
      <c r="A759" s="1" cm="1">
        <f t="array" ref="A759">INDEX(Weekly_Inventory_Flow!$A$2:$A$261,INT((ROW()-2)/4)+1)</f>
        <v>46286</v>
      </c>
      <c r="B759" t="str" cm="1">
        <f t="array" ref="B759">INDEX(Weekly_Inventory_Flow!$B$2:$B$261,INT((ROW()-2)/4)+1)</f>
        <v>P005</v>
      </c>
      <c r="C759" t="str" cm="1">
        <f t="array" ref="C759">INDEX(BOM!$B$2:$B$21,MATCH(B759,BOM!$A$2:$A$21,0)+MOD(ROW()-2,4))</f>
        <v>M006</v>
      </c>
      <c r="D759" cm="1">
        <f t="array" ref="D759">INDEX(Weekly_Inventory_Flow!$I$2:$I$261,INT((ROW()-2)/4)+1)</f>
        <v>8700</v>
      </c>
      <c r="E759" cm="1">
        <f t="array" ref="E759">INDEX(BOM!$C$2:$C$21,MATCH(B759,BOM!$A$2:$A$21,0)+MOD(ROW()-2,4))</f>
        <v>1.2E-2</v>
      </c>
      <c r="F759">
        <f t="shared" si="11"/>
        <v>104.4</v>
      </c>
    </row>
    <row r="760" spans="1:6">
      <c r="A760" s="1" cm="1">
        <f t="array" ref="A760">INDEX(Weekly_Inventory_Flow!$A$2:$A$261,INT((ROW()-2)/4)+1)</f>
        <v>46286</v>
      </c>
      <c r="B760" t="str" cm="1">
        <f t="array" ref="B760">INDEX(Weekly_Inventory_Flow!$B$2:$B$261,INT((ROW()-2)/4)+1)</f>
        <v>P005</v>
      </c>
      <c r="C760" t="str" cm="1">
        <f t="array" ref="C760">INDEX(BOM!$B$2:$B$21,MATCH(B760,BOM!$A$2:$A$21,0)+MOD(ROW()-2,4))</f>
        <v>M007</v>
      </c>
      <c r="D760" cm="1">
        <f t="array" ref="D760">INDEX(Weekly_Inventory_Flow!$I$2:$I$261,INT((ROW()-2)/4)+1)</f>
        <v>8700</v>
      </c>
      <c r="E760" cm="1">
        <f t="array" ref="E760">INDEX(BOM!$C$2:$C$21,MATCH(B760,BOM!$A$2:$A$21,0)+MOD(ROW()-2,4))</f>
        <v>1</v>
      </c>
      <c r="F760">
        <f t="shared" si="11"/>
        <v>8700</v>
      </c>
    </row>
    <row r="761" spans="1:6">
      <c r="A761" s="1" cm="1">
        <f t="array" ref="A761">INDEX(Weekly_Inventory_Flow!$A$2:$A$261,INT((ROW()-2)/4)+1)</f>
        <v>46286</v>
      </c>
      <c r="B761" t="str" cm="1">
        <f t="array" ref="B761">INDEX(Weekly_Inventory_Flow!$B$2:$B$261,INT((ROW()-2)/4)+1)</f>
        <v>P005</v>
      </c>
      <c r="C761" t="str" cm="1">
        <f t="array" ref="C761">INDEX(BOM!$B$2:$B$21,MATCH(B761,BOM!$A$2:$A$21,0)+MOD(ROW()-2,4))</f>
        <v>M008</v>
      </c>
      <c r="D761" cm="1">
        <f t="array" ref="D761">INDEX(Weekly_Inventory_Flow!$I$2:$I$261,INT((ROW()-2)/4)+1)</f>
        <v>8700</v>
      </c>
      <c r="E761" cm="1">
        <f t="array" ref="E761">INDEX(BOM!$C$2:$C$21,MATCH(B761,BOM!$A$2:$A$21,0)+MOD(ROW()-2,4))</f>
        <v>1</v>
      </c>
      <c r="F761">
        <f t="shared" si="11"/>
        <v>8700</v>
      </c>
    </row>
    <row r="762" spans="1:6">
      <c r="A762" s="1" cm="1">
        <f t="array" ref="A762">INDEX(Weekly_Inventory_Flow!$A$2:$A$261,INT((ROW()-2)/4)+1)</f>
        <v>46293</v>
      </c>
      <c r="B762" t="str" cm="1">
        <f t="array" ref="B762">INDEX(Weekly_Inventory_Flow!$B$2:$B$261,INT((ROW()-2)/4)+1)</f>
        <v>P001</v>
      </c>
      <c r="C762" t="str" cm="1">
        <f t="array" ref="C762">INDEX(BOM!$B$2:$B$21,MATCH(B762,BOM!$A$2:$A$21,0)+MOD(ROW()-2,4))</f>
        <v>M001</v>
      </c>
      <c r="D762" cm="1">
        <f t="array" ref="D762">INDEX(Weekly_Inventory_Flow!$I$2:$I$261,INT((ROW()-2)/4)+1)</f>
        <v>14700</v>
      </c>
      <c r="E762" cm="1">
        <f t="array" ref="E762">INDEX(BOM!$C$2:$C$21,MATCH(B762,BOM!$A$2:$A$21,0)+MOD(ROW()-2,4))</f>
        <v>0.35</v>
      </c>
      <c r="F762">
        <f t="shared" si="11"/>
        <v>5145</v>
      </c>
    </row>
    <row r="763" spans="1:6">
      <c r="A763" s="1" cm="1">
        <f t="array" ref="A763">INDEX(Weekly_Inventory_Flow!$A$2:$A$261,INT((ROW()-2)/4)+1)</f>
        <v>46293</v>
      </c>
      <c r="B763" t="str" cm="1">
        <f t="array" ref="B763">INDEX(Weekly_Inventory_Flow!$B$2:$B$261,INT((ROW()-2)/4)+1)</f>
        <v>P001</v>
      </c>
      <c r="C763" t="str" cm="1">
        <f t="array" ref="C763">INDEX(BOM!$B$2:$B$21,MATCH(B763,BOM!$A$2:$A$21,0)+MOD(ROW()-2,4))</f>
        <v>M006</v>
      </c>
      <c r="D763" cm="1">
        <f t="array" ref="D763">INDEX(Weekly_Inventory_Flow!$I$2:$I$261,INT((ROW()-2)/4)+1)</f>
        <v>14700</v>
      </c>
      <c r="E763" cm="1">
        <f t="array" ref="E763">INDEX(BOM!$C$2:$C$21,MATCH(B763,BOM!$A$2:$A$21,0)+MOD(ROW()-2,4))</f>
        <v>0.01</v>
      </c>
      <c r="F763">
        <f t="shared" si="11"/>
        <v>147</v>
      </c>
    </row>
    <row r="764" spans="1:6">
      <c r="A764" s="1" cm="1">
        <f t="array" ref="A764">INDEX(Weekly_Inventory_Flow!$A$2:$A$261,INT((ROW()-2)/4)+1)</f>
        <v>46293</v>
      </c>
      <c r="B764" t="str" cm="1">
        <f t="array" ref="B764">INDEX(Weekly_Inventory_Flow!$B$2:$B$261,INT((ROW()-2)/4)+1)</f>
        <v>P001</v>
      </c>
      <c r="C764" t="str" cm="1">
        <f t="array" ref="C764">INDEX(BOM!$B$2:$B$21,MATCH(B764,BOM!$A$2:$A$21,0)+MOD(ROW()-2,4))</f>
        <v>M007</v>
      </c>
      <c r="D764" cm="1">
        <f t="array" ref="D764">INDEX(Weekly_Inventory_Flow!$I$2:$I$261,INT((ROW()-2)/4)+1)</f>
        <v>14700</v>
      </c>
      <c r="E764" cm="1">
        <f t="array" ref="E764">INDEX(BOM!$C$2:$C$21,MATCH(B764,BOM!$A$2:$A$21,0)+MOD(ROW()-2,4))</f>
        <v>1</v>
      </c>
      <c r="F764">
        <f t="shared" si="11"/>
        <v>14700</v>
      </c>
    </row>
    <row r="765" spans="1:6">
      <c r="A765" s="1" cm="1">
        <f t="array" ref="A765">INDEX(Weekly_Inventory_Flow!$A$2:$A$261,INT((ROW()-2)/4)+1)</f>
        <v>46293</v>
      </c>
      <c r="B765" t="str" cm="1">
        <f t="array" ref="B765">INDEX(Weekly_Inventory_Flow!$B$2:$B$261,INT((ROW()-2)/4)+1)</f>
        <v>P001</v>
      </c>
      <c r="C765" t="str" cm="1">
        <f t="array" ref="C765">INDEX(BOM!$B$2:$B$21,MATCH(B765,BOM!$A$2:$A$21,0)+MOD(ROW()-2,4))</f>
        <v>M008</v>
      </c>
      <c r="D765" cm="1">
        <f t="array" ref="D765">INDEX(Weekly_Inventory_Flow!$I$2:$I$261,INT((ROW()-2)/4)+1)</f>
        <v>14700</v>
      </c>
      <c r="E765" cm="1">
        <f t="array" ref="E765">INDEX(BOM!$C$2:$C$21,MATCH(B765,BOM!$A$2:$A$21,0)+MOD(ROW()-2,4))</f>
        <v>1</v>
      </c>
      <c r="F765">
        <f t="shared" si="11"/>
        <v>14700</v>
      </c>
    </row>
    <row r="766" spans="1:6">
      <c r="A766" s="1" cm="1">
        <f t="array" ref="A766">INDEX(Weekly_Inventory_Flow!$A$2:$A$261,INT((ROW()-2)/4)+1)</f>
        <v>46293</v>
      </c>
      <c r="B766" t="str" cm="1">
        <f t="array" ref="B766">INDEX(Weekly_Inventory_Flow!$B$2:$B$261,INT((ROW()-2)/4)+1)</f>
        <v>P002</v>
      </c>
      <c r="C766" t="str" cm="1">
        <f t="array" ref="C766">INDEX(BOM!$B$2:$B$21,MATCH(B766,BOM!$A$2:$A$21,0)+MOD(ROW()-2,4))</f>
        <v>M002</v>
      </c>
      <c r="D766" cm="1">
        <f t="array" ref="D766">INDEX(Weekly_Inventory_Flow!$I$2:$I$261,INT((ROW()-2)/4)+1)</f>
        <v>12500</v>
      </c>
      <c r="E766" cm="1">
        <f t="array" ref="E766">INDEX(BOM!$C$2:$C$21,MATCH(B766,BOM!$A$2:$A$21,0)+MOD(ROW()-2,4))</f>
        <v>0.3</v>
      </c>
      <c r="F766">
        <f t="shared" si="11"/>
        <v>3750</v>
      </c>
    </row>
    <row r="767" spans="1:6">
      <c r="A767" s="1" cm="1">
        <f t="array" ref="A767">INDEX(Weekly_Inventory_Flow!$A$2:$A$261,INT((ROW()-2)/4)+1)</f>
        <v>46293</v>
      </c>
      <c r="B767" t="str" cm="1">
        <f t="array" ref="B767">INDEX(Weekly_Inventory_Flow!$B$2:$B$261,INT((ROW()-2)/4)+1)</f>
        <v>P002</v>
      </c>
      <c r="C767" t="str" cm="1">
        <f t="array" ref="C767">INDEX(BOM!$B$2:$B$21,MATCH(B767,BOM!$A$2:$A$21,0)+MOD(ROW()-2,4))</f>
        <v>M006</v>
      </c>
      <c r="D767" cm="1">
        <f t="array" ref="D767">INDEX(Weekly_Inventory_Flow!$I$2:$I$261,INT((ROW()-2)/4)+1)</f>
        <v>12500</v>
      </c>
      <c r="E767" cm="1">
        <f t="array" ref="E767">INDEX(BOM!$C$2:$C$21,MATCH(B767,BOM!$A$2:$A$21,0)+MOD(ROW()-2,4))</f>
        <v>8.0000000000000002E-3</v>
      </c>
      <c r="F767">
        <f t="shared" si="11"/>
        <v>100</v>
      </c>
    </row>
    <row r="768" spans="1:6">
      <c r="A768" s="1" cm="1">
        <f t="array" ref="A768">INDEX(Weekly_Inventory_Flow!$A$2:$A$261,INT((ROW()-2)/4)+1)</f>
        <v>46293</v>
      </c>
      <c r="B768" t="str" cm="1">
        <f t="array" ref="B768">INDEX(Weekly_Inventory_Flow!$B$2:$B$261,INT((ROW()-2)/4)+1)</f>
        <v>P002</v>
      </c>
      <c r="C768" t="str" cm="1">
        <f t="array" ref="C768">INDEX(BOM!$B$2:$B$21,MATCH(B768,BOM!$A$2:$A$21,0)+MOD(ROW()-2,4))</f>
        <v>M007</v>
      </c>
      <c r="D768" cm="1">
        <f t="array" ref="D768">INDEX(Weekly_Inventory_Flow!$I$2:$I$261,INT((ROW()-2)/4)+1)</f>
        <v>12500</v>
      </c>
      <c r="E768" cm="1">
        <f t="array" ref="E768">INDEX(BOM!$C$2:$C$21,MATCH(B768,BOM!$A$2:$A$21,0)+MOD(ROW()-2,4))</f>
        <v>1</v>
      </c>
      <c r="F768">
        <f t="shared" si="11"/>
        <v>12500</v>
      </c>
    </row>
    <row r="769" spans="1:6">
      <c r="A769" s="1" cm="1">
        <f t="array" ref="A769">INDEX(Weekly_Inventory_Flow!$A$2:$A$261,INT((ROW()-2)/4)+1)</f>
        <v>46293</v>
      </c>
      <c r="B769" t="str" cm="1">
        <f t="array" ref="B769">INDEX(Weekly_Inventory_Flow!$B$2:$B$261,INT((ROW()-2)/4)+1)</f>
        <v>P002</v>
      </c>
      <c r="C769" t="str" cm="1">
        <f t="array" ref="C769">INDEX(BOM!$B$2:$B$21,MATCH(B769,BOM!$A$2:$A$21,0)+MOD(ROW()-2,4))</f>
        <v>M008</v>
      </c>
      <c r="D769" cm="1">
        <f t="array" ref="D769">INDEX(Weekly_Inventory_Flow!$I$2:$I$261,INT((ROW()-2)/4)+1)</f>
        <v>12500</v>
      </c>
      <c r="E769" cm="1">
        <f t="array" ref="E769">INDEX(BOM!$C$2:$C$21,MATCH(B769,BOM!$A$2:$A$21,0)+MOD(ROW()-2,4))</f>
        <v>1</v>
      </c>
      <c r="F769">
        <f t="shared" si="11"/>
        <v>12500</v>
      </c>
    </row>
    <row r="770" spans="1:6">
      <c r="A770" s="1" cm="1">
        <f t="array" ref="A770">INDEX(Weekly_Inventory_Flow!$A$2:$A$261,INT((ROW()-2)/4)+1)</f>
        <v>46293</v>
      </c>
      <c r="B770" t="str" cm="1">
        <f t="array" ref="B770">INDEX(Weekly_Inventory_Flow!$B$2:$B$261,INT((ROW()-2)/4)+1)</f>
        <v>P003</v>
      </c>
      <c r="C770" t="str" cm="1">
        <f t="array" ref="C770">INDEX(BOM!$B$2:$B$21,MATCH(B770,BOM!$A$2:$A$21,0)+MOD(ROW()-2,4))</f>
        <v>M003</v>
      </c>
      <c r="D770" cm="1">
        <f t="array" ref="D770">INDEX(Weekly_Inventory_Flow!$I$2:$I$261,INT((ROW()-2)/4)+1)</f>
        <v>10800</v>
      </c>
      <c r="E770" cm="1">
        <f t="array" ref="E770">INDEX(BOM!$C$2:$C$21,MATCH(B770,BOM!$A$2:$A$21,0)+MOD(ROW()-2,4))</f>
        <v>0.25</v>
      </c>
      <c r="F770">
        <f t="shared" si="11"/>
        <v>2700</v>
      </c>
    </row>
    <row r="771" spans="1:6">
      <c r="A771" s="1" cm="1">
        <f t="array" ref="A771">INDEX(Weekly_Inventory_Flow!$A$2:$A$261,INT((ROW()-2)/4)+1)</f>
        <v>46293</v>
      </c>
      <c r="B771" t="str" cm="1">
        <f t="array" ref="B771">INDEX(Weekly_Inventory_Flow!$B$2:$B$261,INT((ROW()-2)/4)+1)</f>
        <v>P003</v>
      </c>
      <c r="C771" t="str" cm="1">
        <f t="array" ref="C771">INDEX(BOM!$B$2:$B$21,MATCH(B771,BOM!$A$2:$A$21,0)+MOD(ROW()-2,4))</f>
        <v>M006</v>
      </c>
      <c r="D771" cm="1">
        <f t="array" ref="D771">INDEX(Weekly_Inventory_Flow!$I$2:$I$261,INT((ROW()-2)/4)+1)</f>
        <v>10800</v>
      </c>
      <c r="E771" cm="1">
        <f t="array" ref="E771">INDEX(BOM!$C$2:$C$21,MATCH(B771,BOM!$A$2:$A$21,0)+MOD(ROW()-2,4))</f>
        <v>6.0000000000000001E-3</v>
      </c>
      <c r="F771">
        <f t="shared" ref="F771:F834" si="12">D771*E771</f>
        <v>64.8</v>
      </c>
    </row>
    <row r="772" spans="1:6">
      <c r="A772" s="1" cm="1">
        <f t="array" ref="A772">INDEX(Weekly_Inventory_Flow!$A$2:$A$261,INT((ROW()-2)/4)+1)</f>
        <v>46293</v>
      </c>
      <c r="B772" t="str" cm="1">
        <f t="array" ref="B772">INDEX(Weekly_Inventory_Flow!$B$2:$B$261,INT((ROW()-2)/4)+1)</f>
        <v>P003</v>
      </c>
      <c r="C772" t="str" cm="1">
        <f t="array" ref="C772">INDEX(BOM!$B$2:$B$21,MATCH(B772,BOM!$A$2:$A$21,0)+MOD(ROW()-2,4))</f>
        <v>M007</v>
      </c>
      <c r="D772" cm="1">
        <f t="array" ref="D772">INDEX(Weekly_Inventory_Flow!$I$2:$I$261,INT((ROW()-2)/4)+1)</f>
        <v>10800</v>
      </c>
      <c r="E772" cm="1">
        <f t="array" ref="E772">INDEX(BOM!$C$2:$C$21,MATCH(B772,BOM!$A$2:$A$21,0)+MOD(ROW()-2,4))</f>
        <v>1</v>
      </c>
      <c r="F772">
        <f t="shared" si="12"/>
        <v>10800</v>
      </c>
    </row>
    <row r="773" spans="1:6">
      <c r="A773" s="1" cm="1">
        <f t="array" ref="A773">INDEX(Weekly_Inventory_Flow!$A$2:$A$261,INT((ROW()-2)/4)+1)</f>
        <v>46293</v>
      </c>
      <c r="B773" t="str" cm="1">
        <f t="array" ref="B773">INDEX(Weekly_Inventory_Flow!$B$2:$B$261,INT((ROW()-2)/4)+1)</f>
        <v>P003</v>
      </c>
      <c r="C773" t="str" cm="1">
        <f t="array" ref="C773">INDEX(BOM!$B$2:$B$21,MATCH(B773,BOM!$A$2:$A$21,0)+MOD(ROW()-2,4))</f>
        <v>M008</v>
      </c>
      <c r="D773" cm="1">
        <f t="array" ref="D773">INDEX(Weekly_Inventory_Flow!$I$2:$I$261,INT((ROW()-2)/4)+1)</f>
        <v>10800</v>
      </c>
      <c r="E773" cm="1">
        <f t="array" ref="E773">INDEX(BOM!$C$2:$C$21,MATCH(B773,BOM!$A$2:$A$21,0)+MOD(ROW()-2,4))</f>
        <v>1</v>
      </c>
      <c r="F773">
        <f t="shared" si="12"/>
        <v>10800</v>
      </c>
    </row>
    <row r="774" spans="1:6">
      <c r="A774" s="1" cm="1">
        <f t="array" ref="A774">INDEX(Weekly_Inventory_Flow!$A$2:$A$261,INT((ROW()-2)/4)+1)</f>
        <v>46293</v>
      </c>
      <c r="B774" t="str" cm="1">
        <f t="array" ref="B774">INDEX(Weekly_Inventory_Flow!$B$2:$B$261,INT((ROW()-2)/4)+1)</f>
        <v>P004</v>
      </c>
      <c r="C774" t="str" cm="1">
        <f t="array" ref="C774">INDEX(BOM!$B$2:$B$21,MATCH(B774,BOM!$A$2:$A$21,0)+MOD(ROW()-2,4))</f>
        <v>M004</v>
      </c>
      <c r="D774" cm="1">
        <f t="array" ref="D774">INDEX(Weekly_Inventory_Flow!$I$2:$I$261,INT((ROW()-2)/4)+1)</f>
        <v>11700</v>
      </c>
      <c r="E774" cm="1">
        <f t="array" ref="E774">INDEX(BOM!$C$2:$C$21,MATCH(B774,BOM!$A$2:$A$21,0)+MOD(ROW()-2,4))</f>
        <v>0.34</v>
      </c>
      <c r="F774">
        <f t="shared" si="12"/>
        <v>3978.0000000000005</v>
      </c>
    </row>
    <row r="775" spans="1:6">
      <c r="A775" s="1" cm="1">
        <f t="array" ref="A775">INDEX(Weekly_Inventory_Flow!$A$2:$A$261,INT((ROW()-2)/4)+1)</f>
        <v>46293</v>
      </c>
      <c r="B775" t="str" cm="1">
        <f t="array" ref="B775">INDEX(Weekly_Inventory_Flow!$B$2:$B$261,INT((ROW()-2)/4)+1)</f>
        <v>P004</v>
      </c>
      <c r="C775" t="str" cm="1">
        <f t="array" ref="C775">INDEX(BOM!$B$2:$B$21,MATCH(B775,BOM!$A$2:$A$21,0)+MOD(ROW()-2,4))</f>
        <v>M006</v>
      </c>
      <c r="D775" cm="1">
        <f t="array" ref="D775">INDEX(Weekly_Inventory_Flow!$I$2:$I$261,INT((ROW()-2)/4)+1)</f>
        <v>11700</v>
      </c>
      <c r="E775" cm="1">
        <f t="array" ref="E775">INDEX(BOM!$C$2:$C$21,MATCH(B775,BOM!$A$2:$A$21,0)+MOD(ROW()-2,4))</f>
        <v>8.9999999999999993E-3</v>
      </c>
      <c r="F775">
        <f t="shared" si="12"/>
        <v>105.3</v>
      </c>
    </row>
    <row r="776" spans="1:6">
      <c r="A776" s="1" cm="1">
        <f t="array" ref="A776">INDEX(Weekly_Inventory_Flow!$A$2:$A$261,INT((ROW()-2)/4)+1)</f>
        <v>46293</v>
      </c>
      <c r="B776" t="str" cm="1">
        <f t="array" ref="B776">INDEX(Weekly_Inventory_Flow!$B$2:$B$261,INT((ROW()-2)/4)+1)</f>
        <v>P004</v>
      </c>
      <c r="C776" t="str" cm="1">
        <f t="array" ref="C776">INDEX(BOM!$B$2:$B$21,MATCH(B776,BOM!$A$2:$A$21,0)+MOD(ROW()-2,4))</f>
        <v>M007</v>
      </c>
      <c r="D776" cm="1">
        <f t="array" ref="D776">INDEX(Weekly_Inventory_Flow!$I$2:$I$261,INT((ROW()-2)/4)+1)</f>
        <v>11700</v>
      </c>
      <c r="E776" cm="1">
        <f t="array" ref="E776">INDEX(BOM!$C$2:$C$21,MATCH(B776,BOM!$A$2:$A$21,0)+MOD(ROW()-2,4))</f>
        <v>1</v>
      </c>
      <c r="F776">
        <f t="shared" si="12"/>
        <v>11700</v>
      </c>
    </row>
    <row r="777" spans="1:6">
      <c r="A777" s="1" cm="1">
        <f t="array" ref="A777">INDEX(Weekly_Inventory_Flow!$A$2:$A$261,INT((ROW()-2)/4)+1)</f>
        <v>46293</v>
      </c>
      <c r="B777" t="str" cm="1">
        <f t="array" ref="B777">INDEX(Weekly_Inventory_Flow!$B$2:$B$261,INT((ROW()-2)/4)+1)</f>
        <v>P004</v>
      </c>
      <c r="C777" t="str" cm="1">
        <f t="array" ref="C777">INDEX(BOM!$B$2:$B$21,MATCH(B777,BOM!$A$2:$A$21,0)+MOD(ROW()-2,4))</f>
        <v>M008</v>
      </c>
      <c r="D777" cm="1">
        <f t="array" ref="D777">INDEX(Weekly_Inventory_Flow!$I$2:$I$261,INT((ROW()-2)/4)+1)</f>
        <v>11700</v>
      </c>
      <c r="E777" cm="1">
        <f t="array" ref="E777">INDEX(BOM!$C$2:$C$21,MATCH(B777,BOM!$A$2:$A$21,0)+MOD(ROW()-2,4))</f>
        <v>1</v>
      </c>
      <c r="F777">
        <f t="shared" si="12"/>
        <v>11700</v>
      </c>
    </row>
    <row r="778" spans="1:6">
      <c r="A778" s="1" cm="1">
        <f t="array" ref="A778">INDEX(Weekly_Inventory_Flow!$A$2:$A$261,INT((ROW()-2)/4)+1)</f>
        <v>46293</v>
      </c>
      <c r="B778" t="str" cm="1">
        <f t="array" ref="B778">INDEX(Weekly_Inventory_Flow!$B$2:$B$261,INT((ROW()-2)/4)+1)</f>
        <v>P005</v>
      </c>
      <c r="C778" t="str" cm="1">
        <f t="array" ref="C778">INDEX(BOM!$B$2:$B$21,MATCH(B778,BOM!$A$2:$A$21,0)+MOD(ROW()-2,4))</f>
        <v>M005</v>
      </c>
      <c r="D778" cm="1">
        <f t="array" ref="D778">INDEX(Weekly_Inventory_Flow!$I$2:$I$261,INT((ROW()-2)/4)+1)</f>
        <v>9000</v>
      </c>
      <c r="E778" cm="1">
        <f t="array" ref="E778">INDEX(BOM!$C$2:$C$21,MATCH(B778,BOM!$A$2:$A$21,0)+MOD(ROW()-2,4))</f>
        <v>0.52</v>
      </c>
      <c r="F778">
        <f t="shared" si="12"/>
        <v>4680</v>
      </c>
    </row>
    <row r="779" spans="1:6">
      <c r="A779" s="1" cm="1">
        <f t="array" ref="A779">INDEX(Weekly_Inventory_Flow!$A$2:$A$261,INT((ROW()-2)/4)+1)</f>
        <v>46293</v>
      </c>
      <c r="B779" t="str" cm="1">
        <f t="array" ref="B779">INDEX(Weekly_Inventory_Flow!$B$2:$B$261,INT((ROW()-2)/4)+1)</f>
        <v>P005</v>
      </c>
      <c r="C779" t="str" cm="1">
        <f t="array" ref="C779">INDEX(BOM!$B$2:$B$21,MATCH(B779,BOM!$A$2:$A$21,0)+MOD(ROW()-2,4))</f>
        <v>M006</v>
      </c>
      <c r="D779" cm="1">
        <f t="array" ref="D779">INDEX(Weekly_Inventory_Flow!$I$2:$I$261,INT((ROW()-2)/4)+1)</f>
        <v>9000</v>
      </c>
      <c r="E779" cm="1">
        <f t="array" ref="E779">INDEX(BOM!$C$2:$C$21,MATCH(B779,BOM!$A$2:$A$21,0)+MOD(ROW()-2,4))</f>
        <v>1.2E-2</v>
      </c>
      <c r="F779">
        <f t="shared" si="12"/>
        <v>108</v>
      </c>
    </row>
    <row r="780" spans="1:6">
      <c r="A780" s="1" cm="1">
        <f t="array" ref="A780">INDEX(Weekly_Inventory_Flow!$A$2:$A$261,INT((ROW()-2)/4)+1)</f>
        <v>46293</v>
      </c>
      <c r="B780" t="str" cm="1">
        <f t="array" ref="B780">INDEX(Weekly_Inventory_Flow!$B$2:$B$261,INT((ROW()-2)/4)+1)</f>
        <v>P005</v>
      </c>
      <c r="C780" t="str" cm="1">
        <f t="array" ref="C780">INDEX(BOM!$B$2:$B$21,MATCH(B780,BOM!$A$2:$A$21,0)+MOD(ROW()-2,4))</f>
        <v>M007</v>
      </c>
      <c r="D780" cm="1">
        <f t="array" ref="D780">INDEX(Weekly_Inventory_Flow!$I$2:$I$261,INT((ROW()-2)/4)+1)</f>
        <v>9000</v>
      </c>
      <c r="E780" cm="1">
        <f t="array" ref="E780">INDEX(BOM!$C$2:$C$21,MATCH(B780,BOM!$A$2:$A$21,0)+MOD(ROW()-2,4))</f>
        <v>1</v>
      </c>
      <c r="F780">
        <f t="shared" si="12"/>
        <v>9000</v>
      </c>
    </row>
    <row r="781" spans="1:6">
      <c r="A781" s="1" cm="1">
        <f t="array" ref="A781">INDEX(Weekly_Inventory_Flow!$A$2:$A$261,INT((ROW()-2)/4)+1)</f>
        <v>46293</v>
      </c>
      <c r="B781" t="str" cm="1">
        <f t="array" ref="B781">INDEX(Weekly_Inventory_Flow!$B$2:$B$261,INT((ROW()-2)/4)+1)</f>
        <v>P005</v>
      </c>
      <c r="C781" t="str" cm="1">
        <f t="array" ref="C781">INDEX(BOM!$B$2:$B$21,MATCH(B781,BOM!$A$2:$A$21,0)+MOD(ROW()-2,4))</f>
        <v>M008</v>
      </c>
      <c r="D781" cm="1">
        <f t="array" ref="D781">INDEX(Weekly_Inventory_Flow!$I$2:$I$261,INT((ROW()-2)/4)+1)</f>
        <v>9000</v>
      </c>
      <c r="E781" cm="1">
        <f t="array" ref="E781">INDEX(BOM!$C$2:$C$21,MATCH(B781,BOM!$A$2:$A$21,0)+MOD(ROW()-2,4))</f>
        <v>1</v>
      </c>
      <c r="F781">
        <f t="shared" si="12"/>
        <v>9000</v>
      </c>
    </row>
    <row r="782" spans="1:6">
      <c r="A782" s="1" cm="1">
        <f t="array" ref="A782">INDEX(Weekly_Inventory_Flow!$A$2:$A$261,INT((ROW()-2)/4)+1)</f>
        <v>46300</v>
      </c>
      <c r="B782" t="str" cm="1">
        <f t="array" ref="B782">INDEX(Weekly_Inventory_Flow!$B$2:$B$261,INT((ROW()-2)/4)+1)</f>
        <v>P001</v>
      </c>
      <c r="C782" t="str" cm="1">
        <f t="array" ref="C782">INDEX(BOM!$B$2:$B$21,MATCH(B782,BOM!$A$2:$A$21,0)+MOD(ROW()-2,4))</f>
        <v>M001</v>
      </c>
      <c r="D782" cm="1">
        <f t="array" ref="D782">INDEX(Weekly_Inventory_Flow!$I$2:$I$261,INT((ROW()-2)/4)+1)</f>
        <v>15000</v>
      </c>
      <c r="E782" cm="1">
        <f t="array" ref="E782">INDEX(BOM!$C$2:$C$21,MATCH(B782,BOM!$A$2:$A$21,0)+MOD(ROW()-2,4))</f>
        <v>0.35</v>
      </c>
      <c r="F782">
        <f t="shared" si="12"/>
        <v>5250</v>
      </c>
    </row>
    <row r="783" spans="1:6">
      <c r="A783" s="1" cm="1">
        <f t="array" ref="A783">INDEX(Weekly_Inventory_Flow!$A$2:$A$261,INT((ROW()-2)/4)+1)</f>
        <v>46300</v>
      </c>
      <c r="B783" t="str" cm="1">
        <f t="array" ref="B783">INDEX(Weekly_Inventory_Flow!$B$2:$B$261,INT((ROW()-2)/4)+1)</f>
        <v>P001</v>
      </c>
      <c r="C783" t="str" cm="1">
        <f t="array" ref="C783">INDEX(BOM!$B$2:$B$21,MATCH(B783,BOM!$A$2:$A$21,0)+MOD(ROW()-2,4))</f>
        <v>M006</v>
      </c>
      <c r="D783" cm="1">
        <f t="array" ref="D783">INDEX(Weekly_Inventory_Flow!$I$2:$I$261,INT((ROW()-2)/4)+1)</f>
        <v>15000</v>
      </c>
      <c r="E783" cm="1">
        <f t="array" ref="E783">INDEX(BOM!$C$2:$C$21,MATCH(B783,BOM!$A$2:$A$21,0)+MOD(ROW()-2,4))</f>
        <v>0.01</v>
      </c>
      <c r="F783">
        <f t="shared" si="12"/>
        <v>150</v>
      </c>
    </row>
    <row r="784" spans="1:6">
      <c r="A784" s="1" cm="1">
        <f t="array" ref="A784">INDEX(Weekly_Inventory_Flow!$A$2:$A$261,INT((ROW()-2)/4)+1)</f>
        <v>46300</v>
      </c>
      <c r="B784" t="str" cm="1">
        <f t="array" ref="B784">INDEX(Weekly_Inventory_Flow!$B$2:$B$261,INT((ROW()-2)/4)+1)</f>
        <v>P001</v>
      </c>
      <c r="C784" t="str" cm="1">
        <f t="array" ref="C784">INDEX(BOM!$B$2:$B$21,MATCH(B784,BOM!$A$2:$A$21,0)+MOD(ROW()-2,4))</f>
        <v>M007</v>
      </c>
      <c r="D784" cm="1">
        <f t="array" ref="D784">INDEX(Weekly_Inventory_Flow!$I$2:$I$261,INT((ROW()-2)/4)+1)</f>
        <v>15000</v>
      </c>
      <c r="E784" cm="1">
        <f t="array" ref="E784">INDEX(BOM!$C$2:$C$21,MATCH(B784,BOM!$A$2:$A$21,0)+MOD(ROW()-2,4))</f>
        <v>1</v>
      </c>
      <c r="F784">
        <f t="shared" si="12"/>
        <v>15000</v>
      </c>
    </row>
    <row r="785" spans="1:6">
      <c r="A785" s="1" cm="1">
        <f t="array" ref="A785">INDEX(Weekly_Inventory_Flow!$A$2:$A$261,INT((ROW()-2)/4)+1)</f>
        <v>46300</v>
      </c>
      <c r="B785" t="str" cm="1">
        <f t="array" ref="B785">INDEX(Weekly_Inventory_Flow!$B$2:$B$261,INT((ROW()-2)/4)+1)</f>
        <v>P001</v>
      </c>
      <c r="C785" t="str" cm="1">
        <f t="array" ref="C785">INDEX(BOM!$B$2:$B$21,MATCH(B785,BOM!$A$2:$A$21,0)+MOD(ROW()-2,4))</f>
        <v>M008</v>
      </c>
      <c r="D785" cm="1">
        <f t="array" ref="D785">INDEX(Weekly_Inventory_Flow!$I$2:$I$261,INT((ROW()-2)/4)+1)</f>
        <v>15000</v>
      </c>
      <c r="E785" cm="1">
        <f t="array" ref="E785">INDEX(BOM!$C$2:$C$21,MATCH(B785,BOM!$A$2:$A$21,0)+MOD(ROW()-2,4))</f>
        <v>1</v>
      </c>
      <c r="F785">
        <f t="shared" si="12"/>
        <v>15000</v>
      </c>
    </row>
    <row r="786" spans="1:6">
      <c r="A786" s="1" cm="1">
        <f t="array" ref="A786">INDEX(Weekly_Inventory_Flow!$A$2:$A$261,INT((ROW()-2)/4)+1)</f>
        <v>46300</v>
      </c>
      <c r="B786" t="str" cm="1">
        <f t="array" ref="B786">INDEX(Weekly_Inventory_Flow!$B$2:$B$261,INT((ROW()-2)/4)+1)</f>
        <v>P002</v>
      </c>
      <c r="C786" t="str" cm="1">
        <f t="array" ref="C786">INDEX(BOM!$B$2:$B$21,MATCH(B786,BOM!$A$2:$A$21,0)+MOD(ROW()-2,4))</f>
        <v>M002</v>
      </c>
      <c r="D786" cm="1">
        <f t="array" ref="D786">INDEX(Weekly_Inventory_Flow!$I$2:$I$261,INT((ROW()-2)/4)+1)</f>
        <v>12300</v>
      </c>
      <c r="E786" cm="1">
        <f t="array" ref="E786">INDEX(BOM!$C$2:$C$21,MATCH(B786,BOM!$A$2:$A$21,0)+MOD(ROW()-2,4))</f>
        <v>0.3</v>
      </c>
      <c r="F786">
        <f t="shared" si="12"/>
        <v>3690</v>
      </c>
    </row>
    <row r="787" spans="1:6">
      <c r="A787" s="1" cm="1">
        <f t="array" ref="A787">INDEX(Weekly_Inventory_Flow!$A$2:$A$261,INT((ROW()-2)/4)+1)</f>
        <v>46300</v>
      </c>
      <c r="B787" t="str" cm="1">
        <f t="array" ref="B787">INDEX(Weekly_Inventory_Flow!$B$2:$B$261,INT((ROW()-2)/4)+1)</f>
        <v>P002</v>
      </c>
      <c r="C787" t="str" cm="1">
        <f t="array" ref="C787">INDEX(BOM!$B$2:$B$21,MATCH(B787,BOM!$A$2:$A$21,0)+MOD(ROW()-2,4))</f>
        <v>M006</v>
      </c>
      <c r="D787" cm="1">
        <f t="array" ref="D787">INDEX(Weekly_Inventory_Flow!$I$2:$I$261,INT((ROW()-2)/4)+1)</f>
        <v>12300</v>
      </c>
      <c r="E787" cm="1">
        <f t="array" ref="E787">INDEX(BOM!$C$2:$C$21,MATCH(B787,BOM!$A$2:$A$21,0)+MOD(ROW()-2,4))</f>
        <v>8.0000000000000002E-3</v>
      </c>
      <c r="F787">
        <f t="shared" si="12"/>
        <v>98.4</v>
      </c>
    </row>
    <row r="788" spans="1:6">
      <c r="A788" s="1" cm="1">
        <f t="array" ref="A788">INDEX(Weekly_Inventory_Flow!$A$2:$A$261,INT((ROW()-2)/4)+1)</f>
        <v>46300</v>
      </c>
      <c r="B788" t="str" cm="1">
        <f t="array" ref="B788">INDEX(Weekly_Inventory_Flow!$B$2:$B$261,INT((ROW()-2)/4)+1)</f>
        <v>P002</v>
      </c>
      <c r="C788" t="str" cm="1">
        <f t="array" ref="C788">INDEX(BOM!$B$2:$B$21,MATCH(B788,BOM!$A$2:$A$21,0)+MOD(ROW()-2,4))</f>
        <v>M007</v>
      </c>
      <c r="D788" cm="1">
        <f t="array" ref="D788">INDEX(Weekly_Inventory_Flow!$I$2:$I$261,INT((ROW()-2)/4)+1)</f>
        <v>12300</v>
      </c>
      <c r="E788" cm="1">
        <f t="array" ref="E788">INDEX(BOM!$C$2:$C$21,MATCH(B788,BOM!$A$2:$A$21,0)+MOD(ROW()-2,4))</f>
        <v>1</v>
      </c>
      <c r="F788">
        <f t="shared" si="12"/>
        <v>12300</v>
      </c>
    </row>
    <row r="789" spans="1:6">
      <c r="A789" s="1" cm="1">
        <f t="array" ref="A789">INDEX(Weekly_Inventory_Flow!$A$2:$A$261,INT((ROW()-2)/4)+1)</f>
        <v>46300</v>
      </c>
      <c r="B789" t="str" cm="1">
        <f t="array" ref="B789">INDEX(Weekly_Inventory_Flow!$B$2:$B$261,INT((ROW()-2)/4)+1)</f>
        <v>P002</v>
      </c>
      <c r="C789" t="str" cm="1">
        <f t="array" ref="C789">INDEX(BOM!$B$2:$B$21,MATCH(B789,BOM!$A$2:$A$21,0)+MOD(ROW()-2,4))</f>
        <v>M008</v>
      </c>
      <c r="D789" cm="1">
        <f t="array" ref="D789">INDEX(Weekly_Inventory_Flow!$I$2:$I$261,INT((ROW()-2)/4)+1)</f>
        <v>12300</v>
      </c>
      <c r="E789" cm="1">
        <f t="array" ref="E789">INDEX(BOM!$C$2:$C$21,MATCH(B789,BOM!$A$2:$A$21,0)+MOD(ROW()-2,4))</f>
        <v>1</v>
      </c>
      <c r="F789">
        <f t="shared" si="12"/>
        <v>12300</v>
      </c>
    </row>
    <row r="790" spans="1:6">
      <c r="A790" s="1" cm="1">
        <f t="array" ref="A790">INDEX(Weekly_Inventory_Flow!$A$2:$A$261,INT((ROW()-2)/4)+1)</f>
        <v>46300</v>
      </c>
      <c r="B790" t="str" cm="1">
        <f t="array" ref="B790">INDEX(Weekly_Inventory_Flow!$B$2:$B$261,INT((ROW()-2)/4)+1)</f>
        <v>P003</v>
      </c>
      <c r="C790" t="str" cm="1">
        <f t="array" ref="C790">INDEX(BOM!$B$2:$B$21,MATCH(B790,BOM!$A$2:$A$21,0)+MOD(ROW()-2,4))</f>
        <v>M003</v>
      </c>
      <c r="D790" cm="1">
        <f t="array" ref="D790">INDEX(Weekly_Inventory_Flow!$I$2:$I$261,INT((ROW()-2)/4)+1)</f>
        <v>10900</v>
      </c>
      <c r="E790" cm="1">
        <f t="array" ref="E790">INDEX(BOM!$C$2:$C$21,MATCH(B790,BOM!$A$2:$A$21,0)+MOD(ROW()-2,4))</f>
        <v>0.25</v>
      </c>
      <c r="F790">
        <f t="shared" si="12"/>
        <v>2725</v>
      </c>
    </row>
    <row r="791" spans="1:6">
      <c r="A791" s="1" cm="1">
        <f t="array" ref="A791">INDEX(Weekly_Inventory_Flow!$A$2:$A$261,INT((ROW()-2)/4)+1)</f>
        <v>46300</v>
      </c>
      <c r="B791" t="str" cm="1">
        <f t="array" ref="B791">INDEX(Weekly_Inventory_Flow!$B$2:$B$261,INT((ROW()-2)/4)+1)</f>
        <v>P003</v>
      </c>
      <c r="C791" t="str" cm="1">
        <f t="array" ref="C791">INDEX(BOM!$B$2:$B$21,MATCH(B791,BOM!$A$2:$A$21,0)+MOD(ROW()-2,4))</f>
        <v>M006</v>
      </c>
      <c r="D791" cm="1">
        <f t="array" ref="D791">INDEX(Weekly_Inventory_Flow!$I$2:$I$261,INT((ROW()-2)/4)+1)</f>
        <v>10900</v>
      </c>
      <c r="E791" cm="1">
        <f t="array" ref="E791">INDEX(BOM!$C$2:$C$21,MATCH(B791,BOM!$A$2:$A$21,0)+MOD(ROW()-2,4))</f>
        <v>6.0000000000000001E-3</v>
      </c>
      <c r="F791">
        <f t="shared" si="12"/>
        <v>65.400000000000006</v>
      </c>
    </row>
    <row r="792" spans="1:6">
      <c r="A792" s="1" cm="1">
        <f t="array" ref="A792">INDEX(Weekly_Inventory_Flow!$A$2:$A$261,INT((ROW()-2)/4)+1)</f>
        <v>46300</v>
      </c>
      <c r="B792" t="str" cm="1">
        <f t="array" ref="B792">INDEX(Weekly_Inventory_Flow!$B$2:$B$261,INT((ROW()-2)/4)+1)</f>
        <v>P003</v>
      </c>
      <c r="C792" t="str" cm="1">
        <f t="array" ref="C792">INDEX(BOM!$B$2:$B$21,MATCH(B792,BOM!$A$2:$A$21,0)+MOD(ROW()-2,4))</f>
        <v>M007</v>
      </c>
      <c r="D792" cm="1">
        <f t="array" ref="D792">INDEX(Weekly_Inventory_Flow!$I$2:$I$261,INT((ROW()-2)/4)+1)</f>
        <v>10900</v>
      </c>
      <c r="E792" cm="1">
        <f t="array" ref="E792">INDEX(BOM!$C$2:$C$21,MATCH(B792,BOM!$A$2:$A$21,0)+MOD(ROW()-2,4))</f>
        <v>1</v>
      </c>
      <c r="F792">
        <f t="shared" si="12"/>
        <v>10900</v>
      </c>
    </row>
    <row r="793" spans="1:6">
      <c r="A793" s="1" cm="1">
        <f t="array" ref="A793">INDEX(Weekly_Inventory_Flow!$A$2:$A$261,INT((ROW()-2)/4)+1)</f>
        <v>46300</v>
      </c>
      <c r="B793" t="str" cm="1">
        <f t="array" ref="B793">INDEX(Weekly_Inventory_Flow!$B$2:$B$261,INT((ROW()-2)/4)+1)</f>
        <v>P003</v>
      </c>
      <c r="C793" t="str" cm="1">
        <f t="array" ref="C793">INDEX(BOM!$B$2:$B$21,MATCH(B793,BOM!$A$2:$A$21,0)+MOD(ROW()-2,4))</f>
        <v>M008</v>
      </c>
      <c r="D793" cm="1">
        <f t="array" ref="D793">INDEX(Weekly_Inventory_Flow!$I$2:$I$261,INT((ROW()-2)/4)+1)</f>
        <v>10900</v>
      </c>
      <c r="E793" cm="1">
        <f t="array" ref="E793">INDEX(BOM!$C$2:$C$21,MATCH(B793,BOM!$A$2:$A$21,0)+MOD(ROW()-2,4))</f>
        <v>1</v>
      </c>
      <c r="F793">
        <f t="shared" si="12"/>
        <v>10900</v>
      </c>
    </row>
    <row r="794" spans="1:6">
      <c r="A794" s="1" cm="1">
        <f t="array" ref="A794">INDEX(Weekly_Inventory_Flow!$A$2:$A$261,INT((ROW()-2)/4)+1)</f>
        <v>46300</v>
      </c>
      <c r="B794" t="str" cm="1">
        <f t="array" ref="B794">INDEX(Weekly_Inventory_Flow!$B$2:$B$261,INT((ROW()-2)/4)+1)</f>
        <v>P004</v>
      </c>
      <c r="C794" t="str" cm="1">
        <f t="array" ref="C794">INDEX(BOM!$B$2:$B$21,MATCH(B794,BOM!$A$2:$A$21,0)+MOD(ROW()-2,4))</f>
        <v>M004</v>
      </c>
      <c r="D794" cm="1">
        <f t="array" ref="D794">INDEX(Weekly_Inventory_Flow!$I$2:$I$261,INT((ROW()-2)/4)+1)</f>
        <v>12100</v>
      </c>
      <c r="E794" cm="1">
        <f t="array" ref="E794">INDEX(BOM!$C$2:$C$21,MATCH(B794,BOM!$A$2:$A$21,0)+MOD(ROW()-2,4))</f>
        <v>0.34</v>
      </c>
      <c r="F794">
        <f t="shared" si="12"/>
        <v>4114</v>
      </c>
    </row>
    <row r="795" spans="1:6">
      <c r="A795" s="1" cm="1">
        <f t="array" ref="A795">INDEX(Weekly_Inventory_Flow!$A$2:$A$261,INT((ROW()-2)/4)+1)</f>
        <v>46300</v>
      </c>
      <c r="B795" t="str" cm="1">
        <f t="array" ref="B795">INDEX(Weekly_Inventory_Flow!$B$2:$B$261,INT((ROW()-2)/4)+1)</f>
        <v>P004</v>
      </c>
      <c r="C795" t="str" cm="1">
        <f t="array" ref="C795">INDEX(BOM!$B$2:$B$21,MATCH(B795,BOM!$A$2:$A$21,0)+MOD(ROW()-2,4))</f>
        <v>M006</v>
      </c>
      <c r="D795" cm="1">
        <f t="array" ref="D795">INDEX(Weekly_Inventory_Flow!$I$2:$I$261,INT((ROW()-2)/4)+1)</f>
        <v>12100</v>
      </c>
      <c r="E795" cm="1">
        <f t="array" ref="E795">INDEX(BOM!$C$2:$C$21,MATCH(B795,BOM!$A$2:$A$21,0)+MOD(ROW()-2,4))</f>
        <v>8.9999999999999993E-3</v>
      </c>
      <c r="F795">
        <f t="shared" si="12"/>
        <v>108.89999999999999</v>
      </c>
    </row>
    <row r="796" spans="1:6">
      <c r="A796" s="1" cm="1">
        <f t="array" ref="A796">INDEX(Weekly_Inventory_Flow!$A$2:$A$261,INT((ROW()-2)/4)+1)</f>
        <v>46300</v>
      </c>
      <c r="B796" t="str" cm="1">
        <f t="array" ref="B796">INDEX(Weekly_Inventory_Flow!$B$2:$B$261,INT((ROW()-2)/4)+1)</f>
        <v>P004</v>
      </c>
      <c r="C796" t="str" cm="1">
        <f t="array" ref="C796">INDEX(BOM!$B$2:$B$21,MATCH(B796,BOM!$A$2:$A$21,0)+MOD(ROW()-2,4))</f>
        <v>M007</v>
      </c>
      <c r="D796" cm="1">
        <f t="array" ref="D796">INDEX(Weekly_Inventory_Flow!$I$2:$I$261,INT((ROW()-2)/4)+1)</f>
        <v>12100</v>
      </c>
      <c r="E796" cm="1">
        <f t="array" ref="E796">INDEX(BOM!$C$2:$C$21,MATCH(B796,BOM!$A$2:$A$21,0)+MOD(ROW()-2,4))</f>
        <v>1</v>
      </c>
      <c r="F796">
        <f t="shared" si="12"/>
        <v>12100</v>
      </c>
    </row>
    <row r="797" spans="1:6">
      <c r="A797" s="1" cm="1">
        <f t="array" ref="A797">INDEX(Weekly_Inventory_Flow!$A$2:$A$261,INT((ROW()-2)/4)+1)</f>
        <v>46300</v>
      </c>
      <c r="B797" t="str" cm="1">
        <f t="array" ref="B797">INDEX(Weekly_Inventory_Flow!$B$2:$B$261,INT((ROW()-2)/4)+1)</f>
        <v>P004</v>
      </c>
      <c r="C797" t="str" cm="1">
        <f t="array" ref="C797">INDEX(BOM!$B$2:$B$21,MATCH(B797,BOM!$A$2:$A$21,0)+MOD(ROW()-2,4))</f>
        <v>M008</v>
      </c>
      <c r="D797" cm="1">
        <f t="array" ref="D797">INDEX(Weekly_Inventory_Flow!$I$2:$I$261,INT((ROW()-2)/4)+1)</f>
        <v>12100</v>
      </c>
      <c r="E797" cm="1">
        <f t="array" ref="E797">INDEX(BOM!$C$2:$C$21,MATCH(B797,BOM!$A$2:$A$21,0)+MOD(ROW()-2,4))</f>
        <v>1</v>
      </c>
      <c r="F797">
        <f t="shared" si="12"/>
        <v>12100</v>
      </c>
    </row>
    <row r="798" spans="1:6">
      <c r="A798" s="1" cm="1">
        <f t="array" ref="A798">INDEX(Weekly_Inventory_Flow!$A$2:$A$261,INT((ROW()-2)/4)+1)</f>
        <v>46300</v>
      </c>
      <c r="B798" t="str" cm="1">
        <f t="array" ref="B798">INDEX(Weekly_Inventory_Flow!$B$2:$B$261,INT((ROW()-2)/4)+1)</f>
        <v>P005</v>
      </c>
      <c r="C798" t="str" cm="1">
        <f t="array" ref="C798">INDEX(BOM!$B$2:$B$21,MATCH(B798,BOM!$A$2:$A$21,0)+MOD(ROW()-2,4))</f>
        <v>M005</v>
      </c>
      <c r="D798" cm="1">
        <f t="array" ref="D798">INDEX(Weekly_Inventory_Flow!$I$2:$I$261,INT((ROW()-2)/4)+1)</f>
        <v>8800</v>
      </c>
      <c r="E798" cm="1">
        <f t="array" ref="E798">INDEX(BOM!$C$2:$C$21,MATCH(B798,BOM!$A$2:$A$21,0)+MOD(ROW()-2,4))</f>
        <v>0.52</v>
      </c>
      <c r="F798">
        <f t="shared" si="12"/>
        <v>4576</v>
      </c>
    </row>
    <row r="799" spans="1:6">
      <c r="A799" s="1" cm="1">
        <f t="array" ref="A799">INDEX(Weekly_Inventory_Flow!$A$2:$A$261,INT((ROW()-2)/4)+1)</f>
        <v>46300</v>
      </c>
      <c r="B799" t="str" cm="1">
        <f t="array" ref="B799">INDEX(Weekly_Inventory_Flow!$B$2:$B$261,INT((ROW()-2)/4)+1)</f>
        <v>P005</v>
      </c>
      <c r="C799" t="str" cm="1">
        <f t="array" ref="C799">INDEX(BOM!$B$2:$B$21,MATCH(B799,BOM!$A$2:$A$21,0)+MOD(ROW()-2,4))</f>
        <v>M006</v>
      </c>
      <c r="D799" cm="1">
        <f t="array" ref="D799">INDEX(Weekly_Inventory_Flow!$I$2:$I$261,INT((ROW()-2)/4)+1)</f>
        <v>8800</v>
      </c>
      <c r="E799" cm="1">
        <f t="array" ref="E799">INDEX(BOM!$C$2:$C$21,MATCH(B799,BOM!$A$2:$A$21,0)+MOD(ROW()-2,4))</f>
        <v>1.2E-2</v>
      </c>
      <c r="F799">
        <f t="shared" si="12"/>
        <v>105.60000000000001</v>
      </c>
    </row>
    <row r="800" spans="1:6">
      <c r="A800" s="1" cm="1">
        <f t="array" ref="A800">INDEX(Weekly_Inventory_Flow!$A$2:$A$261,INT((ROW()-2)/4)+1)</f>
        <v>46300</v>
      </c>
      <c r="B800" t="str" cm="1">
        <f t="array" ref="B800">INDEX(Weekly_Inventory_Flow!$B$2:$B$261,INT((ROW()-2)/4)+1)</f>
        <v>P005</v>
      </c>
      <c r="C800" t="str" cm="1">
        <f t="array" ref="C800">INDEX(BOM!$B$2:$B$21,MATCH(B800,BOM!$A$2:$A$21,0)+MOD(ROW()-2,4))</f>
        <v>M007</v>
      </c>
      <c r="D800" cm="1">
        <f t="array" ref="D800">INDEX(Weekly_Inventory_Flow!$I$2:$I$261,INT((ROW()-2)/4)+1)</f>
        <v>8800</v>
      </c>
      <c r="E800" cm="1">
        <f t="array" ref="E800">INDEX(BOM!$C$2:$C$21,MATCH(B800,BOM!$A$2:$A$21,0)+MOD(ROW()-2,4))</f>
        <v>1</v>
      </c>
      <c r="F800">
        <f t="shared" si="12"/>
        <v>8800</v>
      </c>
    </row>
    <row r="801" spans="1:6">
      <c r="A801" s="1" cm="1">
        <f t="array" ref="A801">INDEX(Weekly_Inventory_Flow!$A$2:$A$261,INT((ROW()-2)/4)+1)</f>
        <v>46300</v>
      </c>
      <c r="B801" t="str" cm="1">
        <f t="array" ref="B801">INDEX(Weekly_Inventory_Flow!$B$2:$B$261,INT((ROW()-2)/4)+1)</f>
        <v>P005</v>
      </c>
      <c r="C801" t="str" cm="1">
        <f t="array" ref="C801">INDEX(BOM!$B$2:$B$21,MATCH(B801,BOM!$A$2:$A$21,0)+MOD(ROW()-2,4))</f>
        <v>M008</v>
      </c>
      <c r="D801" cm="1">
        <f t="array" ref="D801">INDEX(Weekly_Inventory_Flow!$I$2:$I$261,INT((ROW()-2)/4)+1)</f>
        <v>8800</v>
      </c>
      <c r="E801" cm="1">
        <f t="array" ref="E801">INDEX(BOM!$C$2:$C$21,MATCH(B801,BOM!$A$2:$A$21,0)+MOD(ROW()-2,4))</f>
        <v>1</v>
      </c>
      <c r="F801">
        <f t="shared" si="12"/>
        <v>8800</v>
      </c>
    </row>
    <row r="802" spans="1:6">
      <c r="A802" s="1" cm="1">
        <f t="array" ref="A802">INDEX(Weekly_Inventory_Flow!$A$2:$A$261,INT((ROW()-2)/4)+1)</f>
        <v>46307</v>
      </c>
      <c r="B802" t="str" cm="1">
        <f t="array" ref="B802">INDEX(Weekly_Inventory_Flow!$B$2:$B$261,INT((ROW()-2)/4)+1)</f>
        <v>P001</v>
      </c>
      <c r="C802" t="str" cm="1">
        <f t="array" ref="C802">INDEX(BOM!$B$2:$B$21,MATCH(B802,BOM!$A$2:$A$21,0)+MOD(ROW()-2,4))</f>
        <v>M001</v>
      </c>
      <c r="D802" cm="1">
        <f t="array" ref="D802">INDEX(Weekly_Inventory_Flow!$I$2:$I$261,INT((ROW()-2)/4)+1)</f>
        <v>14100</v>
      </c>
      <c r="E802" cm="1">
        <f t="array" ref="E802">INDEX(BOM!$C$2:$C$21,MATCH(B802,BOM!$A$2:$A$21,0)+MOD(ROW()-2,4))</f>
        <v>0.35</v>
      </c>
      <c r="F802">
        <f t="shared" si="12"/>
        <v>4935</v>
      </c>
    </row>
    <row r="803" spans="1:6">
      <c r="A803" s="1" cm="1">
        <f t="array" ref="A803">INDEX(Weekly_Inventory_Flow!$A$2:$A$261,INT((ROW()-2)/4)+1)</f>
        <v>46307</v>
      </c>
      <c r="B803" t="str" cm="1">
        <f t="array" ref="B803">INDEX(Weekly_Inventory_Flow!$B$2:$B$261,INT((ROW()-2)/4)+1)</f>
        <v>P001</v>
      </c>
      <c r="C803" t="str" cm="1">
        <f t="array" ref="C803">INDEX(BOM!$B$2:$B$21,MATCH(B803,BOM!$A$2:$A$21,0)+MOD(ROW()-2,4))</f>
        <v>M006</v>
      </c>
      <c r="D803" cm="1">
        <f t="array" ref="D803">INDEX(Weekly_Inventory_Flow!$I$2:$I$261,INT((ROW()-2)/4)+1)</f>
        <v>14100</v>
      </c>
      <c r="E803" cm="1">
        <f t="array" ref="E803">INDEX(BOM!$C$2:$C$21,MATCH(B803,BOM!$A$2:$A$21,0)+MOD(ROW()-2,4))</f>
        <v>0.01</v>
      </c>
      <c r="F803">
        <f t="shared" si="12"/>
        <v>141</v>
      </c>
    </row>
    <row r="804" spans="1:6">
      <c r="A804" s="1" cm="1">
        <f t="array" ref="A804">INDEX(Weekly_Inventory_Flow!$A$2:$A$261,INT((ROW()-2)/4)+1)</f>
        <v>46307</v>
      </c>
      <c r="B804" t="str" cm="1">
        <f t="array" ref="B804">INDEX(Weekly_Inventory_Flow!$B$2:$B$261,INT((ROW()-2)/4)+1)</f>
        <v>P001</v>
      </c>
      <c r="C804" t="str" cm="1">
        <f t="array" ref="C804">INDEX(BOM!$B$2:$B$21,MATCH(B804,BOM!$A$2:$A$21,0)+MOD(ROW()-2,4))</f>
        <v>M007</v>
      </c>
      <c r="D804" cm="1">
        <f t="array" ref="D804">INDEX(Weekly_Inventory_Flow!$I$2:$I$261,INT((ROW()-2)/4)+1)</f>
        <v>14100</v>
      </c>
      <c r="E804" cm="1">
        <f t="array" ref="E804">INDEX(BOM!$C$2:$C$21,MATCH(B804,BOM!$A$2:$A$21,0)+MOD(ROW()-2,4))</f>
        <v>1</v>
      </c>
      <c r="F804">
        <f t="shared" si="12"/>
        <v>14100</v>
      </c>
    </row>
    <row r="805" spans="1:6">
      <c r="A805" s="1" cm="1">
        <f t="array" ref="A805">INDEX(Weekly_Inventory_Flow!$A$2:$A$261,INT((ROW()-2)/4)+1)</f>
        <v>46307</v>
      </c>
      <c r="B805" t="str" cm="1">
        <f t="array" ref="B805">INDEX(Weekly_Inventory_Flow!$B$2:$B$261,INT((ROW()-2)/4)+1)</f>
        <v>P001</v>
      </c>
      <c r="C805" t="str" cm="1">
        <f t="array" ref="C805">INDEX(BOM!$B$2:$B$21,MATCH(B805,BOM!$A$2:$A$21,0)+MOD(ROW()-2,4))</f>
        <v>M008</v>
      </c>
      <c r="D805" cm="1">
        <f t="array" ref="D805">INDEX(Weekly_Inventory_Flow!$I$2:$I$261,INT((ROW()-2)/4)+1)</f>
        <v>14100</v>
      </c>
      <c r="E805" cm="1">
        <f t="array" ref="E805">INDEX(BOM!$C$2:$C$21,MATCH(B805,BOM!$A$2:$A$21,0)+MOD(ROW()-2,4))</f>
        <v>1</v>
      </c>
      <c r="F805">
        <f t="shared" si="12"/>
        <v>14100</v>
      </c>
    </row>
    <row r="806" spans="1:6">
      <c r="A806" s="1" cm="1">
        <f t="array" ref="A806">INDEX(Weekly_Inventory_Flow!$A$2:$A$261,INT((ROW()-2)/4)+1)</f>
        <v>46307</v>
      </c>
      <c r="B806" t="str" cm="1">
        <f t="array" ref="B806">INDEX(Weekly_Inventory_Flow!$B$2:$B$261,INT((ROW()-2)/4)+1)</f>
        <v>P002</v>
      </c>
      <c r="C806" t="str" cm="1">
        <f t="array" ref="C806">INDEX(BOM!$B$2:$B$21,MATCH(B806,BOM!$A$2:$A$21,0)+MOD(ROW()-2,4))</f>
        <v>M002</v>
      </c>
      <c r="D806" cm="1">
        <f t="array" ref="D806">INDEX(Weekly_Inventory_Flow!$I$2:$I$261,INT((ROW()-2)/4)+1)</f>
        <v>12100</v>
      </c>
      <c r="E806" cm="1">
        <f t="array" ref="E806">INDEX(BOM!$C$2:$C$21,MATCH(B806,BOM!$A$2:$A$21,0)+MOD(ROW()-2,4))</f>
        <v>0.3</v>
      </c>
      <c r="F806">
        <f t="shared" si="12"/>
        <v>3630</v>
      </c>
    </row>
    <row r="807" spans="1:6">
      <c r="A807" s="1" cm="1">
        <f t="array" ref="A807">INDEX(Weekly_Inventory_Flow!$A$2:$A$261,INT((ROW()-2)/4)+1)</f>
        <v>46307</v>
      </c>
      <c r="B807" t="str" cm="1">
        <f t="array" ref="B807">INDEX(Weekly_Inventory_Flow!$B$2:$B$261,INT((ROW()-2)/4)+1)</f>
        <v>P002</v>
      </c>
      <c r="C807" t="str" cm="1">
        <f t="array" ref="C807">INDEX(BOM!$B$2:$B$21,MATCH(B807,BOM!$A$2:$A$21,0)+MOD(ROW()-2,4))</f>
        <v>M006</v>
      </c>
      <c r="D807" cm="1">
        <f t="array" ref="D807">INDEX(Weekly_Inventory_Flow!$I$2:$I$261,INT((ROW()-2)/4)+1)</f>
        <v>12100</v>
      </c>
      <c r="E807" cm="1">
        <f t="array" ref="E807">INDEX(BOM!$C$2:$C$21,MATCH(B807,BOM!$A$2:$A$21,0)+MOD(ROW()-2,4))</f>
        <v>8.0000000000000002E-3</v>
      </c>
      <c r="F807">
        <f t="shared" si="12"/>
        <v>96.8</v>
      </c>
    </row>
    <row r="808" spans="1:6">
      <c r="A808" s="1" cm="1">
        <f t="array" ref="A808">INDEX(Weekly_Inventory_Flow!$A$2:$A$261,INT((ROW()-2)/4)+1)</f>
        <v>46307</v>
      </c>
      <c r="B808" t="str" cm="1">
        <f t="array" ref="B808">INDEX(Weekly_Inventory_Flow!$B$2:$B$261,INT((ROW()-2)/4)+1)</f>
        <v>P002</v>
      </c>
      <c r="C808" t="str" cm="1">
        <f t="array" ref="C808">INDEX(BOM!$B$2:$B$21,MATCH(B808,BOM!$A$2:$A$21,0)+MOD(ROW()-2,4))</f>
        <v>M007</v>
      </c>
      <c r="D808" cm="1">
        <f t="array" ref="D808">INDEX(Weekly_Inventory_Flow!$I$2:$I$261,INT((ROW()-2)/4)+1)</f>
        <v>12100</v>
      </c>
      <c r="E808" cm="1">
        <f t="array" ref="E808">INDEX(BOM!$C$2:$C$21,MATCH(B808,BOM!$A$2:$A$21,0)+MOD(ROW()-2,4))</f>
        <v>1</v>
      </c>
      <c r="F808">
        <f t="shared" si="12"/>
        <v>12100</v>
      </c>
    </row>
    <row r="809" spans="1:6">
      <c r="A809" s="1" cm="1">
        <f t="array" ref="A809">INDEX(Weekly_Inventory_Flow!$A$2:$A$261,INT((ROW()-2)/4)+1)</f>
        <v>46307</v>
      </c>
      <c r="B809" t="str" cm="1">
        <f t="array" ref="B809">INDEX(Weekly_Inventory_Flow!$B$2:$B$261,INT((ROW()-2)/4)+1)</f>
        <v>P002</v>
      </c>
      <c r="C809" t="str" cm="1">
        <f t="array" ref="C809">INDEX(BOM!$B$2:$B$21,MATCH(B809,BOM!$A$2:$A$21,0)+MOD(ROW()-2,4))</f>
        <v>M008</v>
      </c>
      <c r="D809" cm="1">
        <f t="array" ref="D809">INDEX(Weekly_Inventory_Flow!$I$2:$I$261,INT((ROW()-2)/4)+1)</f>
        <v>12100</v>
      </c>
      <c r="E809" cm="1">
        <f t="array" ref="E809">INDEX(BOM!$C$2:$C$21,MATCH(B809,BOM!$A$2:$A$21,0)+MOD(ROW()-2,4))</f>
        <v>1</v>
      </c>
      <c r="F809">
        <f t="shared" si="12"/>
        <v>12100</v>
      </c>
    </row>
    <row r="810" spans="1:6">
      <c r="A810" s="1" cm="1">
        <f t="array" ref="A810">INDEX(Weekly_Inventory_Flow!$A$2:$A$261,INT((ROW()-2)/4)+1)</f>
        <v>46307</v>
      </c>
      <c r="B810" t="str" cm="1">
        <f t="array" ref="B810">INDEX(Weekly_Inventory_Flow!$B$2:$B$261,INT((ROW()-2)/4)+1)</f>
        <v>P003</v>
      </c>
      <c r="C810" t="str" cm="1">
        <f t="array" ref="C810">INDEX(BOM!$B$2:$B$21,MATCH(B810,BOM!$A$2:$A$21,0)+MOD(ROW()-2,4))</f>
        <v>M003</v>
      </c>
      <c r="D810" cm="1">
        <f t="array" ref="D810">INDEX(Weekly_Inventory_Flow!$I$2:$I$261,INT((ROW()-2)/4)+1)</f>
        <v>10400</v>
      </c>
      <c r="E810" cm="1">
        <f t="array" ref="E810">INDEX(BOM!$C$2:$C$21,MATCH(B810,BOM!$A$2:$A$21,0)+MOD(ROW()-2,4))</f>
        <v>0.25</v>
      </c>
      <c r="F810">
        <f t="shared" si="12"/>
        <v>2600</v>
      </c>
    </row>
    <row r="811" spans="1:6">
      <c r="A811" s="1" cm="1">
        <f t="array" ref="A811">INDEX(Weekly_Inventory_Flow!$A$2:$A$261,INT((ROW()-2)/4)+1)</f>
        <v>46307</v>
      </c>
      <c r="B811" t="str" cm="1">
        <f t="array" ref="B811">INDEX(Weekly_Inventory_Flow!$B$2:$B$261,INT((ROW()-2)/4)+1)</f>
        <v>P003</v>
      </c>
      <c r="C811" t="str" cm="1">
        <f t="array" ref="C811">INDEX(BOM!$B$2:$B$21,MATCH(B811,BOM!$A$2:$A$21,0)+MOD(ROW()-2,4))</f>
        <v>M006</v>
      </c>
      <c r="D811" cm="1">
        <f t="array" ref="D811">INDEX(Weekly_Inventory_Flow!$I$2:$I$261,INT((ROW()-2)/4)+1)</f>
        <v>10400</v>
      </c>
      <c r="E811" cm="1">
        <f t="array" ref="E811">INDEX(BOM!$C$2:$C$21,MATCH(B811,BOM!$A$2:$A$21,0)+MOD(ROW()-2,4))</f>
        <v>6.0000000000000001E-3</v>
      </c>
      <c r="F811">
        <f t="shared" si="12"/>
        <v>62.4</v>
      </c>
    </row>
    <row r="812" spans="1:6">
      <c r="A812" s="1" cm="1">
        <f t="array" ref="A812">INDEX(Weekly_Inventory_Flow!$A$2:$A$261,INT((ROW()-2)/4)+1)</f>
        <v>46307</v>
      </c>
      <c r="B812" t="str" cm="1">
        <f t="array" ref="B812">INDEX(Weekly_Inventory_Flow!$B$2:$B$261,INT((ROW()-2)/4)+1)</f>
        <v>P003</v>
      </c>
      <c r="C812" t="str" cm="1">
        <f t="array" ref="C812">INDEX(BOM!$B$2:$B$21,MATCH(B812,BOM!$A$2:$A$21,0)+MOD(ROW()-2,4))</f>
        <v>M007</v>
      </c>
      <c r="D812" cm="1">
        <f t="array" ref="D812">INDEX(Weekly_Inventory_Flow!$I$2:$I$261,INT((ROW()-2)/4)+1)</f>
        <v>10400</v>
      </c>
      <c r="E812" cm="1">
        <f t="array" ref="E812">INDEX(BOM!$C$2:$C$21,MATCH(B812,BOM!$A$2:$A$21,0)+MOD(ROW()-2,4))</f>
        <v>1</v>
      </c>
      <c r="F812">
        <f t="shared" si="12"/>
        <v>10400</v>
      </c>
    </row>
    <row r="813" spans="1:6">
      <c r="A813" s="1" cm="1">
        <f t="array" ref="A813">INDEX(Weekly_Inventory_Flow!$A$2:$A$261,INT((ROW()-2)/4)+1)</f>
        <v>46307</v>
      </c>
      <c r="B813" t="str" cm="1">
        <f t="array" ref="B813">INDEX(Weekly_Inventory_Flow!$B$2:$B$261,INT((ROW()-2)/4)+1)</f>
        <v>P003</v>
      </c>
      <c r="C813" t="str" cm="1">
        <f t="array" ref="C813">INDEX(BOM!$B$2:$B$21,MATCH(B813,BOM!$A$2:$A$21,0)+MOD(ROW()-2,4))</f>
        <v>M008</v>
      </c>
      <c r="D813" cm="1">
        <f t="array" ref="D813">INDEX(Weekly_Inventory_Flow!$I$2:$I$261,INT((ROW()-2)/4)+1)</f>
        <v>10400</v>
      </c>
      <c r="E813" cm="1">
        <f t="array" ref="E813">INDEX(BOM!$C$2:$C$21,MATCH(B813,BOM!$A$2:$A$21,0)+MOD(ROW()-2,4))</f>
        <v>1</v>
      </c>
      <c r="F813">
        <f t="shared" si="12"/>
        <v>10400</v>
      </c>
    </row>
    <row r="814" spans="1:6">
      <c r="A814" s="1" cm="1">
        <f t="array" ref="A814">INDEX(Weekly_Inventory_Flow!$A$2:$A$261,INT((ROW()-2)/4)+1)</f>
        <v>46307</v>
      </c>
      <c r="B814" t="str" cm="1">
        <f t="array" ref="B814">INDEX(Weekly_Inventory_Flow!$B$2:$B$261,INT((ROW()-2)/4)+1)</f>
        <v>P004</v>
      </c>
      <c r="C814" t="str" cm="1">
        <f t="array" ref="C814">INDEX(BOM!$B$2:$B$21,MATCH(B814,BOM!$A$2:$A$21,0)+MOD(ROW()-2,4))</f>
        <v>M004</v>
      </c>
      <c r="D814" cm="1">
        <f t="array" ref="D814">INDEX(Weekly_Inventory_Flow!$I$2:$I$261,INT((ROW()-2)/4)+1)</f>
        <v>11200</v>
      </c>
      <c r="E814" cm="1">
        <f t="array" ref="E814">INDEX(BOM!$C$2:$C$21,MATCH(B814,BOM!$A$2:$A$21,0)+MOD(ROW()-2,4))</f>
        <v>0.34</v>
      </c>
      <c r="F814">
        <f t="shared" si="12"/>
        <v>3808.0000000000005</v>
      </c>
    </row>
    <row r="815" spans="1:6">
      <c r="A815" s="1" cm="1">
        <f t="array" ref="A815">INDEX(Weekly_Inventory_Flow!$A$2:$A$261,INT((ROW()-2)/4)+1)</f>
        <v>46307</v>
      </c>
      <c r="B815" t="str" cm="1">
        <f t="array" ref="B815">INDEX(Weekly_Inventory_Flow!$B$2:$B$261,INT((ROW()-2)/4)+1)</f>
        <v>P004</v>
      </c>
      <c r="C815" t="str" cm="1">
        <f t="array" ref="C815">INDEX(BOM!$B$2:$B$21,MATCH(B815,BOM!$A$2:$A$21,0)+MOD(ROW()-2,4))</f>
        <v>M006</v>
      </c>
      <c r="D815" cm="1">
        <f t="array" ref="D815">INDEX(Weekly_Inventory_Flow!$I$2:$I$261,INT((ROW()-2)/4)+1)</f>
        <v>11200</v>
      </c>
      <c r="E815" cm="1">
        <f t="array" ref="E815">INDEX(BOM!$C$2:$C$21,MATCH(B815,BOM!$A$2:$A$21,0)+MOD(ROW()-2,4))</f>
        <v>8.9999999999999993E-3</v>
      </c>
      <c r="F815">
        <f t="shared" si="12"/>
        <v>100.8</v>
      </c>
    </row>
    <row r="816" spans="1:6">
      <c r="A816" s="1" cm="1">
        <f t="array" ref="A816">INDEX(Weekly_Inventory_Flow!$A$2:$A$261,INT((ROW()-2)/4)+1)</f>
        <v>46307</v>
      </c>
      <c r="B816" t="str" cm="1">
        <f t="array" ref="B816">INDEX(Weekly_Inventory_Flow!$B$2:$B$261,INT((ROW()-2)/4)+1)</f>
        <v>P004</v>
      </c>
      <c r="C816" t="str" cm="1">
        <f t="array" ref="C816">INDEX(BOM!$B$2:$B$21,MATCH(B816,BOM!$A$2:$A$21,0)+MOD(ROW()-2,4))</f>
        <v>M007</v>
      </c>
      <c r="D816" cm="1">
        <f t="array" ref="D816">INDEX(Weekly_Inventory_Flow!$I$2:$I$261,INT((ROW()-2)/4)+1)</f>
        <v>11200</v>
      </c>
      <c r="E816" cm="1">
        <f t="array" ref="E816">INDEX(BOM!$C$2:$C$21,MATCH(B816,BOM!$A$2:$A$21,0)+MOD(ROW()-2,4))</f>
        <v>1</v>
      </c>
      <c r="F816">
        <f t="shared" si="12"/>
        <v>11200</v>
      </c>
    </row>
    <row r="817" spans="1:6">
      <c r="A817" s="1" cm="1">
        <f t="array" ref="A817">INDEX(Weekly_Inventory_Flow!$A$2:$A$261,INT((ROW()-2)/4)+1)</f>
        <v>46307</v>
      </c>
      <c r="B817" t="str" cm="1">
        <f t="array" ref="B817">INDEX(Weekly_Inventory_Flow!$B$2:$B$261,INT((ROW()-2)/4)+1)</f>
        <v>P004</v>
      </c>
      <c r="C817" t="str" cm="1">
        <f t="array" ref="C817">INDEX(BOM!$B$2:$B$21,MATCH(B817,BOM!$A$2:$A$21,0)+MOD(ROW()-2,4))</f>
        <v>M008</v>
      </c>
      <c r="D817" cm="1">
        <f t="array" ref="D817">INDEX(Weekly_Inventory_Flow!$I$2:$I$261,INT((ROW()-2)/4)+1)</f>
        <v>11200</v>
      </c>
      <c r="E817" cm="1">
        <f t="array" ref="E817">INDEX(BOM!$C$2:$C$21,MATCH(B817,BOM!$A$2:$A$21,0)+MOD(ROW()-2,4))</f>
        <v>1</v>
      </c>
      <c r="F817">
        <f t="shared" si="12"/>
        <v>11200</v>
      </c>
    </row>
    <row r="818" spans="1:6">
      <c r="A818" s="1" cm="1">
        <f t="array" ref="A818">INDEX(Weekly_Inventory_Flow!$A$2:$A$261,INT((ROW()-2)/4)+1)</f>
        <v>46307</v>
      </c>
      <c r="B818" t="str" cm="1">
        <f t="array" ref="B818">INDEX(Weekly_Inventory_Flow!$B$2:$B$261,INT((ROW()-2)/4)+1)</f>
        <v>P005</v>
      </c>
      <c r="C818" t="str" cm="1">
        <f t="array" ref="C818">INDEX(BOM!$B$2:$B$21,MATCH(B818,BOM!$A$2:$A$21,0)+MOD(ROW()-2,4))</f>
        <v>M005</v>
      </c>
      <c r="D818" cm="1">
        <f t="array" ref="D818">INDEX(Weekly_Inventory_Flow!$I$2:$I$261,INT((ROW()-2)/4)+1)</f>
        <v>8600</v>
      </c>
      <c r="E818" cm="1">
        <f t="array" ref="E818">INDEX(BOM!$C$2:$C$21,MATCH(B818,BOM!$A$2:$A$21,0)+MOD(ROW()-2,4))</f>
        <v>0.52</v>
      </c>
      <c r="F818">
        <f t="shared" si="12"/>
        <v>4472</v>
      </c>
    </row>
    <row r="819" spans="1:6">
      <c r="A819" s="1" cm="1">
        <f t="array" ref="A819">INDEX(Weekly_Inventory_Flow!$A$2:$A$261,INT((ROW()-2)/4)+1)</f>
        <v>46307</v>
      </c>
      <c r="B819" t="str" cm="1">
        <f t="array" ref="B819">INDEX(Weekly_Inventory_Flow!$B$2:$B$261,INT((ROW()-2)/4)+1)</f>
        <v>P005</v>
      </c>
      <c r="C819" t="str" cm="1">
        <f t="array" ref="C819">INDEX(BOM!$B$2:$B$21,MATCH(B819,BOM!$A$2:$A$21,0)+MOD(ROW()-2,4))</f>
        <v>M006</v>
      </c>
      <c r="D819" cm="1">
        <f t="array" ref="D819">INDEX(Weekly_Inventory_Flow!$I$2:$I$261,INT((ROW()-2)/4)+1)</f>
        <v>8600</v>
      </c>
      <c r="E819" cm="1">
        <f t="array" ref="E819">INDEX(BOM!$C$2:$C$21,MATCH(B819,BOM!$A$2:$A$21,0)+MOD(ROW()-2,4))</f>
        <v>1.2E-2</v>
      </c>
      <c r="F819">
        <f t="shared" si="12"/>
        <v>103.2</v>
      </c>
    </row>
    <row r="820" spans="1:6">
      <c r="A820" s="1" cm="1">
        <f t="array" ref="A820">INDEX(Weekly_Inventory_Flow!$A$2:$A$261,INT((ROW()-2)/4)+1)</f>
        <v>46307</v>
      </c>
      <c r="B820" t="str" cm="1">
        <f t="array" ref="B820">INDEX(Weekly_Inventory_Flow!$B$2:$B$261,INT((ROW()-2)/4)+1)</f>
        <v>P005</v>
      </c>
      <c r="C820" t="str" cm="1">
        <f t="array" ref="C820">INDEX(BOM!$B$2:$B$21,MATCH(B820,BOM!$A$2:$A$21,0)+MOD(ROW()-2,4))</f>
        <v>M007</v>
      </c>
      <c r="D820" cm="1">
        <f t="array" ref="D820">INDEX(Weekly_Inventory_Flow!$I$2:$I$261,INT((ROW()-2)/4)+1)</f>
        <v>8600</v>
      </c>
      <c r="E820" cm="1">
        <f t="array" ref="E820">INDEX(BOM!$C$2:$C$21,MATCH(B820,BOM!$A$2:$A$21,0)+MOD(ROW()-2,4))</f>
        <v>1</v>
      </c>
      <c r="F820">
        <f t="shared" si="12"/>
        <v>8600</v>
      </c>
    </row>
    <row r="821" spans="1:6">
      <c r="A821" s="1" cm="1">
        <f t="array" ref="A821">INDEX(Weekly_Inventory_Flow!$A$2:$A$261,INT((ROW()-2)/4)+1)</f>
        <v>46307</v>
      </c>
      <c r="B821" t="str" cm="1">
        <f t="array" ref="B821">INDEX(Weekly_Inventory_Flow!$B$2:$B$261,INT((ROW()-2)/4)+1)</f>
        <v>P005</v>
      </c>
      <c r="C821" t="str" cm="1">
        <f t="array" ref="C821">INDEX(BOM!$B$2:$B$21,MATCH(B821,BOM!$A$2:$A$21,0)+MOD(ROW()-2,4))</f>
        <v>M008</v>
      </c>
      <c r="D821" cm="1">
        <f t="array" ref="D821">INDEX(Weekly_Inventory_Flow!$I$2:$I$261,INT((ROW()-2)/4)+1)</f>
        <v>8600</v>
      </c>
      <c r="E821" cm="1">
        <f t="array" ref="E821">INDEX(BOM!$C$2:$C$21,MATCH(B821,BOM!$A$2:$A$21,0)+MOD(ROW()-2,4))</f>
        <v>1</v>
      </c>
      <c r="F821">
        <f t="shared" si="12"/>
        <v>8600</v>
      </c>
    </row>
    <row r="822" spans="1:6">
      <c r="A822" s="1" cm="1">
        <f t="array" ref="A822">INDEX(Weekly_Inventory_Flow!$A$2:$A$261,INT((ROW()-2)/4)+1)</f>
        <v>46314</v>
      </c>
      <c r="B822" t="str" cm="1">
        <f t="array" ref="B822">INDEX(Weekly_Inventory_Flow!$B$2:$B$261,INT((ROW()-2)/4)+1)</f>
        <v>P001</v>
      </c>
      <c r="C822" t="str" cm="1">
        <f t="array" ref="C822">INDEX(BOM!$B$2:$B$21,MATCH(B822,BOM!$A$2:$A$21,0)+MOD(ROW()-2,4))</f>
        <v>M001</v>
      </c>
      <c r="D822" cm="1">
        <f t="array" ref="D822">INDEX(Weekly_Inventory_Flow!$I$2:$I$261,INT((ROW()-2)/4)+1)</f>
        <v>14500</v>
      </c>
      <c r="E822" cm="1">
        <f t="array" ref="E822">INDEX(BOM!$C$2:$C$21,MATCH(B822,BOM!$A$2:$A$21,0)+MOD(ROW()-2,4))</f>
        <v>0.35</v>
      </c>
      <c r="F822">
        <f t="shared" si="12"/>
        <v>5075</v>
      </c>
    </row>
    <row r="823" spans="1:6">
      <c r="A823" s="1" cm="1">
        <f t="array" ref="A823">INDEX(Weekly_Inventory_Flow!$A$2:$A$261,INT((ROW()-2)/4)+1)</f>
        <v>46314</v>
      </c>
      <c r="B823" t="str" cm="1">
        <f t="array" ref="B823">INDEX(Weekly_Inventory_Flow!$B$2:$B$261,INT((ROW()-2)/4)+1)</f>
        <v>P001</v>
      </c>
      <c r="C823" t="str" cm="1">
        <f t="array" ref="C823">INDEX(BOM!$B$2:$B$21,MATCH(B823,BOM!$A$2:$A$21,0)+MOD(ROW()-2,4))</f>
        <v>M006</v>
      </c>
      <c r="D823" cm="1">
        <f t="array" ref="D823">INDEX(Weekly_Inventory_Flow!$I$2:$I$261,INT((ROW()-2)/4)+1)</f>
        <v>14500</v>
      </c>
      <c r="E823" cm="1">
        <f t="array" ref="E823">INDEX(BOM!$C$2:$C$21,MATCH(B823,BOM!$A$2:$A$21,0)+MOD(ROW()-2,4))</f>
        <v>0.01</v>
      </c>
      <c r="F823">
        <f t="shared" si="12"/>
        <v>145</v>
      </c>
    </row>
    <row r="824" spans="1:6">
      <c r="A824" s="1" cm="1">
        <f t="array" ref="A824">INDEX(Weekly_Inventory_Flow!$A$2:$A$261,INT((ROW()-2)/4)+1)</f>
        <v>46314</v>
      </c>
      <c r="B824" t="str" cm="1">
        <f t="array" ref="B824">INDEX(Weekly_Inventory_Flow!$B$2:$B$261,INT((ROW()-2)/4)+1)</f>
        <v>P001</v>
      </c>
      <c r="C824" t="str" cm="1">
        <f t="array" ref="C824">INDEX(BOM!$B$2:$B$21,MATCH(B824,BOM!$A$2:$A$21,0)+MOD(ROW()-2,4))</f>
        <v>M007</v>
      </c>
      <c r="D824" cm="1">
        <f t="array" ref="D824">INDEX(Weekly_Inventory_Flow!$I$2:$I$261,INT((ROW()-2)/4)+1)</f>
        <v>14500</v>
      </c>
      <c r="E824" cm="1">
        <f t="array" ref="E824">INDEX(BOM!$C$2:$C$21,MATCH(B824,BOM!$A$2:$A$21,0)+MOD(ROW()-2,4))</f>
        <v>1</v>
      </c>
      <c r="F824">
        <f t="shared" si="12"/>
        <v>14500</v>
      </c>
    </row>
    <row r="825" spans="1:6">
      <c r="A825" s="1" cm="1">
        <f t="array" ref="A825">INDEX(Weekly_Inventory_Flow!$A$2:$A$261,INT((ROW()-2)/4)+1)</f>
        <v>46314</v>
      </c>
      <c r="B825" t="str" cm="1">
        <f t="array" ref="B825">INDEX(Weekly_Inventory_Flow!$B$2:$B$261,INT((ROW()-2)/4)+1)</f>
        <v>P001</v>
      </c>
      <c r="C825" t="str" cm="1">
        <f t="array" ref="C825">INDEX(BOM!$B$2:$B$21,MATCH(B825,BOM!$A$2:$A$21,0)+MOD(ROW()-2,4))</f>
        <v>M008</v>
      </c>
      <c r="D825" cm="1">
        <f t="array" ref="D825">INDEX(Weekly_Inventory_Flow!$I$2:$I$261,INT((ROW()-2)/4)+1)</f>
        <v>14500</v>
      </c>
      <c r="E825" cm="1">
        <f t="array" ref="E825">INDEX(BOM!$C$2:$C$21,MATCH(B825,BOM!$A$2:$A$21,0)+MOD(ROW()-2,4))</f>
        <v>1</v>
      </c>
      <c r="F825">
        <f t="shared" si="12"/>
        <v>14500</v>
      </c>
    </row>
    <row r="826" spans="1:6">
      <c r="A826" s="1" cm="1">
        <f t="array" ref="A826">INDEX(Weekly_Inventory_Flow!$A$2:$A$261,INT((ROW()-2)/4)+1)</f>
        <v>46314</v>
      </c>
      <c r="B826" t="str" cm="1">
        <f t="array" ref="B826">INDEX(Weekly_Inventory_Flow!$B$2:$B$261,INT((ROW()-2)/4)+1)</f>
        <v>P002</v>
      </c>
      <c r="C826" t="str" cm="1">
        <f t="array" ref="C826">INDEX(BOM!$B$2:$B$21,MATCH(B826,BOM!$A$2:$A$21,0)+MOD(ROW()-2,4))</f>
        <v>M002</v>
      </c>
      <c r="D826" cm="1">
        <f t="array" ref="D826">INDEX(Weekly_Inventory_Flow!$I$2:$I$261,INT((ROW()-2)/4)+1)</f>
        <v>12100</v>
      </c>
      <c r="E826" cm="1">
        <f t="array" ref="E826">INDEX(BOM!$C$2:$C$21,MATCH(B826,BOM!$A$2:$A$21,0)+MOD(ROW()-2,4))</f>
        <v>0.3</v>
      </c>
      <c r="F826">
        <f t="shared" si="12"/>
        <v>3630</v>
      </c>
    </row>
    <row r="827" spans="1:6">
      <c r="A827" s="1" cm="1">
        <f t="array" ref="A827">INDEX(Weekly_Inventory_Flow!$A$2:$A$261,INT((ROW()-2)/4)+1)</f>
        <v>46314</v>
      </c>
      <c r="B827" t="str" cm="1">
        <f t="array" ref="B827">INDEX(Weekly_Inventory_Flow!$B$2:$B$261,INT((ROW()-2)/4)+1)</f>
        <v>P002</v>
      </c>
      <c r="C827" t="str" cm="1">
        <f t="array" ref="C827">INDEX(BOM!$B$2:$B$21,MATCH(B827,BOM!$A$2:$A$21,0)+MOD(ROW()-2,4))</f>
        <v>M006</v>
      </c>
      <c r="D827" cm="1">
        <f t="array" ref="D827">INDEX(Weekly_Inventory_Flow!$I$2:$I$261,INT((ROW()-2)/4)+1)</f>
        <v>12100</v>
      </c>
      <c r="E827" cm="1">
        <f t="array" ref="E827">INDEX(BOM!$C$2:$C$21,MATCH(B827,BOM!$A$2:$A$21,0)+MOD(ROW()-2,4))</f>
        <v>8.0000000000000002E-3</v>
      </c>
      <c r="F827">
        <f t="shared" si="12"/>
        <v>96.8</v>
      </c>
    </row>
    <row r="828" spans="1:6">
      <c r="A828" s="1" cm="1">
        <f t="array" ref="A828">INDEX(Weekly_Inventory_Flow!$A$2:$A$261,INT((ROW()-2)/4)+1)</f>
        <v>46314</v>
      </c>
      <c r="B828" t="str" cm="1">
        <f t="array" ref="B828">INDEX(Weekly_Inventory_Flow!$B$2:$B$261,INT((ROW()-2)/4)+1)</f>
        <v>P002</v>
      </c>
      <c r="C828" t="str" cm="1">
        <f t="array" ref="C828">INDEX(BOM!$B$2:$B$21,MATCH(B828,BOM!$A$2:$A$21,0)+MOD(ROW()-2,4))</f>
        <v>M007</v>
      </c>
      <c r="D828" cm="1">
        <f t="array" ref="D828">INDEX(Weekly_Inventory_Flow!$I$2:$I$261,INT((ROW()-2)/4)+1)</f>
        <v>12100</v>
      </c>
      <c r="E828" cm="1">
        <f t="array" ref="E828">INDEX(BOM!$C$2:$C$21,MATCH(B828,BOM!$A$2:$A$21,0)+MOD(ROW()-2,4))</f>
        <v>1</v>
      </c>
      <c r="F828">
        <f t="shared" si="12"/>
        <v>12100</v>
      </c>
    </row>
    <row r="829" spans="1:6">
      <c r="A829" s="1" cm="1">
        <f t="array" ref="A829">INDEX(Weekly_Inventory_Flow!$A$2:$A$261,INT((ROW()-2)/4)+1)</f>
        <v>46314</v>
      </c>
      <c r="B829" t="str" cm="1">
        <f t="array" ref="B829">INDEX(Weekly_Inventory_Flow!$B$2:$B$261,INT((ROW()-2)/4)+1)</f>
        <v>P002</v>
      </c>
      <c r="C829" t="str" cm="1">
        <f t="array" ref="C829">INDEX(BOM!$B$2:$B$21,MATCH(B829,BOM!$A$2:$A$21,0)+MOD(ROW()-2,4))</f>
        <v>M008</v>
      </c>
      <c r="D829" cm="1">
        <f t="array" ref="D829">INDEX(Weekly_Inventory_Flow!$I$2:$I$261,INT((ROW()-2)/4)+1)</f>
        <v>12100</v>
      </c>
      <c r="E829" cm="1">
        <f t="array" ref="E829">INDEX(BOM!$C$2:$C$21,MATCH(B829,BOM!$A$2:$A$21,0)+MOD(ROW()-2,4))</f>
        <v>1</v>
      </c>
      <c r="F829">
        <f t="shared" si="12"/>
        <v>12100</v>
      </c>
    </row>
    <row r="830" spans="1:6">
      <c r="A830" s="1" cm="1">
        <f t="array" ref="A830">INDEX(Weekly_Inventory_Flow!$A$2:$A$261,INT((ROW()-2)/4)+1)</f>
        <v>46314</v>
      </c>
      <c r="B830" t="str" cm="1">
        <f t="array" ref="B830">INDEX(Weekly_Inventory_Flow!$B$2:$B$261,INT((ROW()-2)/4)+1)</f>
        <v>P003</v>
      </c>
      <c r="C830" t="str" cm="1">
        <f t="array" ref="C830">INDEX(BOM!$B$2:$B$21,MATCH(B830,BOM!$A$2:$A$21,0)+MOD(ROW()-2,4))</f>
        <v>M003</v>
      </c>
      <c r="D830" cm="1">
        <f t="array" ref="D830">INDEX(Weekly_Inventory_Flow!$I$2:$I$261,INT((ROW()-2)/4)+1)</f>
        <v>10300</v>
      </c>
      <c r="E830" cm="1">
        <f t="array" ref="E830">INDEX(BOM!$C$2:$C$21,MATCH(B830,BOM!$A$2:$A$21,0)+MOD(ROW()-2,4))</f>
        <v>0.25</v>
      </c>
      <c r="F830">
        <f t="shared" si="12"/>
        <v>2575</v>
      </c>
    </row>
    <row r="831" spans="1:6">
      <c r="A831" s="1" cm="1">
        <f t="array" ref="A831">INDEX(Weekly_Inventory_Flow!$A$2:$A$261,INT((ROW()-2)/4)+1)</f>
        <v>46314</v>
      </c>
      <c r="B831" t="str" cm="1">
        <f t="array" ref="B831">INDEX(Weekly_Inventory_Flow!$B$2:$B$261,INT((ROW()-2)/4)+1)</f>
        <v>P003</v>
      </c>
      <c r="C831" t="str" cm="1">
        <f t="array" ref="C831">INDEX(BOM!$B$2:$B$21,MATCH(B831,BOM!$A$2:$A$21,0)+MOD(ROW()-2,4))</f>
        <v>M006</v>
      </c>
      <c r="D831" cm="1">
        <f t="array" ref="D831">INDEX(Weekly_Inventory_Flow!$I$2:$I$261,INT((ROW()-2)/4)+1)</f>
        <v>10300</v>
      </c>
      <c r="E831" cm="1">
        <f t="array" ref="E831">INDEX(BOM!$C$2:$C$21,MATCH(B831,BOM!$A$2:$A$21,0)+MOD(ROW()-2,4))</f>
        <v>6.0000000000000001E-3</v>
      </c>
      <c r="F831">
        <f t="shared" si="12"/>
        <v>61.800000000000004</v>
      </c>
    </row>
    <row r="832" spans="1:6">
      <c r="A832" s="1" cm="1">
        <f t="array" ref="A832">INDEX(Weekly_Inventory_Flow!$A$2:$A$261,INT((ROW()-2)/4)+1)</f>
        <v>46314</v>
      </c>
      <c r="B832" t="str" cm="1">
        <f t="array" ref="B832">INDEX(Weekly_Inventory_Flow!$B$2:$B$261,INT((ROW()-2)/4)+1)</f>
        <v>P003</v>
      </c>
      <c r="C832" t="str" cm="1">
        <f t="array" ref="C832">INDEX(BOM!$B$2:$B$21,MATCH(B832,BOM!$A$2:$A$21,0)+MOD(ROW()-2,4))</f>
        <v>M007</v>
      </c>
      <c r="D832" cm="1">
        <f t="array" ref="D832">INDEX(Weekly_Inventory_Flow!$I$2:$I$261,INT((ROW()-2)/4)+1)</f>
        <v>10300</v>
      </c>
      <c r="E832" cm="1">
        <f t="array" ref="E832">INDEX(BOM!$C$2:$C$21,MATCH(B832,BOM!$A$2:$A$21,0)+MOD(ROW()-2,4))</f>
        <v>1</v>
      </c>
      <c r="F832">
        <f t="shared" si="12"/>
        <v>10300</v>
      </c>
    </row>
    <row r="833" spans="1:6">
      <c r="A833" s="1" cm="1">
        <f t="array" ref="A833">INDEX(Weekly_Inventory_Flow!$A$2:$A$261,INT((ROW()-2)/4)+1)</f>
        <v>46314</v>
      </c>
      <c r="B833" t="str" cm="1">
        <f t="array" ref="B833">INDEX(Weekly_Inventory_Flow!$B$2:$B$261,INT((ROW()-2)/4)+1)</f>
        <v>P003</v>
      </c>
      <c r="C833" t="str" cm="1">
        <f t="array" ref="C833">INDEX(BOM!$B$2:$B$21,MATCH(B833,BOM!$A$2:$A$21,0)+MOD(ROW()-2,4))</f>
        <v>M008</v>
      </c>
      <c r="D833" cm="1">
        <f t="array" ref="D833">INDEX(Weekly_Inventory_Flow!$I$2:$I$261,INT((ROW()-2)/4)+1)</f>
        <v>10300</v>
      </c>
      <c r="E833" cm="1">
        <f t="array" ref="E833">INDEX(BOM!$C$2:$C$21,MATCH(B833,BOM!$A$2:$A$21,0)+MOD(ROW()-2,4))</f>
        <v>1</v>
      </c>
      <c r="F833">
        <f t="shared" si="12"/>
        <v>10300</v>
      </c>
    </row>
    <row r="834" spans="1:6">
      <c r="A834" s="1" cm="1">
        <f t="array" ref="A834">INDEX(Weekly_Inventory_Flow!$A$2:$A$261,INT((ROW()-2)/4)+1)</f>
        <v>46314</v>
      </c>
      <c r="B834" t="str" cm="1">
        <f t="array" ref="B834">INDEX(Weekly_Inventory_Flow!$B$2:$B$261,INT((ROW()-2)/4)+1)</f>
        <v>P004</v>
      </c>
      <c r="C834" t="str" cm="1">
        <f t="array" ref="C834">INDEX(BOM!$B$2:$B$21,MATCH(B834,BOM!$A$2:$A$21,0)+MOD(ROW()-2,4))</f>
        <v>M004</v>
      </c>
      <c r="D834" cm="1">
        <f t="array" ref="D834">INDEX(Weekly_Inventory_Flow!$I$2:$I$261,INT((ROW()-2)/4)+1)</f>
        <v>11800</v>
      </c>
      <c r="E834" cm="1">
        <f t="array" ref="E834">INDEX(BOM!$C$2:$C$21,MATCH(B834,BOM!$A$2:$A$21,0)+MOD(ROW()-2,4))</f>
        <v>0.34</v>
      </c>
      <c r="F834">
        <f t="shared" si="12"/>
        <v>4012.0000000000005</v>
      </c>
    </row>
    <row r="835" spans="1:6">
      <c r="A835" s="1" cm="1">
        <f t="array" ref="A835">INDEX(Weekly_Inventory_Flow!$A$2:$A$261,INT((ROW()-2)/4)+1)</f>
        <v>46314</v>
      </c>
      <c r="B835" t="str" cm="1">
        <f t="array" ref="B835">INDEX(Weekly_Inventory_Flow!$B$2:$B$261,INT((ROW()-2)/4)+1)</f>
        <v>P004</v>
      </c>
      <c r="C835" t="str" cm="1">
        <f t="array" ref="C835">INDEX(BOM!$B$2:$B$21,MATCH(B835,BOM!$A$2:$A$21,0)+MOD(ROW()-2,4))</f>
        <v>M006</v>
      </c>
      <c r="D835" cm="1">
        <f t="array" ref="D835">INDEX(Weekly_Inventory_Flow!$I$2:$I$261,INT((ROW()-2)/4)+1)</f>
        <v>11800</v>
      </c>
      <c r="E835" cm="1">
        <f t="array" ref="E835">INDEX(BOM!$C$2:$C$21,MATCH(B835,BOM!$A$2:$A$21,0)+MOD(ROW()-2,4))</f>
        <v>8.9999999999999993E-3</v>
      </c>
      <c r="F835">
        <f t="shared" ref="F835:F898" si="13">D835*E835</f>
        <v>106.19999999999999</v>
      </c>
    </row>
    <row r="836" spans="1:6">
      <c r="A836" s="1" cm="1">
        <f t="array" ref="A836">INDEX(Weekly_Inventory_Flow!$A$2:$A$261,INT((ROW()-2)/4)+1)</f>
        <v>46314</v>
      </c>
      <c r="B836" t="str" cm="1">
        <f t="array" ref="B836">INDEX(Weekly_Inventory_Flow!$B$2:$B$261,INT((ROW()-2)/4)+1)</f>
        <v>P004</v>
      </c>
      <c r="C836" t="str" cm="1">
        <f t="array" ref="C836">INDEX(BOM!$B$2:$B$21,MATCH(B836,BOM!$A$2:$A$21,0)+MOD(ROW()-2,4))</f>
        <v>M007</v>
      </c>
      <c r="D836" cm="1">
        <f t="array" ref="D836">INDEX(Weekly_Inventory_Flow!$I$2:$I$261,INT((ROW()-2)/4)+1)</f>
        <v>11800</v>
      </c>
      <c r="E836" cm="1">
        <f t="array" ref="E836">INDEX(BOM!$C$2:$C$21,MATCH(B836,BOM!$A$2:$A$21,0)+MOD(ROW()-2,4))</f>
        <v>1</v>
      </c>
      <c r="F836">
        <f t="shared" si="13"/>
        <v>11800</v>
      </c>
    </row>
    <row r="837" spans="1:6">
      <c r="A837" s="1" cm="1">
        <f t="array" ref="A837">INDEX(Weekly_Inventory_Flow!$A$2:$A$261,INT((ROW()-2)/4)+1)</f>
        <v>46314</v>
      </c>
      <c r="B837" t="str" cm="1">
        <f t="array" ref="B837">INDEX(Weekly_Inventory_Flow!$B$2:$B$261,INT((ROW()-2)/4)+1)</f>
        <v>P004</v>
      </c>
      <c r="C837" t="str" cm="1">
        <f t="array" ref="C837">INDEX(BOM!$B$2:$B$21,MATCH(B837,BOM!$A$2:$A$21,0)+MOD(ROW()-2,4))</f>
        <v>M008</v>
      </c>
      <c r="D837" cm="1">
        <f t="array" ref="D837">INDEX(Weekly_Inventory_Flow!$I$2:$I$261,INT((ROW()-2)/4)+1)</f>
        <v>11800</v>
      </c>
      <c r="E837" cm="1">
        <f t="array" ref="E837">INDEX(BOM!$C$2:$C$21,MATCH(B837,BOM!$A$2:$A$21,0)+MOD(ROW()-2,4))</f>
        <v>1</v>
      </c>
      <c r="F837">
        <f t="shared" si="13"/>
        <v>11800</v>
      </c>
    </row>
    <row r="838" spans="1:6">
      <c r="A838" s="1" cm="1">
        <f t="array" ref="A838">INDEX(Weekly_Inventory_Flow!$A$2:$A$261,INT((ROW()-2)/4)+1)</f>
        <v>46314</v>
      </c>
      <c r="B838" t="str" cm="1">
        <f t="array" ref="B838">INDEX(Weekly_Inventory_Flow!$B$2:$B$261,INT((ROW()-2)/4)+1)</f>
        <v>P005</v>
      </c>
      <c r="C838" t="str" cm="1">
        <f t="array" ref="C838">INDEX(BOM!$B$2:$B$21,MATCH(B838,BOM!$A$2:$A$21,0)+MOD(ROW()-2,4))</f>
        <v>M005</v>
      </c>
      <c r="D838" cm="1">
        <f t="array" ref="D838">INDEX(Weekly_Inventory_Flow!$I$2:$I$261,INT((ROW()-2)/4)+1)</f>
        <v>8900</v>
      </c>
      <c r="E838" cm="1">
        <f t="array" ref="E838">INDEX(BOM!$C$2:$C$21,MATCH(B838,BOM!$A$2:$A$21,0)+MOD(ROW()-2,4))</f>
        <v>0.52</v>
      </c>
      <c r="F838">
        <f t="shared" si="13"/>
        <v>4628</v>
      </c>
    </row>
    <row r="839" spans="1:6">
      <c r="A839" s="1" cm="1">
        <f t="array" ref="A839">INDEX(Weekly_Inventory_Flow!$A$2:$A$261,INT((ROW()-2)/4)+1)</f>
        <v>46314</v>
      </c>
      <c r="B839" t="str" cm="1">
        <f t="array" ref="B839">INDEX(Weekly_Inventory_Flow!$B$2:$B$261,INT((ROW()-2)/4)+1)</f>
        <v>P005</v>
      </c>
      <c r="C839" t="str" cm="1">
        <f t="array" ref="C839">INDEX(BOM!$B$2:$B$21,MATCH(B839,BOM!$A$2:$A$21,0)+MOD(ROW()-2,4))</f>
        <v>M006</v>
      </c>
      <c r="D839" cm="1">
        <f t="array" ref="D839">INDEX(Weekly_Inventory_Flow!$I$2:$I$261,INT((ROW()-2)/4)+1)</f>
        <v>8900</v>
      </c>
      <c r="E839" cm="1">
        <f t="array" ref="E839">INDEX(BOM!$C$2:$C$21,MATCH(B839,BOM!$A$2:$A$21,0)+MOD(ROW()-2,4))</f>
        <v>1.2E-2</v>
      </c>
      <c r="F839">
        <f t="shared" si="13"/>
        <v>106.8</v>
      </c>
    </row>
    <row r="840" spans="1:6">
      <c r="A840" s="1" cm="1">
        <f t="array" ref="A840">INDEX(Weekly_Inventory_Flow!$A$2:$A$261,INT((ROW()-2)/4)+1)</f>
        <v>46314</v>
      </c>
      <c r="B840" t="str" cm="1">
        <f t="array" ref="B840">INDEX(Weekly_Inventory_Flow!$B$2:$B$261,INT((ROW()-2)/4)+1)</f>
        <v>P005</v>
      </c>
      <c r="C840" t="str" cm="1">
        <f t="array" ref="C840">INDEX(BOM!$B$2:$B$21,MATCH(B840,BOM!$A$2:$A$21,0)+MOD(ROW()-2,4))</f>
        <v>M007</v>
      </c>
      <c r="D840" cm="1">
        <f t="array" ref="D840">INDEX(Weekly_Inventory_Flow!$I$2:$I$261,INT((ROW()-2)/4)+1)</f>
        <v>8900</v>
      </c>
      <c r="E840" cm="1">
        <f t="array" ref="E840">INDEX(BOM!$C$2:$C$21,MATCH(B840,BOM!$A$2:$A$21,0)+MOD(ROW()-2,4))</f>
        <v>1</v>
      </c>
      <c r="F840">
        <f t="shared" si="13"/>
        <v>8900</v>
      </c>
    </row>
    <row r="841" spans="1:6">
      <c r="A841" s="1" cm="1">
        <f t="array" ref="A841">INDEX(Weekly_Inventory_Flow!$A$2:$A$261,INT((ROW()-2)/4)+1)</f>
        <v>46314</v>
      </c>
      <c r="B841" t="str" cm="1">
        <f t="array" ref="B841">INDEX(Weekly_Inventory_Flow!$B$2:$B$261,INT((ROW()-2)/4)+1)</f>
        <v>P005</v>
      </c>
      <c r="C841" t="str" cm="1">
        <f t="array" ref="C841">INDEX(BOM!$B$2:$B$21,MATCH(B841,BOM!$A$2:$A$21,0)+MOD(ROW()-2,4))</f>
        <v>M008</v>
      </c>
      <c r="D841" cm="1">
        <f t="array" ref="D841">INDEX(Weekly_Inventory_Flow!$I$2:$I$261,INT((ROW()-2)/4)+1)</f>
        <v>8900</v>
      </c>
      <c r="E841" cm="1">
        <f t="array" ref="E841">INDEX(BOM!$C$2:$C$21,MATCH(B841,BOM!$A$2:$A$21,0)+MOD(ROW()-2,4))</f>
        <v>1</v>
      </c>
      <c r="F841">
        <f t="shared" si="13"/>
        <v>8900</v>
      </c>
    </row>
    <row r="842" spans="1:6">
      <c r="A842" s="1" cm="1">
        <f t="array" ref="A842">INDEX(Weekly_Inventory_Flow!$A$2:$A$261,INT((ROW()-2)/4)+1)</f>
        <v>46321</v>
      </c>
      <c r="B842" t="str" cm="1">
        <f t="array" ref="B842">INDEX(Weekly_Inventory_Flow!$B$2:$B$261,INT((ROW()-2)/4)+1)</f>
        <v>P001</v>
      </c>
      <c r="C842" t="str" cm="1">
        <f t="array" ref="C842">INDEX(BOM!$B$2:$B$21,MATCH(B842,BOM!$A$2:$A$21,0)+MOD(ROW()-2,4))</f>
        <v>M001</v>
      </c>
      <c r="D842" cm="1">
        <f t="array" ref="D842">INDEX(Weekly_Inventory_Flow!$I$2:$I$261,INT((ROW()-2)/4)+1)</f>
        <v>13700</v>
      </c>
      <c r="E842" cm="1">
        <f t="array" ref="E842">INDEX(BOM!$C$2:$C$21,MATCH(B842,BOM!$A$2:$A$21,0)+MOD(ROW()-2,4))</f>
        <v>0.35</v>
      </c>
      <c r="F842">
        <f t="shared" si="13"/>
        <v>4795</v>
      </c>
    </row>
    <row r="843" spans="1:6">
      <c r="A843" s="1" cm="1">
        <f t="array" ref="A843">INDEX(Weekly_Inventory_Flow!$A$2:$A$261,INT((ROW()-2)/4)+1)</f>
        <v>46321</v>
      </c>
      <c r="B843" t="str" cm="1">
        <f t="array" ref="B843">INDEX(Weekly_Inventory_Flow!$B$2:$B$261,INT((ROW()-2)/4)+1)</f>
        <v>P001</v>
      </c>
      <c r="C843" t="str" cm="1">
        <f t="array" ref="C843">INDEX(BOM!$B$2:$B$21,MATCH(B843,BOM!$A$2:$A$21,0)+MOD(ROW()-2,4))</f>
        <v>M006</v>
      </c>
      <c r="D843" cm="1">
        <f t="array" ref="D843">INDEX(Weekly_Inventory_Flow!$I$2:$I$261,INT((ROW()-2)/4)+1)</f>
        <v>13700</v>
      </c>
      <c r="E843" cm="1">
        <f t="array" ref="E843">INDEX(BOM!$C$2:$C$21,MATCH(B843,BOM!$A$2:$A$21,0)+MOD(ROW()-2,4))</f>
        <v>0.01</v>
      </c>
      <c r="F843">
        <f t="shared" si="13"/>
        <v>137</v>
      </c>
    </row>
    <row r="844" spans="1:6">
      <c r="A844" s="1" cm="1">
        <f t="array" ref="A844">INDEX(Weekly_Inventory_Flow!$A$2:$A$261,INT((ROW()-2)/4)+1)</f>
        <v>46321</v>
      </c>
      <c r="B844" t="str" cm="1">
        <f t="array" ref="B844">INDEX(Weekly_Inventory_Flow!$B$2:$B$261,INT((ROW()-2)/4)+1)</f>
        <v>P001</v>
      </c>
      <c r="C844" t="str" cm="1">
        <f t="array" ref="C844">INDEX(BOM!$B$2:$B$21,MATCH(B844,BOM!$A$2:$A$21,0)+MOD(ROW()-2,4))</f>
        <v>M007</v>
      </c>
      <c r="D844" cm="1">
        <f t="array" ref="D844">INDEX(Weekly_Inventory_Flow!$I$2:$I$261,INT((ROW()-2)/4)+1)</f>
        <v>13700</v>
      </c>
      <c r="E844" cm="1">
        <f t="array" ref="E844">INDEX(BOM!$C$2:$C$21,MATCH(B844,BOM!$A$2:$A$21,0)+MOD(ROW()-2,4))</f>
        <v>1</v>
      </c>
      <c r="F844">
        <f t="shared" si="13"/>
        <v>13700</v>
      </c>
    </row>
    <row r="845" spans="1:6">
      <c r="A845" s="1" cm="1">
        <f t="array" ref="A845">INDEX(Weekly_Inventory_Flow!$A$2:$A$261,INT((ROW()-2)/4)+1)</f>
        <v>46321</v>
      </c>
      <c r="B845" t="str" cm="1">
        <f t="array" ref="B845">INDEX(Weekly_Inventory_Flow!$B$2:$B$261,INT((ROW()-2)/4)+1)</f>
        <v>P001</v>
      </c>
      <c r="C845" t="str" cm="1">
        <f t="array" ref="C845">INDEX(BOM!$B$2:$B$21,MATCH(B845,BOM!$A$2:$A$21,0)+MOD(ROW()-2,4))</f>
        <v>M008</v>
      </c>
      <c r="D845" cm="1">
        <f t="array" ref="D845">INDEX(Weekly_Inventory_Flow!$I$2:$I$261,INT((ROW()-2)/4)+1)</f>
        <v>13700</v>
      </c>
      <c r="E845" cm="1">
        <f t="array" ref="E845">INDEX(BOM!$C$2:$C$21,MATCH(B845,BOM!$A$2:$A$21,0)+MOD(ROW()-2,4))</f>
        <v>1</v>
      </c>
      <c r="F845">
        <f t="shared" si="13"/>
        <v>13700</v>
      </c>
    </row>
    <row r="846" spans="1:6">
      <c r="A846" s="1" cm="1">
        <f t="array" ref="A846">INDEX(Weekly_Inventory_Flow!$A$2:$A$261,INT((ROW()-2)/4)+1)</f>
        <v>46321</v>
      </c>
      <c r="B846" t="str" cm="1">
        <f t="array" ref="B846">INDEX(Weekly_Inventory_Flow!$B$2:$B$261,INT((ROW()-2)/4)+1)</f>
        <v>P002</v>
      </c>
      <c r="C846" t="str" cm="1">
        <f t="array" ref="C846">INDEX(BOM!$B$2:$B$21,MATCH(B846,BOM!$A$2:$A$21,0)+MOD(ROW()-2,4))</f>
        <v>M002</v>
      </c>
      <c r="D846" cm="1">
        <f t="array" ref="D846">INDEX(Weekly_Inventory_Flow!$I$2:$I$261,INT((ROW()-2)/4)+1)</f>
        <v>12400</v>
      </c>
      <c r="E846" cm="1">
        <f t="array" ref="E846">INDEX(BOM!$C$2:$C$21,MATCH(B846,BOM!$A$2:$A$21,0)+MOD(ROW()-2,4))</f>
        <v>0.3</v>
      </c>
      <c r="F846">
        <f t="shared" si="13"/>
        <v>3720</v>
      </c>
    </row>
    <row r="847" spans="1:6">
      <c r="A847" s="1" cm="1">
        <f t="array" ref="A847">INDEX(Weekly_Inventory_Flow!$A$2:$A$261,INT((ROW()-2)/4)+1)</f>
        <v>46321</v>
      </c>
      <c r="B847" t="str" cm="1">
        <f t="array" ref="B847">INDEX(Weekly_Inventory_Flow!$B$2:$B$261,INT((ROW()-2)/4)+1)</f>
        <v>P002</v>
      </c>
      <c r="C847" t="str" cm="1">
        <f t="array" ref="C847">INDEX(BOM!$B$2:$B$21,MATCH(B847,BOM!$A$2:$A$21,0)+MOD(ROW()-2,4))</f>
        <v>M006</v>
      </c>
      <c r="D847" cm="1">
        <f t="array" ref="D847">INDEX(Weekly_Inventory_Flow!$I$2:$I$261,INT((ROW()-2)/4)+1)</f>
        <v>12400</v>
      </c>
      <c r="E847" cm="1">
        <f t="array" ref="E847">INDEX(BOM!$C$2:$C$21,MATCH(B847,BOM!$A$2:$A$21,0)+MOD(ROW()-2,4))</f>
        <v>8.0000000000000002E-3</v>
      </c>
      <c r="F847">
        <f t="shared" si="13"/>
        <v>99.2</v>
      </c>
    </row>
    <row r="848" spans="1:6">
      <c r="A848" s="1" cm="1">
        <f t="array" ref="A848">INDEX(Weekly_Inventory_Flow!$A$2:$A$261,INT((ROW()-2)/4)+1)</f>
        <v>46321</v>
      </c>
      <c r="B848" t="str" cm="1">
        <f t="array" ref="B848">INDEX(Weekly_Inventory_Flow!$B$2:$B$261,INT((ROW()-2)/4)+1)</f>
        <v>P002</v>
      </c>
      <c r="C848" t="str" cm="1">
        <f t="array" ref="C848">INDEX(BOM!$B$2:$B$21,MATCH(B848,BOM!$A$2:$A$21,0)+MOD(ROW()-2,4))</f>
        <v>M007</v>
      </c>
      <c r="D848" cm="1">
        <f t="array" ref="D848">INDEX(Weekly_Inventory_Flow!$I$2:$I$261,INT((ROW()-2)/4)+1)</f>
        <v>12400</v>
      </c>
      <c r="E848" cm="1">
        <f t="array" ref="E848">INDEX(BOM!$C$2:$C$21,MATCH(B848,BOM!$A$2:$A$21,0)+MOD(ROW()-2,4))</f>
        <v>1</v>
      </c>
      <c r="F848">
        <f t="shared" si="13"/>
        <v>12400</v>
      </c>
    </row>
    <row r="849" spans="1:6">
      <c r="A849" s="1" cm="1">
        <f t="array" ref="A849">INDEX(Weekly_Inventory_Flow!$A$2:$A$261,INT((ROW()-2)/4)+1)</f>
        <v>46321</v>
      </c>
      <c r="B849" t="str" cm="1">
        <f t="array" ref="B849">INDEX(Weekly_Inventory_Flow!$B$2:$B$261,INT((ROW()-2)/4)+1)</f>
        <v>P002</v>
      </c>
      <c r="C849" t="str" cm="1">
        <f t="array" ref="C849">INDEX(BOM!$B$2:$B$21,MATCH(B849,BOM!$A$2:$A$21,0)+MOD(ROW()-2,4))</f>
        <v>M008</v>
      </c>
      <c r="D849" cm="1">
        <f t="array" ref="D849">INDEX(Weekly_Inventory_Flow!$I$2:$I$261,INT((ROW()-2)/4)+1)</f>
        <v>12400</v>
      </c>
      <c r="E849" cm="1">
        <f t="array" ref="E849">INDEX(BOM!$C$2:$C$21,MATCH(B849,BOM!$A$2:$A$21,0)+MOD(ROW()-2,4))</f>
        <v>1</v>
      </c>
      <c r="F849">
        <f t="shared" si="13"/>
        <v>12400</v>
      </c>
    </row>
    <row r="850" spans="1:6">
      <c r="A850" s="1" cm="1">
        <f t="array" ref="A850">INDEX(Weekly_Inventory_Flow!$A$2:$A$261,INT((ROW()-2)/4)+1)</f>
        <v>46321</v>
      </c>
      <c r="B850" t="str" cm="1">
        <f t="array" ref="B850">INDEX(Weekly_Inventory_Flow!$B$2:$B$261,INT((ROW()-2)/4)+1)</f>
        <v>P003</v>
      </c>
      <c r="C850" t="str" cm="1">
        <f t="array" ref="C850">INDEX(BOM!$B$2:$B$21,MATCH(B850,BOM!$A$2:$A$21,0)+MOD(ROW()-2,4))</f>
        <v>M003</v>
      </c>
      <c r="D850" cm="1">
        <f t="array" ref="D850">INDEX(Weekly_Inventory_Flow!$I$2:$I$261,INT((ROW()-2)/4)+1)</f>
        <v>11200</v>
      </c>
      <c r="E850" cm="1">
        <f t="array" ref="E850">INDEX(BOM!$C$2:$C$21,MATCH(B850,BOM!$A$2:$A$21,0)+MOD(ROW()-2,4))</f>
        <v>0.25</v>
      </c>
      <c r="F850">
        <f t="shared" si="13"/>
        <v>2800</v>
      </c>
    </row>
    <row r="851" spans="1:6">
      <c r="A851" s="1" cm="1">
        <f t="array" ref="A851">INDEX(Weekly_Inventory_Flow!$A$2:$A$261,INT((ROW()-2)/4)+1)</f>
        <v>46321</v>
      </c>
      <c r="B851" t="str" cm="1">
        <f t="array" ref="B851">INDEX(Weekly_Inventory_Flow!$B$2:$B$261,INT((ROW()-2)/4)+1)</f>
        <v>P003</v>
      </c>
      <c r="C851" t="str" cm="1">
        <f t="array" ref="C851">INDEX(BOM!$B$2:$B$21,MATCH(B851,BOM!$A$2:$A$21,0)+MOD(ROW()-2,4))</f>
        <v>M006</v>
      </c>
      <c r="D851" cm="1">
        <f t="array" ref="D851">INDEX(Weekly_Inventory_Flow!$I$2:$I$261,INT((ROW()-2)/4)+1)</f>
        <v>11200</v>
      </c>
      <c r="E851" cm="1">
        <f t="array" ref="E851">INDEX(BOM!$C$2:$C$21,MATCH(B851,BOM!$A$2:$A$21,0)+MOD(ROW()-2,4))</f>
        <v>6.0000000000000001E-3</v>
      </c>
      <c r="F851">
        <f t="shared" si="13"/>
        <v>67.2</v>
      </c>
    </row>
    <row r="852" spans="1:6">
      <c r="A852" s="1" cm="1">
        <f t="array" ref="A852">INDEX(Weekly_Inventory_Flow!$A$2:$A$261,INT((ROW()-2)/4)+1)</f>
        <v>46321</v>
      </c>
      <c r="B852" t="str" cm="1">
        <f t="array" ref="B852">INDEX(Weekly_Inventory_Flow!$B$2:$B$261,INT((ROW()-2)/4)+1)</f>
        <v>P003</v>
      </c>
      <c r="C852" t="str" cm="1">
        <f t="array" ref="C852">INDEX(BOM!$B$2:$B$21,MATCH(B852,BOM!$A$2:$A$21,0)+MOD(ROW()-2,4))</f>
        <v>M007</v>
      </c>
      <c r="D852" cm="1">
        <f t="array" ref="D852">INDEX(Weekly_Inventory_Flow!$I$2:$I$261,INT((ROW()-2)/4)+1)</f>
        <v>11200</v>
      </c>
      <c r="E852" cm="1">
        <f t="array" ref="E852">INDEX(BOM!$C$2:$C$21,MATCH(B852,BOM!$A$2:$A$21,0)+MOD(ROW()-2,4))</f>
        <v>1</v>
      </c>
      <c r="F852">
        <f t="shared" si="13"/>
        <v>11200</v>
      </c>
    </row>
    <row r="853" spans="1:6">
      <c r="A853" s="1" cm="1">
        <f t="array" ref="A853">INDEX(Weekly_Inventory_Flow!$A$2:$A$261,INT((ROW()-2)/4)+1)</f>
        <v>46321</v>
      </c>
      <c r="B853" t="str" cm="1">
        <f t="array" ref="B853">INDEX(Weekly_Inventory_Flow!$B$2:$B$261,INT((ROW()-2)/4)+1)</f>
        <v>P003</v>
      </c>
      <c r="C853" t="str" cm="1">
        <f t="array" ref="C853">INDEX(BOM!$B$2:$B$21,MATCH(B853,BOM!$A$2:$A$21,0)+MOD(ROW()-2,4))</f>
        <v>M008</v>
      </c>
      <c r="D853" cm="1">
        <f t="array" ref="D853">INDEX(Weekly_Inventory_Flow!$I$2:$I$261,INT((ROW()-2)/4)+1)</f>
        <v>11200</v>
      </c>
      <c r="E853" cm="1">
        <f t="array" ref="E853">INDEX(BOM!$C$2:$C$21,MATCH(B853,BOM!$A$2:$A$21,0)+MOD(ROW()-2,4))</f>
        <v>1</v>
      </c>
      <c r="F853">
        <f t="shared" si="13"/>
        <v>11200</v>
      </c>
    </row>
    <row r="854" spans="1:6">
      <c r="A854" s="1" cm="1">
        <f t="array" ref="A854">INDEX(Weekly_Inventory_Flow!$A$2:$A$261,INT((ROW()-2)/4)+1)</f>
        <v>46321</v>
      </c>
      <c r="B854" t="str" cm="1">
        <f t="array" ref="B854">INDEX(Weekly_Inventory_Flow!$B$2:$B$261,INT((ROW()-2)/4)+1)</f>
        <v>P004</v>
      </c>
      <c r="C854" t="str" cm="1">
        <f t="array" ref="C854">INDEX(BOM!$B$2:$B$21,MATCH(B854,BOM!$A$2:$A$21,0)+MOD(ROW()-2,4))</f>
        <v>M004</v>
      </c>
      <c r="D854" cm="1">
        <f t="array" ref="D854">INDEX(Weekly_Inventory_Flow!$I$2:$I$261,INT((ROW()-2)/4)+1)</f>
        <v>11600</v>
      </c>
      <c r="E854" cm="1">
        <f t="array" ref="E854">INDEX(BOM!$C$2:$C$21,MATCH(B854,BOM!$A$2:$A$21,0)+MOD(ROW()-2,4))</f>
        <v>0.34</v>
      </c>
      <c r="F854">
        <f t="shared" si="13"/>
        <v>3944.0000000000005</v>
      </c>
    </row>
    <row r="855" spans="1:6">
      <c r="A855" s="1" cm="1">
        <f t="array" ref="A855">INDEX(Weekly_Inventory_Flow!$A$2:$A$261,INT((ROW()-2)/4)+1)</f>
        <v>46321</v>
      </c>
      <c r="B855" t="str" cm="1">
        <f t="array" ref="B855">INDEX(Weekly_Inventory_Flow!$B$2:$B$261,INT((ROW()-2)/4)+1)</f>
        <v>P004</v>
      </c>
      <c r="C855" t="str" cm="1">
        <f t="array" ref="C855">INDEX(BOM!$B$2:$B$21,MATCH(B855,BOM!$A$2:$A$21,0)+MOD(ROW()-2,4))</f>
        <v>M006</v>
      </c>
      <c r="D855" cm="1">
        <f t="array" ref="D855">INDEX(Weekly_Inventory_Flow!$I$2:$I$261,INT((ROW()-2)/4)+1)</f>
        <v>11600</v>
      </c>
      <c r="E855" cm="1">
        <f t="array" ref="E855">INDEX(BOM!$C$2:$C$21,MATCH(B855,BOM!$A$2:$A$21,0)+MOD(ROW()-2,4))</f>
        <v>8.9999999999999993E-3</v>
      </c>
      <c r="F855">
        <f t="shared" si="13"/>
        <v>104.39999999999999</v>
      </c>
    </row>
    <row r="856" spans="1:6">
      <c r="A856" s="1" cm="1">
        <f t="array" ref="A856">INDEX(Weekly_Inventory_Flow!$A$2:$A$261,INT((ROW()-2)/4)+1)</f>
        <v>46321</v>
      </c>
      <c r="B856" t="str" cm="1">
        <f t="array" ref="B856">INDEX(Weekly_Inventory_Flow!$B$2:$B$261,INT((ROW()-2)/4)+1)</f>
        <v>P004</v>
      </c>
      <c r="C856" t="str" cm="1">
        <f t="array" ref="C856">INDEX(BOM!$B$2:$B$21,MATCH(B856,BOM!$A$2:$A$21,0)+MOD(ROW()-2,4))</f>
        <v>M007</v>
      </c>
      <c r="D856" cm="1">
        <f t="array" ref="D856">INDEX(Weekly_Inventory_Flow!$I$2:$I$261,INT((ROW()-2)/4)+1)</f>
        <v>11600</v>
      </c>
      <c r="E856" cm="1">
        <f t="array" ref="E856">INDEX(BOM!$C$2:$C$21,MATCH(B856,BOM!$A$2:$A$21,0)+MOD(ROW()-2,4))</f>
        <v>1</v>
      </c>
      <c r="F856">
        <f t="shared" si="13"/>
        <v>11600</v>
      </c>
    </row>
    <row r="857" spans="1:6">
      <c r="A857" s="1" cm="1">
        <f t="array" ref="A857">INDEX(Weekly_Inventory_Flow!$A$2:$A$261,INT((ROW()-2)/4)+1)</f>
        <v>46321</v>
      </c>
      <c r="B857" t="str" cm="1">
        <f t="array" ref="B857">INDEX(Weekly_Inventory_Flow!$B$2:$B$261,INT((ROW()-2)/4)+1)</f>
        <v>P004</v>
      </c>
      <c r="C857" t="str" cm="1">
        <f t="array" ref="C857">INDEX(BOM!$B$2:$B$21,MATCH(B857,BOM!$A$2:$A$21,0)+MOD(ROW()-2,4))</f>
        <v>M008</v>
      </c>
      <c r="D857" cm="1">
        <f t="array" ref="D857">INDEX(Weekly_Inventory_Flow!$I$2:$I$261,INT((ROW()-2)/4)+1)</f>
        <v>11600</v>
      </c>
      <c r="E857" cm="1">
        <f t="array" ref="E857">INDEX(BOM!$C$2:$C$21,MATCH(B857,BOM!$A$2:$A$21,0)+MOD(ROW()-2,4))</f>
        <v>1</v>
      </c>
      <c r="F857">
        <f t="shared" si="13"/>
        <v>11600</v>
      </c>
    </row>
    <row r="858" spans="1:6">
      <c r="A858" s="1" cm="1">
        <f t="array" ref="A858">INDEX(Weekly_Inventory_Flow!$A$2:$A$261,INT((ROW()-2)/4)+1)</f>
        <v>46321</v>
      </c>
      <c r="B858" t="str" cm="1">
        <f t="array" ref="B858">INDEX(Weekly_Inventory_Flow!$B$2:$B$261,INT((ROW()-2)/4)+1)</f>
        <v>P005</v>
      </c>
      <c r="C858" t="str" cm="1">
        <f t="array" ref="C858">INDEX(BOM!$B$2:$B$21,MATCH(B858,BOM!$A$2:$A$21,0)+MOD(ROW()-2,4))</f>
        <v>M005</v>
      </c>
      <c r="D858" cm="1">
        <f t="array" ref="D858">INDEX(Weekly_Inventory_Flow!$I$2:$I$261,INT((ROW()-2)/4)+1)</f>
        <v>9000</v>
      </c>
      <c r="E858" cm="1">
        <f t="array" ref="E858">INDEX(BOM!$C$2:$C$21,MATCH(B858,BOM!$A$2:$A$21,0)+MOD(ROW()-2,4))</f>
        <v>0.52</v>
      </c>
      <c r="F858">
        <f t="shared" si="13"/>
        <v>4680</v>
      </c>
    </row>
    <row r="859" spans="1:6">
      <c r="A859" s="1" cm="1">
        <f t="array" ref="A859">INDEX(Weekly_Inventory_Flow!$A$2:$A$261,INT((ROW()-2)/4)+1)</f>
        <v>46321</v>
      </c>
      <c r="B859" t="str" cm="1">
        <f t="array" ref="B859">INDEX(Weekly_Inventory_Flow!$B$2:$B$261,INT((ROW()-2)/4)+1)</f>
        <v>P005</v>
      </c>
      <c r="C859" t="str" cm="1">
        <f t="array" ref="C859">INDEX(BOM!$B$2:$B$21,MATCH(B859,BOM!$A$2:$A$21,0)+MOD(ROW()-2,4))</f>
        <v>M006</v>
      </c>
      <c r="D859" cm="1">
        <f t="array" ref="D859">INDEX(Weekly_Inventory_Flow!$I$2:$I$261,INT((ROW()-2)/4)+1)</f>
        <v>9000</v>
      </c>
      <c r="E859" cm="1">
        <f t="array" ref="E859">INDEX(BOM!$C$2:$C$21,MATCH(B859,BOM!$A$2:$A$21,0)+MOD(ROW()-2,4))</f>
        <v>1.2E-2</v>
      </c>
      <c r="F859">
        <f t="shared" si="13"/>
        <v>108</v>
      </c>
    </row>
    <row r="860" spans="1:6">
      <c r="A860" s="1" cm="1">
        <f t="array" ref="A860">INDEX(Weekly_Inventory_Flow!$A$2:$A$261,INT((ROW()-2)/4)+1)</f>
        <v>46321</v>
      </c>
      <c r="B860" t="str" cm="1">
        <f t="array" ref="B860">INDEX(Weekly_Inventory_Flow!$B$2:$B$261,INT((ROW()-2)/4)+1)</f>
        <v>P005</v>
      </c>
      <c r="C860" t="str" cm="1">
        <f t="array" ref="C860">INDEX(BOM!$B$2:$B$21,MATCH(B860,BOM!$A$2:$A$21,0)+MOD(ROW()-2,4))</f>
        <v>M007</v>
      </c>
      <c r="D860" cm="1">
        <f t="array" ref="D860">INDEX(Weekly_Inventory_Flow!$I$2:$I$261,INT((ROW()-2)/4)+1)</f>
        <v>9000</v>
      </c>
      <c r="E860" cm="1">
        <f t="array" ref="E860">INDEX(BOM!$C$2:$C$21,MATCH(B860,BOM!$A$2:$A$21,0)+MOD(ROW()-2,4))</f>
        <v>1</v>
      </c>
      <c r="F860">
        <f t="shared" si="13"/>
        <v>9000</v>
      </c>
    </row>
    <row r="861" spans="1:6">
      <c r="A861" s="1" cm="1">
        <f t="array" ref="A861">INDEX(Weekly_Inventory_Flow!$A$2:$A$261,INT((ROW()-2)/4)+1)</f>
        <v>46321</v>
      </c>
      <c r="B861" t="str" cm="1">
        <f t="array" ref="B861">INDEX(Weekly_Inventory_Flow!$B$2:$B$261,INT((ROW()-2)/4)+1)</f>
        <v>P005</v>
      </c>
      <c r="C861" t="str" cm="1">
        <f t="array" ref="C861">INDEX(BOM!$B$2:$B$21,MATCH(B861,BOM!$A$2:$A$21,0)+MOD(ROW()-2,4))</f>
        <v>M008</v>
      </c>
      <c r="D861" cm="1">
        <f t="array" ref="D861">INDEX(Weekly_Inventory_Flow!$I$2:$I$261,INT((ROW()-2)/4)+1)</f>
        <v>9000</v>
      </c>
      <c r="E861" cm="1">
        <f t="array" ref="E861">INDEX(BOM!$C$2:$C$21,MATCH(B861,BOM!$A$2:$A$21,0)+MOD(ROW()-2,4))</f>
        <v>1</v>
      </c>
      <c r="F861">
        <f t="shared" si="13"/>
        <v>9000</v>
      </c>
    </row>
    <row r="862" spans="1:6">
      <c r="A862" s="1" cm="1">
        <f t="array" ref="A862">INDEX(Weekly_Inventory_Flow!$A$2:$A$261,INT((ROW()-2)/4)+1)</f>
        <v>46328</v>
      </c>
      <c r="B862" t="str" cm="1">
        <f t="array" ref="B862">INDEX(Weekly_Inventory_Flow!$B$2:$B$261,INT((ROW()-2)/4)+1)</f>
        <v>P001</v>
      </c>
      <c r="C862" t="str" cm="1">
        <f t="array" ref="C862">INDEX(BOM!$B$2:$B$21,MATCH(B862,BOM!$A$2:$A$21,0)+MOD(ROW()-2,4))</f>
        <v>M001</v>
      </c>
      <c r="D862" cm="1">
        <f t="array" ref="D862">INDEX(Weekly_Inventory_Flow!$I$2:$I$261,INT((ROW()-2)/4)+1)</f>
        <v>16000</v>
      </c>
      <c r="E862" cm="1">
        <f t="array" ref="E862">INDEX(BOM!$C$2:$C$21,MATCH(B862,BOM!$A$2:$A$21,0)+MOD(ROW()-2,4))</f>
        <v>0.35</v>
      </c>
      <c r="F862">
        <f t="shared" si="13"/>
        <v>5600</v>
      </c>
    </row>
    <row r="863" spans="1:6">
      <c r="A863" s="1" cm="1">
        <f t="array" ref="A863">INDEX(Weekly_Inventory_Flow!$A$2:$A$261,INT((ROW()-2)/4)+1)</f>
        <v>46328</v>
      </c>
      <c r="B863" t="str" cm="1">
        <f t="array" ref="B863">INDEX(Weekly_Inventory_Flow!$B$2:$B$261,INT((ROW()-2)/4)+1)</f>
        <v>P001</v>
      </c>
      <c r="C863" t="str" cm="1">
        <f t="array" ref="C863">INDEX(BOM!$B$2:$B$21,MATCH(B863,BOM!$A$2:$A$21,0)+MOD(ROW()-2,4))</f>
        <v>M006</v>
      </c>
      <c r="D863" cm="1">
        <f t="array" ref="D863">INDEX(Weekly_Inventory_Flow!$I$2:$I$261,INT((ROW()-2)/4)+1)</f>
        <v>16000</v>
      </c>
      <c r="E863" cm="1">
        <f t="array" ref="E863">INDEX(BOM!$C$2:$C$21,MATCH(B863,BOM!$A$2:$A$21,0)+MOD(ROW()-2,4))</f>
        <v>0.01</v>
      </c>
      <c r="F863">
        <f t="shared" si="13"/>
        <v>160</v>
      </c>
    </row>
    <row r="864" spans="1:6">
      <c r="A864" s="1" cm="1">
        <f t="array" ref="A864">INDEX(Weekly_Inventory_Flow!$A$2:$A$261,INT((ROW()-2)/4)+1)</f>
        <v>46328</v>
      </c>
      <c r="B864" t="str" cm="1">
        <f t="array" ref="B864">INDEX(Weekly_Inventory_Flow!$B$2:$B$261,INT((ROW()-2)/4)+1)</f>
        <v>P001</v>
      </c>
      <c r="C864" t="str" cm="1">
        <f t="array" ref="C864">INDEX(BOM!$B$2:$B$21,MATCH(B864,BOM!$A$2:$A$21,0)+MOD(ROW()-2,4))</f>
        <v>M007</v>
      </c>
      <c r="D864" cm="1">
        <f t="array" ref="D864">INDEX(Weekly_Inventory_Flow!$I$2:$I$261,INT((ROW()-2)/4)+1)</f>
        <v>16000</v>
      </c>
      <c r="E864" cm="1">
        <f t="array" ref="E864">INDEX(BOM!$C$2:$C$21,MATCH(B864,BOM!$A$2:$A$21,0)+MOD(ROW()-2,4))</f>
        <v>1</v>
      </c>
      <c r="F864">
        <f t="shared" si="13"/>
        <v>16000</v>
      </c>
    </row>
    <row r="865" spans="1:6">
      <c r="A865" s="1" cm="1">
        <f t="array" ref="A865">INDEX(Weekly_Inventory_Flow!$A$2:$A$261,INT((ROW()-2)/4)+1)</f>
        <v>46328</v>
      </c>
      <c r="B865" t="str" cm="1">
        <f t="array" ref="B865">INDEX(Weekly_Inventory_Flow!$B$2:$B$261,INT((ROW()-2)/4)+1)</f>
        <v>P001</v>
      </c>
      <c r="C865" t="str" cm="1">
        <f t="array" ref="C865">INDEX(BOM!$B$2:$B$21,MATCH(B865,BOM!$A$2:$A$21,0)+MOD(ROW()-2,4))</f>
        <v>M008</v>
      </c>
      <c r="D865" cm="1">
        <f t="array" ref="D865">INDEX(Weekly_Inventory_Flow!$I$2:$I$261,INT((ROW()-2)/4)+1)</f>
        <v>16000</v>
      </c>
      <c r="E865" cm="1">
        <f t="array" ref="E865">INDEX(BOM!$C$2:$C$21,MATCH(B865,BOM!$A$2:$A$21,0)+MOD(ROW()-2,4))</f>
        <v>1</v>
      </c>
      <c r="F865">
        <f t="shared" si="13"/>
        <v>16000</v>
      </c>
    </row>
    <row r="866" spans="1:6">
      <c r="A866" s="1" cm="1">
        <f t="array" ref="A866">INDEX(Weekly_Inventory_Flow!$A$2:$A$261,INT((ROW()-2)/4)+1)</f>
        <v>46328</v>
      </c>
      <c r="B866" t="str" cm="1">
        <f t="array" ref="B866">INDEX(Weekly_Inventory_Flow!$B$2:$B$261,INT((ROW()-2)/4)+1)</f>
        <v>P002</v>
      </c>
      <c r="C866" t="str" cm="1">
        <f t="array" ref="C866">INDEX(BOM!$B$2:$B$21,MATCH(B866,BOM!$A$2:$A$21,0)+MOD(ROW()-2,4))</f>
        <v>M002</v>
      </c>
      <c r="D866" cm="1">
        <f t="array" ref="D866">INDEX(Weekly_Inventory_Flow!$I$2:$I$261,INT((ROW()-2)/4)+1)</f>
        <v>12900</v>
      </c>
      <c r="E866" cm="1">
        <f t="array" ref="E866">INDEX(BOM!$C$2:$C$21,MATCH(B866,BOM!$A$2:$A$21,0)+MOD(ROW()-2,4))</f>
        <v>0.3</v>
      </c>
      <c r="F866">
        <f t="shared" si="13"/>
        <v>3870</v>
      </c>
    </row>
    <row r="867" spans="1:6">
      <c r="A867" s="1" cm="1">
        <f t="array" ref="A867">INDEX(Weekly_Inventory_Flow!$A$2:$A$261,INT((ROW()-2)/4)+1)</f>
        <v>46328</v>
      </c>
      <c r="B867" t="str" cm="1">
        <f t="array" ref="B867">INDEX(Weekly_Inventory_Flow!$B$2:$B$261,INT((ROW()-2)/4)+1)</f>
        <v>P002</v>
      </c>
      <c r="C867" t="str" cm="1">
        <f t="array" ref="C867">INDEX(BOM!$B$2:$B$21,MATCH(B867,BOM!$A$2:$A$21,0)+MOD(ROW()-2,4))</f>
        <v>M006</v>
      </c>
      <c r="D867" cm="1">
        <f t="array" ref="D867">INDEX(Weekly_Inventory_Flow!$I$2:$I$261,INT((ROW()-2)/4)+1)</f>
        <v>12900</v>
      </c>
      <c r="E867" cm="1">
        <f t="array" ref="E867">INDEX(BOM!$C$2:$C$21,MATCH(B867,BOM!$A$2:$A$21,0)+MOD(ROW()-2,4))</f>
        <v>8.0000000000000002E-3</v>
      </c>
      <c r="F867">
        <f t="shared" si="13"/>
        <v>103.2</v>
      </c>
    </row>
    <row r="868" spans="1:6">
      <c r="A868" s="1" cm="1">
        <f t="array" ref="A868">INDEX(Weekly_Inventory_Flow!$A$2:$A$261,INT((ROW()-2)/4)+1)</f>
        <v>46328</v>
      </c>
      <c r="B868" t="str" cm="1">
        <f t="array" ref="B868">INDEX(Weekly_Inventory_Flow!$B$2:$B$261,INT((ROW()-2)/4)+1)</f>
        <v>P002</v>
      </c>
      <c r="C868" t="str" cm="1">
        <f t="array" ref="C868">INDEX(BOM!$B$2:$B$21,MATCH(B868,BOM!$A$2:$A$21,0)+MOD(ROW()-2,4))</f>
        <v>M007</v>
      </c>
      <c r="D868" cm="1">
        <f t="array" ref="D868">INDEX(Weekly_Inventory_Flow!$I$2:$I$261,INT((ROW()-2)/4)+1)</f>
        <v>12900</v>
      </c>
      <c r="E868" cm="1">
        <f t="array" ref="E868">INDEX(BOM!$C$2:$C$21,MATCH(B868,BOM!$A$2:$A$21,0)+MOD(ROW()-2,4))</f>
        <v>1</v>
      </c>
      <c r="F868">
        <f t="shared" si="13"/>
        <v>12900</v>
      </c>
    </row>
    <row r="869" spans="1:6">
      <c r="A869" s="1" cm="1">
        <f t="array" ref="A869">INDEX(Weekly_Inventory_Flow!$A$2:$A$261,INT((ROW()-2)/4)+1)</f>
        <v>46328</v>
      </c>
      <c r="B869" t="str" cm="1">
        <f t="array" ref="B869">INDEX(Weekly_Inventory_Flow!$B$2:$B$261,INT((ROW()-2)/4)+1)</f>
        <v>P002</v>
      </c>
      <c r="C869" t="str" cm="1">
        <f t="array" ref="C869">INDEX(BOM!$B$2:$B$21,MATCH(B869,BOM!$A$2:$A$21,0)+MOD(ROW()-2,4))</f>
        <v>M008</v>
      </c>
      <c r="D869" cm="1">
        <f t="array" ref="D869">INDEX(Weekly_Inventory_Flow!$I$2:$I$261,INT((ROW()-2)/4)+1)</f>
        <v>12900</v>
      </c>
      <c r="E869" cm="1">
        <f t="array" ref="E869">INDEX(BOM!$C$2:$C$21,MATCH(B869,BOM!$A$2:$A$21,0)+MOD(ROW()-2,4))</f>
        <v>1</v>
      </c>
      <c r="F869">
        <f t="shared" si="13"/>
        <v>12900</v>
      </c>
    </row>
    <row r="870" spans="1:6">
      <c r="A870" s="1" cm="1">
        <f t="array" ref="A870">INDEX(Weekly_Inventory_Flow!$A$2:$A$261,INT((ROW()-2)/4)+1)</f>
        <v>46328</v>
      </c>
      <c r="B870" t="str" cm="1">
        <f t="array" ref="B870">INDEX(Weekly_Inventory_Flow!$B$2:$B$261,INT((ROW()-2)/4)+1)</f>
        <v>P003</v>
      </c>
      <c r="C870" t="str" cm="1">
        <f t="array" ref="C870">INDEX(BOM!$B$2:$B$21,MATCH(B870,BOM!$A$2:$A$21,0)+MOD(ROW()-2,4))</f>
        <v>M003</v>
      </c>
      <c r="D870" cm="1">
        <f t="array" ref="D870">INDEX(Weekly_Inventory_Flow!$I$2:$I$261,INT((ROW()-2)/4)+1)</f>
        <v>11400</v>
      </c>
      <c r="E870" cm="1">
        <f t="array" ref="E870">INDEX(BOM!$C$2:$C$21,MATCH(B870,BOM!$A$2:$A$21,0)+MOD(ROW()-2,4))</f>
        <v>0.25</v>
      </c>
      <c r="F870">
        <f t="shared" si="13"/>
        <v>2850</v>
      </c>
    </row>
    <row r="871" spans="1:6">
      <c r="A871" s="1" cm="1">
        <f t="array" ref="A871">INDEX(Weekly_Inventory_Flow!$A$2:$A$261,INT((ROW()-2)/4)+1)</f>
        <v>46328</v>
      </c>
      <c r="B871" t="str" cm="1">
        <f t="array" ref="B871">INDEX(Weekly_Inventory_Flow!$B$2:$B$261,INT((ROW()-2)/4)+1)</f>
        <v>P003</v>
      </c>
      <c r="C871" t="str" cm="1">
        <f t="array" ref="C871">INDEX(BOM!$B$2:$B$21,MATCH(B871,BOM!$A$2:$A$21,0)+MOD(ROW()-2,4))</f>
        <v>M006</v>
      </c>
      <c r="D871" cm="1">
        <f t="array" ref="D871">INDEX(Weekly_Inventory_Flow!$I$2:$I$261,INT((ROW()-2)/4)+1)</f>
        <v>11400</v>
      </c>
      <c r="E871" cm="1">
        <f t="array" ref="E871">INDEX(BOM!$C$2:$C$21,MATCH(B871,BOM!$A$2:$A$21,0)+MOD(ROW()-2,4))</f>
        <v>6.0000000000000001E-3</v>
      </c>
      <c r="F871">
        <f t="shared" si="13"/>
        <v>68.400000000000006</v>
      </c>
    </row>
    <row r="872" spans="1:6">
      <c r="A872" s="1" cm="1">
        <f t="array" ref="A872">INDEX(Weekly_Inventory_Flow!$A$2:$A$261,INT((ROW()-2)/4)+1)</f>
        <v>46328</v>
      </c>
      <c r="B872" t="str" cm="1">
        <f t="array" ref="B872">INDEX(Weekly_Inventory_Flow!$B$2:$B$261,INT((ROW()-2)/4)+1)</f>
        <v>P003</v>
      </c>
      <c r="C872" t="str" cm="1">
        <f t="array" ref="C872">INDEX(BOM!$B$2:$B$21,MATCH(B872,BOM!$A$2:$A$21,0)+MOD(ROW()-2,4))</f>
        <v>M007</v>
      </c>
      <c r="D872" cm="1">
        <f t="array" ref="D872">INDEX(Weekly_Inventory_Flow!$I$2:$I$261,INT((ROW()-2)/4)+1)</f>
        <v>11400</v>
      </c>
      <c r="E872" cm="1">
        <f t="array" ref="E872">INDEX(BOM!$C$2:$C$21,MATCH(B872,BOM!$A$2:$A$21,0)+MOD(ROW()-2,4))</f>
        <v>1</v>
      </c>
      <c r="F872">
        <f t="shared" si="13"/>
        <v>11400</v>
      </c>
    </row>
    <row r="873" spans="1:6">
      <c r="A873" s="1" cm="1">
        <f t="array" ref="A873">INDEX(Weekly_Inventory_Flow!$A$2:$A$261,INT((ROW()-2)/4)+1)</f>
        <v>46328</v>
      </c>
      <c r="B873" t="str" cm="1">
        <f t="array" ref="B873">INDEX(Weekly_Inventory_Flow!$B$2:$B$261,INT((ROW()-2)/4)+1)</f>
        <v>P003</v>
      </c>
      <c r="C873" t="str" cm="1">
        <f t="array" ref="C873">INDEX(BOM!$B$2:$B$21,MATCH(B873,BOM!$A$2:$A$21,0)+MOD(ROW()-2,4))</f>
        <v>M008</v>
      </c>
      <c r="D873" cm="1">
        <f t="array" ref="D873">INDEX(Weekly_Inventory_Flow!$I$2:$I$261,INT((ROW()-2)/4)+1)</f>
        <v>11400</v>
      </c>
      <c r="E873" cm="1">
        <f t="array" ref="E873">INDEX(BOM!$C$2:$C$21,MATCH(B873,BOM!$A$2:$A$21,0)+MOD(ROW()-2,4))</f>
        <v>1</v>
      </c>
      <c r="F873">
        <f t="shared" si="13"/>
        <v>11400</v>
      </c>
    </row>
    <row r="874" spans="1:6">
      <c r="A874" s="1" cm="1">
        <f t="array" ref="A874">INDEX(Weekly_Inventory_Flow!$A$2:$A$261,INT((ROW()-2)/4)+1)</f>
        <v>46328</v>
      </c>
      <c r="B874" t="str" cm="1">
        <f t="array" ref="B874">INDEX(Weekly_Inventory_Flow!$B$2:$B$261,INT((ROW()-2)/4)+1)</f>
        <v>P004</v>
      </c>
      <c r="C874" t="str" cm="1">
        <f t="array" ref="C874">INDEX(BOM!$B$2:$B$21,MATCH(B874,BOM!$A$2:$A$21,0)+MOD(ROW()-2,4))</f>
        <v>M004</v>
      </c>
      <c r="D874" cm="1">
        <f t="array" ref="D874">INDEX(Weekly_Inventory_Flow!$I$2:$I$261,INT((ROW()-2)/4)+1)</f>
        <v>12600</v>
      </c>
      <c r="E874" cm="1">
        <f t="array" ref="E874">INDEX(BOM!$C$2:$C$21,MATCH(B874,BOM!$A$2:$A$21,0)+MOD(ROW()-2,4))</f>
        <v>0.34</v>
      </c>
      <c r="F874">
        <f t="shared" si="13"/>
        <v>4284</v>
      </c>
    </row>
    <row r="875" spans="1:6">
      <c r="A875" s="1" cm="1">
        <f t="array" ref="A875">INDEX(Weekly_Inventory_Flow!$A$2:$A$261,INT((ROW()-2)/4)+1)</f>
        <v>46328</v>
      </c>
      <c r="B875" t="str" cm="1">
        <f t="array" ref="B875">INDEX(Weekly_Inventory_Flow!$B$2:$B$261,INT((ROW()-2)/4)+1)</f>
        <v>P004</v>
      </c>
      <c r="C875" t="str" cm="1">
        <f t="array" ref="C875">INDEX(BOM!$B$2:$B$21,MATCH(B875,BOM!$A$2:$A$21,0)+MOD(ROW()-2,4))</f>
        <v>M006</v>
      </c>
      <c r="D875" cm="1">
        <f t="array" ref="D875">INDEX(Weekly_Inventory_Flow!$I$2:$I$261,INT((ROW()-2)/4)+1)</f>
        <v>12600</v>
      </c>
      <c r="E875" cm="1">
        <f t="array" ref="E875">INDEX(BOM!$C$2:$C$21,MATCH(B875,BOM!$A$2:$A$21,0)+MOD(ROW()-2,4))</f>
        <v>8.9999999999999993E-3</v>
      </c>
      <c r="F875">
        <f t="shared" si="13"/>
        <v>113.39999999999999</v>
      </c>
    </row>
    <row r="876" spans="1:6">
      <c r="A876" s="1" cm="1">
        <f t="array" ref="A876">INDEX(Weekly_Inventory_Flow!$A$2:$A$261,INT((ROW()-2)/4)+1)</f>
        <v>46328</v>
      </c>
      <c r="B876" t="str" cm="1">
        <f t="array" ref="B876">INDEX(Weekly_Inventory_Flow!$B$2:$B$261,INT((ROW()-2)/4)+1)</f>
        <v>P004</v>
      </c>
      <c r="C876" t="str" cm="1">
        <f t="array" ref="C876">INDEX(BOM!$B$2:$B$21,MATCH(B876,BOM!$A$2:$A$21,0)+MOD(ROW()-2,4))</f>
        <v>M007</v>
      </c>
      <c r="D876" cm="1">
        <f t="array" ref="D876">INDEX(Weekly_Inventory_Flow!$I$2:$I$261,INT((ROW()-2)/4)+1)</f>
        <v>12600</v>
      </c>
      <c r="E876" cm="1">
        <f t="array" ref="E876">INDEX(BOM!$C$2:$C$21,MATCH(B876,BOM!$A$2:$A$21,0)+MOD(ROW()-2,4))</f>
        <v>1</v>
      </c>
      <c r="F876">
        <f t="shared" si="13"/>
        <v>12600</v>
      </c>
    </row>
    <row r="877" spans="1:6">
      <c r="A877" s="1" cm="1">
        <f t="array" ref="A877">INDEX(Weekly_Inventory_Flow!$A$2:$A$261,INT((ROW()-2)/4)+1)</f>
        <v>46328</v>
      </c>
      <c r="B877" t="str" cm="1">
        <f t="array" ref="B877">INDEX(Weekly_Inventory_Flow!$B$2:$B$261,INT((ROW()-2)/4)+1)</f>
        <v>P004</v>
      </c>
      <c r="C877" t="str" cm="1">
        <f t="array" ref="C877">INDEX(BOM!$B$2:$B$21,MATCH(B877,BOM!$A$2:$A$21,0)+MOD(ROW()-2,4))</f>
        <v>M008</v>
      </c>
      <c r="D877" cm="1">
        <f t="array" ref="D877">INDEX(Weekly_Inventory_Flow!$I$2:$I$261,INT((ROW()-2)/4)+1)</f>
        <v>12600</v>
      </c>
      <c r="E877" cm="1">
        <f t="array" ref="E877">INDEX(BOM!$C$2:$C$21,MATCH(B877,BOM!$A$2:$A$21,0)+MOD(ROW()-2,4))</f>
        <v>1</v>
      </c>
      <c r="F877">
        <f t="shared" si="13"/>
        <v>12600</v>
      </c>
    </row>
    <row r="878" spans="1:6">
      <c r="A878" s="1" cm="1">
        <f t="array" ref="A878">INDEX(Weekly_Inventory_Flow!$A$2:$A$261,INT((ROW()-2)/4)+1)</f>
        <v>46328</v>
      </c>
      <c r="B878" t="str" cm="1">
        <f t="array" ref="B878">INDEX(Weekly_Inventory_Flow!$B$2:$B$261,INT((ROW()-2)/4)+1)</f>
        <v>P005</v>
      </c>
      <c r="C878" t="str" cm="1">
        <f t="array" ref="C878">INDEX(BOM!$B$2:$B$21,MATCH(B878,BOM!$A$2:$A$21,0)+MOD(ROW()-2,4))</f>
        <v>M005</v>
      </c>
      <c r="D878" cm="1">
        <f t="array" ref="D878">INDEX(Weekly_Inventory_Flow!$I$2:$I$261,INT((ROW()-2)/4)+1)</f>
        <v>9300</v>
      </c>
      <c r="E878" cm="1">
        <f t="array" ref="E878">INDEX(BOM!$C$2:$C$21,MATCH(B878,BOM!$A$2:$A$21,0)+MOD(ROW()-2,4))</f>
        <v>0.52</v>
      </c>
      <c r="F878">
        <f t="shared" si="13"/>
        <v>4836</v>
      </c>
    </row>
    <row r="879" spans="1:6">
      <c r="A879" s="1" cm="1">
        <f t="array" ref="A879">INDEX(Weekly_Inventory_Flow!$A$2:$A$261,INT((ROW()-2)/4)+1)</f>
        <v>46328</v>
      </c>
      <c r="B879" t="str" cm="1">
        <f t="array" ref="B879">INDEX(Weekly_Inventory_Flow!$B$2:$B$261,INT((ROW()-2)/4)+1)</f>
        <v>P005</v>
      </c>
      <c r="C879" t="str" cm="1">
        <f t="array" ref="C879">INDEX(BOM!$B$2:$B$21,MATCH(B879,BOM!$A$2:$A$21,0)+MOD(ROW()-2,4))</f>
        <v>M006</v>
      </c>
      <c r="D879" cm="1">
        <f t="array" ref="D879">INDEX(Weekly_Inventory_Flow!$I$2:$I$261,INT((ROW()-2)/4)+1)</f>
        <v>9300</v>
      </c>
      <c r="E879" cm="1">
        <f t="array" ref="E879">INDEX(BOM!$C$2:$C$21,MATCH(B879,BOM!$A$2:$A$21,0)+MOD(ROW()-2,4))</f>
        <v>1.2E-2</v>
      </c>
      <c r="F879">
        <f t="shared" si="13"/>
        <v>111.60000000000001</v>
      </c>
    </row>
    <row r="880" spans="1:6">
      <c r="A880" s="1" cm="1">
        <f t="array" ref="A880">INDEX(Weekly_Inventory_Flow!$A$2:$A$261,INT((ROW()-2)/4)+1)</f>
        <v>46328</v>
      </c>
      <c r="B880" t="str" cm="1">
        <f t="array" ref="B880">INDEX(Weekly_Inventory_Flow!$B$2:$B$261,INT((ROW()-2)/4)+1)</f>
        <v>P005</v>
      </c>
      <c r="C880" t="str" cm="1">
        <f t="array" ref="C880">INDEX(BOM!$B$2:$B$21,MATCH(B880,BOM!$A$2:$A$21,0)+MOD(ROW()-2,4))</f>
        <v>M007</v>
      </c>
      <c r="D880" cm="1">
        <f t="array" ref="D880">INDEX(Weekly_Inventory_Flow!$I$2:$I$261,INT((ROW()-2)/4)+1)</f>
        <v>9300</v>
      </c>
      <c r="E880" cm="1">
        <f t="array" ref="E880">INDEX(BOM!$C$2:$C$21,MATCH(B880,BOM!$A$2:$A$21,0)+MOD(ROW()-2,4))</f>
        <v>1</v>
      </c>
      <c r="F880">
        <f t="shared" si="13"/>
        <v>9300</v>
      </c>
    </row>
    <row r="881" spans="1:6">
      <c r="A881" s="1" cm="1">
        <f t="array" ref="A881">INDEX(Weekly_Inventory_Flow!$A$2:$A$261,INT((ROW()-2)/4)+1)</f>
        <v>46328</v>
      </c>
      <c r="B881" t="str" cm="1">
        <f t="array" ref="B881">INDEX(Weekly_Inventory_Flow!$B$2:$B$261,INT((ROW()-2)/4)+1)</f>
        <v>P005</v>
      </c>
      <c r="C881" t="str" cm="1">
        <f t="array" ref="C881">INDEX(BOM!$B$2:$B$21,MATCH(B881,BOM!$A$2:$A$21,0)+MOD(ROW()-2,4))</f>
        <v>M008</v>
      </c>
      <c r="D881" cm="1">
        <f t="array" ref="D881">INDEX(Weekly_Inventory_Flow!$I$2:$I$261,INT((ROW()-2)/4)+1)</f>
        <v>9300</v>
      </c>
      <c r="E881" cm="1">
        <f t="array" ref="E881">INDEX(BOM!$C$2:$C$21,MATCH(B881,BOM!$A$2:$A$21,0)+MOD(ROW()-2,4))</f>
        <v>1</v>
      </c>
      <c r="F881">
        <f t="shared" si="13"/>
        <v>9300</v>
      </c>
    </row>
    <row r="882" spans="1:6">
      <c r="A882" s="1" cm="1">
        <f t="array" ref="A882">INDEX(Weekly_Inventory_Flow!$A$2:$A$261,INT((ROW()-2)/4)+1)</f>
        <v>46335</v>
      </c>
      <c r="B882" t="str" cm="1">
        <f t="array" ref="B882">INDEX(Weekly_Inventory_Flow!$B$2:$B$261,INT((ROW()-2)/4)+1)</f>
        <v>P001</v>
      </c>
      <c r="C882" t="str" cm="1">
        <f t="array" ref="C882">INDEX(BOM!$B$2:$B$21,MATCH(B882,BOM!$A$2:$A$21,0)+MOD(ROW()-2,4))</f>
        <v>M001</v>
      </c>
      <c r="D882" cm="1">
        <f t="array" ref="D882">INDEX(Weekly_Inventory_Flow!$I$2:$I$261,INT((ROW()-2)/4)+1)</f>
        <v>14200</v>
      </c>
      <c r="E882" cm="1">
        <f t="array" ref="E882">INDEX(BOM!$C$2:$C$21,MATCH(B882,BOM!$A$2:$A$21,0)+MOD(ROW()-2,4))</f>
        <v>0.35</v>
      </c>
      <c r="F882">
        <f t="shared" si="13"/>
        <v>4970</v>
      </c>
    </row>
    <row r="883" spans="1:6">
      <c r="A883" s="1" cm="1">
        <f t="array" ref="A883">INDEX(Weekly_Inventory_Flow!$A$2:$A$261,INT((ROW()-2)/4)+1)</f>
        <v>46335</v>
      </c>
      <c r="B883" t="str" cm="1">
        <f t="array" ref="B883">INDEX(Weekly_Inventory_Flow!$B$2:$B$261,INT((ROW()-2)/4)+1)</f>
        <v>P001</v>
      </c>
      <c r="C883" t="str" cm="1">
        <f t="array" ref="C883">INDEX(BOM!$B$2:$B$21,MATCH(B883,BOM!$A$2:$A$21,0)+MOD(ROW()-2,4))</f>
        <v>M006</v>
      </c>
      <c r="D883" cm="1">
        <f t="array" ref="D883">INDEX(Weekly_Inventory_Flow!$I$2:$I$261,INT((ROW()-2)/4)+1)</f>
        <v>14200</v>
      </c>
      <c r="E883" cm="1">
        <f t="array" ref="E883">INDEX(BOM!$C$2:$C$21,MATCH(B883,BOM!$A$2:$A$21,0)+MOD(ROW()-2,4))</f>
        <v>0.01</v>
      </c>
      <c r="F883">
        <f t="shared" si="13"/>
        <v>142</v>
      </c>
    </row>
    <row r="884" spans="1:6">
      <c r="A884" s="1" cm="1">
        <f t="array" ref="A884">INDEX(Weekly_Inventory_Flow!$A$2:$A$261,INT((ROW()-2)/4)+1)</f>
        <v>46335</v>
      </c>
      <c r="B884" t="str" cm="1">
        <f t="array" ref="B884">INDEX(Weekly_Inventory_Flow!$B$2:$B$261,INT((ROW()-2)/4)+1)</f>
        <v>P001</v>
      </c>
      <c r="C884" t="str" cm="1">
        <f t="array" ref="C884">INDEX(BOM!$B$2:$B$21,MATCH(B884,BOM!$A$2:$A$21,0)+MOD(ROW()-2,4))</f>
        <v>M007</v>
      </c>
      <c r="D884" cm="1">
        <f t="array" ref="D884">INDEX(Weekly_Inventory_Flow!$I$2:$I$261,INT((ROW()-2)/4)+1)</f>
        <v>14200</v>
      </c>
      <c r="E884" cm="1">
        <f t="array" ref="E884">INDEX(BOM!$C$2:$C$21,MATCH(B884,BOM!$A$2:$A$21,0)+MOD(ROW()-2,4))</f>
        <v>1</v>
      </c>
      <c r="F884">
        <f t="shared" si="13"/>
        <v>14200</v>
      </c>
    </row>
    <row r="885" spans="1:6">
      <c r="A885" s="1" cm="1">
        <f t="array" ref="A885">INDEX(Weekly_Inventory_Flow!$A$2:$A$261,INT((ROW()-2)/4)+1)</f>
        <v>46335</v>
      </c>
      <c r="B885" t="str" cm="1">
        <f t="array" ref="B885">INDEX(Weekly_Inventory_Flow!$B$2:$B$261,INT((ROW()-2)/4)+1)</f>
        <v>P001</v>
      </c>
      <c r="C885" t="str" cm="1">
        <f t="array" ref="C885">INDEX(BOM!$B$2:$B$21,MATCH(B885,BOM!$A$2:$A$21,0)+MOD(ROW()-2,4))</f>
        <v>M008</v>
      </c>
      <c r="D885" cm="1">
        <f t="array" ref="D885">INDEX(Weekly_Inventory_Flow!$I$2:$I$261,INT((ROW()-2)/4)+1)</f>
        <v>14200</v>
      </c>
      <c r="E885" cm="1">
        <f t="array" ref="E885">INDEX(BOM!$C$2:$C$21,MATCH(B885,BOM!$A$2:$A$21,0)+MOD(ROW()-2,4))</f>
        <v>1</v>
      </c>
      <c r="F885">
        <f t="shared" si="13"/>
        <v>14200</v>
      </c>
    </row>
    <row r="886" spans="1:6">
      <c r="A886" s="1" cm="1">
        <f t="array" ref="A886">INDEX(Weekly_Inventory_Flow!$A$2:$A$261,INT((ROW()-2)/4)+1)</f>
        <v>46335</v>
      </c>
      <c r="B886" t="str" cm="1">
        <f t="array" ref="B886">INDEX(Weekly_Inventory_Flow!$B$2:$B$261,INT((ROW()-2)/4)+1)</f>
        <v>P002</v>
      </c>
      <c r="C886" t="str" cm="1">
        <f t="array" ref="C886">INDEX(BOM!$B$2:$B$21,MATCH(B886,BOM!$A$2:$A$21,0)+MOD(ROW()-2,4))</f>
        <v>M002</v>
      </c>
      <c r="D886" cm="1">
        <f t="array" ref="D886">INDEX(Weekly_Inventory_Flow!$I$2:$I$261,INT((ROW()-2)/4)+1)</f>
        <v>13300</v>
      </c>
      <c r="E886" cm="1">
        <f t="array" ref="E886">INDEX(BOM!$C$2:$C$21,MATCH(B886,BOM!$A$2:$A$21,0)+MOD(ROW()-2,4))</f>
        <v>0.3</v>
      </c>
      <c r="F886">
        <f t="shared" si="13"/>
        <v>3990</v>
      </c>
    </row>
    <row r="887" spans="1:6">
      <c r="A887" s="1" cm="1">
        <f t="array" ref="A887">INDEX(Weekly_Inventory_Flow!$A$2:$A$261,INT((ROW()-2)/4)+1)</f>
        <v>46335</v>
      </c>
      <c r="B887" t="str" cm="1">
        <f t="array" ref="B887">INDEX(Weekly_Inventory_Flow!$B$2:$B$261,INT((ROW()-2)/4)+1)</f>
        <v>P002</v>
      </c>
      <c r="C887" t="str" cm="1">
        <f t="array" ref="C887">INDEX(BOM!$B$2:$B$21,MATCH(B887,BOM!$A$2:$A$21,0)+MOD(ROW()-2,4))</f>
        <v>M006</v>
      </c>
      <c r="D887" cm="1">
        <f t="array" ref="D887">INDEX(Weekly_Inventory_Flow!$I$2:$I$261,INT((ROW()-2)/4)+1)</f>
        <v>13300</v>
      </c>
      <c r="E887" cm="1">
        <f t="array" ref="E887">INDEX(BOM!$C$2:$C$21,MATCH(B887,BOM!$A$2:$A$21,0)+MOD(ROW()-2,4))</f>
        <v>8.0000000000000002E-3</v>
      </c>
      <c r="F887">
        <f t="shared" si="13"/>
        <v>106.4</v>
      </c>
    </row>
    <row r="888" spans="1:6">
      <c r="A888" s="1" cm="1">
        <f t="array" ref="A888">INDEX(Weekly_Inventory_Flow!$A$2:$A$261,INT((ROW()-2)/4)+1)</f>
        <v>46335</v>
      </c>
      <c r="B888" t="str" cm="1">
        <f t="array" ref="B888">INDEX(Weekly_Inventory_Flow!$B$2:$B$261,INT((ROW()-2)/4)+1)</f>
        <v>P002</v>
      </c>
      <c r="C888" t="str" cm="1">
        <f t="array" ref="C888">INDEX(BOM!$B$2:$B$21,MATCH(B888,BOM!$A$2:$A$21,0)+MOD(ROW()-2,4))</f>
        <v>M007</v>
      </c>
      <c r="D888" cm="1">
        <f t="array" ref="D888">INDEX(Weekly_Inventory_Flow!$I$2:$I$261,INT((ROW()-2)/4)+1)</f>
        <v>13300</v>
      </c>
      <c r="E888" cm="1">
        <f t="array" ref="E888">INDEX(BOM!$C$2:$C$21,MATCH(B888,BOM!$A$2:$A$21,0)+MOD(ROW()-2,4))</f>
        <v>1</v>
      </c>
      <c r="F888">
        <f t="shared" si="13"/>
        <v>13300</v>
      </c>
    </row>
    <row r="889" spans="1:6">
      <c r="A889" s="1" cm="1">
        <f t="array" ref="A889">INDEX(Weekly_Inventory_Flow!$A$2:$A$261,INT((ROW()-2)/4)+1)</f>
        <v>46335</v>
      </c>
      <c r="B889" t="str" cm="1">
        <f t="array" ref="B889">INDEX(Weekly_Inventory_Flow!$B$2:$B$261,INT((ROW()-2)/4)+1)</f>
        <v>P002</v>
      </c>
      <c r="C889" t="str" cm="1">
        <f t="array" ref="C889">INDEX(BOM!$B$2:$B$21,MATCH(B889,BOM!$A$2:$A$21,0)+MOD(ROW()-2,4))</f>
        <v>M008</v>
      </c>
      <c r="D889" cm="1">
        <f t="array" ref="D889">INDEX(Weekly_Inventory_Flow!$I$2:$I$261,INT((ROW()-2)/4)+1)</f>
        <v>13300</v>
      </c>
      <c r="E889" cm="1">
        <f t="array" ref="E889">INDEX(BOM!$C$2:$C$21,MATCH(B889,BOM!$A$2:$A$21,0)+MOD(ROW()-2,4))</f>
        <v>1</v>
      </c>
      <c r="F889">
        <f t="shared" si="13"/>
        <v>13300</v>
      </c>
    </row>
    <row r="890" spans="1:6">
      <c r="A890" s="1" cm="1">
        <f t="array" ref="A890">INDEX(Weekly_Inventory_Flow!$A$2:$A$261,INT((ROW()-2)/4)+1)</f>
        <v>46335</v>
      </c>
      <c r="B890" t="str" cm="1">
        <f t="array" ref="B890">INDEX(Weekly_Inventory_Flow!$B$2:$B$261,INT((ROW()-2)/4)+1)</f>
        <v>P003</v>
      </c>
      <c r="C890" t="str" cm="1">
        <f t="array" ref="C890">INDEX(BOM!$B$2:$B$21,MATCH(B890,BOM!$A$2:$A$21,0)+MOD(ROW()-2,4))</f>
        <v>M003</v>
      </c>
      <c r="D890" cm="1">
        <f t="array" ref="D890">INDEX(Weekly_Inventory_Flow!$I$2:$I$261,INT((ROW()-2)/4)+1)</f>
        <v>12000</v>
      </c>
      <c r="E890" cm="1">
        <f t="array" ref="E890">INDEX(BOM!$C$2:$C$21,MATCH(B890,BOM!$A$2:$A$21,0)+MOD(ROW()-2,4))</f>
        <v>0.25</v>
      </c>
      <c r="F890">
        <f t="shared" si="13"/>
        <v>3000</v>
      </c>
    </row>
    <row r="891" spans="1:6">
      <c r="A891" s="1" cm="1">
        <f t="array" ref="A891">INDEX(Weekly_Inventory_Flow!$A$2:$A$261,INT((ROW()-2)/4)+1)</f>
        <v>46335</v>
      </c>
      <c r="B891" t="str" cm="1">
        <f t="array" ref="B891">INDEX(Weekly_Inventory_Flow!$B$2:$B$261,INT((ROW()-2)/4)+1)</f>
        <v>P003</v>
      </c>
      <c r="C891" t="str" cm="1">
        <f t="array" ref="C891">INDEX(BOM!$B$2:$B$21,MATCH(B891,BOM!$A$2:$A$21,0)+MOD(ROW()-2,4))</f>
        <v>M006</v>
      </c>
      <c r="D891" cm="1">
        <f t="array" ref="D891">INDEX(Weekly_Inventory_Flow!$I$2:$I$261,INT((ROW()-2)/4)+1)</f>
        <v>12000</v>
      </c>
      <c r="E891" cm="1">
        <f t="array" ref="E891">INDEX(BOM!$C$2:$C$21,MATCH(B891,BOM!$A$2:$A$21,0)+MOD(ROW()-2,4))</f>
        <v>6.0000000000000001E-3</v>
      </c>
      <c r="F891">
        <f t="shared" si="13"/>
        <v>72</v>
      </c>
    </row>
    <row r="892" spans="1:6">
      <c r="A892" s="1" cm="1">
        <f t="array" ref="A892">INDEX(Weekly_Inventory_Flow!$A$2:$A$261,INT((ROW()-2)/4)+1)</f>
        <v>46335</v>
      </c>
      <c r="B892" t="str" cm="1">
        <f t="array" ref="B892">INDEX(Weekly_Inventory_Flow!$B$2:$B$261,INT((ROW()-2)/4)+1)</f>
        <v>P003</v>
      </c>
      <c r="C892" t="str" cm="1">
        <f t="array" ref="C892">INDEX(BOM!$B$2:$B$21,MATCH(B892,BOM!$A$2:$A$21,0)+MOD(ROW()-2,4))</f>
        <v>M007</v>
      </c>
      <c r="D892" cm="1">
        <f t="array" ref="D892">INDEX(Weekly_Inventory_Flow!$I$2:$I$261,INT((ROW()-2)/4)+1)</f>
        <v>12000</v>
      </c>
      <c r="E892" cm="1">
        <f t="array" ref="E892">INDEX(BOM!$C$2:$C$21,MATCH(B892,BOM!$A$2:$A$21,0)+MOD(ROW()-2,4))</f>
        <v>1</v>
      </c>
      <c r="F892">
        <f t="shared" si="13"/>
        <v>12000</v>
      </c>
    </row>
    <row r="893" spans="1:6">
      <c r="A893" s="1" cm="1">
        <f t="array" ref="A893">INDEX(Weekly_Inventory_Flow!$A$2:$A$261,INT((ROW()-2)/4)+1)</f>
        <v>46335</v>
      </c>
      <c r="B893" t="str" cm="1">
        <f t="array" ref="B893">INDEX(Weekly_Inventory_Flow!$B$2:$B$261,INT((ROW()-2)/4)+1)</f>
        <v>P003</v>
      </c>
      <c r="C893" t="str" cm="1">
        <f t="array" ref="C893">INDEX(BOM!$B$2:$B$21,MATCH(B893,BOM!$A$2:$A$21,0)+MOD(ROW()-2,4))</f>
        <v>M008</v>
      </c>
      <c r="D893" cm="1">
        <f t="array" ref="D893">INDEX(Weekly_Inventory_Flow!$I$2:$I$261,INT((ROW()-2)/4)+1)</f>
        <v>12000</v>
      </c>
      <c r="E893" cm="1">
        <f t="array" ref="E893">INDEX(BOM!$C$2:$C$21,MATCH(B893,BOM!$A$2:$A$21,0)+MOD(ROW()-2,4))</f>
        <v>1</v>
      </c>
      <c r="F893">
        <f t="shared" si="13"/>
        <v>12000</v>
      </c>
    </row>
    <row r="894" spans="1:6">
      <c r="A894" s="1" cm="1">
        <f t="array" ref="A894">INDEX(Weekly_Inventory_Flow!$A$2:$A$261,INT((ROW()-2)/4)+1)</f>
        <v>46335</v>
      </c>
      <c r="B894" t="str" cm="1">
        <f t="array" ref="B894">INDEX(Weekly_Inventory_Flow!$B$2:$B$261,INT((ROW()-2)/4)+1)</f>
        <v>P004</v>
      </c>
      <c r="C894" t="str" cm="1">
        <f t="array" ref="C894">INDEX(BOM!$B$2:$B$21,MATCH(B894,BOM!$A$2:$A$21,0)+MOD(ROW()-2,4))</f>
        <v>M004</v>
      </c>
      <c r="D894" cm="1">
        <f t="array" ref="D894">INDEX(Weekly_Inventory_Flow!$I$2:$I$261,INT((ROW()-2)/4)+1)</f>
        <v>11700</v>
      </c>
      <c r="E894" cm="1">
        <f t="array" ref="E894">INDEX(BOM!$C$2:$C$21,MATCH(B894,BOM!$A$2:$A$21,0)+MOD(ROW()-2,4))</f>
        <v>0.34</v>
      </c>
      <c r="F894">
        <f t="shared" si="13"/>
        <v>3978.0000000000005</v>
      </c>
    </row>
    <row r="895" spans="1:6">
      <c r="A895" s="1" cm="1">
        <f t="array" ref="A895">INDEX(Weekly_Inventory_Flow!$A$2:$A$261,INT((ROW()-2)/4)+1)</f>
        <v>46335</v>
      </c>
      <c r="B895" t="str" cm="1">
        <f t="array" ref="B895">INDEX(Weekly_Inventory_Flow!$B$2:$B$261,INT((ROW()-2)/4)+1)</f>
        <v>P004</v>
      </c>
      <c r="C895" t="str" cm="1">
        <f t="array" ref="C895">INDEX(BOM!$B$2:$B$21,MATCH(B895,BOM!$A$2:$A$21,0)+MOD(ROW()-2,4))</f>
        <v>M006</v>
      </c>
      <c r="D895" cm="1">
        <f t="array" ref="D895">INDEX(Weekly_Inventory_Flow!$I$2:$I$261,INT((ROW()-2)/4)+1)</f>
        <v>11700</v>
      </c>
      <c r="E895" cm="1">
        <f t="array" ref="E895">INDEX(BOM!$C$2:$C$21,MATCH(B895,BOM!$A$2:$A$21,0)+MOD(ROW()-2,4))</f>
        <v>8.9999999999999993E-3</v>
      </c>
      <c r="F895">
        <f t="shared" si="13"/>
        <v>105.3</v>
      </c>
    </row>
    <row r="896" spans="1:6">
      <c r="A896" s="1" cm="1">
        <f t="array" ref="A896">INDEX(Weekly_Inventory_Flow!$A$2:$A$261,INT((ROW()-2)/4)+1)</f>
        <v>46335</v>
      </c>
      <c r="B896" t="str" cm="1">
        <f t="array" ref="B896">INDEX(Weekly_Inventory_Flow!$B$2:$B$261,INT((ROW()-2)/4)+1)</f>
        <v>P004</v>
      </c>
      <c r="C896" t="str" cm="1">
        <f t="array" ref="C896">INDEX(BOM!$B$2:$B$21,MATCH(B896,BOM!$A$2:$A$21,0)+MOD(ROW()-2,4))</f>
        <v>M007</v>
      </c>
      <c r="D896" cm="1">
        <f t="array" ref="D896">INDEX(Weekly_Inventory_Flow!$I$2:$I$261,INT((ROW()-2)/4)+1)</f>
        <v>11700</v>
      </c>
      <c r="E896" cm="1">
        <f t="array" ref="E896">INDEX(BOM!$C$2:$C$21,MATCH(B896,BOM!$A$2:$A$21,0)+MOD(ROW()-2,4))</f>
        <v>1</v>
      </c>
      <c r="F896">
        <f t="shared" si="13"/>
        <v>11700</v>
      </c>
    </row>
    <row r="897" spans="1:6">
      <c r="A897" s="1" cm="1">
        <f t="array" ref="A897">INDEX(Weekly_Inventory_Flow!$A$2:$A$261,INT((ROW()-2)/4)+1)</f>
        <v>46335</v>
      </c>
      <c r="B897" t="str" cm="1">
        <f t="array" ref="B897">INDEX(Weekly_Inventory_Flow!$B$2:$B$261,INT((ROW()-2)/4)+1)</f>
        <v>P004</v>
      </c>
      <c r="C897" t="str" cm="1">
        <f t="array" ref="C897">INDEX(BOM!$B$2:$B$21,MATCH(B897,BOM!$A$2:$A$21,0)+MOD(ROW()-2,4))</f>
        <v>M008</v>
      </c>
      <c r="D897" cm="1">
        <f t="array" ref="D897">INDEX(Weekly_Inventory_Flow!$I$2:$I$261,INT((ROW()-2)/4)+1)</f>
        <v>11700</v>
      </c>
      <c r="E897" cm="1">
        <f t="array" ref="E897">INDEX(BOM!$C$2:$C$21,MATCH(B897,BOM!$A$2:$A$21,0)+MOD(ROW()-2,4))</f>
        <v>1</v>
      </c>
      <c r="F897">
        <f t="shared" si="13"/>
        <v>11700</v>
      </c>
    </row>
    <row r="898" spans="1:6">
      <c r="A898" s="1" cm="1">
        <f t="array" ref="A898">INDEX(Weekly_Inventory_Flow!$A$2:$A$261,INT((ROW()-2)/4)+1)</f>
        <v>46335</v>
      </c>
      <c r="B898" t="str" cm="1">
        <f t="array" ref="B898">INDEX(Weekly_Inventory_Flow!$B$2:$B$261,INT((ROW()-2)/4)+1)</f>
        <v>P005</v>
      </c>
      <c r="C898" t="str" cm="1">
        <f t="array" ref="C898">INDEX(BOM!$B$2:$B$21,MATCH(B898,BOM!$A$2:$A$21,0)+MOD(ROW()-2,4))</f>
        <v>M005</v>
      </c>
      <c r="D898" cm="1">
        <f t="array" ref="D898">INDEX(Weekly_Inventory_Flow!$I$2:$I$261,INT((ROW()-2)/4)+1)</f>
        <v>9100</v>
      </c>
      <c r="E898" cm="1">
        <f t="array" ref="E898">INDEX(BOM!$C$2:$C$21,MATCH(B898,BOM!$A$2:$A$21,0)+MOD(ROW()-2,4))</f>
        <v>0.52</v>
      </c>
      <c r="F898">
        <f t="shared" si="13"/>
        <v>4732</v>
      </c>
    </row>
    <row r="899" spans="1:6">
      <c r="A899" s="1" cm="1">
        <f t="array" ref="A899">INDEX(Weekly_Inventory_Flow!$A$2:$A$261,INT((ROW()-2)/4)+1)</f>
        <v>46335</v>
      </c>
      <c r="B899" t="str" cm="1">
        <f t="array" ref="B899">INDEX(Weekly_Inventory_Flow!$B$2:$B$261,INT((ROW()-2)/4)+1)</f>
        <v>P005</v>
      </c>
      <c r="C899" t="str" cm="1">
        <f t="array" ref="C899">INDEX(BOM!$B$2:$B$21,MATCH(B899,BOM!$A$2:$A$21,0)+MOD(ROW()-2,4))</f>
        <v>M006</v>
      </c>
      <c r="D899" cm="1">
        <f t="array" ref="D899">INDEX(Weekly_Inventory_Flow!$I$2:$I$261,INT((ROW()-2)/4)+1)</f>
        <v>9100</v>
      </c>
      <c r="E899" cm="1">
        <f t="array" ref="E899">INDEX(BOM!$C$2:$C$21,MATCH(B899,BOM!$A$2:$A$21,0)+MOD(ROW()-2,4))</f>
        <v>1.2E-2</v>
      </c>
      <c r="F899">
        <f t="shared" ref="F899:F962" si="14">D899*E899</f>
        <v>109.2</v>
      </c>
    </row>
    <row r="900" spans="1:6">
      <c r="A900" s="1" cm="1">
        <f t="array" ref="A900">INDEX(Weekly_Inventory_Flow!$A$2:$A$261,INT((ROW()-2)/4)+1)</f>
        <v>46335</v>
      </c>
      <c r="B900" t="str" cm="1">
        <f t="array" ref="B900">INDEX(Weekly_Inventory_Flow!$B$2:$B$261,INT((ROW()-2)/4)+1)</f>
        <v>P005</v>
      </c>
      <c r="C900" t="str" cm="1">
        <f t="array" ref="C900">INDEX(BOM!$B$2:$B$21,MATCH(B900,BOM!$A$2:$A$21,0)+MOD(ROW()-2,4))</f>
        <v>M007</v>
      </c>
      <c r="D900" cm="1">
        <f t="array" ref="D900">INDEX(Weekly_Inventory_Flow!$I$2:$I$261,INT((ROW()-2)/4)+1)</f>
        <v>9100</v>
      </c>
      <c r="E900" cm="1">
        <f t="array" ref="E900">INDEX(BOM!$C$2:$C$21,MATCH(B900,BOM!$A$2:$A$21,0)+MOD(ROW()-2,4))</f>
        <v>1</v>
      </c>
      <c r="F900">
        <f t="shared" si="14"/>
        <v>9100</v>
      </c>
    </row>
    <row r="901" spans="1:6">
      <c r="A901" s="1" cm="1">
        <f t="array" ref="A901">INDEX(Weekly_Inventory_Flow!$A$2:$A$261,INT((ROW()-2)/4)+1)</f>
        <v>46335</v>
      </c>
      <c r="B901" t="str" cm="1">
        <f t="array" ref="B901">INDEX(Weekly_Inventory_Flow!$B$2:$B$261,INT((ROW()-2)/4)+1)</f>
        <v>P005</v>
      </c>
      <c r="C901" t="str" cm="1">
        <f t="array" ref="C901">INDEX(BOM!$B$2:$B$21,MATCH(B901,BOM!$A$2:$A$21,0)+MOD(ROW()-2,4))</f>
        <v>M008</v>
      </c>
      <c r="D901" cm="1">
        <f t="array" ref="D901">INDEX(Weekly_Inventory_Flow!$I$2:$I$261,INT((ROW()-2)/4)+1)</f>
        <v>9100</v>
      </c>
      <c r="E901" cm="1">
        <f t="array" ref="E901">INDEX(BOM!$C$2:$C$21,MATCH(B901,BOM!$A$2:$A$21,0)+MOD(ROW()-2,4))</f>
        <v>1</v>
      </c>
      <c r="F901">
        <f t="shared" si="14"/>
        <v>9100</v>
      </c>
    </row>
    <row r="902" spans="1:6">
      <c r="A902" s="1" cm="1">
        <f t="array" ref="A902">INDEX(Weekly_Inventory_Flow!$A$2:$A$261,INT((ROW()-2)/4)+1)</f>
        <v>46342</v>
      </c>
      <c r="B902" t="str" cm="1">
        <f t="array" ref="B902">INDEX(Weekly_Inventory_Flow!$B$2:$B$261,INT((ROW()-2)/4)+1)</f>
        <v>P001</v>
      </c>
      <c r="C902" t="str" cm="1">
        <f t="array" ref="C902">INDEX(BOM!$B$2:$B$21,MATCH(B902,BOM!$A$2:$A$21,0)+MOD(ROW()-2,4))</f>
        <v>M001</v>
      </c>
      <c r="D902" cm="1">
        <f t="array" ref="D902">INDEX(Weekly_Inventory_Flow!$I$2:$I$261,INT((ROW()-2)/4)+1)</f>
        <v>16000</v>
      </c>
      <c r="E902" cm="1">
        <f t="array" ref="E902">INDEX(BOM!$C$2:$C$21,MATCH(B902,BOM!$A$2:$A$21,0)+MOD(ROW()-2,4))</f>
        <v>0.35</v>
      </c>
      <c r="F902">
        <f t="shared" si="14"/>
        <v>5600</v>
      </c>
    </row>
    <row r="903" spans="1:6">
      <c r="A903" s="1" cm="1">
        <f t="array" ref="A903">INDEX(Weekly_Inventory_Flow!$A$2:$A$261,INT((ROW()-2)/4)+1)</f>
        <v>46342</v>
      </c>
      <c r="B903" t="str" cm="1">
        <f t="array" ref="B903">INDEX(Weekly_Inventory_Flow!$B$2:$B$261,INT((ROW()-2)/4)+1)</f>
        <v>P001</v>
      </c>
      <c r="C903" t="str" cm="1">
        <f t="array" ref="C903">INDEX(BOM!$B$2:$B$21,MATCH(B903,BOM!$A$2:$A$21,0)+MOD(ROW()-2,4))</f>
        <v>M006</v>
      </c>
      <c r="D903" cm="1">
        <f t="array" ref="D903">INDEX(Weekly_Inventory_Flow!$I$2:$I$261,INT((ROW()-2)/4)+1)</f>
        <v>16000</v>
      </c>
      <c r="E903" cm="1">
        <f t="array" ref="E903">INDEX(BOM!$C$2:$C$21,MATCH(B903,BOM!$A$2:$A$21,0)+MOD(ROW()-2,4))</f>
        <v>0.01</v>
      </c>
      <c r="F903">
        <f t="shared" si="14"/>
        <v>160</v>
      </c>
    </row>
    <row r="904" spans="1:6">
      <c r="A904" s="1" cm="1">
        <f t="array" ref="A904">INDEX(Weekly_Inventory_Flow!$A$2:$A$261,INT((ROW()-2)/4)+1)</f>
        <v>46342</v>
      </c>
      <c r="B904" t="str" cm="1">
        <f t="array" ref="B904">INDEX(Weekly_Inventory_Flow!$B$2:$B$261,INT((ROW()-2)/4)+1)</f>
        <v>P001</v>
      </c>
      <c r="C904" t="str" cm="1">
        <f t="array" ref="C904">INDEX(BOM!$B$2:$B$21,MATCH(B904,BOM!$A$2:$A$21,0)+MOD(ROW()-2,4))</f>
        <v>M007</v>
      </c>
      <c r="D904" cm="1">
        <f t="array" ref="D904">INDEX(Weekly_Inventory_Flow!$I$2:$I$261,INT((ROW()-2)/4)+1)</f>
        <v>16000</v>
      </c>
      <c r="E904" cm="1">
        <f t="array" ref="E904">INDEX(BOM!$C$2:$C$21,MATCH(B904,BOM!$A$2:$A$21,0)+MOD(ROW()-2,4))</f>
        <v>1</v>
      </c>
      <c r="F904">
        <f t="shared" si="14"/>
        <v>16000</v>
      </c>
    </row>
    <row r="905" spans="1:6">
      <c r="A905" s="1" cm="1">
        <f t="array" ref="A905">INDEX(Weekly_Inventory_Flow!$A$2:$A$261,INT((ROW()-2)/4)+1)</f>
        <v>46342</v>
      </c>
      <c r="B905" t="str" cm="1">
        <f t="array" ref="B905">INDEX(Weekly_Inventory_Flow!$B$2:$B$261,INT((ROW()-2)/4)+1)</f>
        <v>P001</v>
      </c>
      <c r="C905" t="str" cm="1">
        <f t="array" ref="C905">INDEX(BOM!$B$2:$B$21,MATCH(B905,BOM!$A$2:$A$21,0)+MOD(ROW()-2,4))</f>
        <v>M008</v>
      </c>
      <c r="D905" cm="1">
        <f t="array" ref="D905">INDEX(Weekly_Inventory_Flow!$I$2:$I$261,INT((ROW()-2)/4)+1)</f>
        <v>16000</v>
      </c>
      <c r="E905" cm="1">
        <f t="array" ref="E905">INDEX(BOM!$C$2:$C$21,MATCH(B905,BOM!$A$2:$A$21,0)+MOD(ROW()-2,4))</f>
        <v>1</v>
      </c>
      <c r="F905">
        <f t="shared" si="14"/>
        <v>16000</v>
      </c>
    </row>
    <row r="906" spans="1:6">
      <c r="A906" s="1" cm="1">
        <f t="array" ref="A906">INDEX(Weekly_Inventory_Flow!$A$2:$A$261,INT((ROW()-2)/4)+1)</f>
        <v>46342</v>
      </c>
      <c r="B906" t="str" cm="1">
        <f t="array" ref="B906">INDEX(Weekly_Inventory_Flow!$B$2:$B$261,INT((ROW()-2)/4)+1)</f>
        <v>P002</v>
      </c>
      <c r="C906" t="str" cm="1">
        <f t="array" ref="C906">INDEX(BOM!$B$2:$B$21,MATCH(B906,BOM!$A$2:$A$21,0)+MOD(ROW()-2,4))</f>
        <v>M002</v>
      </c>
      <c r="D906" cm="1">
        <f t="array" ref="D906">INDEX(Weekly_Inventory_Flow!$I$2:$I$261,INT((ROW()-2)/4)+1)</f>
        <v>13100</v>
      </c>
      <c r="E906" cm="1">
        <f t="array" ref="E906">INDEX(BOM!$C$2:$C$21,MATCH(B906,BOM!$A$2:$A$21,0)+MOD(ROW()-2,4))</f>
        <v>0.3</v>
      </c>
      <c r="F906">
        <f t="shared" si="14"/>
        <v>3930</v>
      </c>
    </row>
    <row r="907" spans="1:6">
      <c r="A907" s="1" cm="1">
        <f t="array" ref="A907">INDEX(Weekly_Inventory_Flow!$A$2:$A$261,INT((ROW()-2)/4)+1)</f>
        <v>46342</v>
      </c>
      <c r="B907" t="str" cm="1">
        <f t="array" ref="B907">INDEX(Weekly_Inventory_Flow!$B$2:$B$261,INT((ROW()-2)/4)+1)</f>
        <v>P002</v>
      </c>
      <c r="C907" t="str" cm="1">
        <f t="array" ref="C907">INDEX(BOM!$B$2:$B$21,MATCH(B907,BOM!$A$2:$A$21,0)+MOD(ROW()-2,4))</f>
        <v>M006</v>
      </c>
      <c r="D907" cm="1">
        <f t="array" ref="D907">INDEX(Weekly_Inventory_Flow!$I$2:$I$261,INT((ROW()-2)/4)+1)</f>
        <v>13100</v>
      </c>
      <c r="E907" cm="1">
        <f t="array" ref="E907">INDEX(BOM!$C$2:$C$21,MATCH(B907,BOM!$A$2:$A$21,0)+MOD(ROW()-2,4))</f>
        <v>8.0000000000000002E-3</v>
      </c>
      <c r="F907">
        <f t="shared" si="14"/>
        <v>104.8</v>
      </c>
    </row>
    <row r="908" spans="1:6">
      <c r="A908" s="1" cm="1">
        <f t="array" ref="A908">INDEX(Weekly_Inventory_Flow!$A$2:$A$261,INT((ROW()-2)/4)+1)</f>
        <v>46342</v>
      </c>
      <c r="B908" t="str" cm="1">
        <f t="array" ref="B908">INDEX(Weekly_Inventory_Flow!$B$2:$B$261,INT((ROW()-2)/4)+1)</f>
        <v>P002</v>
      </c>
      <c r="C908" t="str" cm="1">
        <f t="array" ref="C908">INDEX(BOM!$B$2:$B$21,MATCH(B908,BOM!$A$2:$A$21,0)+MOD(ROW()-2,4))</f>
        <v>M007</v>
      </c>
      <c r="D908" cm="1">
        <f t="array" ref="D908">INDEX(Weekly_Inventory_Flow!$I$2:$I$261,INT((ROW()-2)/4)+1)</f>
        <v>13100</v>
      </c>
      <c r="E908" cm="1">
        <f t="array" ref="E908">INDEX(BOM!$C$2:$C$21,MATCH(B908,BOM!$A$2:$A$21,0)+MOD(ROW()-2,4))</f>
        <v>1</v>
      </c>
      <c r="F908">
        <f t="shared" si="14"/>
        <v>13100</v>
      </c>
    </row>
    <row r="909" spans="1:6">
      <c r="A909" s="1" cm="1">
        <f t="array" ref="A909">INDEX(Weekly_Inventory_Flow!$A$2:$A$261,INT((ROW()-2)/4)+1)</f>
        <v>46342</v>
      </c>
      <c r="B909" t="str" cm="1">
        <f t="array" ref="B909">INDEX(Weekly_Inventory_Flow!$B$2:$B$261,INT((ROW()-2)/4)+1)</f>
        <v>P002</v>
      </c>
      <c r="C909" t="str" cm="1">
        <f t="array" ref="C909">INDEX(BOM!$B$2:$B$21,MATCH(B909,BOM!$A$2:$A$21,0)+MOD(ROW()-2,4))</f>
        <v>M008</v>
      </c>
      <c r="D909" cm="1">
        <f t="array" ref="D909">INDEX(Weekly_Inventory_Flow!$I$2:$I$261,INT((ROW()-2)/4)+1)</f>
        <v>13100</v>
      </c>
      <c r="E909" cm="1">
        <f t="array" ref="E909">INDEX(BOM!$C$2:$C$21,MATCH(B909,BOM!$A$2:$A$21,0)+MOD(ROW()-2,4))</f>
        <v>1</v>
      </c>
      <c r="F909">
        <f t="shared" si="14"/>
        <v>13100</v>
      </c>
    </row>
    <row r="910" spans="1:6">
      <c r="A910" s="1" cm="1">
        <f t="array" ref="A910">INDEX(Weekly_Inventory_Flow!$A$2:$A$261,INT((ROW()-2)/4)+1)</f>
        <v>46342</v>
      </c>
      <c r="B910" t="str" cm="1">
        <f t="array" ref="B910">INDEX(Weekly_Inventory_Flow!$B$2:$B$261,INT((ROW()-2)/4)+1)</f>
        <v>P003</v>
      </c>
      <c r="C910" t="str" cm="1">
        <f t="array" ref="C910">INDEX(BOM!$B$2:$B$21,MATCH(B910,BOM!$A$2:$A$21,0)+MOD(ROW()-2,4))</f>
        <v>M003</v>
      </c>
      <c r="D910" cm="1">
        <f t="array" ref="D910">INDEX(Weekly_Inventory_Flow!$I$2:$I$261,INT((ROW()-2)/4)+1)</f>
        <v>11800</v>
      </c>
      <c r="E910" cm="1">
        <f t="array" ref="E910">INDEX(BOM!$C$2:$C$21,MATCH(B910,BOM!$A$2:$A$21,0)+MOD(ROW()-2,4))</f>
        <v>0.25</v>
      </c>
      <c r="F910">
        <f t="shared" si="14"/>
        <v>2950</v>
      </c>
    </row>
    <row r="911" spans="1:6">
      <c r="A911" s="1" cm="1">
        <f t="array" ref="A911">INDEX(Weekly_Inventory_Flow!$A$2:$A$261,INT((ROW()-2)/4)+1)</f>
        <v>46342</v>
      </c>
      <c r="B911" t="str" cm="1">
        <f t="array" ref="B911">INDEX(Weekly_Inventory_Flow!$B$2:$B$261,INT((ROW()-2)/4)+1)</f>
        <v>P003</v>
      </c>
      <c r="C911" t="str" cm="1">
        <f t="array" ref="C911">INDEX(BOM!$B$2:$B$21,MATCH(B911,BOM!$A$2:$A$21,0)+MOD(ROW()-2,4))</f>
        <v>M006</v>
      </c>
      <c r="D911" cm="1">
        <f t="array" ref="D911">INDEX(Weekly_Inventory_Flow!$I$2:$I$261,INT((ROW()-2)/4)+1)</f>
        <v>11800</v>
      </c>
      <c r="E911" cm="1">
        <f t="array" ref="E911">INDEX(BOM!$C$2:$C$21,MATCH(B911,BOM!$A$2:$A$21,0)+MOD(ROW()-2,4))</f>
        <v>6.0000000000000001E-3</v>
      </c>
      <c r="F911">
        <f t="shared" si="14"/>
        <v>70.8</v>
      </c>
    </row>
    <row r="912" spans="1:6">
      <c r="A912" s="1" cm="1">
        <f t="array" ref="A912">INDEX(Weekly_Inventory_Flow!$A$2:$A$261,INT((ROW()-2)/4)+1)</f>
        <v>46342</v>
      </c>
      <c r="B912" t="str" cm="1">
        <f t="array" ref="B912">INDEX(Weekly_Inventory_Flow!$B$2:$B$261,INT((ROW()-2)/4)+1)</f>
        <v>P003</v>
      </c>
      <c r="C912" t="str" cm="1">
        <f t="array" ref="C912">INDEX(BOM!$B$2:$B$21,MATCH(B912,BOM!$A$2:$A$21,0)+MOD(ROW()-2,4))</f>
        <v>M007</v>
      </c>
      <c r="D912" cm="1">
        <f t="array" ref="D912">INDEX(Weekly_Inventory_Flow!$I$2:$I$261,INT((ROW()-2)/4)+1)</f>
        <v>11800</v>
      </c>
      <c r="E912" cm="1">
        <f t="array" ref="E912">INDEX(BOM!$C$2:$C$21,MATCH(B912,BOM!$A$2:$A$21,0)+MOD(ROW()-2,4))</f>
        <v>1</v>
      </c>
      <c r="F912">
        <f t="shared" si="14"/>
        <v>11800</v>
      </c>
    </row>
    <row r="913" spans="1:6">
      <c r="A913" s="1" cm="1">
        <f t="array" ref="A913">INDEX(Weekly_Inventory_Flow!$A$2:$A$261,INT((ROW()-2)/4)+1)</f>
        <v>46342</v>
      </c>
      <c r="B913" t="str" cm="1">
        <f t="array" ref="B913">INDEX(Weekly_Inventory_Flow!$B$2:$B$261,INT((ROW()-2)/4)+1)</f>
        <v>P003</v>
      </c>
      <c r="C913" t="str" cm="1">
        <f t="array" ref="C913">INDEX(BOM!$B$2:$B$21,MATCH(B913,BOM!$A$2:$A$21,0)+MOD(ROW()-2,4))</f>
        <v>M008</v>
      </c>
      <c r="D913" cm="1">
        <f t="array" ref="D913">INDEX(Weekly_Inventory_Flow!$I$2:$I$261,INT((ROW()-2)/4)+1)</f>
        <v>11800</v>
      </c>
      <c r="E913" cm="1">
        <f t="array" ref="E913">INDEX(BOM!$C$2:$C$21,MATCH(B913,BOM!$A$2:$A$21,0)+MOD(ROW()-2,4))</f>
        <v>1</v>
      </c>
      <c r="F913">
        <f t="shared" si="14"/>
        <v>11800</v>
      </c>
    </row>
    <row r="914" spans="1:6">
      <c r="A914" s="1" cm="1">
        <f t="array" ref="A914">INDEX(Weekly_Inventory_Flow!$A$2:$A$261,INT((ROW()-2)/4)+1)</f>
        <v>46342</v>
      </c>
      <c r="B914" t="str" cm="1">
        <f t="array" ref="B914">INDEX(Weekly_Inventory_Flow!$B$2:$B$261,INT((ROW()-2)/4)+1)</f>
        <v>P004</v>
      </c>
      <c r="C914" t="str" cm="1">
        <f t="array" ref="C914">INDEX(BOM!$B$2:$B$21,MATCH(B914,BOM!$A$2:$A$21,0)+MOD(ROW()-2,4))</f>
        <v>M004</v>
      </c>
      <c r="D914" cm="1">
        <f t="array" ref="D914">INDEX(Weekly_Inventory_Flow!$I$2:$I$261,INT((ROW()-2)/4)+1)</f>
        <v>12400</v>
      </c>
      <c r="E914" cm="1">
        <f t="array" ref="E914">INDEX(BOM!$C$2:$C$21,MATCH(B914,BOM!$A$2:$A$21,0)+MOD(ROW()-2,4))</f>
        <v>0.34</v>
      </c>
      <c r="F914">
        <f t="shared" si="14"/>
        <v>4216</v>
      </c>
    </row>
    <row r="915" spans="1:6">
      <c r="A915" s="1" cm="1">
        <f t="array" ref="A915">INDEX(Weekly_Inventory_Flow!$A$2:$A$261,INT((ROW()-2)/4)+1)</f>
        <v>46342</v>
      </c>
      <c r="B915" t="str" cm="1">
        <f t="array" ref="B915">INDEX(Weekly_Inventory_Flow!$B$2:$B$261,INT((ROW()-2)/4)+1)</f>
        <v>P004</v>
      </c>
      <c r="C915" t="str" cm="1">
        <f t="array" ref="C915">INDEX(BOM!$B$2:$B$21,MATCH(B915,BOM!$A$2:$A$21,0)+MOD(ROW()-2,4))</f>
        <v>M006</v>
      </c>
      <c r="D915" cm="1">
        <f t="array" ref="D915">INDEX(Weekly_Inventory_Flow!$I$2:$I$261,INT((ROW()-2)/4)+1)</f>
        <v>12400</v>
      </c>
      <c r="E915" cm="1">
        <f t="array" ref="E915">INDEX(BOM!$C$2:$C$21,MATCH(B915,BOM!$A$2:$A$21,0)+MOD(ROW()-2,4))</f>
        <v>8.9999999999999993E-3</v>
      </c>
      <c r="F915">
        <f t="shared" si="14"/>
        <v>111.6</v>
      </c>
    </row>
    <row r="916" spans="1:6">
      <c r="A916" s="1" cm="1">
        <f t="array" ref="A916">INDEX(Weekly_Inventory_Flow!$A$2:$A$261,INT((ROW()-2)/4)+1)</f>
        <v>46342</v>
      </c>
      <c r="B916" t="str" cm="1">
        <f t="array" ref="B916">INDEX(Weekly_Inventory_Flow!$B$2:$B$261,INT((ROW()-2)/4)+1)</f>
        <v>P004</v>
      </c>
      <c r="C916" t="str" cm="1">
        <f t="array" ref="C916">INDEX(BOM!$B$2:$B$21,MATCH(B916,BOM!$A$2:$A$21,0)+MOD(ROW()-2,4))</f>
        <v>M007</v>
      </c>
      <c r="D916" cm="1">
        <f t="array" ref="D916">INDEX(Weekly_Inventory_Flow!$I$2:$I$261,INT((ROW()-2)/4)+1)</f>
        <v>12400</v>
      </c>
      <c r="E916" cm="1">
        <f t="array" ref="E916">INDEX(BOM!$C$2:$C$21,MATCH(B916,BOM!$A$2:$A$21,0)+MOD(ROW()-2,4))</f>
        <v>1</v>
      </c>
      <c r="F916">
        <f t="shared" si="14"/>
        <v>12400</v>
      </c>
    </row>
    <row r="917" spans="1:6">
      <c r="A917" s="1" cm="1">
        <f t="array" ref="A917">INDEX(Weekly_Inventory_Flow!$A$2:$A$261,INT((ROW()-2)/4)+1)</f>
        <v>46342</v>
      </c>
      <c r="B917" t="str" cm="1">
        <f t="array" ref="B917">INDEX(Weekly_Inventory_Flow!$B$2:$B$261,INT((ROW()-2)/4)+1)</f>
        <v>P004</v>
      </c>
      <c r="C917" t="str" cm="1">
        <f t="array" ref="C917">INDEX(BOM!$B$2:$B$21,MATCH(B917,BOM!$A$2:$A$21,0)+MOD(ROW()-2,4))</f>
        <v>M008</v>
      </c>
      <c r="D917" cm="1">
        <f t="array" ref="D917">INDEX(Weekly_Inventory_Flow!$I$2:$I$261,INT((ROW()-2)/4)+1)</f>
        <v>12400</v>
      </c>
      <c r="E917" cm="1">
        <f t="array" ref="E917">INDEX(BOM!$C$2:$C$21,MATCH(B917,BOM!$A$2:$A$21,0)+MOD(ROW()-2,4))</f>
        <v>1</v>
      </c>
      <c r="F917">
        <f t="shared" si="14"/>
        <v>12400</v>
      </c>
    </row>
    <row r="918" spans="1:6">
      <c r="A918" s="1" cm="1">
        <f t="array" ref="A918">INDEX(Weekly_Inventory_Flow!$A$2:$A$261,INT((ROW()-2)/4)+1)</f>
        <v>46342</v>
      </c>
      <c r="B918" t="str" cm="1">
        <f t="array" ref="B918">INDEX(Weekly_Inventory_Flow!$B$2:$B$261,INT((ROW()-2)/4)+1)</f>
        <v>P005</v>
      </c>
      <c r="C918" t="str" cm="1">
        <f t="array" ref="C918">INDEX(BOM!$B$2:$B$21,MATCH(B918,BOM!$A$2:$A$21,0)+MOD(ROW()-2,4))</f>
        <v>M005</v>
      </c>
      <c r="D918" cm="1">
        <f t="array" ref="D918">INDEX(Weekly_Inventory_Flow!$I$2:$I$261,INT((ROW()-2)/4)+1)</f>
        <v>9400</v>
      </c>
      <c r="E918" cm="1">
        <f t="array" ref="E918">INDEX(BOM!$C$2:$C$21,MATCH(B918,BOM!$A$2:$A$21,0)+MOD(ROW()-2,4))</f>
        <v>0.52</v>
      </c>
      <c r="F918">
        <f t="shared" si="14"/>
        <v>4888</v>
      </c>
    </row>
    <row r="919" spans="1:6">
      <c r="A919" s="1" cm="1">
        <f t="array" ref="A919">INDEX(Weekly_Inventory_Flow!$A$2:$A$261,INT((ROW()-2)/4)+1)</f>
        <v>46342</v>
      </c>
      <c r="B919" t="str" cm="1">
        <f t="array" ref="B919">INDEX(Weekly_Inventory_Flow!$B$2:$B$261,INT((ROW()-2)/4)+1)</f>
        <v>P005</v>
      </c>
      <c r="C919" t="str" cm="1">
        <f t="array" ref="C919">INDEX(BOM!$B$2:$B$21,MATCH(B919,BOM!$A$2:$A$21,0)+MOD(ROW()-2,4))</f>
        <v>M006</v>
      </c>
      <c r="D919" cm="1">
        <f t="array" ref="D919">INDEX(Weekly_Inventory_Flow!$I$2:$I$261,INT((ROW()-2)/4)+1)</f>
        <v>9400</v>
      </c>
      <c r="E919" cm="1">
        <f t="array" ref="E919">INDEX(BOM!$C$2:$C$21,MATCH(B919,BOM!$A$2:$A$21,0)+MOD(ROW()-2,4))</f>
        <v>1.2E-2</v>
      </c>
      <c r="F919">
        <f t="shared" si="14"/>
        <v>112.8</v>
      </c>
    </row>
    <row r="920" spans="1:6">
      <c r="A920" s="1" cm="1">
        <f t="array" ref="A920">INDEX(Weekly_Inventory_Flow!$A$2:$A$261,INT((ROW()-2)/4)+1)</f>
        <v>46342</v>
      </c>
      <c r="B920" t="str" cm="1">
        <f t="array" ref="B920">INDEX(Weekly_Inventory_Flow!$B$2:$B$261,INT((ROW()-2)/4)+1)</f>
        <v>P005</v>
      </c>
      <c r="C920" t="str" cm="1">
        <f t="array" ref="C920">INDEX(BOM!$B$2:$B$21,MATCH(B920,BOM!$A$2:$A$21,0)+MOD(ROW()-2,4))</f>
        <v>M007</v>
      </c>
      <c r="D920" cm="1">
        <f t="array" ref="D920">INDEX(Weekly_Inventory_Flow!$I$2:$I$261,INT((ROW()-2)/4)+1)</f>
        <v>9400</v>
      </c>
      <c r="E920" cm="1">
        <f t="array" ref="E920">INDEX(BOM!$C$2:$C$21,MATCH(B920,BOM!$A$2:$A$21,0)+MOD(ROW()-2,4))</f>
        <v>1</v>
      </c>
      <c r="F920">
        <f t="shared" si="14"/>
        <v>9400</v>
      </c>
    </row>
    <row r="921" spans="1:6">
      <c r="A921" s="1" cm="1">
        <f t="array" ref="A921">INDEX(Weekly_Inventory_Flow!$A$2:$A$261,INT((ROW()-2)/4)+1)</f>
        <v>46342</v>
      </c>
      <c r="B921" t="str" cm="1">
        <f t="array" ref="B921">INDEX(Weekly_Inventory_Flow!$B$2:$B$261,INT((ROW()-2)/4)+1)</f>
        <v>P005</v>
      </c>
      <c r="C921" t="str" cm="1">
        <f t="array" ref="C921">INDEX(BOM!$B$2:$B$21,MATCH(B921,BOM!$A$2:$A$21,0)+MOD(ROW()-2,4))</f>
        <v>M008</v>
      </c>
      <c r="D921" cm="1">
        <f t="array" ref="D921">INDEX(Weekly_Inventory_Flow!$I$2:$I$261,INT((ROW()-2)/4)+1)</f>
        <v>9400</v>
      </c>
      <c r="E921" cm="1">
        <f t="array" ref="E921">INDEX(BOM!$C$2:$C$21,MATCH(B921,BOM!$A$2:$A$21,0)+MOD(ROW()-2,4))</f>
        <v>1</v>
      </c>
      <c r="F921">
        <f t="shared" si="14"/>
        <v>9400</v>
      </c>
    </row>
    <row r="922" spans="1:6">
      <c r="A922" s="1" cm="1">
        <f t="array" ref="A922">INDEX(Weekly_Inventory_Flow!$A$2:$A$261,INT((ROW()-2)/4)+1)</f>
        <v>46349</v>
      </c>
      <c r="B922" t="str" cm="1">
        <f t="array" ref="B922">INDEX(Weekly_Inventory_Flow!$B$2:$B$261,INT((ROW()-2)/4)+1)</f>
        <v>P001</v>
      </c>
      <c r="C922" t="str" cm="1">
        <f t="array" ref="C922">INDEX(BOM!$B$2:$B$21,MATCH(B922,BOM!$A$2:$A$21,0)+MOD(ROW()-2,4))</f>
        <v>M001</v>
      </c>
      <c r="D922" cm="1">
        <f t="array" ref="D922">INDEX(Weekly_Inventory_Flow!$I$2:$I$261,INT((ROW()-2)/4)+1)</f>
        <v>15300</v>
      </c>
      <c r="E922" cm="1">
        <f t="array" ref="E922">INDEX(BOM!$C$2:$C$21,MATCH(B922,BOM!$A$2:$A$21,0)+MOD(ROW()-2,4))</f>
        <v>0.35</v>
      </c>
      <c r="F922">
        <f t="shared" si="14"/>
        <v>5355</v>
      </c>
    </row>
    <row r="923" spans="1:6">
      <c r="A923" s="1" cm="1">
        <f t="array" ref="A923">INDEX(Weekly_Inventory_Flow!$A$2:$A$261,INT((ROW()-2)/4)+1)</f>
        <v>46349</v>
      </c>
      <c r="B923" t="str" cm="1">
        <f t="array" ref="B923">INDEX(Weekly_Inventory_Flow!$B$2:$B$261,INT((ROW()-2)/4)+1)</f>
        <v>P001</v>
      </c>
      <c r="C923" t="str" cm="1">
        <f t="array" ref="C923">INDEX(BOM!$B$2:$B$21,MATCH(B923,BOM!$A$2:$A$21,0)+MOD(ROW()-2,4))</f>
        <v>M006</v>
      </c>
      <c r="D923" cm="1">
        <f t="array" ref="D923">INDEX(Weekly_Inventory_Flow!$I$2:$I$261,INT((ROW()-2)/4)+1)</f>
        <v>15300</v>
      </c>
      <c r="E923" cm="1">
        <f t="array" ref="E923">INDEX(BOM!$C$2:$C$21,MATCH(B923,BOM!$A$2:$A$21,0)+MOD(ROW()-2,4))</f>
        <v>0.01</v>
      </c>
      <c r="F923">
        <f t="shared" si="14"/>
        <v>153</v>
      </c>
    </row>
    <row r="924" spans="1:6">
      <c r="A924" s="1" cm="1">
        <f t="array" ref="A924">INDEX(Weekly_Inventory_Flow!$A$2:$A$261,INT((ROW()-2)/4)+1)</f>
        <v>46349</v>
      </c>
      <c r="B924" t="str" cm="1">
        <f t="array" ref="B924">INDEX(Weekly_Inventory_Flow!$B$2:$B$261,INT((ROW()-2)/4)+1)</f>
        <v>P001</v>
      </c>
      <c r="C924" t="str" cm="1">
        <f t="array" ref="C924">INDEX(BOM!$B$2:$B$21,MATCH(B924,BOM!$A$2:$A$21,0)+MOD(ROW()-2,4))</f>
        <v>M007</v>
      </c>
      <c r="D924" cm="1">
        <f t="array" ref="D924">INDEX(Weekly_Inventory_Flow!$I$2:$I$261,INT((ROW()-2)/4)+1)</f>
        <v>15300</v>
      </c>
      <c r="E924" cm="1">
        <f t="array" ref="E924">INDEX(BOM!$C$2:$C$21,MATCH(B924,BOM!$A$2:$A$21,0)+MOD(ROW()-2,4))</f>
        <v>1</v>
      </c>
      <c r="F924">
        <f t="shared" si="14"/>
        <v>15300</v>
      </c>
    </row>
    <row r="925" spans="1:6">
      <c r="A925" s="1" cm="1">
        <f t="array" ref="A925">INDEX(Weekly_Inventory_Flow!$A$2:$A$261,INT((ROW()-2)/4)+1)</f>
        <v>46349</v>
      </c>
      <c r="B925" t="str" cm="1">
        <f t="array" ref="B925">INDEX(Weekly_Inventory_Flow!$B$2:$B$261,INT((ROW()-2)/4)+1)</f>
        <v>P001</v>
      </c>
      <c r="C925" t="str" cm="1">
        <f t="array" ref="C925">INDEX(BOM!$B$2:$B$21,MATCH(B925,BOM!$A$2:$A$21,0)+MOD(ROW()-2,4))</f>
        <v>M008</v>
      </c>
      <c r="D925" cm="1">
        <f t="array" ref="D925">INDEX(Weekly_Inventory_Flow!$I$2:$I$261,INT((ROW()-2)/4)+1)</f>
        <v>15300</v>
      </c>
      <c r="E925" cm="1">
        <f t="array" ref="E925">INDEX(BOM!$C$2:$C$21,MATCH(B925,BOM!$A$2:$A$21,0)+MOD(ROW()-2,4))</f>
        <v>1</v>
      </c>
      <c r="F925">
        <f t="shared" si="14"/>
        <v>15300</v>
      </c>
    </row>
    <row r="926" spans="1:6">
      <c r="A926" s="1" cm="1">
        <f t="array" ref="A926">INDEX(Weekly_Inventory_Flow!$A$2:$A$261,INT((ROW()-2)/4)+1)</f>
        <v>46349</v>
      </c>
      <c r="B926" t="str" cm="1">
        <f t="array" ref="B926">INDEX(Weekly_Inventory_Flow!$B$2:$B$261,INT((ROW()-2)/4)+1)</f>
        <v>P002</v>
      </c>
      <c r="C926" t="str" cm="1">
        <f t="array" ref="C926">INDEX(BOM!$B$2:$B$21,MATCH(B926,BOM!$A$2:$A$21,0)+MOD(ROW()-2,4))</f>
        <v>M002</v>
      </c>
      <c r="D926" cm="1">
        <f t="array" ref="D926">INDEX(Weekly_Inventory_Flow!$I$2:$I$261,INT((ROW()-2)/4)+1)</f>
        <v>12700</v>
      </c>
      <c r="E926" cm="1">
        <f t="array" ref="E926">INDEX(BOM!$C$2:$C$21,MATCH(B926,BOM!$A$2:$A$21,0)+MOD(ROW()-2,4))</f>
        <v>0.3</v>
      </c>
      <c r="F926">
        <f t="shared" si="14"/>
        <v>3810</v>
      </c>
    </row>
    <row r="927" spans="1:6">
      <c r="A927" s="1" cm="1">
        <f t="array" ref="A927">INDEX(Weekly_Inventory_Flow!$A$2:$A$261,INT((ROW()-2)/4)+1)</f>
        <v>46349</v>
      </c>
      <c r="B927" t="str" cm="1">
        <f t="array" ref="B927">INDEX(Weekly_Inventory_Flow!$B$2:$B$261,INT((ROW()-2)/4)+1)</f>
        <v>P002</v>
      </c>
      <c r="C927" t="str" cm="1">
        <f t="array" ref="C927">INDEX(BOM!$B$2:$B$21,MATCH(B927,BOM!$A$2:$A$21,0)+MOD(ROW()-2,4))</f>
        <v>M006</v>
      </c>
      <c r="D927" cm="1">
        <f t="array" ref="D927">INDEX(Weekly_Inventory_Flow!$I$2:$I$261,INT((ROW()-2)/4)+1)</f>
        <v>12700</v>
      </c>
      <c r="E927" cm="1">
        <f t="array" ref="E927">INDEX(BOM!$C$2:$C$21,MATCH(B927,BOM!$A$2:$A$21,0)+MOD(ROW()-2,4))</f>
        <v>8.0000000000000002E-3</v>
      </c>
      <c r="F927">
        <f t="shared" si="14"/>
        <v>101.60000000000001</v>
      </c>
    </row>
    <row r="928" spans="1:6">
      <c r="A928" s="1" cm="1">
        <f t="array" ref="A928">INDEX(Weekly_Inventory_Flow!$A$2:$A$261,INT((ROW()-2)/4)+1)</f>
        <v>46349</v>
      </c>
      <c r="B928" t="str" cm="1">
        <f t="array" ref="B928">INDEX(Weekly_Inventory_Flow!$B$2:$B$261,INT((ROW()-2)/4)+1)</f>
        <v>P002</v>
      </c>
      <c r="C928" t="str" cm="1">
        <f t="array" ref="C928">INDEX(BOM!$B$2:$B$21,MATCH(B928,BOM!$A$2:$A$21,0)+MOD(ROW()-2,4))</f>
        <v>M007</v>
      </c>
      <c r="D928" cm="1">
        <f t="array" ref="D928">INDEX(Weekly_Inventory_Flow!$I$2:$I$261,INT((ROW()-2)/4)+1)</f>
        <v>12700</v>
      </c>
      <c r="E928" cm="1">
        <f t="array" ref="E928">INDEX(BOM!$C$2:$C$21,MATCH(B928,BOM!$A$2:$A$21,0)+MOD(ROW()-2,4))</f>
        <v>1</v>
      </c>
      <c r="F928">
        <f t="shared" si="14"/>
        <v>12700</v>
      </c>
    </row>
    <row r="929" spans="1:6">
      <c r="A929" s="1" cm="1">
        <f t="array" ref="A929">INDEX(Weekly_Inventory_Flow!$A$2:$A$261,INT((ROW()-2)/4)+1)</f>
        <v>46349</v>
      </c>
      <c r="B929" t="str" cm="1">
        <f t="array" ref="B929">INDEX(Weekly_Inventory_Flow!$B$2:$B$261,INT((ROW()-2)/4)+1)</f>
        <v>P002</v>
      </c>
      <c r="C929" t="str" cm="1">
        <f t="array" ref="C929">INDEX(BOM!$B$2:$B$21,MATCH(B929,BOM!$A$2:$A$21,0)+MOD(ROW()-2,4))</f>
        <v>M008</v>
      </c>
      <c r="D929" cm="1">
        <f t="array" ref="D929">INDEX(Weekly_Inventory_Flow!$I$2:$I$261,INT((ROW()-2)/4)+1)</f>
        <v>12700</v>
      </c>
      <c r="E929" cm="1">
        <f t="array" ref="E929">INDEX(BOM!$C$2:$C$21,MATCH(B929,BOM!$A$2:$A$21,0)+MOD(ROW()-2,4))</f>
        <v>1</v>
      </c>
      <c r="F929">
        <f t="shared" si="14"/>
        <v>12700</v>
      </c>
    </row>
    <row r="930" spans="1:6">
      <c r="A930" s="1" cm="1">
        <f t="array" ref="A930">INDEX(Weekly_Inventory_Flow!$A$2:$A$261,INT((ROW()-2)/4)+1)</f>
        <v>46349</v>
      </c>
      <c r="B930" t="str" cm="1">
        <f t="array" ref="B930">INDEX(Weekly_Inventory_Flow!$B$2:$B$261,INT((ROW()-2)/4)+1)</f>
        <v>P003</v>
      </c>
      <c r="C930" t="str" cm="1">
        <f t="array" ref="C930">INDEX(BOM!$B$2:$B$21,MATCH(B930,BOM!$A$2:$A$21,0)+MOD(ROW()-2,4))</f>
        <v>M003</v>
      </c>
      <c r="D930" cm="1">
        <f t="array" ref="D930">INDEX(Weekly_Inventory_Flow!$I$2:$I$261,INT((ROW()-2)/4)+1)</f>
        <v>11500</v>
      </c>
      <c r="E930" cm="1">
        <f t="array" ref="E930">INDEX(BOM!$C$2:$C$21,MATCH(B930,BOM!$A$2:$A$21,0)+MOD(ROW()-2,4))</f>
        <v>0.25</v>
      </c>
      <c r="F930">
        <f t="shared" si="14"/>
        <v>2875</v>
      </c>
    </row>
    <row r="931" spans="1:6">
      <c r="A931" s="1" cm="1">
        <f t="array" ref="A931">INDEX(Weekly_Inventory_Flow!$A$2:$A$261,INT((ROW()-2)/4)+1)</f>
        <v>46349</v>
      </c>
      <c r="B931" t="str" cm="1">
        <f t="array" ref="B931">INDEX(Weekly_Inventory_Flow!$B$2:$B$261,INT((ROW()-2)/4)+1)</f>
        <v>P003</v>
      </c>
      <c r="C931" t="str" cm="1">
        <f t="array" ref="C931">INDEX(BOM!$B$2:$B$21,MATCH(B931,BOM!$A$2:$A$21,0)+MOD(ROW()-2,4))</f>
        <v>M006</v>
      </c>
      <c r="D931" cm="1">
        <f t="array" ref="D931">INDEX(Weekly_Inventory_Flow!$I$2:$I$261,INT((ROW()-2)/4)+1)</f>
        <v>11500</v>
      </c>
      <c r="E931" cm="1">
        <f t="array" ref="E931">INDEX(BOM!$C$2:$C$21,MATCH(B931,BOM!$A$2:$A$21,0)+MOD(ROW()-2,4))</f>
        <v>6.0000000000000001E-3</v>
      </c>
      <c r="F931">
        <f t="shared" si="14"/>
        <v>69</v>
      </c>
    </row>
    <row r="932" spans="1:6">
      <c r="A932" s="1" cm="1">
        <f t="array" ref="A932">INDEX(Weekly_Inventory_Flow!$A$2:$A$261,INT((ROW()-2)/4)+1)</f>
        <v>46349</v>
      </c>
      <c r="B932" t="str" cm="1">
        <f t="array" ref="B932">INDEX(Weekly_Inventory_Flow!$B$2:$B$261,INT((ROW()-2)/4)+1)</f>
        <v>P003</v>
      </c>
      <c r="C932" t="str" cm="1">
        <f t="array" ref="C932">INDEX(BOM!$B$2:$B$21,MATCH(B932,BOM!$A$2:$A$21,0)+MOD(ROW()-2,4))</f>
        <v>M007</v>
      </c>
      <c r="D932" cm="1">
        <f t="array" ref="D932">INDEX(Weekly_Inventory_Flow!$I$2:$I$261,INT((ROW()-2)/4)+1)</f>
        <v>11500</v>
      </c>
      <c r="E932" cm="1">
        <f t="array" ref="E932">INDEX(BOM!$C$2:$C$21,MATCH(B932,BOM!$A$2:$A$21,0)+MOD(ROW()-2,4))</f>
        <v>1</v>
      </c>
      <c r="F932">
        <f t="shared" si="14"/>
        <v>11500</v>
      </c>
    </row>
    <row r="933" spans="1:6">
      <c r="A933" s="1" cm="1">
        <f t="array" ref="A933">INDEX(Weekly_Inventory_Flow!$A$2:$A$261,INT((ROW()-2)/4)+1)</f>
        <v>46349</v>
      </c>
      <c r="B933" t="str" cm="1">
        <f t="array" ref="B933">INDEX(Weekly_Inventory_Flow!$B$2:$B$261,INT((ROW()-2)/4)+1)</f>
        <v>P003</v>
      </c>
      <c r="C933" t="str" cm="1">
        <f t="array" ref="C933">INDEX(BOM!$B$2:$B$21,MATCH(B933,BOM!$A$2:$A$21,0)+MOD(ROW()-2,4))</f>
        <v>M008</v>
      </c>
      <c r="D933" cm="1">
        <f t="array" ref="D933">INDEX(Weekly_Inventory_Flow!$I$2:$I$261,INT((ROW()-2)/4)+1)</f>
        <v>11500</v>
      </c>
      <c r="E933" cm="1">
        <f t="array" ref="E933">INDEX(BOM!$C$2:$C$21,MATCH(B933,BOM!$A$2:$A$21,0)+MOD(ROW()-2,4))</f>
        <v>1</v>
      </c>
      <c r="F933">
        <f t="shared" si="14"/>
        <v>11500</v>
      </c>
    </row>
    <row r="934" spans="1:6">
      <c r="A934" s="1" cm="1">
        <f t="array" ref="A934">INDEX(Weekly_Inventory_Flow!$A$2:$A$261,INT((ROW()-2)/4)+1)</f>
        <v>46349</v>
      </c>
      <c r="B934" t="str" cm="1">
        <f t="array" ref="B934">INDEX(Weekly_Inventory_Flow!$B$2:$B$261,INT((ROW()-2)/4)+1)</f>
        <v>P004</v>
      </c>
      <c r="C934" t="str" cm="1">
        <f t="array" ref="C934">INDEX(BOM!$B$2:$B$21,MATCH(B934,BOM!$A$2:$A$21,0)+MOD(ROW()-2,4))</f>
        <v>M004</v>
      </c>
      <c r="D934" cm="1">
        <f t="array" ref="D934">INDEX(Weekly_Inventory_Flow!$I$2:$I$261,INT((ROW()-2)/4)+1)</f>
        <v>11900</v>
      </c>
      <c r="E934" cm="1">
        <f t="array" ref="E934">INDEX(BOM!$C$2:$C$21,MATCH(B934,BOM!$A$2:$A$21,0)+MOD(ROW()-2,4))</f>
        <v>0.34</v>
      </c>
      <c r="F934">
        <f t="shared" si="14"/>
        <v>4046.0000000000005</v>
      </c>
    </row>
    <row r="935" spans="1:6">
      <c r="A935" s="1" cm="1">
        <f t="array" ref="A935">INDEX(Weekly_Inventory_Flow!$A$2:$A$261,INT((ROW()-2)/4)+1)</f>
        <v>46349</v>
      </c>
      <c r="B935" t="str" cm="1">
        <f t="array" ref="B935">INDEX(Weekly_Inventory_Flow!$B$2:$B$261,INT((ROW()-2)/4)+1)</f>
        <v>P004</v>
      </c>
      <c r="C935" t="str" cm="1">
        <f t="array" ref="C935">INDEX(BOM!$B$2:$B$21,MATCH(B935,BOM!$A$2:$A$21,0)+MOD(ROW()-2,4))</f>
        <v>M006</v>
      </c>
      <c r="D935" cm="1">
        <f t="array" ref="D935">INDEX(Weekly_Inventory_Flow!$I$2:$I$261,INT((ROW()-2)/4)+1)</f>
        <v>11900</v>
      </c>
      <c r="E935" cm="1">
        <f t="array" ref="E935">INDEX(BOM!$C$2:$C$21,MATCH(B935,BOM!$A$2:$A$21,0)+MOD(ROW()-2,4))</f>
        <v>8.9999999999999993E-3</v>
      </c>
      <c r="F935">
        <f t="shared" si="14"/>
        <v>107.1</v>
      </c>
    </row>
    <row r="936" spans="1:6">
      <c r="A936" s="1" cm="1">
        <f t="array" ref="A936">INDEX(Weekly_Inventory_Flow!$A$2:$A$261,INT((ROW()-2)/4)+1)</f>
        <v>46349</v>
      </c>
      <c r="B936" t="str" cm="1">
        <f t="array" ref="B936">INDEX(Weekly_Inventory_Flow!$B$2:$B$261,INT((ROW()-2)/4)+1)</f>
        <v>P004</v>
      </c>
      <c r="C936" t="str" cm="1">
        <f t="array" ref="C936">INDEX(BOM!$B$2:$B$21,MATCH(B936,BOM!$A$2:$A$21,0)+MOD(ROW()-2,4))</f>
        <v>M007</v>
      </c>
      <c r="D936" cm="1">
        <f t="array" ref="D936">INDEX(Weekly_Inventory_Flow!$I$2:$I$261,INT((ROW()-2)/4)+1)</f>
        <v>11900</v>
      </c>
      <c r="E936" cm="1">
        <f t="array" ref="E936">INDEX(BOM!$C$2:$C$21,MATCH(B936,BOM!$A$2:$A$21,0)+MOD(ROW()-2,4))</f>
        <v>1</v>
      </c>
      <c r="F936">
        <f t="shared" si="14"/>
        <v>11900</v>
      </c>
    </row>
    <row r="937" spans="1:6">
      <c r="A937" s="1" cm="1">
        <f t="array" ref="A937">INDEX(Weekly_Inventory_Flow!$A$2:$A$261,INT((ROW()-2)/4)+1)</f>
        <v>46349</v>
      </c>
      <c r="B937" t="str" cm="1">
        <f t="array" ref="B937">INDEX(Weekly_Inventory_Flow!$B$2:$B$261,INT((ROW()-2)/4)+1)</f>
        <v>P004</v>
      </c>
      <c r="C937" t="str" cm="1">
        <f t="array" ref="C937">INDEX(BOM!$B$2:$B$21,MATCH(B937,BOM!$A$2:$A$21,0)+MOD(ROW()-2,4))</f>
        <v>M008</v>
      </c>
      <c r="D937" cm="1">
        <f t="array" ref="D937">INDEX(Weekly_Inventory_Flow!$I$2:$I$261,INT((ROW()-2)/4)+1)</f>
        <v>11900</v>
      </c>
      <c r="E937" cm="1">
        <f t="array" ref="E937">INDEX(BOM!$C$2:$C$21,MATCH(B937,BOM!$A$2:$A$21,0)+MOD(ROW()-2,4))</f>
        <v>1</v>
      </c>
      <c r="F937">
        <f t="shared" si="14"/>
        <v>11900</v>
      </c>
    </row>
    <row r="938" spans="1:6">
      <c r="A938" s="1" cm="1">
        <f t="array" ref="A938">INDEX(Weekly_Inventory_Flow!$A$2:$A$261,INT((ROW()-2)/4)+1)</f>
        <v>46349</v>
      </c>
      <c r="B938" t="str" cm="1">
        <f t="array" ref="B938">INDEX(Weekly_Inventory_Flow!$B$2:$B$261,INT((ROW()-2)/4)+1)</f>
        <v>P005</v>
      </c>
      <c r="C938" t="str" cm="1">
        <f t="array" ref="C938">INDEX(BOM!$B$2:$B$21,MATCH(B938,BOM!$A$2:$A$21,0)+MOD(ROW()-2,4))</f>
        <v>M005</v>
      </c>
      <c r="D938" cm="1">
        <f t="array" ref="D938">INDEX(Weekly_Inventory_Flow!$I$2:$I$261,INT((ROW()-2)/4)+1)</f>
        <v>9300</v>
      </c>
      <c r="E938" cm="1">
        <f t="array" ref="E938">INDEX(BOM!$C$2:$C$21,MATCH(B938,BOM!$A$2:$A$21,0)+MOD(ROW()-2,4))</f>
        <v>0.52</v>
      </c>
      <c r="F938">
        <f t="shared" si="14"/>
        <v>4836</v>
      </c>
    </row>
    <row r="939" spans="1:6">
      <c r="A939" s="1" cm="1">
        <f t="array" ref="A939">INDEX(Weekly_Inventory_Flow!$A$2:$A$261,INT((ROW()-2)/4)+1)</f>
        <v>46349</v>
      </c>
      <c r="B939" t="str" cm="1">
        <f t="array" ref="B939">INDEX(Weekly_Inventory_Flow!$B$2:$B$261,INT((ROW()-2)/4)+1)</f>
        <v>P005</v>
      </c>
      <c r="C939" t="str" cm="1">
        <f t="array" ref="C939">INDEX(BOM!$B$2:$B$21,MATCH(B939,BOM!$A$2:$A$21,0)+MOD(ROW()-2,4))</f>
        <v>M006</v>
      </c>
      <c r="D939" cm="1">
        <f t="array" ref="D939">INDEX(Weekly_Inventory_Flow!$I$2:$I$261,INT((ROW()-2)/4)+1)</f>
        <v>9300</v>
      </c>
      <c r="E939" cm="1">
        <f t="array" ref="E939">INDEX(BOM!$C$2:$C$21,MATCH(B939,BOM!$A$2:$A$21,0)+MOD(ROW()-2,4))</f>
        <v>1.2E-2</v>
      </c>
      <c r="F939">
        <f t="shared" si="14"/>
        <v>111.60000000000001</v>
      </c>
    </row>
    <row r="940" spans="1:6">
      <c r="A940" s="1" cm="1">
        <f t="array" ref="A940">INDEX(Weekly_Inventory_Flow!$A$2:$A$261,INT((ROW()-2)/4)+1)</f>
        <v>46349</v>
      </c>
      <c r="B940" t="str" cm="1">
        <f t="array" ref="B940">INDEX(Weekly_Inventory_Flow!$B$2:$B$261,INT((ROW()-2)/4)+1)</f>
        <v>P005</v>
      </c>
      <c r="C940" t="str" cm="1">
        <f t="array" ref="C940">INDEX(BOM!$B$2:$B$21,MATCH(B940,BOM!$A$2:$A$21,0)+MOD(ROW()-2,4))</f>
        <v>M007</v>
      </c>
      <c r="D940" cm="1">
        <f t="array" ref="D940">INDEX(Weekly_Inventory_Flow!$I$2:$I$261,INT((ROW()-2)/4)+1)</f>
        <v>9300</v>
      </c>
      <c r="E940" cm="1">
        <f t="array" ref="E940">INDEX(BOM!$C$2:$C$21,MATCH(B940,BOM!$A$2:$A$21,0)+MOD(ROW()-2,4))</f>
        <v>1</v>
      </c>
      <c r="F940">
        <f t="shared" si="14"/>
        <v>9300</v>
      </c>
    </row>
    <row r="941" spans="1:6">
      <c r="A941" s="1" cm="1">
        <f t="array" ref="A941">INDEX(Weekly_Inventory_Flow!$A$2:$A$261,INT((ROW()-2)/4)+1)</f>
        <v>46349</v>
      </c>
      <c r="B941" t="str" cm="1">
        <f t="array" ref="B941">INDEX(Weekly_Inventory_Flow!$B$2:$B$261,INT((ROW()-2)/4)+1)</f>
        <v>P005</v>
      </c>
      <c r="C941" t="str" cm="1">
        <f t="array" ref="C941">INDEX(BOM!$B$2:$B$21,MATCH(B941,BOM!$A$2:$A$21,0)+MOD(ROW()-2,4))</f>
        <v>M008</v>
      </c>
      <c r="D941" cm="1">
        <f t="array" ref="D941">INDEX(Weekly_Inventory_Flow!$I$2:$I$261,INT((ROW()-2)/4)+1)</f>
        <v>9300</v>
      </c>
      <c r="E941" cm="1">
        <f t="array" ref="E941">INDEX(BOM!$C$2:$C$21,MATCH(B941,BOM!$A$2:$A$21,0)+MOD(ROW()-2,4))</f>
        <v>1</v>
      </c>
      <c r="F941">
        <f t="shared" si="14"/>
        <v>9300</v>
      </c>
    </row>
    <row r="942" spans="1:6">
      <c r="A942" s="1" cm="1">
        <f t="array" ref="A942">INDEX(Weekly_Inventory_Flow!$A$2:$A$261,INT((ROW()-2)/4)+1)</f>
        <v>46356</v>
      </c>
      <c r="B942" t="str" cm="1">
        <f t="array" ref="B942">INDEX(Weekly_Inventory_Flow!$B$2:$B$261,INT((ROW()-2)/4)+1)</f>
        <v>P001</v>
      </c>
      <c r="C942" t="str" cm="1">
        <f t="array" ref="C942">INDEX(BOM!$B$2:$B$21,MATCH(B942,BOM!$A$2:$A$21,0)+MOD(ROW()-2,4))</f>
        <v>M001</v>
      </c>
      <c r="D942" cm="1">
        <f t="array" ref="D942">INDEX(Weekly_Inventory_Flow!$I$2:$I$261,INT((ROW()-2)/4)+1)</f>
        <v>15300</v>
      </c>
      <c r="E942" cm="1">
        <f t="array" ref="E942">INDEX(BOM!$C$2:$C$21,MATCH(B942,BOM!$A$2:$A$21,0)+MOD(ROW()-2,4))</f>
        <v>0.35</v>
      </c>
      <c r="F942">
        <f t="shared" si="14"/>
        <v>5355</v>
      </c>
    </row>
    <row r="943" spans="1:6">
      <c r="A943" s="1" cm="1">
        <f t="array" ref="A943">INDEX(Weekly_Inventory_Flow!$A$2:$A$261,INT((ROW()-2)/4)+1)</f>
        <v>46356</v>
      </c>
      <c r="B943" t="str" cm="1">
        <f t="array" ref="B943">INDEX(Weekly_Inventory_Flow!$B$2:$B$261,INT((ROW()-2)/4)+1)</f>
        <v>P001</v>
      </c>
      <c r="C943" t="str" cm="1">
        <f t="array" ref="C943">INDEX(BOM!$B$2:$B$21,MATCH(B943,BOM!$A$2:$A$21,0)+MOD(ROW()-2,4))</f>
        <v>M006</v>
      </c>
      <c r="D943" cm="1">
        <f t="array" ref="D943">INDEX(Weekly_Inventory_Flow!$I$2:$I$261,INT((ROW()-2)/4)+1)</f>
        <v>15300</v>
      </c>
      <c r="E943" cm="1">
        <f t="array" ref="E943">INDEX(BOM!$C$2:$C$21,MATCH(B943,BOM!$A$2:$A$21,0)+MOD(ROW()-2,4))</f>
        <v>0.01</v>
      </c>
      <c r="F943">
        <f t="shared" si="14"/>
        <v>153</v>
      </c>
    </row>
    <row r="944" spans="1:6">
      <c r="A944" s="1" cm="1">
        <f t="array" ref="A944">INDEX(Weekly_Inventory_Flow!$A$2:$A$261,INT((ROW()-2)/4)+1)</f>
        <v>46356</v>
      </c>
      <c r="B944" t="str" cm="1">
        <f t="array" ref="B944">INDEX(Weekly_Inventory_Flow!$B$2:$B$261,INT((ROW()-2)/4)+1)</f>
        <v>P001</v>
      </c>
      <c r="C944" t="str" cm="1">
        <f t="array" ref="C944">INDEX(BOM!$B$2:$B$21,MATCH(B944,BOM!$A$2:$A$21,0)+MOD(ROW()-2,4))</f>
        <v>M007</v>
      </c>
      <c r="D944" cm="1">
        <f t="array" ref="D944">INDEX(Weekly_Inventory_Flow!$I$2:$I$261,INT((ROW()-2)/4)+1)</f>
        <v>15300</v>
      </c>
      <c r="E944" cm="1">
        <f t="array" ref="E944">INDEX(BOM!$C$2:$C$21,MATCH(B944,BOM!$A$2:$A$21,0)+MOD(ROW()-2,4))</f>
        <v>1</v>
      </c>
      <c r="F944">
        <f t="shared" si="14"/>
        <v>15300</v>
      </c>
    </row>
    <row r="945" spans="1:6">
      <c r="A945" s="1" cm="1">
        <f t="array" ref="A945">INDEX(Weekly_Inventory_Flow!$A$2:$A$261,INT((ROW()-2)/4)+1)</f>
        <v>46356</v>
      </c>
      <c r="B945" t="str" cm="1">
        <f t="array" ref="B945">INDEX(Weekly_Inventory_Flow!$B$2:$B$261,INT((ROW()-2)/4)+1)</f>
        <v>P001</v>
      </c>
      <c r="C945" t="str" cm="1">
        <f t="array" ref="C945">INDEX(BOM!$B$2:$B$21,MATCH(B945,BOM!$A$2:$A$21,0)+MOD(ROW()-2,4))</f>
        <v>M008</v>
      </c>
      <c r="D945" cm="1">
        <f t="array" ref="D945">INDEX(Weekly_Inventory_Flow!$I$2:$I$261,INT((ROW()-2)/4)+1)</f>
        <v>15300</v>
      </c>
      <c r="E945" cm="1">
        <f t="array" ref="E945">INDEX(BOM!$C$2:$C$21,MATCH(B945,BOM!$A$2:$A$21,0)+MOD(ROW()-2,4))</f>
        <v>1</v>
      </c>
      <c r="F945">
        <f t="shared" si="14"/>
        <v>15300</v>
      </c>
    </row>
    <row r="946" spans="1:6">
      <c r="A946" s="1" cm="1">
        <f t="array" ref="A946">INDEX(Weekly_Inventory_Flow!$A$2:$A$261,INT((ROW()-2)/4)+1)</f>
        <v>46356</v>
      </c>
      <c r="B946" t="str" cm="1">
        <f t="array" ref="B946">INDEX(Weekly_Inventory_Flow!$B$2:$B$261,INT((ROW()-2)/4)+1)</f>
        <v>P002</v>
      </c>
      <c r="C946" t="str" cm="1">
        <f t="array" ref="C946">INDEX(BOM!$B$2:$B$21,MATCH(B946,BOM!$A$2:$A$21,0)+MOD(ROW()-2,4))</f>
        <v>M002</v>
      </c>
      <c r="D946" cm="1">
        <f t="array" ref="D946">INDEX(Weekly_Inventory_Flow!$I$2:$I$261,INT((ROW()-2)/4)+1)</f>
        <v>13000</v>
      </c>
      <c r="E946" cm="1">
        <f t="array" ref="E946">INDEX(BOM!$C$2:$C$21,MATCH(B946,BOM!$A$2:$A$21,0)+MOD(ROW()-2,4))</f>
        <v>0.3</v>
      </c>
      <c r="F946">
        <f t="shared" si="14"/>
        <v>3900</v>
      </c>
    </row>
    <row r="947" spans="1:6">
      <c r="A947" s="1" cm="1">
        <f t="array" ref="A947">INDEX(Weekly_Inventory_Flow!$A$2:$A$261,INT((ROW()-2)/4)+1)</f>
        <v>46356</v>
      </c>
      <c r="B947" t="str" cm="1">
        <f t="array" ref="B947">INDEX(Weekly_Inventory_Flow!$B$2:$B$261,INT((ROW()-2)/4)+1)</f>
        <v>P002</v>
      </c>
      <c r="C947" t="str" cm="1">
        <f t="array" ref="C947">INDEX(BOM!$B$2:$B$21,MATCH(B947,BOM!$A$2:$A$21,0)+MOD(ROW()-2,4))</f>
        <v>M006</v>
      </c>
      <c r="D947" cm="1">
        <f t="array" ref="D947">INDEX(Weekly_Inventory_Flow!$I$2:$I$261,INT((ROW()-2)/4)+1)</f>
        <v>13000</v>
      </c>
      <c r="E947" cm="1">
        <f t="array" ref="E947">INDEX(BOM!$C$2:$C$21,MATCH(B947,BOM!$A$2:$A$21,0)+MOD(ROW()-2,4))</f>
        <v>8.0000000000000002E-3</v>
      </c>
      <c r="F947">
        <f t="shared" si="14"/>
        <v>104</v>
      </c>
    </row>
    <row r="948" spans="1:6">
      <c r="A948" s="1" cm="1">
        <f t="array" ref="A948">INDEX(Weekly_Inventory_Flow!$A$2:$A$261,INT((ROW()-2)/4)+1)</f>
        <v>46356</v>
      </c>
      <c r="B948" t="str" cm="1">
        <f t="array" ref="B948">INDEX(Weekly_Inventory_Flow!$B$2:$B$261,INT((ROW()-2)/4)+1)</f>
        <v>P002</v>
      </c>
      <c r="C948" t="str" cm="1">
        <f t="array" ref="C948">INDEX(BOM!$B$2:$B$21,MATCH(B948,BOM!$A$2:$A$21,0)+MOD(ROW()-2,4))</f>
        <v>M007</v>
      </c>
      <c r="D948" cm="1">
        <f t="array" ref="D948">INDEX(Weekly_Inventory_Flow!$I$2:$I$261,INT((ROW()-2)/4)+1)</f>
        <v>13000</v>
      </c>
      <c r="E948" cm="1">
        <f t="array" ref="E948">INDEX(BOM!$C$2:$C$21,MATCH(B948,BOM!$A$2:$A$21,0)+MOD(ROW()-2,4))</f>
        <v>1</v>
      </c>
      <c r="F948">
        <f t="shared" si="14"/>
        <v>13000</v>
      </c>
    </row>
    <row r="949" spans="1:6">
      <c r="A949" s="1" cm="1">
        <f t="array" ref="A949">INDEX(Weekly_Inventory_Flow!$A$2:$A$261,INT((ROW()-2)/4)+1)</f>
        <v>46356</v>
      </c>
      <c r="B949" t="str" cm="1">
        <f t="array" ref="B949">INDEX(Weekly_Inventory_Flow!$B$2:$B$261,INT((ROW()-2)/4)+1)</f>
        <v>P002</v>
      </c>
      <c r="C949" t="str" cm="1">
        <f t="array" ref="C949">INDEX(BOM!$B$2:$B$21,MATCH(B949,BOM!$A$2:$A$21,0)+MOD(ROW()-2,4))</f>
        <v>M008</v>
      </c>
      <c r="D949" cm="1">
        <f t="array" ref="D949">INDEX(Weekly_Inventory_Flow!$I$2:$I$261,INT((ROW()-2)/4)+1)</f>
        <v>13000</v>
      </c>
      <c r="E949" cm="1">
        <f t="array" ref="E949">INDEX(BOM!$C$2:$C$21,MATCH(B949,BOM!$A$2:$A$21,0)+MOD(ROW()-2,4))</f>
        <v>1</v>
      </c>
      <c r="F949">
        <f t="shared" si="14"/>
        <v>13000</v>
      </c>
    </row>
    <row r="950" spans="1:6">
      <c r="A950" s="1" cm="1">
        <f t="array" ref="A950">INDEX(Weekly_Inventory_Flow!$A$2:$A$261,INT((ROW()-2)/4)+1)</f>
        <v>46356</v>
      </c>
      <c r="B950" t="str" cm="1">
        <f t="array" ref="B950">INDEX(Weekly_Inventory_Flow!$B$2:$B$261,INT((ROW()-2)/4)+1)</f>
        <v>P003</v>
      </c>
      <c r="C950" t="str" cm="1">
        <f t="array" ref="C950">INDEX(BOM!$B$2:$B$21,MATCH(B950,BOM!$A$2:$A$21,0)+MOD(ROW()-2,4))</f>
        <v>M003</v>
      </c>
      <c r="D950" cm="1">
        <f t="array" ref="D950">INDEX(Weekly_Inventory_Flow!$I$2:$I$261,INT((ROW()-2)/4)+1)</f>
        <v>11500</v>
      </c>
      <c r="E950" cm="1">
        <f t="array" ref="E950">INDEX(BOM!$C$2:$C$21,MATCH(B950,BOM!$A$2:$A$21,0)+MOD(ROW()-2,4))</f>
        <v>0.25</v>
      </c>
      <c r="F950">
        <f t="shared" si="14"/>
        <v>2875</v>
      </c>
    </row>
    <row r="951" spans="1:6">
      <c r="A951" s="1" cm="1">
        <f t="array" ref="A951">INDEX(Weekly_Inventory_Flow!$A$2:$A$261,INT((ROW()-2)/4)+1)</f>
        <v>46356</v>
      </c>
      <c r="B951" t="str" cm="1">
        <f t="array" ref="B951">INDEX(Weekly_Inventory_Flow!$B$2:$B$261,INT((ROW()-2)/4)+1)</f>
        <v>P003</v>
      </c>
      <c r="C951" t="str" cm="1">
        <f t="array" ref="C951">INDEX(BOM!$B$2:$B$21,MATCH(B951,BOM!$A$2:$A$21,0)+MOD(ROW()-2,4))</f>
        <v>M006</v>
      </c>
      <c r="D951" cm="1">
        <f t="array" ref="D951">INDEX(Weekly_Inventory_Flow!$I$2:$I$261,INT((ROW()-2)/4)+1)</f>
        <v>11500</v>
      </c>
      <c r="E951" cm="1">
        <f t="array" ref="E951">INDEX(BOM!$C$2:$C$21,MATCH(B951,BOM!$A$2:$A$21,0)+MOD(ROW()-2,4))</f>
        <v>6.0000000000000001E-3</v>
      </c>
      <c r="F951">
        <f t="shared" si="14"/>
        <v>69</v>
      </c>
    </row>
    <row r="952" spans="1:6">
      <c r="A952" s="1" cm="1">
        <f t="array" ref="A952">INDEX(Weekly_Inventory_Flow!$A$2:$A$261,INT((ROW()-2)/4)+1)</f>
        <v>46356</v>
      </c>
      <c r="B952" t="str" cm="1">
        <f t="array" ref="B952">INDEX(Weekly_Inventory_Flow!$B$2:$B$261,INT((ROW()-2)/4)+1)</f>
        <v>P003</v>
      </c>
      <c r="C952" t="str" cm="1">
        <f t="array" ref="C952">INDEX(BOM!$B$2:$B$21,MATCH(B952,BOM!$A$2:$A$21,0)+MOD(ROW()-2,4))</f>
        <v>M007</v>
      </c>
      <c r="D952" cm="1">
        <f t="array" ref="D952">INDEX(Weekly_Inventory_Flow!$I$2:$I$261,INT((ROW()-2)/4)+1)</f>
        <v>11500</v>
      </c>
      <c r="E952" cm="1">
        <f t="array" ref="E952">INDEX(BOM!$C$2:$C$21,MATCH(B952,BOM!$A$2:$A$21,0)+MOD(ROW()-2,4))</f>
        <v>1</v>
      </c>
      <c r="F952">
        <f t="shared" si="14"/>
        <v>11500</v>
      </c>
    </row>
    <row r="953" spans="1:6">
      <c r="A953" s="1" cm="1">
        <f t="array" ref="A953">INDEX(Weekly_Inventory_Flow!$A$2:$A$261,INT((ROW()-2)/4)+1)</f>
        <v>46356</v>
      </c>
      <c r="B953" t="str" cm="1">
        <f t="array" ref="B953">INDEX(Weekly_Inventory_Flow!$B$2:$B$261,INT((ROW()-2)/4)+1)</f>
        <v>P003</v>
      </c>
      <c r="C953" t="str" cm="1">
        <f t="array" ref="C953">INDEX(BOM!$B$2:$B$21,MATCH(B953,BOM!$A$2:$A$21,0)+MOD(ROW()-2,4))</f>
        <v>M008</v>
      </c>
      <c r="D953" cm="1">
        <f t="array" ref="D953">INDEX(Weekly_Inventory_Flow!$I$2:$I$261,INT((ROW()-2)/4)+1)</f>
        <v>11500</v>
      </c>
      <c r="E953" cm="1">
        <f t="array" ref="E953">INDEX(BOM!$C$2:$C$21,MATCH(B953,BOM!$A$2:$A$21,0)+MOD(ROW()-2,4))</f>
        <v>1</v>
      </c>
      <c r="F953">
        <f t="shared" si="14"/>
        <v>11500</v>
      </c>
    </row>
    <row r="954" spans="1:6">
      <c r="A954" s="1" cm="1">
        <f t="array" ref="A954">INDEX(Weekly_Inventory_Flow!$A$2:$A$261,INT((ROW()-2)/4)+1)</f>
        <v>46356</v>
      </c>
      <c r="B954" t="str" cm="1">
        <f t="array" ref="B954">INDEX(Weekly_Inventory_Flow!$B$2:$B$261,INT((ROW()-2)/4)+1)</f>
        <v>P004</v>
      </c>
      <c r="C954" t="str" cm="1">
        <f t="array" ref="C954">INDEX(BOM!$B$2:$B$21,MATCH(B954,BOM!$A$2:$A$21,0)+MOD(ROW()-2,4))</f>
        <v>M004</v>
      </c>
      <c r="D954" cm="1">
        <f t="array" ref="D954">INDEX(Weekly_Inventory_Flow!$I$2:$I$261,INT((ROW()-2)/4)+1)</f>
        <v>12400</v>
      </c>
      <c r="E954" cm="1">
        <f t="array" ref="E954">INDEX(BOM!$C$2:$C$21,MATCH(B954,BOM!$A$2:$A$21,0)+MOD(ROW()-2,4))</f>
        <v>0.34</v>
      </c>
      <c r="F954">
        <f t="shared" si="14"/>
        <v>4216</v>
      </c>
    </row>
    <row r="955" spans="1:6">
      <c r="A955" s="1" cm="1">
        <f t="array" ref="A955">INDEX(Weekly_Inventory_Flow!$A$2:$A$261,INT((ROW()-2)/4)+1)</f>
        <v>46356</v>
      </c>
      <c r="B955" t="str" cm="1">
        <f t="array" ref="B955">INDEX(Weekly_Inventory_Flow!$B$2:$B$261,INT((ROW()-2)/4)+1)</f>
        <v>P004</v>
      </c>
      <c r="C955" t="str" cm="1">
        <f t="array" ref="C955">INDEX(BOM!$B$2:$B$21,MATCH(B955,BOM!$A$2:$A$21,0)+MOD(ROW()-2,4))</f>
        <v>M006</v>
      </c>
      <c r="D955" cm="1">
        <f t="array" ref="D955">INDEX(Weekly_Inventory_Flow!$I$2:$I$261,INT((ROW()-2)/4)+1)</f>
        <v>12400</v>
      </c>
      <c r="E955" cm="1">
        <f t="array" ref="E955">INDEX(BOM!$C$2:$C$21,MATCH(B955,BOM!$A$2:$A$21,0)+MOD(ROW()-2,4))</f>
        <v>8.9999999999999993E-3</v>
      </c>
      <c r="F955">
        <f t="shared" si="14"/>
        <v>111.6</v>
      </c>
    </row>
    <row r="956" spans="1:6">
      <c r="A956" s="1" cm="1">
        <f t="array" ref="A956">INDEX(Weekly_Inventory_Flow!$A$2:$A$261,INT((ROW()-2)/4)+1)</f>
        <v>46356</v>
      </c>
      <c r="B956" t="str" cm="1">
        <f t="array" ref="B956">INDEX(Weekly_Inventory_Flow!$B$2:$B$261,INT((ROW()-2)/4)+1)</f>
        <v>P004</v>
      </c>
      <c r="C956" t="str" cm="1">
        <f t="array" ref="C956">INDEX(BOM!$B$2:$B$21,MATCH(B956,BOM!$A$2:$A$21,0)+MOD(ROW()-2,4))</f>
        <v>M007</v>
      </c>
      <c r="D956" cm="1">
        <f t="array" ref="D956">INDEX(Weekly_Inventory_Flow!$I$2:$I$261,INT((ROW()-2)/4)+1)</f>
        <v>12400</v>
      </c>
      <c r="E956" cm="1">
        <f t="array" ref="E956">INDEX(BOM!$C$2:$C$21,MATCH(B956,BOM!$A$2:$A$21,0)+MOD(ROW()-2,4))</f>
        <v>1</v>
      </c>
      <c r="F956">
        <f t="shared" si="14"/>
        <v>12400</v>
      </c>
    </row>
    <row r="957" spans="1:6">
      <c r="A957" s="1" cm="1">
        <f t="array" ref="A957">INDEX(Weekly_Inventory_Flow!$A$2:$A$261,INT((ROW()-2)/4)+1)</f>
        <v>46356</v>
      </c>
      <c r="B957" t="str" cm="1">
        <f t="array" ref="B957">INDEX(Weekly_Inventory_Flow!$B$2:$B$261,INT((ROW()-2)/4)+1)</f>
        <v>P004</v>
      </c>
      <c r="C957" t="str" cm="1">
        <f t="array" ref="C957">INDEX(BOM!$B$2:$B$21,MATCH(B957,BOM!$A$2:$A$21,0)+MOD(ROW()-2,4))</f>
        <v>M008</v>
      </c>
      <c r="D957" cm="1">
        <f t="array" ref="D957">INDEX(Weekly_Inventory_Flow!$I$2:$I$261,INT((ROW()-2)/4)+1)</f>
        <v>12400</v>
      </c>
      <c r="E957" cm="1">
        <f t="array" ref="E957">INDEX(BOM!$C$2:$C$21,MATCH(B957,BOM!$A$2:$A$21,0)+MOD(ROW()-2,4))</f>
        <v>1</v>
      </c>
      <c r="F957">
        <f t="shared" si="14"/>
        <v>12400</v>
      </c>
    </row>
    <row r="958" spans="1:6">
      <c r="A958" s="1" cm="1">
        <f t="array" ref="A958">INDEX(Weekly_Inventory_Flow!$A$2:$A$261,INT((ROW()-2)/4)+1)</f>
        <v>46356</v>
      </c>
      <c r="B958" t="str" cm="1">
        <f t="array" ref="B958">INDEX(Weekly_Inventory_Flow!$B$2:$B$261,INT((ROW()-2)/4)+1)</f>
        <v>P005</v>
      </c>
      <c r="C958" t="str" cm="1">
        <f t="array" ref="C958">INDEX(BOM!$B$2:$B$21,MATCH(B958,BOM!$A$2:$A$21,0)+MOD(ROW()-2,4))</f>
        <v>M005</v>
      </c>
      <c r="D958" cm="1">
        <f t="array" ref="D958">INDEX(Weekly_Inventory_Flow!$I$2:$I$261,INT((ROW()-2)/4)+1)</f>
        <v>9400</v>
      </c>
      <c r="E958" cm="1">
        <f t="array" ref="E958">INDEX(BOM!$C$2:$C$21,MATCH(B958,BOM!$A$2:$A$21,0)+MOD(ROW()-2,4))</f>
        <v>0.52</v>
      </c>
      <c r="F958">
        <f t="shared" si="14"/>
        <v>4888</v>
      </c>
    </row>
    <row r="959" spans="1:6">
      <c r="A959" s="1" cm="1">
        <f t="array" ref="A959">INDEX(Weekly_Inventory_Flow!$A$2:$A$261,INT((ROW()-2)/4)+1)</f>
        <v>46356</v>
      </c>
      <c r="B959" t="str" cm="1">
        <f t="array" ref="B959">INDEX(Weekly_Inventory_Flow!$B$2:$B$261,INT((ROW()-2)/4)+1)</f>
        <v>P005</v>
      </c>
      <c r="C959" t="str" cm="1">
        <f t="array" ref="C959">INDEX(BOM!$B$2:$B$21,MATCH(B959,BOM!$A$2:$A$21,0)+MOD(ROW()-2,4))</f>
        <v>M006</v>
      </c>
      <c r="D959" cm="1">
        <f t="array" ref="D959">INDEX(Weekly_Inventory_Flow!$I$2:$I$261,INT((ROW()-2)/4)+1)</f>
        <v>9400</v>
      </c>
      <c r="E959" cm="1">
        <f t="array" ref="E959">INDEX(BOM!$C$2:$C$21,MATCH(B959,BOM!$A$2:$A$21,0)+MOD(ROW()-2,4))</f>
        <v>1.2E-2</v>
      </c>
      <c r="F959">
        <f t="shared" si="14"/>
        <v>112.8</v>
      </c>
    </row>
    <row r="960" spans="1:6">
      <c r="A960" s="1" cm="1">
        <f t="array" ref="A960">INDEX(Weekly_Inventory_Flow!$A$2:$A$261,INT((ROW()-2)/4)+1)</f>
        <v>46356</v>
      </c>
      <c r="B960" t="str" cm="1">
        <f t="array" ref="B960">INDEX(Weekly_Inventory_Flow!$B$2:$B$261,INT((ROW()-2)/4)+1)</f>
        <v>P005</v>
      </c>
      <c r="C960" t="str" cm="1">
        <f t="array" ref="C960">INDEX(BOM!$B$2:$B$21,MATCH(B960,BOM!$A$2:$A$21,0)+MOD(ROW()-2,4))</f>
        <v>M007</v>
      </c>
      <c r="D960" cm="1">
        <f t="array" ref="D960">INDEX(Weekly_Inventory_Flow!$I$2:$I$261,INT((ROW()-2)/4)+1)</f>
        <v>9400</v>
      </c>
      <c r="E960" cm="1">
        <f t="array" ref="E960">INDEX(BOM!$C$2:$C$21,MATCH(B960,BOM!$A$2:$A$21,0)+MOD(ROW()-2,4))</f>
        <v>1</v>
      </c>
      <c r="F960">
        <f t="shared" si="14"/>
        <v>9400</v>
      </c>
    </row>
    <row r="961" spans="1:6">
      <c r="A961" s="1" cm="1">
        <f t="array" ref="A961">INDEX(Weekly_Inventory_Flow!$A$2:$A$261,INT((ROW()-2)/4)+1)</f>
        <v>46356</v>
      </c>
      <c r="B961" t="str" cm="1">
        <f t="array" ref="B961">INDEX(Weekly_Inventory_Flow!$B$2:$B$261,INT((ROW()-2)/4)+1)</f>
        <v>P005</v>
      </c>
      <c r="C961" t="str" cm="1">
        <f t="array" ref="C961">INDEX(BOM!$B$2:$B$21,MATCH(B961,BOM!$A$2:$A$21,0)+MOD(ROW()-2,4))</f>
        <v>M008</v>
      </c>
      <c r="D961" cm="1">
        <f t="array" ref="D961">INDEX(Weekly_Inventory_Flow!$I$2:$I$261,INT((ROW()-2)/4)+1)</f>
        <v>9400</v>
      </c>
      <c r="E961" cm="1">
        <f t="array" ref="E961">INDEX(BOM!$C$2:$C$21,MATCH(B961,BOM!$A$2:$A$21,0)+MOD(ROW()-2,4))</f>
        <v>1</v>
      </c>
      <c r="F961">
        <f t="shared" si="14"/>
        <v>9400</v>
      </c>
    </row>
    <row r="962" spans="1:6">
      <c r="A962" s="1" cm="1">
        <f t="array" ref="A962">INDEX(Weekly_Inventory_Flow!$A$2:$A$261,INT((ROW()-2)/4)+1)</f>
        <v>46363</v>
      </c>
      <c r="B962" t="str" cm="1">
        <f t="array" ref="B962">INDEX(Weekly_Inventory_Flow!$B$2:$B$261,INT((ROW()-2)/4)+1)</f>
        <v>P001</v>
      </c>
      <c r="C962" t="str" cm="1">
        <f t="array" ref="C962">INDEX(BOM!$B$2:$B$21,MATCH(B962,BOM!$A$2:$A$21,0)+MOD(ROW()-2,4))</f>
        <v>M001</v>
      </c>
      <c r="D962" cm="1">
        <f t="array" ref="D962">INDEX(Weekly_Inventory_Flow!$I$2:$I$261,INT((ROW()-2)/4)+1)</f>
        <v>17400</v>
      </c>
      <c r="E962" cm="1">
        <f t="array" ref="E962">INDEX(BOM!$C$2:$C$21,MATCH(B962,BOM!$A$2:$A$21,0)+MOD(ROW()-2,4))</f>
        <v>0.35</v>
      </c>
      <c r="F962">
        <f t="shared" si="14"/>
        <v>6090</v>
      </c>
    </row>
    <row r="963" spans="1:6">
      <c r="A963" s="1" cm="1">
        <f t="array" ref="A963">INDEX(Weekly_Inventory_Flow!$A$2:$A$261,INT((ROW()-2)/4)+1)</f>
        <v>46363</v>
      </c>
      <c r="B963" t="str" cm="1">
        <f t="array" ref="B963">INDEX(Weekly_Inventory_Flow!$B$2:$B$261,INT((ROW()-2)/4)+1)</f>
        <v>P001</v>
      </c>
      <c r="C963" t="str" cm="1">
        <f t="array" ref="C963">INDEX(BOM!$B$2:$B$21,MATCH(B963,BOM!$A$2:$A$21,0)+MOD(ROW()-2,4))</f>
        <v>M006</v>
      </c>
      <c r="D963" cm="1">
        <f t="array" ref="D963">INDEX(Weekly_Inventory_Flow!$I$2:$I$261,INT((ROW()-2)/4)+1)</f>
        <v>17400</v>
      </c>
      <c r="E963" cm="1">
        <f t="array" ref="E963">INDEX(BOM!$C$2:$C$21,MATCH(B963,BOM!$A$2:$A$21,0)+MOD(ROW()-2,4))</f>
        <v>0.01</v>
      </c>
      <c r="F963">
        <f t="shared" ref="F963:F1026" si="15">D963*E963</f>
        <v>174</v>
      </c>
    </row>
    <row r="964" spans="1:6">
      <c r="A964" s="1" cm="1">
        <f t="array" ref="A964">INDEX(Weekly_Inventory_Flow!$A$2:$A$261,INT((ROW()-2)/4)+1)</f>
        <v>46363</v>
      </c>
      <c r="B964" t="str" cm="1">
        <f t="array" ref="B964">INDEX(Weekly_Inventory_Flow!$B$2:$B$261,INT((ROW()-2)/4)+1)</f>
        <v>P001</v>
      </c>
      <c r="C964" t="str" cm="1">
        <f t="array" ref="C964">INDEX(BOM!$B$2:$B$21,MATCH(B964,BOM!$A$2:$A$21,0)+MOD(ROW()-2,4))</f>
        <v>M007</v>
      </c>
      <c r="D964" cm="1">
        <f t="array" ref="D964">INDEX(Weekly_Inventory_Flow!$I$2:$I$261,INT((ROW()-2)/4)+1)</f>
        <v>17400</v>
      </c>
      <c r="E964" cm="1">
        <f t="array" ref="E964">INDEX(BOM!$C$2:$C$21,MATCH(B964,BOM!$A$2:$A$21,0)+MOD(ROW()-2,4))</f>
        <v>1</v>
      </c>
      <c r="F964">
        <f t="shared" si="15"/>
        <v>17400</v>
      </c>
    </row>
    <row r="965" spans="1:6">
      <c r="A965" s="1" cm="1">
        <f t="array" ref="A965">INDEX(Weekly_Inventory_Flow!$A$2:$A$261,INT((ROW()-2)/4)+1)</f>
        <v>46363</v>
      </c>
      <c r="B965" t="str" cm="1">
        <f t="array" ref="B965">INDEX(Weekly_Inventory_Flow!$B$2:$B$261,INT((ROW()-2)/4)+1)</f>
        <v>P001</v>
      </c>
      <c r="C965" t="str" cm="1">
        <f t="array" ref="C965">INDEX(BOM!$B$2:$B$21,MATCH(B965,BOM!$A$2:$A$21,0)+MOD(ROW()-2,4))</f>
        <v>M008</v>
      </c>
      <c r="D965" cm="1">
        <f t="array" ref="D965">INDEX(Weekly_Inventory_Flow!$I$2:$I$261,INT((ROW()-2)/4)+1)</f>
        <v>17400</v>
      </c>
      <c r="E965" cm="1">
        <f t="array" ref="E965">INDEX(BOM!$C$2:$C$21,MATCH(B965,BOM!$A$2:$A$21,0)+MOD(ROW()-2,4))</f>
        <v>1</v>
      </c>
      <c r="F965">
        <f t="shared" si="15"/>
        <v>17400</v>
      </c>
    </row>
    <row r="966" spans="1:6">
      <c r="A966" s="1" cm="1">
        <f t="array" ref="A966">INDEX(Weekly_Inventory_Flow!$A$2:$A$261,INT((ROW()-2)/4)+1)</f>
        <v>46363</v>
      </c>
      <c r="B966" t="str" cm="1">
        <f t="array" ref="B966">INDEX(Weekly_Inventory_Flow!$B$2:$B$261,INT((ROW()-2)/4)+1)</f>
        <v>P002</v>
      </c>
      <c r="C966" t="str" cm="1">
        <f t="array" ref="C966">INDEX(BOM!$B$2:$B$21,MATCH(B966,BOM!$A$2:$A$21,0)+MOD(ROW()-2,4))</f>
        <v>M002</v>
      </c>
      <c r="D966" cm="1">
        <f t="array" ref="D966">INDEX(Weekly_Inventory_Flow!$I$2:$I$261,INT((ROW()-2)/4)+1)</f>
        <v>15600</v>
      </c>
      <c r="E966" cm="1">
        <f t="array" ref="E966">INDEX(BOM!$C$2:$C$21,MATCH(B966,BOM!$A$2:$A$21,0)+MOD(ROW()-2,4))</f>
        <v>0.3</v>
      </c>
      <c r="F966">
        <f t="shared" si="15"/>
        <v>4680</v>
      </c>
    </row>
    <row r="967" spans="1:6">
      <c r="A967" s="1" cm="1">
        <f t="array" ref="A967">INDEX(Weekly_Inventory_Flow!$A$2:$A$261,INT((ROW()-2)/4)+1)</f>
        <v>46363</v>
      </c>
      <c r="B967" t="str" cm="1">
        <f t="array" ref="B967">INDEX(Weekly_Inventory_Flow!$B$2:$B$261,INT((ROW()-2)/4)+1)</f>
        <v>P002</v>
      </c>
      <c r="C967" t="str" cm="1">
        <f t="array" ref="C967">INDEX(BOM!$B$2:$B$21,MATCH(B967,BOM!$A$2:$A$21,0)+MOD(ROW()-2,4))</f>
        <v>M006</v>
      </c>
      <c r="D967" cm="1">
        <f t="array" ref="D967">INDEX(Weekly_Inventory_Flow!$I$2:$I$261,INT((ROW()-2)/4)+1)</f>
        <v>15600</v>
      </c>
      <c r="E967" cm="1">
        <f t="array" ref="E967">INDEX(BOM!$C$2:$C$21,MATCH(B967,BOM!$A$2:$A$21,0)+MOD(ROW()-2,4))</f>
        <v>8.0000000000000002E-3</v>
      </c>
      <c r="F967">
        <f t="shared" si="15"/>
        <v>124.8</v>
      </c>
    </row>
    <row r="968" spans="1:6">
      <c r="A968" s="1" cm="1">
        <f t="array" ref="A968">INDEX(Weekly_Inventory_Flow!$A$2:$A$261,INT((ROW()-2)/4)+1)</f>
        <v>46363</v>
      </c>
      <c r="B968" t="str" cm="1">
        <f t="array" ref="B968">INDEX(Weekly_Inventory_Flow!$B$2:$B$261,INT((ROW()-2)/4)+1)</f>
        <v>P002</v>
      </c>
      <c r="C968" t="str" cm="1">
        <f t="array" ref="C968">INDEX(BOM!$B$2:$B$21,MATCH(B968,BOM!$A$2:$A$21,0)+MOD(ROW()-2,4))</f>
        <v>M007</v>
      </c>
      <c r="D968" cm="1">
        <f t="array" ref="D968">INDEX(Weekly_Inventory_Flow!$I$2:$I$261,INT((ROW()-2)/4)+1)</f>
        <v>15600</v>
      </c>
      <c r="E968" cm="1">
        <f t="array" ref="E968">INDEX(BOM!$C$2:$C$21,MATCH(B968,BOM!$A$2:$A$21,0)+MOD(ROW()-2,4))</f>
        <v>1</v>
      </c>
      <c r="F968">
        <f t="shared" si="15"/>
        <v>15600</v>
      </c>
    </row>
    <row r="969" spans="1:6">
      <c r="A969" s="1" cm="1">
        <f t="array" ref="A969">INDEX(Weekly_Inventory_Flow!$A$2:$A$261,INT((ROW()-2)/4)+1)</f>
        <v>46363</v>
      </c>
      <c r="B969" t="str" cm="1">
        <f t="array" ref="B969">INDEX(Weekly_Inventory_Flow!$B$2:$B$261,INT((ROW()-2)/4)+1)</f>
        <v>P002</v>
      </c>
      <c r="C969" t="str" cm="1">
        <f t="array" ref="C969">INDEX(BOM!$B$2:$B$21,MATCH(B969,BOM!$A$2:$A$21,0)+MOD(ROW()-2,4))</f>
        <v>M008</v>
      </c>
      <c r="D969" cm="1">
        <f t="array" ref="D969">INDEX(Weekly_Inventory_Flow!$I$2:$I$261,INT((ROW()-2)/4)+1)</f>
        <v>15600</v>
      </c>
      <c r="E969" cm="1">
        <f t="array" ref="E969">INDEX(BOM!$C$2:$C$21,MATCH(B969,BOM!$A$2:$A$21,0)+MOD(ROW()-2,4))</f>
        <v>1</v>
      </c>
      <c r="F969">
        <f t="shared" si="15"/>
        <v>15600</v>
      </c>
    </row>
    <row r="970" spans="1:6">
      <c r="A970" s="1" cm="1">
        <f t="array" ref="A970">INDEX(Weekly_Inventory_Flow!$A$2:$A$261,INT((ROW()-2)/4)+1)</f>
        <v>46363</v>
      </c>
      <c r="B970" t="str" cm="1">
        <f t="array" ref="B970">INDEX(Weekly_Inventory_Flow!$B$2:$B$261,INT((ROW()-2)/4)+1)</f>
        <v>P003</v>
      </c>
      <c r="C970" t="str" cm="1">
        <f t="array" ref="C970">INDEX(BOM!$B$2:$B$21,MATCH(B970,BOM!$A$2:$A$21,0)+MOD(ROW()-2,4))</f>
        <v>M003</v>
      </c>
      <c r="D970" cm="1">
        <f t="array" ref="D970">INDEX(Weekly_Inventory_Flow!$I$2:$I$261,INT((ROW()-2)/4)+1)</f>
        <v>13700</v>
      </c>
      <c r="E970" cm="1">
        <f t="array" ref="E970">INDEX(BOM!$C$2:$C$21,MATCH(B970,BOM!$A$2:$A$21,0)+MOD(ROW()-2,4))</f>
        <v>0.25</v>
      </c>
      <c r="F970">
        <f t="shared" si="15"/>
        <v>3425</v>
      </c>
    </row>
    <row r="971" spans="1:6">
      <c r="A971" s="1" cm="1">
        <f t="array" ref="A971">INDEX(Weekly_Inventory_Flow!$A$2:$A$261,INT((ROW()-2)/4)+1)</f>
        <v>46363</v>
      </c>
      <c r="B971" t="str" cm="1">
        <f t="array" ref="B971">INDEX(Weekly_Inventory_Flow!$B$2:$B$261,INT((ROW()-2)/4)+1)</f>
        <v>P003</v>
      </c>
      <c r="C971" t="str" cm="1">
        <f t="array" ref="C971">INDEX(BOM!$B$2:$B$21,MATCH(B971,BOM!$A$2:$A$21,0)+MOD(ROW()-2,4))</f>
        <v>M006</v>
      </c>
      <c r="D971" cm="1">
        <f t="array" ref="D971">INDEX(Weekly_Inventory_Flow!$I$2:$I$261,INT((ROW()-2)/4)+1)</f>
        <v>13700</v>
      </c>
      <c r="E971" cm="1">
        <f t="array" ref="E971">INDEX(BOM!$C$2:$C$21,MATCH(B971,BOM!$A$2:$A$21,0)+MOD(ROW()-2,4))</f>
        <v>6.0000000000000001E-3</v>
      </c>
      <c r="F971">
        <f t="shared" si="15"/>
        <v>82.2</v>
      </c>
    </row>
    <row r="972" spans="1:6">
      <c r="A972" s="1" cm="1">
        <f t="array" ref="A972">INDEX(Weekly_Inventory_Flow!$A$2:$A$261,INT((ROW()-2)/4)+1)</f>
        <v>46363</v>
      </c>
      <c r="B972" t="str" cm="1">
        <f t="array" ref="B972">INDEX(Weekly_Inventory_Flow!$B$2:$B$261,INT((ROW()-2)/4)+1)</f>
        <v>P003</v>
      </c>
      <c r="C972" t="str" cm="1">
        <f t="array" ref="C972">INDEX(BOM!$B$2:$B$21,MATCH(B972,BOM!$A$2:$A$21,0)+MOD(ROW()-2,4))</f>
        <v>M007</v>
      </c>
      <c r="D972" cm="1">
        <f t="array" ref="D972">INDEX(Weekly_Inventory_Flow!$I$2:$I$261,INT((ROW()-2)/4)+1)</f>
        <v>13700</v>
      </c>
      <c r="E972" cm="1">
        <f t="array" ref="E972">INDEX(BOM!$C$2:$C$21,MATCH(B972,BOM!$A$2:$A$21,0)+MOD(ROW()-2,4))</f>
        <v>1</v>
      </c>
      <c r="F972">
        <f t="shared" si="15"/>
        <v>13700</v>
      </c>
    </row>
    <row r="973" spans="1:6">
      <c r="A973" s="1" cm="1">
        <f t="array" ref="A973">INDEX(Weekly_Inventory_Flow!$A$2:$A$261,INT((ROW()-2)/4)+1)</f>
        <v>46363</v>
      </c>
      <c r="B973" t="str" cm="1">
        <f t="array" ref="B973">INDEX(Weekly_Inventory_Flow!$B$2:$B$261,INT((ROW()-2)/4)+1)</f>
        <v>P003</v>
      </c>
      <c r="C973" t="str" cm="1">
        <f t="array" ref="C973">INDEX(BOM!$B$2:$B$21,MATCH(B973,BOM!$A$2:$A$21,0)+MOD(ROW()-2,4))</f>
        <v>M008</v>
      </c>
      <c r="D973" cm="1">
        <f t="array" ref="D973">INDEX(Weekly_Inventory_Flow!$I$2:$I$261,INT((ROW()-2)/4)+1)</f>
        <v>13700</v>
      </c>
      <c r="E973" cm="1">
        <f t="array" ref="E973">INDEX(BOM!$C$2:$C$21,MATCH(B973,BOM!$A$2:$A$21,0)+MOD(ROW()-2,4))</f>
        <v>1</v>
      </c>
      <c r="F973">
        <f t="shared" si="15"/>
        <v>13700</v>
      </c>
    </row>
    <row r="974" spans="1:6">
      <c r="A974" s="1" cm="1">
        <f t="array" ref="A974">INDEX(Weekly_Inventory_Flow!$A$2:$A$261,INT((ROW()-2)/4)+1)</f>
        <v>46363</v>
      </c>
      <c r="B974" t="str" cm="1">
        <f t="array" ref="B974">INDEX(Weekly_Inventory_Flow!$B$2:$B$261,INT((ROW()-2)/4)+1)</f>
        <v>P004</v>
      </c>
      <c r="C974" t="str" cm="1">
        <f t="array" ref="C974">INDEX(BOM!$B$2:$B$21,MATCH(B974,BOM!$A$2:$A$21,0)+MOD(ROW()-2,4))</f>
        <v>M004</v>
      </c>
      <c r="D974" cm="1">
        <f t="array" ref="D974">INDEX(Weekly_Inventory_Flow!$I$2:$I$261,INT((ROW()-2)/4)+1)</f>
        <v>14200</v>
      </c>
      <c r="E974" cm="1">
        <f t="array" ref="E974">INDEX(BOM!$C$2:$C$21,MATCH(B974,BOM!$A$2:$A$21,0)+MOD(ROW()-2,4))</f>
        <v>0.34</v>
      </c>
      <c r="F974">
        <f t="shared" si="15"/>
        <v>4828</v>
      </c>
    </row>
    <row r="975" spans="1:6">
      <c r="A975" s="1" cm="1">
        <f t="array" ref="A975">INDEX(Weekly_Inventory_Flow!$A$2:$A$261,INT((ROW()-2)/4)+1)</f>
        <v>46363</v>
      </c>
      <c r="B975" t="str" cm="1">
        <f t="array" ref="B975">INDEX(Weekly_Inventory_Flow!$B$2:$B$261,INT((ROW()-2)/4)+1)</f>
        <v>P004</v>
      </c>
      <c r="C975" t="str" cm="1">
        <f t="array" ref="C975">INDEX(BOM!$B$2:$B$21,MATCH(B975,BOM!$A$2:$A$21,0)+MOD(ROW()-2,4))</f>
        <v>M006</v>
      </c>
      <c r="D975" cm="1">
        <f t="array" ref="D975">INDEX(Weekly_Inventory_Flow!$I$2:$I$261,INT((ROW()-2)/4)+1)</f>
        <v>14200</v>
      </c>
      <c r="E975" cm="1">
        <f t="array" ref="E975">INDEX(BOM!$C$2:$C$21,MATCH(B975,BOM!$A$2:$A$21,0)+MOD(ROW()-2,4))</f>
        <v>8.9999999999999993E-3</v>
      </c>
      <c r="F975">
        <f t="shared" si="15"/>
        <v>127.8</v>
      </c>
    </row>
    <row r="976" spans="1:6">
      <c r="A976" s="1" cm="1">
        <f t="array" ref="A976">INDEX(Weekly_Inventory_Flow!$A$2:$A$261,INT((ROW()-2)/4)+1)</f>
        <v>46363</v>
      </c>
      <c r="B976" t="str" cm="1">
        <f t="array" ref="B976">INDEX(Weekly_Inventory_Flow!$B$2:$B$261,INT((ROW()-2)/4)+1)</f>
        <v>P004</v>
      </c>
      <c r="C976" t="str" cm="1">
        <f t="array" ref="C976">INDEX(BOM!$B$2:$B$21,MATCH(B976,BOM!$A$2:$A$21,0)+MOD(ROW()-2,4))</f>
        <v>M007</v>
      </c>
      <c r="D976" cm="1">
        <f t="array" ref="D976">INDEX(Weekly_Inventory_Flow!$I$2:$I$261,INT((ROW()-2)/4)+1)</f>
        <v>14200</v>
      </c>
      <c r="E976" cm="1">
        <f t="array" ref="E976">INDEX(BOM!$C$2:$C$21,MATCH(B976,BOM!$A$2:$A$21,0)+MOD(ROW()-2,4))</f>
        <v>1</v>
      </c>
      <c r="F976">
        <f t="shared" si="15"/>
        <v>14200</v>
      </c>
    </row>
    <row r="977" spans="1:6">
      <c r="A977" s="1" cm="1">
        <f t="array" ref="A977">INDEX(Weekly_Inventory_Flow!$A$2:$A$261,INT((ROW()-2)/4)+1)</f>
        <v>46363</v>
      </c>
      <c r="B977" t="str" cm="1">
        <f t="array" ref="B977">INDEX(Weekly_Inventory_Flow!$B$2:$B$261,INT((ROW()-2)/4)+1)</f>
        <v>P004</v>
      </c>
      <c r="C977" t="str" cm="1">
        <f t="array" ref="C977">INDEX(BOM!$B$2:$B$21,MATCH(B977,BOM!$A$2:$A$21,0)+MOD(ROW()-2,4))</f>
        <v>M008</v>
      </c>
      <c r="D977" cm="1">
        <f t="array" ref="D977">INDEX(Weekly_Inventory_Flow!$I$2:$I$261,INT((ROW()-2)/4)+1)</f>
        <v>14200</v>
      </c>
      <c r="E977" cm="1">
        <f t="array" ref="E977">INDEX(BOM!$C$2:$C$21,MATCH(B977,BOM!$A$2:$A$21,0)+MOD(ROW()-2,4))</f>
        <v>1</v>
      </c>
      <c r="F977">
        <f t="shared" si="15"/>
        <v>14200</v>
      </c>
    </row>
    <row r="978" spans="1:6">
      <c r="A978" s="1" cm="1">
        <f t="array" ref="A978">INDEX(Weekly_Inventory_Flow!$A$2:$A$261,INT((ROW()-2)/4)+1)</f>
        <v>46363</v>
      </c>
      <c r="B978" t="str" cm="1">
        <f t="array" ref="B978">INDEX(Weekly_Inventory_Flow!$B$2:$B$261,INT((ROW()-2)/4)+1)</f>
        <v>P005</v>
      </c>
      <c r="C978" t="str" cm="1">
        <f t="array" ref="C978">INDEX(BOM!$B$2:$B$21,MATCH(B978,BOM!$A$2:$A$21,0)+MOD(ROW()-2,4))</f>
        <v>M005</v>
      </c>
      <c r="D978" cm="1">
        <f t="array" ref="D978">INDEX(Weekly_Inventory_Flow!$I$2:$I$261,INT((ROW()-2)/4)+1)</f>
        <v>10800</v>
      </c>
      <c r="E978" cm="1">
        <f t="array" ref="E978">INDEX(BOM!$C$2:$C$21,MATCH(B978,BOM!$A$2:$A$21,0)+MOD(ROW()-2,4))</f>
        <v>0.52</v>
      </c>
      <c r="F978">
        <f t="shared" si="15"/>
        <v>5616</v>
      </c>
    </row>
    <row r="979" spans="1:6">
      <c r="A979" s="1" cm="1">
        <f t="array" ref="A979">INDEX(Weekly_Inventory_Flow!$A$2:$A$261,INT((ROW()-2)/4)+1)</f>
        <v>46363</v>
      </c>
      <c r="B979" t="str" cm="1">
        <f t="array" ref="B979">INDEX(Weekly_Inventory_Flow!$B$2:$B$261,INT((ROW()-2)/4)+1)</f>
        <v>P005</v>
      </c>
      <c r="C979" t="str" cm="1">
        <f t="array" ref="C979">INDEX(BOM!$B$2:$B$21,MATCH(B979,BOM!$A$2:$A$21,0)+MOD(ROW()-2,4))</f>
        <v>M006</v>
      </c>
      <c r="D979" cm="1">
        <f t="array" ref="D979">INDEX(Weekly_Inventory_Flow!$I$2:$I$261,INT((ROW()-2)/4)+1)</f>
        <v>10800</v>
      </c>
      <c r="E979" cm="1">
        <f t="array" ref="E979">INDEX(BOM!$C$2:$C$21,MATCH(B979,BOM!$A$2:$A$21,0)+MOD(ROW()-2,4))</f>
        <v>1.2E-2</v>
      </c>
      <c r="F979">
        <f t="shared" si="15"/>
        <v>129.6</v>
      </c>
    </row>
    <row r="980" spans="1:6">
      <c r="A980" s="1" cm="1">
        <f t="array" ref="A980">INDEX(Weekly_Inventory_Flow!$A$2:$A$261,INT((ROW()-2)/4)+1)</f>
        <v>46363</v>
      </c>
      <c r="B980" t="str" cm="1">
        <f t="array" ref="B980">INDEX(Weekly_Inventory_Flow!$B$2:$B$261,INT((ROW()-2)/4)+1)</f>
        <v>P005</v>
      </c>
      <c r="C980" t="str" cm="1">
        <f t="array" ref="C980">INDEX(BOM!$B$2:$B$21,MATCH(B980,BOM!$A$2:$A$21,0)+MOD(ROW()-2,4))</f>
        <v>M007</v>
      </c>
      <c r="D980" cm="1">
        <f t="array" ref="D980">INDEX(Weekly_Inventory_Flow!$I$2:$I$261,INT((ROW()-2)/4)+1)</f>
        <v>10800</v>
      </c>
      <c r="E980" cm="1">
        <f t="array" ref="E980">INDEX(BOM!$C$2:$C$21,MATCH(B980,BOM!$A$2:$A$21,0)+MOD(ROW()-2,4))</f>
        <v>1</v>
      </c>
      <c r="F980">
        <f t="shared" si="15"/>
        <v>10800</v>
      </c>
    </row>
    <row r="981" spans="1:6">
      <c r="A981" s="1" cm="1">
        <f t="array" ref="A981">INDEX(Weekly_Inventory_Flow!$A$2:$A$261,INT((ROW()-2)/4)+1)</f>
        <v>46363</v>
      </c>
      <c r="B981" t="str" cm="1">
        <f t="array" ref="B981">INDEX(Weekly_Inventory_Flow!$B$2:$B$261,INT((ROW()-2)/4)+1)</f>
        <v>P005</v>
      </c>
      <c r="C981" t="str" cm="1">
        <f t="array" ref="C981">INDEX(BOM!$B$2:$B$21,MATCH(B981,BOM!$A$2:$A$21,0)+MOD(ROW()-2,4))</f>
        <v>M008</v>
      </c>
      <c r="D981" cm="1">
        <f t="array" ref="D981">INDEX(Weekly_Inventory_Flow!$I$2:$I$261,INT((ROW()-2)/4)+1)</f>
        <v>10800</v>
      </c>
      <c r="E981" cm="1">
        <f t="array" ref="E981">INDEX(BOM!$C$2:$C$21,MATCH(B981,BOM!$A$2:$A$21,0)+MOD(ROW()-2,4))</f>
        <v>1</v>
      </c>
      <c r="F981">
        <f t="shared" si="15"/>
        <v>10800</v>
      </c>
    </row>
    <row r="982" spans="1:6">
      <c r="A982" s="1" cm="1">
        <f t="array" ref="A982">INDEX(Weekly_Inventory_Flow!$A$2:$A$261,INT((ROW()-2)/4)+1)</f>
        <v>46370</v>
      </c>
      <c r="B982" t="str" cm="1">
        <f t="array" ref="B982">INDEX(Weekly_Inventory_Flow!$B$2:$B$261,INT((ROW()-2)/4)+1)</f>
        <v>P001</v>
      </c>
      <c r="C982" t="str" cm="1">
        <f t="array" ref="C982">INDEX(BOM!$B$2:$B$21,MATCH(B982,BOM!$A$2:$A$21,0)+MOD(ROW()-2,4))</f>
        <v>M001</v>
      </c>
      <c r="D982" cm="1">
        <f t="array" ref="D982">INDEX(Weekly_Inventory_Flow!$I$2:$I$261,INT((ROW()-2)/4)+1)</f>
        <v>16800</v>
      </c>
      <c r="E982" cm="1">
        <f t="array" ref="E982">INDEX(BOM!$C$2:$C$21,MATCH(B982,BOM!$A$2:$A$21,0)+MOD(ROW()-2,4))</f>
        <v>0.35</v>
      </c>
      <c r="F982">
        <f t="shared" si="15"/>
        <v>5880</v>
      </c>
    </row>
    <row r="983" spans="1:6">
      <c r="A983" s="1" cm="1">
        <f t="array" ref="A983">INDEX(Weekly_Inventory_Flow!$A$2:$A$261,INT((ROW()-2)/4)+1)</f>
        <v>46370</v>
      </c>
      <c r="B983" t="str" cm="1">
        <f t="array" ref="B983">INDEX(Weekly_Inventory_Flow!$B$2:$B$261,INT((ROW()-2)/4)+1)</f>
        <v>P001</v>
      </c>
      <c r="C983" t="str" cm="1">
        <f t="array" ref="C983">INDEX(BOM!$B$2:$B$21,MATCH(B983,BOM!$A$2:$A$21,0)+MOD(ROW()-2,4))</f>
        <v>M006</v>
      </c>
      <c r="D983" cm="1">
        <f t="array" ref="D983">INDEX(Weekly_Inventory_Flow!$I$2:$I$261,INT((ROW()-2)/4)+1)</f>
        <v>16800</v>
      </c>
      <c r="E983" cm="1">
        <f t="array" ref="E983">INDEX(BOM!$C$2:$C$21,MATCH(B983,BOM!$A$2:$A$21,0)+MOD(ROW()-2,4))</f>
        <v>0.01</v>
      </c>
      <c r="F983">
        <f t="shared" si="15"/>
        <v>168</v>
      </c>
    </row>
    <row r="984" spans="1:6">
      <c r="A984" s="1" cm="1">
        <f t="array" ref="A984">INDEX(Weekly_Inventory_Flow!$A$2:$A$261,INT((ROW()-2)/4)+1)</f>
        <v>46370</v>
      </c>
      <c r="B984" t="str" cm="1">
        <f t="array" ref="B984">INDEX(Weekly_Inventory_Flow!$B$2:$B$261,INT((ROW()-2)/4)+1)</f>
        <v>P001</v>
      </c>
      <c r="C984" t="str" cm="1">
        <f t="array" ref="C984">INDEX(BOM!$B$2:$B$21,MATCH(B984,BOM!$A$2:$A$21,0)+MOD(ROW()-2,4))</f>
        <v>M007</v>
      </c>
      <c r="D984" cm="1">
        <f t="array" ref="D984">INDEX(Weekly_Inventory_Flow!$I$2:$I$261,INT((ROW()-2)/4)+1)</f>
        <v>16800</v>
      </c>
      <c r="E984" cm="1">
        <f t="array" ref="E984">INDEX(BOM!$C$2:$C$21,MATCH(B984,BOM!$A$2:$A$21,0)+MOD(ROW()-2,4))</f>
        <v>1</v>
      </c>
      <c r="F984">
        <f t="shared" si="15"/>
        <v>16800</v>
      </c>
    </row>
    <row r="985" spans="1:6">
      <c r="A985" s="1" cm="1">
        <f t="array" ref="A985">INDEX(Weekly_Inventory_Flow!$A$2:$A$261,INT((ROW()-2)/4)+1)</f>
        <v>46370</v>
      </c>
      <c r="B985" t="str" cm="1">
        <f t="array" ref="B985">INDEX(Weekly_Inventory_Flow!$B$2:$B$261,INT((ROW()-2)/4)+1)</f>
        <v>P001</v>
      </c>
      <c r="C985" t="str" cm="1">
        <f t="array" ref="C985">INDEX(BOM!$B$2:$B$21,MATCH(B985,BOM!$A$2:$A$21,0)+MOD(ROW()-2,4))</f>
        <v>M008</v>
      </c>
      <c r="D985" cm="1">
        <f t="array" ref="D985">INDEX(Weekly_Inventory_Flow!$I$2:$I$261,INT((ROW()-2)/4)+1)</f>
        <v>16800</v>
      </c>
      <c r="E985" cm="1">
        <f t="array" ref="E985">INDEX(BOM!$C$2:$C$21,MATCH(B985,BOM!$A$2:$A$21,0)+MOD(ROW()-2,4))</f>
        <v>1</v>
      </c>
      <c r="F985">
        <f t="shared" si="15"/>
        <v>16800</v>
      </c>
    </row>
    <row r="986" spans="1:6">
      <c r="A986" s="1" cm="1">
        <f t="array" ref="A986">INDEX(Weekly_Inventory_Flow!$A$2:$A$261,INT((ROW()-2)/4)+1)</f>
        <v>46370</v>
      </c>
      <c r="B986" t="str" cm="1">
        <f t="array" ref="B986">INDEX(Weekly_Inventory_Flow!$B$2:$B$261,INT((ROW()-2)/4)+1)</f>
        <v>P002</v>
      </c>
      <c r="C986" t="str" cm="1">
        <f t="array" ref="C986">INDEX(BOM!$B$2:$B$21,MATCH(B986,BOM!$A$2:$A$21,0)+MOD(ROW()-2,4))</f>
        <v>M002</v>
      </c>
      <c r="D986" cm="1">
        <f t="array" ref="D986">INDEX(Weekly_Inventory_Flow!$I$2:$I$261,INT((ROW()-2)/4)+1)</f>
        <v>15000</v>
      </c>
      <c r="E986" cm="1">
        <f t="array" ref="E986">INDEX(BOM!$C$2:$C$21,MATCH(B986,BOM!$A$2:$A$21,0)+MOD(ROW()-2,4))</f>
        <v>0.3</v>
      </c>
      <c r="F986">
        <f t="shared" si="15"/>
        <v>4500</v>
      </c>
    </row>
    <row r="987" spans="1:6">
      <c r="A987" s="1" cm="1">
        <f t="array" ref="A987">INDEX(Weekly_Inventory_Flow!$A$2:$A$261,INT((ROW()-2)/4)+1)</f>
        <v>46370</v>
      </c>
      <c r="B987" t="str" cm="1">
        <f t="array" ref="B987">INDEX(Weekly_Inventory_Flow!$B$2:$B$261,INT((ROW()-2)/4)+1)</f>
        <v>P002</v>
      </c>
      <c r="C987" t="str" cm="1">
        <f t="array" ref="C987">INDEX(BOM!$B$2:$B$21,MATCH(B987,BOM!$A$2:$A$21,0)+MOD(ROW()-2,4))</f>
        <v>M006</v>
      </c>
      <c r="D987" cm="1">
        <f t="array" ref="D987">INDEX(Weekly_Inventory_Flow!$I$2:$I$261,INT((ROW()-2)/4)+1)</f>
        <v>15000</v>
      </c>
      <c r="E987" cm="1">
        <f t="array" ref="E987">INDEX(BOM!$C$2:$C$21,MATCH(B987,BOM!$A$2:$A$21,0)+MOD(ROW()-2,4))</f>
        <v>8.0000000000000002E-3</v>
      </c>
      <c r="F987">
        <f t="shared" si="15"/>
        <v>120</v>
      </c>
    </row>
    <row r="988" spans="1:6">
      <c r="A988" s="1" cm="1">
        <f t="array" ref="A988">INDEX(Weekly_Inventory_Flow!$A$2:$A$261,INT((ROW()-2)/4)+1)</f>
        <v>46370</v>
      </c>
      <c r="B988" t="str" cm="1">
        <f t="array" ref="B988">INDEX(Weekly_Inventory_Flow!$B$2:$B$261,INT((ROW()-2)/4)+1)</f>
        <v>P002</v>
      </c>
      <c r="C988" t="str" cm="1">
        <f t="array" ref="C988">INDEX(BOM!$B$2:$B$21,MATCH(B988,BOM!$A$2:$A$21,0)+MOD(ROW()-2,4))</f>
        <v>M007</v>
      </c>
      <c r="D988" cm="1">
        <f t="array" ref="D988">INDEX(Weekly_Inventory_Flow!$I$2:$I$261,INT((ROW()-2)/4)+1)</f>
        <v>15000</v>
      </c>
      <c r="E988" cm="1">
        <f t="array" ref="E988">INDEX(BOM!$C$2:$C$21,MATCH(B988,BOM!$A$2:$A$21,0)+MOD(ROW()-2,4))</f>
        <v>1</v>
      </c>
      <c r="F988">
        <f t="shared" si="15"/>
        <v>15000</v>
      </c>
    </row>
    <row r="989" spans="1:6">
      <c r="A989" s="1" cm="1">
        <f t="array" ref="A989">INDEX(Weekly_Inventory_Flow!$A$2:$A$261,INT((ROW()-2)/4)+1)</f>
        <v>46370</v>
      </c>
      <c r="B989" t="str" cm="1">
        <f t="array" ref="B989">INDEX(Weekly_Inventory_Flow!$B$2:$B$261,INT((ROW()-2)/4)+1)</f>
        <v>P002</v>
      </c>
      <c r="C989" t="str" cm="1">
        <f t="array" ref="C989">INDEX(BOM!$B$2:$B$21,MATCH(B989,BOM!$A$2:$A$21,0)+MOD(ROW()-2,4))</f>
        <v>M008</v>
      </c>
      <c r="D989" cm="1">
        <f t="array" ref="D989">INDEX(Weekly_Inventory_Flow!$I$2:$I$261,INT((ROW()-2)/4)+1)</f>
        <v>15000</v>
      </c>
      <c r="E989" cm="1">
        <f t="array" ref="E989">INDEX(BOM!$C$2:$C$21,MATCH(B989,BOM!$A$2:$A$21,0)+MOD(ROW()-2,4))</f>
        <v>1</v>
      </c>
      <c r="F989">
        <f t="shared" si="15"/>
        <v>15000</v>
      </c>
    </row>
    <row r="990" spans="1:6">
      <c r="A990" s="1" cm="1">
        <f t="array" ref="A990">INDEX(Weekly_Inventory_Flow!$A$2:$A$261,INT((ROW()-2)/4)+1)</f>
        <v>46370</v>
      </c>
      <c r="B990" t="str" cm="1">
        <f t="array" ref="B990">INDEX(Weekly_Inventory_Flow!$B$2:$B$261,INT((ROW()-2)/4)+1)</f>
        <v>P003</v>
      </c>
      <c r="C990" t="str" cm="1">
        <f t="array" ref="C990">INDEX(BOM!$B$2:$B$21,MATCH(B990,BOM!$A$2:$A$21,0)+MOD(ROW()-2,4))</f>
        <v>M003</v>
      </c>
      <c r="D990" cm="1">
        <f t="array" ref="D990">INDEX(Weekly_Inventory_Flow!$I$2:$I$261,INT((ROW()-2)/4)+1)</f>
        <v>12500</v>
      </c>
      <c r="E990" cm="1">
        <f t="array" ref="E990">INDEX(BOM!$C$2:$C$21,MATCH(B990,BOM!$A$2:$A$21,0)+MOD(ROW()-2,4))</f>
        <v>0.25</v>
      </c>
      <c r="F990">
        <f t="shared" si="15"/>
        <v>3125</v>
      </c>
    </row>
    <row r="991" spans="1:6">
      <c r="A991" s="1" cm="1">
        <f t="array" ref="A991">INDEX(Weekly_Inventory_Flow!$A$2:$A$261,INT((ROW()-2)/4)+1)</f>
        <v>46370</v>
      </c>
      <c r="B991" t="str" cm="1">
        <f t="array" ref="B991">INDEX(Weekly_Inventory_Flow!$B$2:$B$261,INT((ROW()-2)/4)+1)</f>
        <v>P003</v>
      </c>
      <c r="C991" t="str" cm="1">
        <f t="array" ref="C991">INDEX(BOM!$B$2:$B$21,MATCH(B991,BOM!$A$2:$A$21,0)+MOD(ROW()-2,4))</f>
        <v>M006</v>
      </c>
      <c r="D991" cm="1">
        <f t="array" ref="D991">INDEX(Weekly_Inventory_Flow!$I$2:$I$261,INT((ROW()-2)/4)+1)</f>
        <v>12500</v>
      </c>
      <c r="E991" cm="1">
        <f t="array" ref="E991">INDEX(BOM!$C$2:$C$21,MATCH(B991,BOM!$A$2:$A$21,0)+MOD(ROW()-2,4))</f>
        <v>6.0000000000000001E-3</v>
      </c>
      <c r="F991">
        <f t="shared" si="15"/>
        <v>75</v>
      </c>
    </row>
    <row r="992" spans="1:6">
      <c r="A992" s="1" cm="1">
        <f t="array" ref="A992">INDEX(Weekly_Inventory_Flow!$A$2:$A$261,INT((ROW()-2)/4)+1)</f>
        <v>46370</v>
      </c>
      <c r="B992" t="str" cm="1">
        <f t="array" ref="B992">INDEX(Weekly_Inventory_Flow!$B$2:$B$261,INT((ROW()-2)/4)+1)</f>
        <v>P003</v>
      </c>
      <c r="C992" t="str" cm="1">
        <f t="array" ref="C992">INDEX(BOM!$B$2:$B$21,MATCH(B992,BOM!$A$2:$A$21,0)+MOD(ROW()-2,4))</f>
        <v>M007</v>
      </c>
      <c r="D992" cm="1">
        <f t="array" ref="D992">INDEX(Weekly_Inventory_Flow!$I$2:$I$261,INT((ROW()-2)/4)+1)</f>
        <v>12500</v>
      </c>
      <c r="E992" cm="1">
        <f t="array" ref="E992">INDEX(BOM!$C$2:$C$21,MATCH(B992,BOM!$A$2:$A$21,0)+MOD(ROW()-2,4))</f>
        <v>1</v>
      </c>
      <c r="F992">
        <f t="shared" si="15"/>
        <v>12500</v>
      </c>
    </row>
    <row r="993" spans="1:6">
      <c r="A993" s="1" cm="1">
        <f t="array" ref="A993">INDEX(Weekly_Inventory_Flow!$A$2:$A$261,INT((ROW()-2)/4)+1)</f>
        <v>46370</v>
      </c>
      <c r="B993" t="str" cm="1">
        <f t="array" ref="B993">INDEX(Weekly_Inventory_Flow!$B$2:$B$261,INT((ROW()-2)/4)+1)</f>
        <v>P003</v>
      </c>
      <c r="C993" t="str" cm="1">
        <f t="array" ref="C993">INDEX(BOM!$B$2:$B$21,MATCH(B993,BOM!$A$2:$A$21,0)+MOD(ROW()-2,4))</f>
        <v>M008</v>
      </c>
      <c r="D993" cm="1">
        <f t="array" ref="D993">INDEX(Weekly_Inventory_Flow!$I$2:$I$261,INT((ROW()-2)/4)+1)</f>
        <v>12500</v>
      </c>
      <c r="E993" cm="1">
        <f t="array" ref="E993">INDEX(BOM!$C$2:$C$21,MATCH(B993,BOM!$A$2:$A$21,0)+MOD(ROW()-2,4))</f>
        <v>1</v>
      </c>
      <c r="F993">
        <f t="shared" si="15"/>
        <v>12500</v>
      </c>
    </row>
    <row r="994" spans="1:6">
      <c r="A994" s="1" cm="1">
        <f t="array" ref="A994">INDEX(Weekly_Inventory_Flow!$A$2:$A$261,INT((ROW()-2)/4)+1)</f>
        <v>46370</v>
      </c>
      <c r="B994" t="str" cm="1">
        <f t="array" ref="B994">INDEX(Weekly_Inventory_Flow!$B$2:$B$261,INT((ROW()-2)/4)+1)</f>
        <v>P004</v>
      </c>
      <c r="C994" t="str" cm="1">
        <f t="array" ref="C994">INDEX(BOM!$B$2:$B$21,MATCH(B994,BOM!$A$2:$A$21,0)+MOD(ROW()-2,4))</f>
        <v>M004</v>
      </c>
      <c r="D994" cm="1">
        <f t="array" ref="D994">INDEX(Weekly_Inventory_Flow!$I$2:$I$261,INT((ROW()-2)/4)+1)</f>
        <v>14300</v>
      </c>
      <c r="E994" cm="1">
        <f t="array" ref="E994">INDEX(BOM!$C$2:$C$21,MATCH(B994,BOM!$A$2:$A$21,0)+MOD(ROW()-2,4))</f>
        <v>0.34</v>
      </c>
      <c r="F994">
        <f t="shared" si="15"/>
        <v>4862</v>
      </c>
    </row>
    <row r="995" spans="1:6">
      <c r="A995" s="1" cm="1">
        <f t="array" ref="A995">INDEX(Weekly_Inventory_Flow!$A$2:$A$261,INT((ROW()-2)/4)+1)</f>
        <v>46370</v>
      </c>
      <c r="B995" t="str" cm="1">
        <f t="array" ref="B995">INDEX(Weekly_Inventory_Flow!$B$2:$B$261,INT((ROW()-2)/4)+1)</f>
        <v>P004</v>
      </c>
      <c r="C995" t="str" cm="1">
        <f t="array" ref="C995">INDEX(BOM!$B$2:$B$21,MATCH(B995,BOM!$A$2:$A$21,0)+MOD(ROW()-2,4))</f>
        <v>M006</v>
      </c>
      <c r="D995" cm="1">
        <f t="array" ref="D995">INDEX(Weekly_Inventory_Flow!$I$2:$I$261,INT((ROW()-2)/4)+1)</f>
        <v>14300</v>
      </c>
      <c r="E995" cm="1">
        <f t="array" ref="E995">INDEX(BOM!$C$2:$C$21,MATCH(B995,BOM!$A$2:$A$21,0)+MOD(ROW()-2,4))</f>
        <v>8.9999999999999993E-3</v>
      </c>
      <c r="F995">
        <f t="shared" si="15"/>
        <v>128.69999999999999</v>
      </c>
    </row>
    <row r="996" spans="1:6">
      <c r="A996" s="1" cm="1">
        <f t="array" ref="A996">INDEX(Weekly_Inventory_Flow!$A$2:$A$261,INT((ROW()-2)/4)+1)</f>
        <v>46370</v>
      </c>
      <c r="B996" t="str" cm="1">
        <f t="array" ref="B996">INDEX(Weekly_Inventory_Flow!$B$2:$B$261,INT((ROW()-2)/4)+1)</f>
        <v>P004</v>
      </c>
      <c r="C996" t="str" cm="1">
        <f t="array" ref="C996">INDEX(BOM!$B$2:$B$21,MATCH(B996,BOM!$A$2:$A$21,0)+MOD(ROW()-2,4))</f>
        <v>M007</v>
      </c>
      <c r="D996" cm="1">
        <f t="array" ref="D996">INDEX(Weekly_Inventory_Flow!$I$2:$I$261,INT((ROW()-2)/4)+1)</f>
        <v>14300</v>
      </c>
      <c r="E996" cm="1">
        <f t="array" ref="E996">INDEX(BOM!$C$2:$C$21,MATCH(B996,BOM!$A$2:$A$21,0)+MOD(ROW()-2,4))</f>
        <v>1</v>
      </c>
      <c r="F996">
        <f t="shared" si="15"/>
        <v>14300</v>
      </c>
    </row>
    <row r="997" spans="1:6">
      <c r="A997" s="1" cm="1">
        <f t="array" ref="A997">INDEX(Weekly_Inventory_Flow!$A$2:$A$261,INT((ROW()-2)/4)+1)</f>
        <v>46370</v>
      </c>
      <c r="B997" t="str" cm="1">
        <f t="array" ref="B997">INDEX(Weekly_Inventory_Flow!$B$2:$B$261,INT((ROW()-2)/4)+1)</f>
        <v>P004</v>
      </c>
      <c r="C997" t="str" cm="1">
        <f t="array" ref="C997">INDEX(BOM!$B$2:$B$21,MATCH(B997,BOM!$A$2:$A$21,0)+MOD(ROW()-2,4))</f>
        <v>M008</v>
      </c>
      <c r="D997" cm="1">
        <f t="array" ref="D997">INDEX(Weekly_Inventory_Flow!$I$2:$I$261,INT((ROW()-2)/4)+1)</f>
        <v>14300</v>
      </c>
      <c r="E997" cm="1">
        <f t="array" ref="E997">INDEX(BOM!$C$2:$C$21,MATCH(B997,BOM!$A$2:$A$21,0)+MOD(ROW()-2,4))</f>
        <v>1</v>
      </c>
      <c r="F997">
        <f t="shared" si="15"/>
        <v>14300</v>
      </c>
    </row>
    <row r="998" spans="1:6">
      <c r="A998" s="1" cm="1">
        <f t="array" ref="A998">INDEX(Weekly_Inventory_Flow!$A$2:$A$261,INT((ROW()-2)/4)+1)</f>
        <v>46370</v>
      </c>
      <c r="B998" t="str" cm="1">
        <f t="array" ref="B998">INDEX(Weekly_Inventory_Flow!$B$2:$B$261,INT((ROW()-2)/4)+1)</f>
        <v>P005</v>
      </c>
      <c r="C998" t="str" cm="1">
        <f t="array" ref="C998">INDEX(BOM!$B$2:$B$21,MATCH(B998,BOM!$A$2:$A$21,0)+MOD(ROW()-2,4))</f>
        <v>M005</v>
      </c>
      <c r="D998" cm="1">
        <f t="array" ref="D998">INDEX(Weekly_Inventory_Flow!$I$2:$I$261,INT((ROW()-2)/4)+1)</f>
        <v>13300</v>
      </c>
      <c r="E998" cm="1">
        <f t="array" ref="E998">INDEX(BOM!$C$2:$C$21,MATCH(B998,BOM!$A$2:$A$21,0)+MOD(ROW()-2,4))</f>
        <v>0.52</v>
      </c>
      <c r="F998">
        <f t="shared" si="15"/>
        <v>6916</v>
      </c>
    </row>
    <row r="999" spans="1:6">
      <c r="A999" s="1" cm="1">
        <f t="array" ref="A999">INDEX(Weekly_Inventory_Flow!$A$2:$A$261,INT((ROW()-2)/4)+1)</f>
        <v>46370</v>
      </c>
      <c r="B999" t="str" cm="1">
        <f t="array" ref="B999">INDEX(Weekly_Inventory_Flow!$B$2:$B$261,INT((ROW()-2)/4)+1)</f>
        <v>P005</v>
      </c>
      <c r="C999" t="str" cm="1">
        <f t="array" ref="C999">INDEX(BOM!$B$2:$B$21,MATCH(B999,BOM!$A$2:$A$21,0)+MOD(ROW()-2,4))</f>
        <v>M006</v>
      </c>
      <c r="D999" cm="1">
        <f t="array" ref="D999">INDEX(Weekly_Inventory_Flow!$I$2:$I$261,INT((ROW()-2)/4)+1)</f>
        <v>13300</v>
      </c>
      <c r="E999" cm="1">
        <f t="array" ref="E999">INDEX(BOM!$C$2:$C$21,MATCH(B999,BOM!$A$2:$A$21,0)+MOD(ROW()-2,4))</f>
        <v>1.2E-2</v>
      </c>
      <c r="F999">
        <f t="shared" si="15"/>
        <v>159.6</v>
      </c>
    </row>
    <row r="1000" spans="1:6">
      <c r="A1000" s="1" cm="1">
        <f t="array" ref="A1000">INDEX(Weekly_Inventory_Flow!$A$2:$A$261,INT((ROW()-2)/4)+1)</f>
        <v>46370</v>
      </c>
      <c r="B1000" t="str" cm="1">
        <f t="array" ref="B1000">INDEX(Weekly_Inventory_Flow!$B$2:$B$261,INT((ROW()-2)/4)+1)</f>
        <v>P005</v>
      </c>
      <c r="C1000" t="str" cm="1">
        <f t="array" ref="C1000">INDEX(BOM!$B$2:$B$21,MATCH(B1000,BOM!$A$2:$A$21,0)+MOD(ROW()-2,4))</f>
        <v>M007</v>
      </c>
      <c r="D1000" cm="1">
        <f t="array" ref="D1000">INDEX(Weekly_Inventory_Flow!$I$2:$I$261,INT((ROW()-2)/4)+1)</f>
        <v>13300</v>
      </c>
      <c r="E1000" cm="1">
        <f t="array" ref="E1000">INDEX(BOM!$C$2:$C$21,MATCH(B1000,BOM!$A$2:$A$21,0)+MOD(ROW()-2,4))</f>
        <v>1</v>
      </c>
      <c r="F1000">
        <f t="shared" si="15"/>
        <v>13300</v>
      </c>
    </row>
    <row r="1001" spans="1:6">
      <c r="A1001" s="1" cm="1">
        <f t="array" ref="A1001">INDEX(Weekly_Inventory_Flow!$A$2:$A$261,INT((ROW()-2)/4)+1)</f>
        <v>46370</v>
      </c>
      <c r="B1001" t="str" cm="1">
        <f t="array" ref="B1001">INDEX(Weekly_Inventory_Flow!$B$2:$B$261,INT((ROW()-2)/4)+1)</f>
        <v>P005</v>
      </c>
      <c r="C1001" t="str" cm="1">
        <f t="array" ref="C1001">INDEX(BOM!$B$2:$B$21,MATCH(B1001,BOM!$A$2:$A$21,0)+MOD(ROW()-2,4))</f>
        <v>M008</v>
      </c>
      <c r="D1001" cm="1">
        <f t="array" ref="D1001">INDEX(Weekly_Inventory_Flow!$I$2:$I$261,INT((ROW()-2)/4)+1)</f>
        <v>13300</v>
      </c>
      <c r="E1001" cm="1">
        <f t="array" ref="E1001">INDEX(BOM!$C$2:$C$21,MATCH(B1001,BOM!$A$2:$A$21,0)+MOD(ROW()-2,4))</f>
        <v>1</v>
      </c>
      <c r="F1001">
        <f t="shared" si="15"/>
        <v>13300</v>
      </c>
    </row>
    <row r="1002" spans="1:6">
      <c r="A1002" s="1" cm="1">
        <f t="array" ref="A1002">INDEX(Weekly_Inventory_Flow!$A$2:$A$261,INT((ROW()-2)/4)+1)</f>
        <v>46377</v>
      </c>
      <c r="B1002" t="str" cm="1">
        <f t="array" ref="B1002">INDEX(Weekly_Inventory_Flow!$B$2:$B$261,INT((ROW()-2)/4)+1)</f>
        <v>P001</v>
      </c>
      <c r="C1002" t="str" cm="1">
        <f t="array" ref="C1002">INDEX(BOM!$B$2:$B$21,MATCH(B1002,BOM!$A$2:$A$21,0)+MOD(ROW()-2,4))</f>
        <v>M001</v>
      </c>
      <c r="D1002" cm="1">
        <f t="array" ref="D1002">INDEX(Weekly_Inventory_Flow!$I$2:$I$261,INT((ROW()-2)/4)+1)</f>
        <v>17900</v>
      </c>
      <c r="E1002" cm="1">
        <f t="array" ref="E1002">INDEX(BOM!$C$2:$C$21,MATCH(B1002,BOM!$A$2:$A$21,0)+MOD(ROW()-2,4))</f>
        <v>0.35</v>
      </c>
      <c r="F1002">
        <f t="shared" si="15"/>
        <v>6265</v>
      </c>
    </row>
    <row r="1003" spans="1:6">
      <c r="A1003" s="1" cm="1">
        <f t="array" ref="A1003">INDEX(Weekly_Inventory_Flow!$A$2:$A$261,INT((ROW()-2)/4)+1)</f>
        <v>46377</v>
      </c>
      <c r="B1003" t="str" cm="1">
        <f t="array" ref="B1003">INDEX(Weekly_Inventory_Flow!$B$2:$B$261,INT((ROW()-2)/4)+1)</f>
        <v>P001</v>
      </c>
      <c r="C1003" t="str" cm="1">
        <f t="array" ref="C1003">INDEX(BOM!$B$2:$B$21,MATCH(B1003,BOM!$A$2:$A$21,0)+MOD(ROW()-2,4))</f>
        <v>M006</v>
      </c>
      <c r="D1003" cm="1">
        <f t="array" ref="D1003">INDEX(Weekly_Inventory_Flow!$I$2:$I$261,INT((ROW()-2)/4)+1)</f>
        <v>17900</v>
      </c>
      <c r="E1003" cm="1">
        <f t="array" ref="E1003">INDEX(BOM!$C$2:$C$21,MATCH(B1003,BOM!$A$2:$A$21,0)+MOD(ROW()-2,4))</f>
        <v>0.01</v>
      </c>
      <c r="F1003">
        <f t="shared" si="15"/>
        <v>179</v>
      </c>
    </row>
    <row r="1004" spans="1:6">
      <c r="A1004" s="1" cm="1">
        <f t="array" ref="A1004">INDEX(Weekly_Inventory_Flow!$A$2:$A$261,INT((ROW()-2)/4)+1)</f>
        <v>46377</v>
      </c>
      <c r="B1004" t="str" cm="1">
        <f t="array" ref="B1004">INDEX(Weekly_Inventory_Flow!$B$2:$B$261,INT((ROW()-2)/4)+1)</f>
        <v>P001</v>
      </c>
      <c r="C1004" t="str" cm="1">
        <f t="array" ref="C1004">INDEX(BOM!$B$2:$B$21,MATCH(B1004,BOM!$A$2:$A$21,0)+MOD(ROW()-2,4))</f>
        <v>M007</v>
      </c>
      <c r="D1004" cm="1">
        <f t="array" ref="D1004">INDEX(Weekly_Inventory_Flow!$I$2:$I$261,INT((ROW()-2)/4)+1)</f>
        <v>17900</v>
      </c>
      <c r="E1004" cm="1">
        <f t="array" ref="E1004">INDEX(BOM!$C$2:$C$21,MATCH(B1004,BOM!$A$2:$A$21,0)+MOD(ROW()-2,4))</f>
        <v>1</v>
      </c>
      <c r="F1004">
        <f t="shared" si="15"/>
        <v>17900</v>
      </c>
    </row>
    <row r="1005" spans="1:6">
      <c r="A1005" s="1" cm="1">
        <f t="array" ref="A1005">INDEX(Weekly_Inventory_Flow!$A$2:$A$261,INT((ROW()-2)/4)+1)</f>
        <v>46377</v>
      </c>
      <c r="B1005" t="str" cm="1">
        <f t="array" ref="B1005">INDEX(Weekly_Inventory_Flow!$B$2:$B$261,INT((ROW()-2)/4)+1)</f>
        <v>P001</v>
      </c>
      <c r="C1005" t="str" cm="1">
        <f t="array" ref="C1005">INDEX(BOM!$B$2:$B$21,MATCH(B1005,BOM!$A$2:$A$21,0)+MOD(ROW()-2,4))</f>
        <v>M008</v>
      </c>
      <c r="D1005" cm="1">
        <f t="array" ref="D1005">INDEX(Weekly_Inventory_Flow!$I$2:$I$261,INT((ROW()-2)/4)+1)</f>
        <v>17900</v>
      </c>
      <c r="E1005" cm="1">
        <f t="array" ref="E1005">INDEX(BOM!$C$2:$C$21,MATCH(B1005,BOM!$A$2:$A$21,0)+MOD(ROW()-2,4))</f>
        <v>1</v>
      </c>
      <c r="F1005">
        <f t="shared" si="15"/>
        <v>17900</v>
      </c>
    </row>
    <row r="1006" spans="1:6">
      <c r="A1006" s="1" cm="1">
        <f t="array" ref="A1006">INDEX(Weekly_Inventory_Flow!$A$2:$A$261,INT((ROW()-2)/4)+1)</f>
        <v>46377</v>
      </c>
      <c r="B1006" t="str" cm="1">
        <f t="array" ref="B1006">INDEX(Weekly_Inventory_Flow!$B$2:$B$261,INT((ROW()-2)/4)+1)</f>
        <v>P002</v>
      </c>
      <c r="C1006" t="str" cm="1">
        <f t="array" ref="C1006">INDEX(BOM!$B$2:$B$21,MATCH(B1006,BOM!$A$2:$A$21,0)+MOD(ROW()-2,4))</f>
        <v>M002</v>
      </c>
      <c r="D1006" cm="1">
        <f t="array" ref="D1006">INDEX(Weekly_Inventory_Flow!$I$2:$I$261,INT((ROW()-2)/4)+1)</f>
        <v>15100</v>
      </c>
      <c r="E1006" cm="1">
        <f t="array" ref="E1006">INDEX(BOM!$C$2:$C$21,MATCH(B1006,BOM!$A$2:$A$21,0)+MOD(ROW()-2,4))</f>
        <v>0.3</v>
      </c>
      <c r="F1006">
        <f t="shared" si="15"/>
        <v>4530</v>
      </c>
    </row>
    <row r="1007" spans="1:6">
      <c r="A1007" s="1" cm="1">
        <f t="array" ref="A1007">INDEX(Weekly_Inventory_Flow!$A$2:$A$261,INT((ROW()-2)/4)+1)</f>
        <v>46377</v>
      </c>
      <c r="B1007" t="str" cm="1">
        <f t="array" ref="B1007">INDEX(Weekly_Inventory_Flow!$B$2:$B$261,INT((ROW()-2)/4)+1)</f>
        <v>P002</v>
      </c>
      <c r="C1007" t="str" cm="1">
        <f t="array" ref="C1007">INDEX(BOM!$B$2:$B$21,MATCH(B1007,BOM!$A$2:$A$21,0)+MOD(ROW()-2,4))</f>
        <v>M006</v>
      </c>
      <c r="D1007" cm="1">
        <f t="array" ref="D1007">INDEX(Weekly_Inventory_Flow!$I$2:$I$261,INT((ROW()-2)/4)+1)</f>
        <v>15100</v>
      </c>
      <c r="E1007" cm="1">
        <f t="array" ref="E1007">INDEX(BOM!$C$2:$C$21,MATCH(B1007,BOM!$A$2:$A$21,0)+MOD(ROW()-2,4))</f>
        <v>8.0000000000000002E-3</v>
      </c>
      <c r="F1007">
        <f t="shared" si="15"/>
        <v>120.8</v>
      </c>
    </row>
    <row r="1008" spans="1:6">
      <c r="A1008" s="1" cm="1">
        <f t="array" ref="A1008">INDEX(Weekly_Inventory_Flow!$A$2:$A$261,INT((ROW()-2)/4)+1)</f>
        <v>46377</v>
      </c>
      <c r="B1008" t="str" cm="1">
        <f t="array" ref="B1008">INDEX(Weekly_Inventory_Flow!$B$2:$B$261,INT((ROW()-2)/4)+1)</f>
        <v>P002</v>
      </c>
      <c r="C1008" t="str" cm="1">
        <f t="array" ref="C1008">INDEX(BOM!$B$2:$B$21,MATCH(B1008,BOM!$A$2:$A$21,0)+MOD(ROW()-2,4))</f>
        <v>M007</v>
      </c>
      <c r="D1008" cm="1">
        <f t="array" ref="D1008">INDEX(Weekly_Inventory_Flow!$I$2:$I$261,INT((ROW()-2)/4)+1)</f>
        <v>15100</v>
      </c>
      <c r="E1008" cm="1">
        <f t="array" ref="E1008">INDEX(BOM!$C$2:$C$21,MATCH(B1008,BOM!$A$2:$A$21,0)+MOD(ROW()-2,4))</f>
        <v>1</v>
      </c>
      <c r="F1008">
        <f t="shared" si="15"/>
        <v>15100</v>
      </c>
    </row>
    <row r="1009" spans="1:6">
      <c r="A1009" s="1" cm="1">
        <f t="array" ref="A1009">INDEX(Weekly_Inventory_Flow!$A$2:$A$261,INT((ROW()-2)/4)+1)</f>
        <v>46377</v>
      </c>
      <c r="B1009" t="str" cm="1">
        <f t="array" ref="B1009">INDEX(Weekly_Inventory_Flow!$B$2:$B$261,INT((ROW()-2)/4)+1)</f>
        <v>P002</v>
      </c>
      <c r="C1009" t="str" cm="1">
        <f t="array" ref="C1009">INDEX(BOM!$B$2:$B$21,MATCH(B1009,BOM!$A$2:$A$21,0)+MOD(ROW()-2,4))</f>
        <v>M008</v>
      </c>
      <c r="D1009" cm="1">
        <f t="array" ref="D1009">INDEX(Weekly_Inventory_Flow!$I$2:$I$261,INT((ROW()-2)/4)+1)</f>
        <v>15100</v>
      </c>
      <c r="E1009" cm="1">
        <f t="array" ref="E1009">INDEX(BOM!$C$2:$C$21,MATCH(B1009,BOM!$A$2:$A$21,0)+MOD(ROW()-2,4))</f>
        <v>1</v>
      </c>
      <c r="F1009">
        <f t="shared" si="15"/>
        <v>15100</v>
      </c>
    </row>
    <row r="1010" spans="1:6">
      <c r="A1010" s="1" cm="1">
        <f t="array" ref="A1010">INDEX(Weekly_Inventory_Flow!$A$2:$A$261,INT((ROW()-2)/4)+1)</f>
        <v>46377</v>
      </c>
      <c r="B1010" t="str" cm="1">
        <f t="array" ref="B1010">INDEX(Weekly_Inventory_Flow!$B$2:$B$261,INT((ROW()-2)/4)+1)</f>
        <v>P003</v>
      </c>
      <c r="C1010" t="str" cm="1">
        <f t="array" ref="C1010">INDEX(BOM!$B$2:$B$21,MATCH(B1010,BOM!$A$2:$A$21,0)+MOD(ROW()-2,4))</f>
        <v>M003</v>
      </c>
      <c r="D1010" cm="1">
        <f t="array" ref="D1010">INDEX(Weekly_Inventory_Flow!$I$2:$I$261,INT((ROW()-2)/4)+1)</f>
        <v>12700</v>
      </c>
      <c r="E1010" cm="1">
        <f t="array" ref="E1010">INDEX(BOM!$C$2:$C$21,MATCH(B1010,BOM!$A$2:$A$21,0)+MOD(ROW()-2,4))</f>
        <v>0.25</v>
      </c>
      <c r="F1010">
        <f t="shared" si="15"/>
        <v>3175</v>
      </c>
    </row>
    <row r="1011" spans="1:6">
      <c r="A1011" s="1" cm="1">
        <f t="array" ref="A1011">INDEX(Weekly_Inventory_Flow!$A$2:$A$261,INT((ROW()-2)/4)+1)</f>
        <v>46377</v>
      </c>
      <c r="B1011" t="str" cm="1">
        <f t="array" ref="B1011">INDEX(Weekly_Inventory_Flow!$B$2:$B$261,INT((ROW()-2)/4)+1)</f>
        <v>P003</v>
      </c>
      <c r="C1011" t="str" cm="1">
        <f t="array" ref="C1011">INDEX(BOM!$B$2:$B$21,MATCH(B1011,BOM!$A$2:$A$21,0)+MOD(ROW()-2,4))</f>
        <v>M006</v>
      </c>
      <c r="D1011" cm="1">
        <f t="array" ref="D1011">INDEX(Weekly_Inventory_Flow!$I$2:$I$261,INT((ROW()-2)/4)+1)</f>
        <v>12700</v>
      </c>
      <c r="E1011" cm="1">
        <f t="array" ref="E1011">INDEX(BOM!$C$2:$C$21,MATCH(B1011,BOM!$A$2:$A$21,0)+MOD(ROW()-2,4))</f>
        <v>6.0000000000000001E-3</v>
      </c>
      <c r="F1011">
        <f t="shared" si="15"/>
        <v>76.2</v>
      </c>
    </row>
    <row r="1012" spans="1:6">
      <c r="A1012" s="1" cm="1">
        <f t="array" ref="A1012">INDEX(Weekly_Inventory_Flow!$A$2:$A$261,INT((ROW()-2)/4)+1)</f>
        <v>46377</v>
      </c>
      <c r="B1012" t="str" cm="1">
        <f t="array" ref="B1012">INDEX(Weekly_Inventory_Flow!$B$2:$B$261,INT((ROW()-2)/4)+1)</f>
        <v>P003</v>
      </c>
      <c r="C1012" t="str" cm="1">
        <f t="array" ref="C1012">INDEX(BOM!$B$2:$B$21,MATCH(B1012,BOM!$A$2:$A$21,0)+MOD(ROW()-2,4))</f>
        <v>M007</v>
      </c>
      <c r="D1012" cm="1">
        <f t="array" ref="D1012">INDEX(Weekly_Inventory_Flow!$I$2:$I$261,INT((ROW()-2)/4)+1)</f>
        <v>12700</v>
      </c>
      <c r="E1012" cm="1">
        <f t="array" ref="E1012">INDEX(BOM!$C$2:$C$21,MATCH(B1012,BOM!$A$2:$A$21,0)+MOD(ROW()-2,4))</f>
        <v>1</v>
      </c>
      <c r="F1012">
        <f t="shared" si="15"/>
        <v>12700</v>
      </c>
    </row>
    <row r="1013" spans="1:6">
      <c r="A1013" s="1" cm="1">
        <f t="array" ref="A1013">INDEX(Weekly_Inventory_Flow!$A$2:$A$261,INT((ROW()-2)/4)+1)</f>
        <v>46377</v>
      </c>
      <c r="B1013" t="str" cm="1">
        <f t="array" ref="B1013">INDEX(Weekly_Inventory_Flow!$B$2:$B$261,INT((ROW()-2)/4)+1)</f>
        <v>P003</v>
      </c>
      <c r="C1013" t="str" cm="1">
        <f t="array" ref="C1013">INDEX(BOM!$B$2:$B$21,MATCH(B1013,BOM!$A$2:$A$21,0)+MOD(ROW()-2,4))</f>
        <v>M008</v>
      </c>
      <c r="D1013" cm="1">
        <f t="array" ref="D1013">INDEX(Weekly_Inventory_Flow!$I$2:$I$261,INT((ROW()-2)/4)+1)</f>
        <v>12700</v>
      </c>
      <c r="E1013" cm="1">
        <f t="array" ref="E1013">INDEX(BOM!$C$2:$C$21,MATCH(B1013,BOM!$A$2:$A$21,0)+MOD(ROW()-2,4))</f>
        <v>1</v>
      </c>
      <c r="F1013">
        <f t="shared" si="15"/>
        <v>12700</v>
      </c>
    </row>
    <row r="1014" spans="1:6">
      <c r="A1014" s="1" cm="1">
        <f t="array" ref="A1014">INDEX(Weekly_Inventory_Flow!$A$2:$A$261,INT((ROW()-2)/4)+1)</f>
        <v>46377</v>
      </c>
      <c r="B1014" t="str" cm="1">
        <f t="array" ref="B1014">INDEX(Weekly_Inventory_Flow!$B$2:$B$261,INT((ROW()-2)/4)+1)</f>
        <v>P004</v>
      </c>
      <c r="C1014" t="str" cm="1">
        <f t="array" ref="C1014">INDEX(BOM!$B$2:$B$21,MATCH(B1014,BOM!$A$2:$A$21,0)+MOD(ROW()-2,4))</f>
        <v>M004</v>
      </c>
      <c r="D1014" cm="1">
        <f t="array" ref="D1014">INDEX(Weekly_Inventory_Flow!$I$2:$I$261,INT((ROW()-2)/4)+1)</f>
        <v>13800</v>
      </c>
      <c r="E1014" cm="1">
        <f t="array" ref="E1014">INDEX(BOM!$C$2:$C$21,MATCH(B1014,BOM!$A$2:$A$21,0)+MOD(ROW()-2,4))</f>
        <v>0.34</v>
      </c>
      <c r="F1014">
        <f t="shared" si="15"/>
        <v>4692</v>
      </c>
    </row>
    <row r="1015" spans="1:6">
      <c r="A1015" s="1" cm="1">
        <f t="array" ref="A1015">INDEX(Weekly_Inventory_Flow!$A$2:$A$261,INT((ROW()-2)/4)+1)</f>
        <v>46377</v>
      </c>
      <c r="B1015" t="str" cm="1">
        <f t="array" ref="B1015">INDEX(Weekly_Inventory_Flow!$B$2:$B$261,INT((ROW()-2)/4)+1)</f>
        <v>P004</v>
      </c>
      <c r="C1015" t="str" cm="1">
        <f t="array" ref="C1015">INDEX(BOM!$B$2:$B$21,MATCH(B1015,BOM!$A$2:$A$21,0)+MOD(ROW()-2,4))</f>
        <v>M006</v>
      </c>
      <c r="D1015" cm="1">
        <f t="array" ref="D1015">INDEX(Weekly_Inventory_Flow!$I$2:$I$261,INT((ROW()-2)/4)+1)</f>
        <v>13800</v>
      </c>
      <c r="E1015" cm="1">
        <f t="array" ref="E1015">INDEX(BOM!$C$2:$C$21,MATCH(B1015,BOM!$A$2:$A$21,0)+MOD(ROW()-2,4))</f>
        <v>8.9999999999999993E-3</v>
      </c>
      <c r="F1015">
        <f t="shared" si="15"/>
        <v>124.19999999999999</v>
      </c>
    </row>
    <row r="1016" spans="1:6">
      <c r="A1016" s="1" cm="1">
        <f t="array" ref="A1016">INDEX(Weekly_Inventory_Flow!$A$2:$A$261,INT((ROW()-2)/4)+1)</f>
        <v>46377</v>
      </c>
      <c r="B1016" t="str" cm="1">
        <f t="array" ref="B1016">INDEX(Weekly_Inventory_Flow!$B$2:$B$261,INT((ROW()-2)/4)+1)</f>
        <v>P004</v>
      </c>
      <c r="C1016" t="str" cm="1">
        <f t="array" ref="C1016">INDEX(BOM!$B$2:$B$21,MATCH(B1016,BOM!$A$2:$A$21,0)+MOD(ROW()-2,4))</f>
        <v>M007</v>
      </c>
      <c r="D1016" cm="1">
        <f t="array" ref="D1016">INDEX(Weekly_Inventory_Flow!$I$2:$I$261,INT((ROW()-2)/4)+1)</f>
        <v>13800</v>
      </c>
      <c r="E1016" cm="1">
        <f t="array" ref="E1016">INDEX(BOM!$C$2:$C$21,MATCH(B1016,BOM!$A$2:$A$21,0)+MOD(ROW()-2,4))</f>
        <v>1</v>
      </c>
      <c r="F1016">
        <f t="shared" si="15"/>
        <v>13800</v>
      </c>
    </row>
    <row r="1017" spans="1:6">
      <c r="A1017" s="1" cm="1">
        <f t="array" ref="A1017">INDEX(Weekly_Inventory_Flow!$A$2:$A$261,INT((ROW()-2)/4)+1)</f>
        <v>46377</v>
      </c>
      <c r="B1017" t="str" cm="1">
        <f t="array" ref="B1017">INDEX(Weekly_Inventory_Flow!$B$2:$B$261,INT((ROW()-2)/4)+1)</f>
        <v>P004</v>
      </c>
      <c r="C1017" t="str" cm="1">
        <f t="array" ref="C1017">INDEX(BOM!$B$2:$B$21,MATCH(B1017,BOM!$A$2:$A$21,0)+MOD(ROW()-2,4))</f>
        <v>M008</v>
      </c>
      <c r="D1017" cm="1">
        <f t="array" ref="D1017">INDEX(Weekly_Inventory_Flow!$I$2:$I$261,INT((ROW()-2)/4)+1)</f>
        <v>13800</v>
      </c>
      <c r="E1017" cm="1">
        <f t="array" ref="E1017">INDEX(BOM!$C$2:$C$21,MATCH(B1017,BOM!$A$2:$A$21,0)+MOD(ROW()-2,4))</f>
        <v>1</v>
      </c>
      <c r="F1017">
        <f t="shared" si="15"/>
        <v>13800</v>
      </c>
    </row>
    <row r="1018" spans="1:6">
      <c r="A1018" s="1" cm="1">
        <f t="array" ref="A1018">INDEX(Weekly_Inventory_Flow!$A$2:$A$261,INT((ROW()-2)/4)+1)</f>
        <v>46377</v>
      </c>
      <c r="B1018" t="str" cm="1">
        <f t="array" ref="B1018">INDEX(Weekly_Inventory_Flow!$B$2:$B$261,INT((ROW()-2)/4)+1)</f>
        <v>P005</v>
      </c>
      <c r="C1018" t="str" cm="1">
        <f t="array" ref="C1018">INDEX(BOM!$B$2:$B$21,MATCH(B1018,BOM!$A$2:$A$21,0)+MOD(ROW()-2,4))</f>
        <v>M005</v>
      </c>
      <c r="D1018" cm="1">
        <f t="array" ref="D1018">INDEX(Weekly_Inventory_Flow!$I$2:$I$261,INT((ROW()-2)/4)+1)</f>
        <v>10200</v>
      </c>
      <c r="E1018" cm="1">
        <f t="array" ref="E1018">INDEX(BOM!$C$2:$C$21,MATCH(B1018,BOM!$A$2:$A$21,0)+MOD(ROW()-2,4))</f>
        <v>0.52</v>
      </c>
      <c r="F1018">
        <f t="shared" si="15"/>
        <v>5304</v>
      </c>
    </row>
    <row r="1019" spans="1:6">
      <c r="A1019" s="1" cm="1">
        <f t="array" ref="A1019">INDEX(Weekly_Inventory_Flow!$A$2:$A$261,INT((ROW()-2)/4)+1)</f>
        <v>46377</v>
      </c>
      <c r="B1019" t="str" cm="1">
        <f t="array" ref="B1019">INDEX(Weekly_Inventory_Flow!$B$2:$B$261,INT((ROW()-2)/4)+1)</f>
        <v>P005</v>
      </c>
      <c r="C1019" t="str" cm="1">
        <f t="array" ref="C1019">INDEX(BOM!$B$2:$B$21,MATCH(B1019,BOM!$A$2:$A$21,0)+MOD(ROW()-2,4))</f>
        <v>M006</v>
      </c>
      <c r="D1019" cm="1">
        <f t="array" ref="D1019">INDEX(Weekly_Inventory_Flow!$I$2:$I$261,INT((ROW()-2)/4)+1)</f>
        <v>10200</v>
      </c>
      <c r="E1019" cm="1">
        <f t="array" ref="E1019">INDEX(BOM!$C$2:$C$21,MATCH(B1019,BOM!$A$2:$A$21,0)+MOD(ROW()-2,4))</f>
        <v>1.2E-2</v>
      </c>
      <c r="F1019">
        <f t="shared" si="15"/>
        <v>122.4</v>
      </c>
    </row>
    <row r="1020" spans="1:6">
      <c r="A1020" s="1" cm="1">
        <f t="array" ref="A1020">INDEX(Weekly_Inventory_Flow!$A$2:$A$261,INT((ROW()-2)/4)+1)</f>
        <v>46377</v>
      </c>
      <c r="B1020" t="str" cm="1">
        <f t="array" ref="B1020">INDEX(Weekly_Inventory_Flow!$B$2:$B$261,INT((ROW()-2)/4)+1)</f>
        <v>P005</v>
      </c>
      <c r="C1020" t="str" cm="1">
        <f t="array" ref="C1020">INDEX(BOM!$B$2:$B$21,MATCH(B1020,BOM!$A$2:$A$21,0)+MOD(ROW()-2,4))</f>
        <v>M007</v>
      </c>
      <c r="D1020" cm="1">
        <f t="array" ref="D1020">INDEX(Weekly_Inventory_Flow!$I$2:$I$261,INT((ROW()-2)/4)+1)</f>
        <v>10200</v>
      </c>
      <c r="E1020" cm="1">
        <f t="array" ref="E1020">INDEX(BOM!$C$2:$C$21,MATCH(B1020,BOM!$A$2:$A$21,0)+MOD(ROW()-2,4))</f>
        <v>1</v>
      </c>
      <c r="F1020">
        <f t="shared" si="15"/>
        <v>10200</v>
      </c>
    </row>
    <row r="1021" spans="1:6">
      <c r="A1021" s="1" cm="1">
        <f t="array" ref="A1021">INDEX(Weekly_Inventory_Flow!$A$2:$A$261,INT((ROW()-2)/4)+1)</f>
        <v>46377</v>
      </c>
      <c r="B1021" t="str" cm="1">
        <f t="array" ref="B1021">INDEX(Weekly_Inventory_Flow!$B$2:$B$261,INT((ROW()-2)/4)+1)</f>
        <v>P005</v>
      </c>
      <c r="C1021" t="str" cm="1">
        <f t="array" ref="C1021">INDEX(BOM!$B$2:$B$21,MATCH(B1021,BOM!$A$2:$A$21,0)+MOD(ROW()-2,4))</f>
        <v>M008</v>
      </c>
      <c r="D1021" cm="1">
        <f t="array" ref="D1021">INDEX(Weekly_Inventory_Flow!$I$2:$I$261,INT((ROW()-2)/4)+1)</f>
        <v>10200</v>
      </c>
      <c r="E1021" cm="1">
        <f t="array" ref="E1021">INDEX(BOM!$C$2:$C$21,MATCH(B1021,BOM!$A$2:$A$21,0)+MOD(ROW()-2,4))</f>
        <v>1</v>
      </c>
      <c r="F1021">
        <f t="shared" si="15"/>
        <v>10200</v>
      </c>
    </row>
    <row r="1022" spans="1:6">
      <c r="A1022" s="1" cm="1">
        <f t="array" ref="A1022">INDEX(Weekly_Inventory_Flow!$A$2:$A$261,INT((ROW()-2)/4)+1)</f>
        <v>46384</v>
      </c>
      <c r="B1022" t="str" cm="1">
        <f t="array" ref="B1022">INDEX(Weekly_Inventory_Flow!$B$2:$B$261,INT((ROW()-2)/4)+1)</f>
        <v>P001</v>
      </c>
      <c r="C1022" t="str" cm="1">
        <f t="array" ref="C1022">INDEX(BOM!$B$2:$B$21,MATCH(B1022,BOM!$A$2:$A$21,0)+MOD(ROW()-2,4))</f>
        <v>M001</v>
      </c>
      <c r="D1022" cm="1">
        <f t="array" ref="D1022">INDEX(Weekly_Inventory_Flow!$I$2:$I$261,INT((ROW()-2)/4)+1)</f>
        <v>17700</v>
      </c>
      <c r="E1022" cm="1">
        <f t="array" ref="E1022">INDEX(BOM!$C$2:$C$21,MATCH(B1022,BOM!$A$2:$A$21,0)+MOD(ROW()-2,4))</f>
        <v>0.35</v>
      </c>
      <c r="F1022">
        <f t="shared" si="15"/>
        <v>6195</v>
      </c>
    </row>
    <row r="1023" spans="1:6">
      <c r="A1023" s="1" cm="1">
        <f t="array" ref="A1023">INDEX(Weekly_Inventory_Flow!$A$2:$A$261,INT((ROW()-2)/4)+1)</f>
        <v>46384</v>
      </c>
      <c r="B1023" t="str" cm="1">
        <f t="array" ref="B1023">INDEX(Weekly_Inventory_Flow!$B$2:$B$261,INT((ROW()-2)/4)+1)</f>
        <v>P001</v>
      </c>
      <c r="C1023" t="str" cm="1">
        <f t="array" ref="C1023">INDEX(BOM!$B$2:$B$21,MATCH(B1023,BOM!$A$2:$A$21,0)+MOD(ROW()-2,4))</f>
        <v>M006</v>
      </c>
      <c r="D1023" cm="1">
        <f t="array" ref="D1023">INDEX(Weekly_Inventory_Flow!$I$2:$I$261,INT((ROW()-2)/4)+1)</f>
        <v>17700</v>
      </c>
      <c r="E1023" cm="1">
        <f t="array" ref="E1023">INDEX(BOM!$C$2:$C$21,MATCH(B1023,BOM!$A$2:$A$21,0)+MOD(ROW()-2,4))</f>
        <v>0.01</v>
      </c>
      <c r="F1023">
        <f t="shared" si="15"/>
        <v>177</v>
      </c>
    </row>
    <row r="1024" spans="1:6">
      <c r="A1024" s="1" cm="1">
        <f t="array" ref="A1024">INDEX(Weekly_Inventory_Flow!$A$2:$A$261,INT((ROW()-2)/4)+1)</f>
        <v>46384</v>
      </c>
      <c r="B1024" t="str" cm="1">
        <f t="array" ref="B1024">INDEX(Weekly_Inventory_Flow!$B$2:$B$261,INT((ROW()-2)/4)+1)</f>
        <v>P001</v>
      </c>
      <c r="C1024" t="str" cm="1">
        <f t="array" ref="C1024">INDEX(BOM!$B$2:$B$21,MATCH(B1024,BOM!$A$2:$A$21,0)+MOD(ROW()-2,4))</f>
        <v>M007</v>
      </c>
      <c r="D1024" cm="1">
        <f t="array" ref="D1024">INDEX(Weekly_Inventory_Flow!$I$2:$I$261,INT((ROW()-2)/4)+1)</f>
        <v>17700</v>
      </c>
      <c r="E1024" cm="1">
        <f t="array" ref="E1024">INDEX(BOM!$C$2:$C$21,MATCH(B1024,BOM!$A$2:$A$21,0)+MOD(ROW()-2,4))</f>
        <v>1</v>
      </c>
      <c r="F1024">
        <f t="shared" si="15"/>
        <v>17700</v>
      </c>
    </row>
    <row r="1025" spans="1:6">
      <c r="A1025" s="1" cm="1">
        <f t="array" ref="A1025">INDEX(Weekly_Inventory_Flow!$A$2:$A$261,INT((ROW()-2)/4)+1)</f>
        <v>46384</v>
      </c>
      <c r="B1025" t="str" cm="1">
        <f t="array" ref="B1025">INDEX(Weekly_Inventory_Flow!$B$2:$B$261,INT((ROW()-2)/4)+1)</f>
        <v>P001</v>
      </c>
      <c r="C1025" t="str" cm="1">
        <f t="array" ref="C1025">INDEX(BOM!$B$2:$B$21,MATCH(B1025,BOM!$A$2:$A$21,0)+MOD(ROW()-2,4))</f>
        <v>M008</v>
      </c>
      <c r="D1025" cm="1">
        <f t="array" ref="D1025">INDEX(Weekly_Inventory_Flow!$I$2:$I$261,INT((ROW()-2)/4)+1)</f>
        <v>17700</v>
      </c>
      <c r="E1025" cm="1">
        <f t="array" ref="E1025">INDEX(BOM!$C$2:$C$21,MATCH(B1025,BOM!$A$2:$A$21,0)+MOD(ROW()-2,4))</f>
        <v>1</v>
      </c>
      <c r="F1025">
        <f t="shared" si="15"/>
        <v>17700</v>
      </c>
    </row>
    <row r="1026" spans="1:6">
      <c r="A1026" s="1" cm="1">
        <f t="array" ref="A1026">INDEX(Weekly_Inventory_Flow!$A$2:$A$261,INT((ROW()-2)/4)+1)</f>
        <v>46384</v>
      </c>
      <c r="B1026" t="str" cm="1">
        <f t="array" ref="B1026">INDEX(Weekly_Inventory_Flow!$B$2:$B$261,INT((ROW()-2)/4)+1)</f>
        <v>P002</v>
      </c>
      <c r="C1026" t="str" cm="1">
        <f t="array" ref="C1026">INDEX(BOM!$B$2:$B$21,MATCH(B1026,BOM!$A$2:$A$21,0)+MOD(ROW()-2,4))</f>
        <v>M002</v>
      </c>
      <c r="D1026" cm="1">
        <f t="array" ref="D1026">INDEX(Weekly_Inventory_Flow!$I$2:$I$261,INT((ROW()-2)/4)+1)</f>
        <v>15000</v>
      </c>
      <c r="E1026" cm="1">
        <f t="array" ref="E1026">INDEX(BOM!$C$2:$C$21,MATCH(B1026,BOM!$A$2:$A$21,0)+MOD(ROW()-2,4))</f>
        <v>0.3</v>
      </c>
      <c r="F1026">
        <f t="shared" si="15"/>
        <v>4500</v>
      </c>
    </row>
    <row r="1027" spans="1:6">
      <c r="A1027" s="1" cm="1">
        <f t="array" ref="A1027">INDEX(Weekly_Inventory_Flow!$A$2:$A$261,INT((ROW()-2)/4)+1)</f>
        <v>46384</v>
      </c>
      <c r="B1027" t="str" cm="1">
        <f t="array" ref="B1027">INDEX(Weekly_Inventory_Flow!$B$2:$B$261,INT((ROW()-2)/4)+1)</f>
        <v>P002</v>
      </c>
      <c r="C1027" t="str" cm="1">
        <f t="array" ref="C1027">INDEX(BOM!$B$2:$B$21,MATCH(B1027,BOM!$A$2:$A$21,0)+MOD(ROW()-2,4))</f>
        <v>M006</v>
      </c>
      <c r="D1027" cm="1">
        <f t="array" ref="D1027">INDEX(Weekly_Inventory_Flow!$I$2:$I$261,INT((ROW()-2)/4)+1)</f>
        <v>15000</v>
      </c>
      <c r="E1027" cm="1">
        <f t="array" ref="E1027">INDEX(BOM!$C$2:$C$21,MATCH(B1027,BOM!$A$2:$A$21,0)+MOD(ROW()-2,4))</f>
        <v>8.0000000000000002E-3</v>
      </c>
      <c r="F1027">
        <f t="shared" ref="F1027:F1040" si="16">D1027*E1027</f>
        <v>120</v>
      </c>
    </row>
    <row r="1028" spans="1:6">
      <c r="A1028" s="1" cm="1">
        <f t="array" ref="A1028">INDEX(Weekly_Inventory_Flow!$A$2:$A$261,INT((ROW()-2)/4)+1)</f>
        <v>46384</v>
      </c>
      <c r="B1028" t="str" cm="1">
        <f t="array" ref="B1028">INDEX(Weekly_Inventory_Flow!$B$2:$B$261,INT((ROW()-2)/4)+1)</f>
        <v>P002</v>
      </c>
      <c r="C1028" t="str" cm="1">
        <f t="array" ref="C1028">INDEX(BOM!$B$2:$B$21,MATCH(B1028,BOM!$A$2:$A$21,0)+MOD(ROW()-2,4))</f>
        <v>M007</v>
      </c>
      <c r="D1028" cm="1">
        <f t="array" ref="D1028">INDEX(Weekly_Inventory_Flow!$I$2:$I$261,INT((ROW()-2)/4)+1)</f>
        <v>15000</v>
      </c>
      <c r="E1028" cm="1">
        <f t="array" ref="E1028">INDEX(BOM!$C$2:$C$21,MATCH(B1028,BOM!$A$2:$A$21,0)+MOD(ROW()-2,4))</f>
        <v>1</v>
      </c>
      <c r="F1028">
        <f t="shared" si="16"/>
        <v>15000</v>
      </c>
    </row>
    <row r="1029" spans="1:6">
      <c r="A1029" s="1" cm="1">
        <f t="array" ref="A1029">INDEX(Weekly_Inventory_Flow!$A$2:$A$261,INT((ROW()-2)/4)+1)</f>
        <v>46384</v>
      </c>
      <c r="B1029" t="str" cm="1">
        <f t="array" ref="B1029">INDEX(Weekly_Inventory_Flow!$B$2:$B$261,INT((ROW()-2)/4)+1)</f>
        <v>P002</v>
      </c>
      <c r="C1029" t="str" cm="1">
        <f t="array" ref="C1029">INDEX(BOM!$B$2:$B$21,MATCH(B1029,BOM!$A$2:$A$21,0)+MOD(ROW()-2,4))</f>
        <v>M008</v>
      </c>
      <c r="D1029" cm="1">
        <f t="array" ref="D1029">INDEX(Weekly_Inventory_Flow!$I$2:$I$261,INT((ROW()-2)/4)+1)</f>
        <v>15000</v>
      </c>
      <c r="E1029" cm="1">
        <f t="array" ref="E1029">INDEX(BOM!$C$2:$C$21,MATCH(B1029,BOM!$A$2:$A$21,0)+MOD(ROW()-2,4))</f>
        <v>1</v>
      </c>
      <c r="F1029">
        <f t="shared" si="16"/>
        <v>15000</v>
      </c>
    </row>
    <row r="1030" spans="1:6">
      <c r="A1030" s="1" cm="1">
        <f t="array" ref="A1030">INDEX(Weekly_Inventory_Flow!$A$2:$A$261,INT((ROW()-2)/4)+1)</f>
        <v>46384</v>
      </c>
      <c r="B1030" t="str" cm="1">
        <f t="array" ref="B1030">INDEX(Weekly_Inventory_Flow!$B$2:$B$261,INT((ROW()-2)/4)+1)</f>
        <v>P003</v>
      </c>
      <c r="C1030" t="str" cm="1">
        <f t="array" ref="C1030">INDEX(BOM!$B$2:$B$21,MATCH(B1030,BOM!$A$2:$A$21,0)+MOD(ROW()-2,4))</f>
        <v>M003</v>
      </c>
      <c r="D1030" cm="1">
        <f t="array" ref="D1030">INDEX(Weekly_Inventory_Flow!$I$2:$I$261,INT((ROW()-2)/4)+1)</f>
        <v>12700</v>
      </c>
      <c r="E1030" cm="1">
        <f t="array" ref="E1030">INDEX(BOM!$C$2:$C$21,MATCH(B1030,BOM!$A$2:$A$21,0)+MOD(ROW()-2,4))</f>
        <v>0.25</v>
      </c>
      <c r="F1030">
        <f t="shared" si="16"/>
        <v>3175</v>
      </c>
    </row>
    <row r="1031" spans="1:6">
      <c r="A1031" s="1" cm="1">
        <f t="array" ref="A1031">INDEX(Weekly_Inventory_Flow!$A$2:$A$261,INT((ROW()-2)/4)+1)</f>
        <v>46384</v>
      </c>
      <c r="B1031" t="str" cm="1">
        <f t="array" ref="B1031">INDEX(Weekly_Inventory_Flow!$B$2:$B$261,INT((ROW()-2)/4)+1)</f>
        <v>P003</v>
      </c>
      <c r="C1031" t="str" cm="1">
        <f t="array" ref="C1031">INDEX(BOM!$B$2:$B$21,MATCH(B1031,BOM!$A$2:$A$21,0)+MOD(ROW()-2,4))</f>
        <v>M006</v>
      </c>
      <c r="D1031" cm="1">
        <f t="array" ref="D1031">INDEX(Weekly_Inventory_Flow!$I$2:$I$261,INT((ROW()-2)/4)+1)</f>
        <v>12700</v>
      </c>
      <c r="E1031" cm="1">
        <f t="array" ref="E1031">INDEX(BOM!$C$2:$C$21,MATCH(B1031,BOM!$A$2:$A$21,0)+MOD(ROW()-2,4))</f>
        <v>6.0000000000000001E-3</v>
      </c>
      <c r="F1031">
        <f t="shared" si="16"/>
        <v>76.2</v>
      </c>
    </row>
    <row r="1032" spans="1:6">
      <c r="A1032" s="1" cm="1">
        <f t="array" ref="A1032">INDEX(Weekly_Inventory_Flow!$A$2:$A$261,INT((ROW()-2)/4)+1)</f>
        <v>46384</v>
      </c>
      <c r="B1032" t="str" cm="1">
        <f t="array" ref="B1032">INDEX(Weekly_Inventory_Flow!$B$2:$B$261,INT((ROW()-2)/4)+1)</f>
        <v>P003</v>
      </c>
      <c r="C1032" t="str" cm="1">
        <f t="array" ref="C1032">INDEX(BOM!$B$2:$B$21,MATCH(B1032,BOM!$A$2:$A$21,0)+MOD(ROW()-2,4))</f>
        <v>M007</v>
      </c>
      <c r="D1032" cm="1">
        <f t="array" ref="D1032">INDEX(Weekly_Inventory_Flow!$I$2:$I$261,INT((ROW()-2)/4)+1)</f>
        <v>12700</v>
      </c>
      <c r="E1032" cm="1">
        <f t="array" ref="E1032">INDEX(BOM!$C$2:$C$21,MATCH(B1032,BOM!$A$2:$A$21,0)+MOD(ROW()-2,4))</f>
        <v>1</v>
      </c>
      <c r="F1032">
        <f t="shared" si="16"/>
        <v>12700</v>
      </c>
    </row>
    <row r="1033" spans="1:6">
      <c r="A1033" s="1" cm="1">
        <f t="array" ref="A1033">INDEX(Weekly_Inventory_Flow!$A$2:$A$261,INT((ROW()-2)/4)+1)</f>
        <v>46384</v>
      </c>
      <c r="B1033" t="str" cm="1">
        <f t="array" ref="B1033">INDEX(Weekly_Inventory_Flow!$B$2:$B$261,INT((ROW()-2)/4)+1)</f>
        <v>P003</v>
      </c>
      <c r="C1033" t="str" cm="1">
        <f t="array" ref="C1033">INDEX(BOM!$B$2:$B$21,MATCH(B1033,BOM!$A$2:$A$21,0)+MOD(ROW()-2,4))</f>
        <v>M008</v>
      </c>
      <c r="D1033" cm="1">
        <f t="array" ref="D1033">INDEX(Weekly_Inventory_Flow!$I$2:$I$261,INT((ROW()-2)/4)+1)</f>
        <v>12700</v>
      </c>
      <c r="E1033" cm="1">
        <f t="array" ref="E1033">INDEX(BOM!$C$2:$C$21,MATCH(B1033,BOM!$A$2:$A$21,0)+MOD(ROW()-2,4))</f>
        <v>1</v>
      </c>
      <c r="F1033">
        <f t="shared" si="16"/>
        <v>12700</v>
      </c>
    </row>
    <row r="1034" spans="1:6">
      <c r="A1034" s="1" cm="1">
        <f t="array" ref="A1034">INDEX(Weekly_Inventory_Flow!$A$2:$A$261,INT((ROW()-2)/4)+1)</f>
        <v>46384</v>
      </c>
      <c r="B1034" t="str" cm="1">
        <f t="array" ref="B1034">INDEX(Weekly_Inventory_Flow!$B$2:$B$261,INT((ROW()-2)/4)+1)</f>
        <v>P004</v>
      </c>
      <c r="C1034" t="str" cm="1">
        <f t="array" ref="C1034">INDEX(BOM!$B$2:$B$21,MATCH(B1034,BOM!$A$2:$A$21,0)+MOD(ROW()-2,4))</f>
        <v>M004</v>
      </c>
      <c r="D1034" cm="1">
        <f t="array" ref="D1034">INDEX(Weekly_Inventory_Flow!$I$2:$I$261,INT((ROW()-2)/4)+1)</f>
        <v>14200</v>
      </c>
      <c r="E1034" cm="1">
        <f t="array" ref="E1034">INDEX(BOM!$C$2:$C$21,MATCH(B1034,BOM!$A$2:$A$21,0)+MOD(ROW()-2,4))</f>
        <v>0.34</v>
      </c>
      <c r="F1034">
        <f t="shared" si="16"/>
        <v>4828</v>
      </c>
    </row>
    <row r="1035" spans="1:6">
      <c r="A1035" s="1" cm="1">
        <f t="array" ref="A1035">INDEX(Weekly_Inventory_Flow!$A$2:$A$261,INT((ROW()-2)/4)+1)</f>
        <v>46384</v>
      </c>
      <c r="B1035" t="str" cm="1">
        <f t="array" ref="B1035">INDEX(Weekly_Inventory_Flow!$B$2:$B$261,INT((ROW()-2)/4)+1)</f>
        <v>P004</v>
      </c>
      <c r="C1035" t="str" cm="1">
        <f t="array" ref="C1035">INDEX(BOM!$B$2:$B$21,MATCH(B1035,BOM!$A$2:$A$21,0)+MOD(ROW()-2,4))</f>
        <v>M006</v>
      </c>
      <c r="D1035" cm="1">
        <f t="array" ref="D1035">INDEX(Weekly_Inventory_Flow!$I$2:$I$261,INT((ROW()-2)/4)+1)</f>
        <v>14200</v>
      </c>
      <c r="E1035" cm="1">
        <f t="array" ref="E1035">INDEX(BOM!$C$2:$C$21,MATCH(B1035,BOM!$A$2:$A$21,0)+MOD(ROW()-2,4))</f>
        <v>8.9999999999999993E-3</v>
      </c>
      <c r="F1035">
        <f t="shared" si="16"/>
        <v>127.8</v>
      </c>
    </row>
    <row r="1036" spans="1:6">
      <c r="A1036" s="1" cm="1">
        <f t="array" ref="A1036">INDEX(Weekly_Inventory_Flow!$A$2:$A$261,INT((ROW()-2)/4)+1)</f>
        <v>46384</v>
      </c>
      <c r="B1036" t="str" cm="1">
        <f t="array" ref="B1036">INDEX(Weekly_Inventory_Flow!$B$2:$B$261,INT((ROW()-2)/4)+1)</f>
        <v>P004</v>
      </c>
      <c r="C1036" t="str" cm="1">
        <f t="array" ref="C1036">INDEX(BOM!$B$2:$B$21,MATCH(B1036,BOM!$A$2:$A$21,0)+MOD(ROW()-2,4))</f>
        <v>M007</v>
      </c>
      <c r="D1036" cm="1">
        <f t="array" ref="D1036">INDEX(Weekly_Inventory_Flow!$I$2:$I$261,INT((ROW()-2)/4)+1)</f>
        <v>14200</v>
      </c>
      <c r="E1036" cm="1">
        <f t="array" ref="E1036">INDEX(BOM!$C$2:$C$21,MATCH(B1036,BOM!$A$2:$A$21,0)+MOD(ROW()-2,4))</f>
        <v>1</v>
      </c>
      <c r="F1036">
        <f t="shared" si="16"/>
        <v>14200</v>
      </c>
    </row>
    <row r="1037" spans="1:6">
      <c r="A1037" s="1" cm="1">
        <f t="array" ref="A1037">INDEX(Weekly_Inventory_Flow!$A$2:$A$261,INT((ROW()-2)/4)+1)</f>
        <v>46384</v>
      </c>
      <c r="B1037" t="str" cm="1">
        <f t="array" ref="B1037">INDEX(Weekly_Inventory_Flow!$B$2:$B$261,INT((ROW()-2)/4)+1)</f>
        <v>P004</v>
      </c>
      <c r="C1037" t="str" cm="1">
        <f t="array" ref="C1037">INDEX(BOM!$B$2:$B$21,MATCH(B1037,BOM!$A$2:$A$21,0)+MOD(ROW()-2,4))</f>
        <v>M008</v>
      </c>
      <c r="D1037" cm="1">
        <f t="array" ref="D1037">INDEX(Weekly_Inventory_Flow!$I$2:$I$261,INT((ROW()-2)/4)+1)</f>
        <v>14200</v>
      </c>
      <c r="E1037" cm="1">
        <f t="array" ref="E1037">INDEX(BOM!$C$2:$C$21,MATCH(B1037,BOM!$A$2:$A$21,0)+MOD(ROW()-2,4))</f>
        <v>1</v>
      </c>
      <c r="F1037">
        <f t="shared" si="16"/>
        <v>14200</v>
      </c>
    </row>
    <row r="1038" spans="1:6">
      <c r="A1038" s="1" cm="1">
        <f t="array" ref="A1038">INDEX(Weekly_Inventory_Flow!$A$2:$A$261,INT((ROW()-2)/4)+1)</f>
        <v>46384</v>
      </c>
      <c r="B1038" t="str" cm="1">
        <f t="array" ref="B1038">INDEX(Weekly_Inventory_Flow!$B$2:$B$261,INT((ROW()-2)/4)+1)</f>
        <v>P005</v>
      </c>
      <c r="C1038" t="str" cm="1">
        <f t="array" ref="C1038">INDEX(BOM!$B$2:$B$21,MATCH(B1038,BOM!$A$2:$A$21,0)+MOD(ROW()-2,4))</f>
        <v>M005</v>
      </c>
      <c r="D1038" cm="1">
        <f t="array" ref="D1038">INDEX(Weekly_Inventory_Flow!$I$2:$I$261,INT((ROW()-2)/4)+1)</f>
        <v>10700</v>
      </c>
      <c r="E1038" cm="1">
        <f t="array" ref="E1038">INDEX(BOM!$C$2:$C$21,MATCH(B1038,BOM!$A$2:$A$21,0)+MOD(ROW()-2,4))</f>
        <v>0.52</v>
      </c>
      <c r="F1038">
        <f t="shared" si="16"/>
        <v>5564</v>
      </c>
    </row>
    <row r="1039" spans="1:6">
      <c r="A1039" s="1" cm="1">
        <f t="array" ref="A1039">INDEX(Weekly_Inventory_Flow!$A$2:$A$261,INT((ROW()-2)/4)+1)</f>
        <v>46384</v>
      </c>
      <c r="B1039" t="str" cm="1">
        <f t="array" ref="B1039">INDEX(Weekly_Inventory_Flow!$B$2:$B$261,INT((ROW()-2)/4)+1)</f>
        <v>P005</v>
      </c>
      <c r="C1039" t="str" cm="1">
        <f t="array" ref="C1039">INDEX(BOM!$B$2:$B$21,MATCH(B1039,BOM!$A$2:$A$21,0)+MOD(ROW()-2,4))</f>
        <v>M006</v>
      </c>
      <c r="D1039" cm="1">
        <f t="array" ref="D1039">INDEX(Weekly_Inventory_Flow!$I$2:$I$261,INT((ROW()-2)/4)+1)</f>
        <v>10700</v>
      </c>
      <c r="E1039" cm="1">
        <f t="array" ref="E1039">INDEX(BOM!$C$2:$C$21,MATCH(B1039,BOM!$A$2:$A$21,0)+MOD(ROW()-2,4))</f>
        <v>1.2E-2</v>
      </c>
      <c r="F1039">
        <f t="shared" si="16"/>
        <v>128.4</v>
      </c>
    </row>
    <row r="1040" spans="1:6">
      <c r="A1040" s="1" cm="1">
        <f t="array" ref="A1040">INDEX(Weekly_Inventory_Flow!$A$2:$A$261,INT((ROW()-2)/4)+1)</f>
        <v>46384</v>
      </c>
      <c r="B1040" t="str" cm="1">
        <f t="array" ref="B1040">INDEX(Weekly_Inventory_Flow!$B$2:$B$261,INT((ROW()-2)/4)+1)</f>
        <v>P005</v>
      </c>
      <c r="C1040" t="str" cm="1">
        <f t="array" ref="C1040">INDEX(BOM!$B$2:$B$21,MATCH(B1040,BOM!$A$2:$A$21,0)+MOD(ROW()-2,4))</f>
        <v>M007</v>
      </c>
      <c r="D1040" cm="1">
        <f t="array" ref="D1040">INDEX(Weekly_Inventory_Flow!$I$2:$I$261,INT((ROW()-2)/4)+1)</f>
        <v>10700</v>
      </c>
      <c r="E1040" cm="1">
        <f t="array" ref="E1040">INDEX(BOM!$C$2:$C$21,MATCH(B1040,BOM!$A$2:$A$21,0)+MOD(ROW()-2,4))</f>
        <v>1</v>
      </c>
      <c r="F1040">
        <f t="shared" si="16"/>
        <v>10700</v>
      </c>
    </row>
    <row r="1041" spans="1:6">
      <c r="A1041" s="1" cm="1">
        <f t="array" ref="A1041">INDEX(Weekly_Inventory_Flow!$A$2:$A$261,INT((ROW()-2)/4)+1)</f>
        <v>46384</v>
      </c>
      <c r="B1041" t="str" cm="1">
        <f t="array" ref="B1041">INDEX(Weekly_Inventory_Flow!$B$2:$B$261,INT((ROW()-2)/4)+1)</f>
        <v>P005</v>
      </c>
      <c r="C1041" t="str" cm="1">
        <f t="array" ref="C1041">INDEX(BOM!$B$2:$B$21,MATCH(B1041,BOM!$A$2:$A$21,0)+MOD(ROW()-2,4))</f>
        <v>M008</v>
      </c>
      <c r="D1041" cm="1">
        <f t="array" ref="D1041">INDEX(Weekly_Inventory_Flow!$I$2:$I$261,INT((ROW()-2)/4)+1)</f>
        <v>10700</v>
      </c>
      <c r="E1041" cm="1">
        <f t="array" ref="E1041">INDEX(BOM!$C$2:$C$21,MATCH(B1041,BOM!$A$2:$A$21,0)+MOD(ROW()-2,4))</f>
        <v>1</v>
      </c>
      <c r="F1041">
        <f>D1041*E1041</f>
        <v>10700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E7A2-8178-43B9-A10C-9EBF71A5440C}">
  <dimension ref="A1:C423"/>
  <sheetViews>
    <sheetView workbookViewId="0">
      <selection activeCell="C8" sqref="C8"/>
    </sheetView>
  </sheetViews>
  <sheetFormatPr defaultRowHeight="14.4"/>
  <cols>
    <col min="1" max="2" width="12.6640625" customWidth="1"/>
    <col min="3" max="3" width="27.6640625" customWidth="1"/>
  </cols>
  <sheetData>
    <row r="1" spans="1:3">
      <c r="A1" t="s">
        <v>68</v>
      </c>
      <c r="B1" t="s">
        <v>43</v>
      </c>
      <c r="C1" t="s">
        <v>119</v>
      </c>
    </row>
    <row r="2" spans="1:3">
      <c r="A2" s="1" cm="1">
        <f t="array" ref="A2">INDEX(Calendar_Weeks!$A$2:$A$53,INT((ROW()-2)/8)+1)</f>
        <v>46027</v>
      </c>
      <c r="B2" t="str" cm="1">
        <f t="array" ref="B2">INDEX(Material_Master!$A$2:$A$9,MOD(ROW()-2,8)+1)</f>
        <v>M001</v>
      </c>
      <c r="C2">
        <f>SUMIFS(Weekly_Material_Requirements!$F:$F,Weekly_Material_Requirements!$A:$A,A2,Weekly_Material_Requirements!$C:$C,B2)</f>
        <v>3674.9999999999995</v>
      </c>
    </row>
    <row r="3" spans="1:3">
      <c r="A3" s="1" cm="1">
        <f t="array" ref="A3">INDEX(Calendar_Weeks!$A$2:$A$53,INT((ROW()-2)/8)+1)</f>
        <v>46027</v>
      </c>
      <c r="B3" t="str" cm="1">
        <f t="array" ref="B3">INDEX(Material_Master!$A$2:$A$9,MOD(ROW()-2,8)+1)</f>
        <v>M002</v>
      </c>
      <c r="C3">
        <f>SUMIFS(Weekly_Material_Requirements!$F:$F,Weekly_Material_Requirements!$A:$A,A3,Weekly_Material_Requirements!$C:$C,B3)</f>
        <v>2850</v>
      </c>
    </row>
    <row r="4" spans="1:3">
      <c r="A4" s="1" cm="1">
        <f t="array" ref="A4">INDEX(Calendar_Weeks!$A$2:$A$53,INT((ROW()-2)/8)+1)</f>
        <v>46027</v>
      </c>
      <c r="B4" t="str" cm="1">
        <f t="array" ref="B4">INDEX(Material_Master!$A$2:$A$9,MOD(ROW()-2,8)+1)</f>
        <v>M003</v>
      </c>
      <c r="C4">
        <f>SUMIFS(Weekly_Material_Requirements!$F:$F,Weekly_Material_Requirements!$A:$A,A4,Weekly_Material_Requirements!$C:$C,B4)</f>
        <v>2050</v>
      </c>
    </row>
    <row r="5" spans="1:3">
      <c r="A5" s="1" cm="1">
        <f t="array" ref="A5">INDEX(Calendar_Weeks!$A$2:$A$53,INT((ROW()-2)/8)+1)</f>
        <v>46027</v>
      </c>
      <c r="B5" t="str" cm="1">
        <f t="array" ref="B5">INDEX(Material_Master!$A$2:$A$9,MOD(ROW()-2,8)+1)</f>
        <v>M004</v>
      </c>
      <c r="C5">
        <f>SUMIFS(Weekly_Material_Requirements!$F:$F,Weekly_Material_Requirements!$A:$A,A5,Weekly_Material_Requirements!$C:$C,B5)</f>
        <v>2992</v>
      </c>
    </row>
    <row r="6" spans="1:3">
      <c r="A6" s="1" cm="1">
        <f t="array" ref="A6">INDEX(Calendar_Weeks!$A$2:$A$53,INT((ROW()-2)/8)+1)</f>
        <v>46027</v>
      </c>
      <c r="B6" t="str" cm="1">
        <f t="array" ref="B6">INDEX(Material_Master!$A$2:$A$9,MOD(ROW()-2,8)+1)</f>
        <v>M005</v>
      </c>
      <c r="C6">
        <f>SUMIFS(Weekly_Material_Requirements!$F:$F,Weekly_Material_Requirements!$A:$A,A6,Weekly_Material_Requirements!$C:$C,B6)</f>
        <v>3484</v>
      </c>
    </row>
    <row r="7" spans="1:3">
      <c r="A7" s="1" cm="1">
        <f t="array" ref="A7">INDEX(Calendar_Weeks!$A$2:$A$53,INT((ROW()-2)/8)+1)</f>
        <v>46027</v>
      </c>
      <c r="B7" t="str" cm="1">
        <f t="array" ref="B7">INDEX(Material_Master!$A$2:$A$9,MOD(ROW()-2,8)+1)</f>
        <v>M006</v>
      </c>
      <c r="C7">
        <f>SUMIFS(Weekly_Material_Requirements!$F:$F,Weekly_Material_Requirements!$A:$A,A7,Weekly_Material_Requirements!$C:$C,B7)</f>
        <v>389.79999999999995</v>
      </c>
    </row>
    <row r="8" spans="1:3">
      <c r="A8" s="1" cm="1">
        <f t="array" ref="A8">INDEX(Calendar_Weeks!$A$2:$A$53,INT((ROW()-2)/8)+1)</f>
        <v>46027</v>
      </c>
      <c r="B8" t="str" cm="1">
        <f t="array" ref="B8">INDEX(Material_Master!$A$2:$A$9,MOD(ROW()-2,8)+1)</f>
        <v>M007</v>
      </c>
      <c r="C8">
        <f>SUMIFS(Weekly_Material_Requirements!$F:$F,Weekly_Material_Requirements!$A:$A,A8,Weekly_Material_Requirements!$C:$C,B8)</f>
        <v>43700</v>
      </c>
    </row>
    <row r="9" spans="1:3">
      <c r="A9" s="1" cm="1">
        <f t="array" ref="A9">INDEX(Calendar_Weeks!$A$2:$A$53,INT((ROW()-2)/8)+1)</f>
        <v>46027</v>
      </c>
      <c r="B9" t="str" cm="1">
        <f t="array" ref="B9">INDEX(Material_Master!$A$2:$A$9,MOD(ROW()-2,8)+1)</f>
        <v>M008</v>
      </c>
      <c r="C9">
        <f>SUMIFS(Weekly_Material_Requirements!$F:$F,Weekly_Material_Requirements!$A:$A,A9,Weekly_Material_Requirements!$C:$C,B9)</f>
        <v>43700</v>
      </c>
    </row>
    <row r="10" spans="1:3">
      <c r="A10" s="1" cm="1">
        <f t="array" ref="A10">INDEX(Calendar_Weeks!$A$2:$A$53,INT((ROW()-2)/8)+1)</f>
        <v>46034</v>
      </c>
      <c r="B10" t="str" cm="1">
        <f t="array" ref="B10">INDEX(Material_Master!$A$2:$A$9,MOD(ROW()-2,8)+1)</f>
        <v>M001</v>
      </c>
      <c r="C10">
        <f>SUMIFS(Weekly_Material_Requirements!$F:$F,Weekly_Material_Requirements!$A:$A,A10,Weekly_Material_Requirements!$C:$C,B10)</f>
        <v>4865</v>
      </c>
    </row>
    <row r="11" spans="1:3">
      <c r="A11" s="1" cm="1">
        <f t="array" ref="A11">INDEX(Calendar_Weeks!$A$2:$A$53,INT((ROW()-2)/8)+1)</f>
        <v>46034</v>
      </c>
      <c r="B11" t="str" cm="1">
        <f t="array" ref="B11">INDEX(Material_Master!$A$2:$A$9,MOD(ROW()-2,8)+1)</f>
        <v>M002</v>
      </c>
      <c r="C11">
        <f>SUMIFS(Weekly_Material_Requirements!$F:$F,Weekly_Material_Requirements!$A:$A,A11,Weekly_Material_Requirements!$C:$C,B11)</f>
        <v>3510</v>
      </c>
    </row>
    <row r="12" spans="1:3">
      <c r="A12" s="1" cm="1">
        <f t="array" ref="A12">INDEX(Calendar_Weeks!$A$2:$A$53,INT((ROW()-2)/8)+1)</f>
        <v>46034</v>
      </c>
      <c r="B12" t="str" cm="1">
        <f t="array" ref="B12">INDEX(Material_Master!$A$2:$A$9,MOD(ROW()-2,8)+1)</f>
        <v>M003</v>
      </c>
      <c r="C12">
        <f>SUMIFS(Weekly_Material_Requirements!$F:$F,Weekly_Material_Requirements!$A:$A,A12,Weekly_Material_Requirements!$C:$C,B12)</f>
        <v>2675</v>
      </c>
    </row>
    <row r="13" spans="1:3">
      <c r="A13" s="1" cm="1">
        <f t="array" ref="A13">INDEX(Calendar_Weeks!$A$2:$A$53,INT((ROW()-2)/8)+1)</f>
        <v>46034</v>
      </c>
      <c r="B13" t="str" cm="1">
        <f t="array" ref="B13">INDEX(Material_Master!$A$2:$A$9,MOD(ROW()-2,8)+1)</f>
        <v>M004</v>
      </c>
      <c r="C13">
        <f>SUMIFS(Weekly_Material_Requirements!$F:$F,Weekly_Material_Requirements!$A:$A,A13,Weekly_Material_Requirements!$C:$C,B13)</f>
        <v>3672.0000000000005</v>
      </c>
    </row>
    <row r="14" spans="1:3">
      <c r="A14" s="1" cm="1">
        <f t="array" ref="A14">INDEX(Calendar_Weeks!$A$2:$A$53,INT((ROW()-2)/8)+1)</f>
        <v>46034</v>
      </c>
      <c r="B14" t="str" cm="1">
        <f t="array" ref="B14">INDEX(Material_Master!$A$2:$A$9,MOD(ROW()-2,8)+1)</f>
        <v>M005</v>
      </c>
      <c r="C14">
        <f>SUMIFS(Weekly_Material_Requirements!$F:$F,Weekly_Material_Requirements!$A:$A,A14,Weekly_Material_Requirements!$C:$C,B14)</f>
        <v>4316</v>
      </c>
    </row>
    <row r="15" spans="1:3">
      <c r="A15" s="1" cm="1">
        <f t="array" ref="A15">INDEX(Calendar_Weeks!$A$2:$A$53,INT((ROW()-2)/8)+1)</f>
        <v>46034</v>
      </c>
      <c r="B15" t="str" cm="1">
        <f t="array" ref="B15">INDEX(Material_Master!$A$2:$A$9,MOD(ROW()-2,8)+1)</f>
        <v>M006</v>
      </c>
      <c r="C15">
        <f>SUMIFS(Weekly_Material_Requirements!$F:$F,Weekly_Material_Requirements!$A:$A,A15,Weekly_Material_Requirements!$C:$C,B15)</f>
        <v>493.6</v>
      </c>
    </row>
    <row r="16" spans="1:3">
      <c r="A16" s="1" cm="1">
        <f t="array" ref="A16">INDEX(Calendar_Weeks!$A$2:$A$53,INT((ROW()-2)/8)+1)</f>
        <v>46034</v>
      </c>
      <c r="B16" t="str" cm="1">
        <f t="array" ref="B16">INDEX(Material_Master!$A$2:$A$9,MOD(ROW()-2,8)+1)</f>
        <v>M007</v>
      </c>
      <c r="C16">
        <f>SUMIFS(Weekly_Material_Requirements!$F:$F,Weekly_Material_Requirements!$A:$A,A16,Weekly_Material_Requirements!$C:$C,B16)</f>
        <v>55400</v>
      </c>
    </row>
    <row r="17" spans="1:3">
      <c r="A17" s="1" cm="1">
        <f t="array" ref="A17">INDEX(Calendar_Weeks!$A$2:$A$53,INT((ROW()-2)/8)+1)</f>
        <v>46034</v>
      </c>
      <c r="B17" t="str" cm="1">
        <f t="array" ref="B17">INDEX(Material_Master!$A$2:$A$9,MOD(ROW()-2,8)+1)</f>
        <v>M008</v>
      </c>
      <c r="C17">
        <f>SUMIFS(Weekly_Material_Requirements!$F:$F,Weekly_Material_Requirements!$A:$A,A17,Weekly_Material_Requirements!$C:$C,B17)</f>
        <v>55400</v>
      </c>
    </row>
    <row r="18" spans="1:3">
      <c r="A18" s="1" cm="1">
        <f t="array" ref="A18">INDEX(Calendar_Weeks!$A$2:$A$53,INT((ROW()-2)/8)+1)</f>
        <v>46041</v>
      </c>
      <c r="B18" t="str" cm="1">
        <f t="array" ref="B18">INDEX(Material_Master!$A$2:$A$9,MOD(ROW()-2,8)+1)</f>
        <v>M001</v>
      </c>
      <c r="C18">
        <f>SUMIFS(Weekly_Material_Requirements!$F:$F,Weekly_Material_Requirements!$A:$A,A18,Weekly_Material_Requirements!$C:$C,B18)</f>
        <v>4795</v>
      </c>
    </row>
    <row r="19" spans="1:3">
      <c r="A19" s="1" cm="1">
        <f t="array" ref="A19">INDEX(Calendar_Weeks!$A$2:$A$53,INT((ROW()-2)/8)+1)</f>
        <v>46041</v>
      </c>
      <c r="B19" t="str" cm="1">
        <f t="array" ref="B19">INDEX(Material_Master!$A$2:$A$9,MOD(ROW()-2,8)+1)</f>
        <v>M002</v>
      </c>
      <c r="C19">
        <f>SUMIFS(Weekly_Material_Requirements!$F:$F,Weekly_Material_Requirements!$A:$A,A19,Weekly_Material_Requirements!$C:$C,B19)</f>
        <v>3540</v>
      </c>
    </row>
    <row r="20" spans="1:3">
      <c r="A20" s="1" cm="1">
        <f t="array" ref="A20">INDEX(Calendar_Weeks!$A$2:$A$53,INT((ROW()-2)/8)+1)</f>
        <v>46041</v>
      </c>
      <c r="B20" t="str" cm="1">
        <f t="array" ref="B20">INDEX(Material_Master!$A$2:$A$9,MOD(ROW()-2,8)+1)</f>
        <v>M003</v>
      </c>
      <c r="C20">
        <f>SUMIFS(Weekly_Material_Requirements!$F:$F,Weekly_Material_Requirements!$A:$A,A20,Weekly_Material_Requirements!$C:$C,B20)</f>
        <v>2550</v>
      </c>
    </row>
    <row r="21" spans="1:3">
      <c r="A21" s="1" cm="1">
        <f t="array" ref="A21">INDEX(Calendar_Weeks!$A$2:$A$53,INT((ROW()-2)/8)+1)</f>
        <v>46041</v>
      </c>
      <c r="B21" t="str" cm="1">
        <f t="array" ref="B21">INDEX(Material_Master!$A$2:$A$9,MOD(ROW()-2,8)+1)</f>
        <v>M004</v>
      </c>
      <c r="C21">
        <f>SUMIFS(Weekly_Material_Requirements!$F:$F,Weekly_Material_Requirements!$A:$A,A21,Weekly_Material_Requirements!$C:$C,B21)</f>
        <v>3910.0000000000005</v>
      </c>
    </row>
    <row r="22" spans="1:3">
      <c r="A22" s="1" cm="1">
        <f t="array" ref="A22">INDEX(Calendar_Weeks!$A$2:$A$53,INT((ROW()-2)/8)+1)</f>
        <v>46041</v>
      </c>
      <c r="B22" t="str" cm="1">
        <f t="array" ref="B22">INDEX(Material_Master!$A$2:$A$9,MOD(ROW()-2,8)+1)</f>
        <v>M005</v>
      </c>
      <c r="C22">
        <f>SUMIFS(Weekly_Material_Requirements!$F:$F,Weekly_Material_Requirements!$A:$A,A22,Weekly_Material_Requirements!$C:$C,B22)</f>
        <v>4264</v>
      </c>
    </row>
    <row r="23" spans="1:3">
      <c r="A23" s="1" cm="1">
        <f t="array" ref="A23">INDEX(Calendar_Weeks!$A$2:$A$53,INT((ROW()-2)/8)+1)</f>
        <v>46041</v>
      </c>
      <c r="B23" t="str" cm="1">
        <f t="array" ref="B23">INDEX(Material_Master!$A$2:$A$9,MOD(ROW()-2,8)+1)</f>
        <v>M006</v>
      </c>
      <c r="C23">
        <f>SUMIFS(Weekly_Material_Requirements!$F:$F,Weekly_Material_Requirements!$A:$A,A23,Weekly_Material_Requirements!$C:$C,B23)</f>
        <v>494.5</v>
      </c>
    </row>
    <row r="24" spans="1:3">
      <c r="A24" s="1" cm="1">
        <f t="array" ref="A24">INDEX(Calendar_Weeks!$A$2:$A$53,INT((ROW()-2)/8)+1)</f>
        <v>46041</v>
      </c>
      <c r="B24" t="str" cm="1">
        <f t="array" ref="B24">INDEX(Material_Master!$A$2:$A$9,MOD(ROW()-2,8)+1)</f>
        <v>M007</v>
      </c>
      <c r="C24">
        <f>SUMIFS(Weekly_Material_Requirements!$F:$F,Weekly_Material_Requirements!$A:$A,A24,Weekly_Material_Requirements!$C:$C,B24)</f>
        <v>55400</v>
      </c>
    </row>
    <row r="25" spans="1:3">
      <c r="A25" s="1" cm="1">
        <f t="array" ref="A25">INDEX(Calendar_Weeks!$A$2:$A$53,INT((ROW()-2)/8)+1)</f>
        <v>46041</v>
      </c>
      <c r="B25" t="str" cm="1">
        <f t="array" ref="B25">INDEX(Material_Master!$A$2:$A$9,MOD(ROW()-2,8)+1)</f>
        <v>M008</v>
      </c>
      <c r="C25">
        <f>SUMIFS(Weekly_Material_Requirements!$F:$F,Weekly_Material_Requirements!$A:$A,A25,Weekly_Material_Requirements!$C:$C,B25)</f>
        <v>55400</v>
      </c>
    </row>
    <row r="26" spans="1:3">
      <c r="A26" s="1" cm="1">
        <f t="array" ref="A26">INDEX(Calendar_Weeks!$A$2:$A$53,INT((ROW()-2)/8)+1)</f>
        <v>46048</v>
      </c>
      <c r="B26" t="str" cm="1">
        <f t="array" ref="B26">INDEX(Material_Master!$A$2:$A$9,MOD(ROW()-2,8)+1)</f>
        <v>M001</v>
      </c>
      <c r="C26">
        <f>SUMIFS(Weekly_Material_Requirements!$F:$F,Weekly_Material_Requirements!$A:$A,A26,Weekly_Material_Requirements!$C:$C,B26)</f>
        <v>4655</v>
      </c>
    </row>
    <row r="27" spans="1:3">
      <c r="A27" s="1" cm="1">
        <f t="array" ref="A27">INDEX(Calendar_Weeks!$A$2:$A$53,INT((ROW()-2)/8)+1)</f>
        <v>46048</v>
      </c>
      <c r="B27" t="str" cm="1">
        <f t="array" ref="B27">INDEX(Material_Master!$A$2:$A$9,MOD(ROW()-2,8)+1)</f>
        <v>M002</v>
      </c>
      <c r="C27">
        <f>SUMIFS(Weekly_Material_Requirements!$F:$F,Weekly_Material_Requirements!$A:$A,A27,Weekly_Material_Requirements!$C:$C,B27)</f>
        <v>3630</v>
      </c>
    </row>
    <row r="28" spans="1:3">
      <c r="A28" s="1" cm="1">
        <f t="array" ref="A28">INDEX(Calendar_Weeks!$A$2:$A$53,INT((ROW()-2)/8)+1)</f>
        <v>46048</v>
      </c>
      <c r="B28" t="str" cm="1">
        <f t="array" ref="B28">INDEX(Material_Master!$A$2:$A$9,MOD(ROW()-2,8)+1)</f>
        <v>M003</v>
      </c>
      <c r="C28">
        <f>SUMIFS(Weekly_Material_Requirements!$F:$F,Weekly_Material_Requirements!$A:$A,A28,Weekly_Material_Requirements!$C:$C,B28)</f>
        <v>2600</v>
      </c>
    </row>
    <row r="29" spans="1:3">
      <c r="A29" s="1" cm="1">
        <f t="array" ref="A29">INDEX(Calendar_Weeks!$A$2:$A$53,INT((ROW()-2)/8)+1)</f>
        <v>46048</v>
      </c>
      <c r="B29" t="str" cm="1">
        <f t="array" ref="B29">INDEX(Material_Master!$A$2:$A$9,MOD(ROW()-2,8)+1)</f>
        <v>M004</v>
      </c>
      <c r="C29">
        <f>SUMIFS(Weekly_Material_Requirements!$F:$F,Weekly_Material_Requirements!$A:$A,A29,Weekly_Material_Requirements!$C:$C,B29)</f>
        <v>3706.0000000000005</v>
      </c>
    </row>
    <row r="30" spans="1:3">
      <c r="A30" s="1" cm="1">
        <f t="array" ref="A30">INDEX(Calendar_Weeks!$A$2:$A$53,INT((ROW()-2)/8)+1)</f>
        <v>46048</v>
      </c>
      <c r="B30" t="str" cm="1">
        <f t="array" ref="B30">INDEX(Material_Master!$A$2:$A$9,MOD(ROW()-2,8)+1)</f>
        <v>M005</v>
      </c>
      <c r="C30">
        <f>SUMIFS(Weekly_Material_Requirements!$F:$F,Weekly_Material_Requirements!$A:$A,A30,Weekly_Material_Requirements!$C:$C,B30)</f>
        <v>4524</v>
      </c>
    </row>
    <row r="31" spans="1:3">
      <c r="A31" s="1" cm="1">
        <f t="array" ref="A31">INDEX(Calendar_Weeks!$A$2:$A$53,INT((ROW()-2)/8)+1)</f>
        <v>46048</v>
      </c>
      <c r="B31" t="str" cm="1">
        <f t="array" ref="B31">INDEX(Material_Master!$A$2:$A$9,MOD(ROW()-2,8)+1)</f>
        <v>M006</v>
      </c>
      <c r="C31">
        <f>SUMIFS(Weekly_Material_Requirements!$F:$F,Weekly_Material_Requirements!$A:$A,A31,Weekly_Material_Requirements!$C:$C,B31)</f>
        <v>494.69999999999993</v>
      </c>
    </row>
    <row r="32" spans="1:3">
      <c r="A32" s="1" cm="1">
        <f t="array" ref="A32">INDEX(Calendar_Weeks!$A$2:$A$53,INT((ROW()-2)/8)+1)</f>
        <v>46048</v>
      </c>
      <c r="B32" t="str" cm="1">
        <f t="array" ref="B32">INDEX(Material_Master!$A$2:$A$9,MOD(ROW()-2,8)+1)</f>
        <v>M007</v>
      </c>
      <c r="C32">
        <f>SUMIFS(Weekly_Material_Requirements!$F:$F,Weekly_Material_Requirements!$A:$A,A32,Weekly_Material_Requirements!$C:$C,B32)</f>
        <v>55400</v>
      </c>
    </row>
    <row r="33" spans="1:3">
      <c r="A33" s="1" cm="1">
        <f t="array" ref="A33">INDEX(Calendar_Weeks!$A$2:$A$53,INT((ROW()-2)/8)+1)</f>
        <v>46048</v>
      </c>
      <c r="B33" t="str" cm="1">
        <f t="array" ref="B33">INDEX(Material_Master!$A$2:$A$9,MOD(ROW()-2,8)+1)</f>
        <v>M008</v>
      </c>
      <c r="C33">
        <f>SUMIFS(Weekly_Material_Requirements!$F:$F,Weekly_Material_Requirements!$A:$A,A33,Weekly_Material_Requirements!$C:$C,B33)</f>
        <v>55400</v>
      </c>
    </row>
    <row r="34" spans="1:3">
      <c r="A34" s="1" cm="1">
        <f t="array" ref="A34">INDEX(Calendar_Weeks!$A$2:$A$53,INT((ROW()-2)/8)+1)</f>
        <v>46055</v>
      </c>
      <c r="B34" t="str" cm="1">
        <f t="array" ref="B34">INDEX(Material_Master!$A$2:$A$9,MOD(ROW()-2,8)+1)</f>
        <v>M001</v>
      </c>
      <c r="C34">
        <f>SUMIFS(Weekly_Material_Requirements!$F:$F,Weekly_Material_Requirements!$A:$A,A34,Weekly_Material_Requirements!$C:$C,B34)</f>
        <v>4795</v>
      </c>
    </row>
    <row r="35" spans="1:3">
      <c r="A35" s="1" cm="1">
        <f t="array" ref="A35">INDEX(Calendar_Weeks!$A$2:$A$53,INT((ROW()-2)/8)+1)</f>
        <v>46055</v>
      </c>
      <c r="B35" t="str" cm="1">
        <f t="array" ref="B35">INDEX(Material_Master!$A$2:$A$9,MOD(ROW()-2,8)+1)</f>
        <v>M002</v>
      </c>
      <c r="C35">
        <f>SUMIFS(Weekly_Material_Requirements!$F:$F,Weekly_Material_Requirements!$A:$A,A35,Weekly_Material_Requirements!$C:$C,B35)</f>
        <v>3570</v>
      </c>
    </row>
    <row r="36" spans="1:3">
      <c r="A36" s="1" cm="1">
        <f t="array" ref="A36">INDEX(Calendar_Weeks!$A$2:$A$53,INT((ROW()-2)/8)+1)</f>
        <v>46055</v>
      </c>
      <c r="B36" t="str" cm="1">
        <f t="array" ref="B36">INDEX(Material_Master!$A$2:$A$9,MOD(ROW()-2,8)+1)</f>
        <v>M003</v>
      </c>
      <c r="C36">
        <f>SUMIFS(Weekly_Material_Requirements!$F:$F,Weekly_Material_Requirements!$A:$A,A36,Weekly_Material_Requirements!$C:$C,B36)</f>
        <v>2600</v>
      </c>
    </row>
    <row r="37" spans="1:3">
      <c r="A37" s="1" cm="1">
        <f t="array" ref="A37">INDEX(Calendar_Weeks!$A$2:$A$53,INT((ROW()-2)/8)+1)</f>
        <v>46055</v>
      </c>
      <c r="B37" t="str" cm="1">
        <f t="array" ref="B37">INDEX(Material_Master!$A$2:$A$9,MOD(ROW()-2,8)+1)</f>
        <v>M004</v>
      </c>
      <c r="C37">
        <f>SUMIFS(Weekly_Material_Requirements!$F:$F,Weekly_Material_Requirements!$A:$A,A37,Weekly_Material_Requirements!$C:$C,B37)</f>
        <v>3842.0000000000005</v>
      </c>
    </row>
    <row r="38" spans="1:3">
      <c r="A38" s="1" cm="1">
        <f t="array" ref="A38">INDEX(Calendar_Weeks!$A$2:$A$53,INT((ROW()-2)/8)+1)</f>
        <v>46055</v>
      </c>
      <c r="B38" t="str" cm="1">
        <f t="array" ref="B38">INDEX(Material_Master!$A$2:$A$9,MOD(ROW()-2,8)+1)</f>
        <v>M005</v>
      </c>
      <c r="C38">
        <f>SUMIFS(Weekly_Material_Requirements!$F:$F,Weekly_Material_Requirements!$A:$A,A38,Weekly_Material_Requirements!$C:$C,B38)</f>
        <v>4420</v>
      </c>
    </row>
    <row r="39" spans="1:3">
      <c r="A39" s="1" cm="1">
        <f t="array" ref="A39">INDEX(Calendar_Weeks!$A$2:$A$53,INT((ROW()-2)/8)+1)</f>
        <v>46055</v>
      </c>
      <c r="B39" t="str" cm="1">
        <f t="array" ref="B39">INDEX(Material_Master!$A$2:$A$9,MOD(ROW()-2,8)+1)</f>
        <v>M006</v>
      </c>
      <c r="C39">
        <f>SUMIFS(Weekly_Material_Requirements!$F:$F,Weekly_Material_Requirements!$A:$A,A39,Weekly_Material_Requirements!$C:$C,B39)</f>
        <v>498.29999999999995</v>
      </c>
    </row>
    <row r="40" spans="1:3">
      <c r="A40" s="1" cm="1">
        <f t="array" ref="A40">INDEX(Calendar_Weeks!$A$2:$A$53,INT((ROW()-2)/8)+1)</f>
        <v>46055</v>
      </c>
      <c r="B40" t="str" cm="1">
        <f t="array" ref="B40">INDEX(Material_Master!$A$2:$A$9,MOD(ROW()-2,8)+1)</f>
        <v>M007</v>
      </c>
      <c r="C40">
        <f>SUMIFS(Weekly_Material_Requirements!$F:$F,Weekly_Material_Requirements!$A:$A,A40,Weekly_Material_Requirements!$C:$C,B40)</f>
        <v>55800</v>
      </c>
    </row>
    <row r="41" spans="1:3">
      <c r="A41" s="1" cm="1">
        <f t="array" ref="A41">INDEX(Calendar_Weeks!$A$2:$A$53,INT((ROW()-2)/8)+1)</f>
        <v>46055</v>
      </c>
      <c r="B41" t="str" cm="1">
        <f t="array" ref="B41">INDEX(Material_Master!$A$2:$A$9,MOD(ROW()-2,8)+1)</f>
        <v>M008</v>
      </c>
      <c r="C41">
        <f>SUMIFS(Weekly_Material_Requirements!$F:$F,Weekly_Material_Requirements!$A:$A,A41,Weekly_Material_Requirements!$C:$C,B41)</f>
        <v>55800</v>
      </c>
    </row>
    <row r="42" spans="1:3">
      <c r="A42" s="1" cm="1">
        <f t="array" ref="A42">INDEX(Calendar_Weeks!$A$2:$A$53,INT((ROW()-2)/8)+1)</f>
        <v>46062</v>
      </c>
      <c r="B42" t="str" cm="1">
        <f t="array" ref="B42">INDEX(Material_Master!$A$2:$A$9,MOD(ROW()-2,8)+1)</f>
        <v>M001</v>
      </c>
      <c r="C42">
        <f>SUMIFS(Weekly_Material_Requirements!$F:$F,Weekly_Material_Requirements!$A:$A,A42,Weekly_Material_Requirements!$C:$C,B42)</f>
        <v>4830</v>
      </c>
    </row>
    <row r="43" spans="1:3">
      <c r="A43" s="1" cm="1">
        <f t="array" ref="A43">INDEX(Calendar_Weeks!$A$2:$A$53,INT((ROW()-2)/8)+1)</f>
        <v>46062</v>
      </c>
      <c r="B43" t="str" cm="1">
        <f t="array" ref="B43">INDEX(Material_Master!$A$2:$A$9,MOD(ROW()-2,8)+1)</f>
        <v>M002</v>
      </c>
      <c r="C43">
        <f>SUMIFS(Weekly_Material_Requirements!$F:$F,Weekly_Material_Requirements!$A:$A,A43,Weekly_Material_Requirements!$C:$C,B43)</f>
        <v>3630</v>
      </c>
    </row>
    <row r="44" spans="1:3">
      <c r="A44" s="1" cm="1">
        <f t="array" ref="A44">INDEX(Calendar_Weeks!$A$2:$A$53,INT((ROW()-2)/8)+1)</f>
        <v>46062</v>
      </c>
      <c r="B44" t="str" cm="1">
        <f t="array" ref="B44">INDEX(Material_Master!$A$2:$A$9,MOD(ROW()-2,8)+1)</f>
        <v>M003</v>
      </c>
      <c r="C44">
        <f>SUMIFS(Weekly_Material_Requirements!$F:$F,Weekly_Material_Requirements!$A:$A,A44,Weekly_Material_Requirements!$C:$C,B44)</f>
        <v>2575</v>
      </c>
    </row>
    <row r="45" spans="1:3">
      <c r="A45" s="1" cm="1">
        <f t="array" ref="A45">INDEX(Calendar_Weeks!$A$2:$A$53,INT((ROW()-2)/8)+1)</f>
        <v>46062</v>
      </c>
      <c r="B45" t="str" cm="1">
        <f t="array" ref="B45">INDEX(Material_Master!$A$2:$A$9,MOD(ROW()-2,8)+1)</f>
        <v>M004</v>
      </c>
      <c r="C45">
        <f>SUMIFS(Weekly_Material_Requirements!$F:$F,Weekly_Material_Requirements!$A:$A,A45,Weekly_Material_Requirements!$C:$C,B45)</f>
        <v>3774.0000000000005</v>
      </c>
    </row>
    <row r="46" spans="1:3">
      <c r="A46" s="1" cm="1">
        <f t="array" ref="A46">INDEX(Calendar_Weeks!$A$2:$A$53,INT((ROW()-2)/8)+1)</f>
        <v>46062</v>
      </c>
      <c r="B46" t="str" cm="1">
        <f t="array" ref="B46">INDEX(Material_Master!$A$2:$A$9,MOD(ROW()-2,8)+1)</f>
        <v>M005</v>
      </c>
      <c r="C46">
        <f>SUMIFS(Weekly_Material_Requirements!$F:$F,Weekly_Material_Requirements!$A:$A,A46,Weekly_Material_Requirements!$C:$C,B46)</f>
        <v>4212</v>
      </c>
    </row>
    <row r="47" spans="1:3">
      <c r="A47" s="1" cm="1">
        <f t="array" ref="A47">INDEX(Calendar_Weeks!$A$2:$A$53,INT((ROW()-2)/8)+1)</f>
        <v>46062</v>
      </c>
      <c r="B47" t="str" cm="1">
        <f t="array" ref="B47">INDEX(Material_Master!$A$2:$A$9,MOD(ROW()-2,8)+1)</f>
        <v>M006</v>
      </c>
      <c r="C47">
        <f>SUMIFS(Weekly_Material_Requirements!$F:$F,Weekly_Material_Requirements!$A:$A,A47,Weekly_Material_Requirements!$C:$C,B47)</f>
        <v>493.7</v>
      </c>
    </row>
    <row r="48" spans="1:3">
      <c r="A48" s="1" cm="1">
        <f t="array" ref="A48">INDEX(Calendar_Weeks!$A$2:$A$53,INT((ROW()-2)/8)+1)</f>
        <v>46062</v>
      </c>
      <c r="B48" t="str" cm="1">
        <f t="array" ref="B48">INDEX(Material_Master!$A$2:$A$9,MOD(ROW()-2,8)+1)</f>
        <v>M007</v>
      </c>
      <c r="C48">
        <f>SUMIFS(Weekly_Material_Requirements!$F:$F,Weekly_Material_Requirements!$A:$A,A48,Weekly_Material_Requirements!$C:$C,B48)</f>
        <v>55400</v>
      </c>
    </row>
    <row r="49" spans="1:3">
      <c r="A49" s="1" cm="1">
        <f t="array" ref="A49">INDEX(Calendar_Weeks!$A$2:$A$53,INT((ROW()-2)/8)+1)</f>
        <v>46062</v>
      </c>
      <c r="B49" t="str" cm="1">
        <f t="array" ref="B49">INDEX(Material_Master!$A$2:$A$9,MOD(ROW()-2,8)+1)</f>
        <v>M008</v>
      </c>
      <c r="C49">
        <f>SUMIFS(Weekly_Material_Requirements!$F:$F,Weekly_Material_Requirements!$A:$A,A49,Weekly_Material_Requirements!$C:$C,B49)</f>
        <v>55400</v>
      </c>
    </row>
    <row r="50" spans="1:3">
      <c r="A50" s="1" cm="1">
        <f t="array" ref="A50">INDEX(Calendar_Weeks!$A$2:$A$53,INT((ROW()-2)/8)+1)</f>
        <v>46069</v>
      </c>
      <c r="B50" t="str" cm="1">
        <f t="array" ref="B50">INDEX(Material_Master!$A$2:$A$9,MOD(ROW()-2,8)+1)</f>
        <v>M001</v>
      </c>
      <c r="C50">
        <f>SUMIFS(Weekly_Material_Requirements!$F:$F,Weekly_Material_Requirements!$A:$A,A50,Weekly_Material_Requirements!$C:$C,B50)</f>
        <v>4655</v>
      </c>
    </row>
    <row r="51" spans="1:3">
      <c r="A51" s="1" cm="1">
        <f t="array" ref="A51">INDEX(Calendar_Weeks!$A$2:$A$53,INT((ROW()-2)/8)+1)</f>
        <v>46069</v>
      </c>
      <c r="B51" t="str" cm="1">
        <f t="array" ref="B51">INDEX(Material_Master!$A$2:$A$9,MOD(ROW()-2,8)+1)</f>
        <v>M002</v>
      </c>
      <c r="C51">
        <f>SUMIFS(Weekly_Material_Requirements!$F:$F,Weekly_Material_Requirements!$A:$A,A51,Weekly_Material_Requirements!$C:$C,B51)</f>
        <v>3330</v>
      </c>
    </row>
    <row r="52" spans="1:3">
      <c r="A52" s="1" cm="1">
        <f t="array" ref="A52">INDEX(Calendar_Weeks!$A$2:$A$53,INT((ROW()-2)/8)+1)</f>
        <v>46069</v>
      </c>
      <c r="B52" t="str" cm="1">
        <f t="array" ref="B52">INDEX(Material_Master!$A$2:$A$9,MOD(ROW()-2,8)+1)</f>
        <v>M003</v>
      </c>
      <c r="C52">
        <f>SUMIFS(Weekly_Material_Requirements!$F:$F,Weekly_Material_Requirements!$A:$A,A52,Weekly_Material_Requirements!$C:$C,B52)</f>
        <v>2525</v>
      </c>
    </row>
    <row r="53" spans="1:3">
      <c r="A53" s="1" cm="1">
        <f t="array" ref="A53">INDEX(Calendar_Weeks!$A$2:$A$53,INT((ROW()-2)/8)+1)</f>
        <v>46069</v>
      </c>
      <c r="B53" t="str" cm="1">
        <f t="array" ref="B53">INDEX(Material_Master!$A$2:$A$9,MOD(ROW()-2,8)+1)</f>
        <v>M004</v>
      </c>
      <c r="C53">
        <f>SUMIFS(Weekly_Material_Requirements!$F:$F,Weekly_Material_Requirements!$A:$A,A53,Weekly_Material_Requirements!$C:$C,B53)</f>
        <v>3808.0000000000005</v>
      </c>
    </row>
    <row r="54" spans="1:3">
      <c r="A54" s="1" cm="1">
        <f t="array" ref="A54">INDEX(Calendar_Weeks!$A$2:$A$53,INT((ROW()-2)/8)+1)</f>
        <v>46069</v>
      </c>
      <c r="B54" t="str" cm="1">
        <f t="array" ref="B54">INDEX(Material_Master!$A$2:$A$9,MOD(ROW()-2,8)+1)</f>
        <v>M005</v>
      </c>
      <c r="C54">
        <f>SUMIFS(Weekly_Material_Requirements!$F:$F,Weekly_Material_Requirements!$A:$A,A54,Weekly_Material_Requirements!$C:$C,B54)</f>
        <v>4316</v>
      </c>
    </row>
    <row r="55" spans="1:3">
      <c r="A55" s="1" cm="1">
        <f t="array" ref="A55">INDEX(Calendar_Weeks!$A$2:$A$53,INT((ROW()-2)/8)+1)</f>
        <v>46069</v>
      </c>
      <c r="B55" t="str" cm="1">
        <f t="array" ref="B55">INDEX(Material_Master!$A$2:$A$9,MOD(ROW()-2,8)+1)</f>
        <v>M006</v>
      </c>
      <c r="C55">
        <f>SUMIFS(Weekly_Material_Requirements!$F:$F,Weekly_Material_Requirements!$A:$A,A55,Weekly_Material_Requirements!$C:$C,B55)</f>
        <v>482.80000000000007</v>
      </c>
    </row>
    <row r="56" spans="1:3">
      <c r="A56" s="1" cm="1">
        <f t="array" ref="A56">INDEX(Calendar_Weeks!$A$2:$A$53,INT((ROW()-2)/8)+1)</f>
        <v>46069</v>
      </c>
      <c r="B56" t="str" cm="1">
        <f t="array" ref="B56">INDEX(Material_Master!$A$2:$A$9,MOD(ROW()-2,8)+1)</f>
        <v>M007</v>
      </c>
      <c r="C56">
        <f>SUMIFS(Weekly_Material_Requirements!$F:$F,Weekly_Material_Requirements!$A:$A,A56,Weekly_Material_Requirements!$C:$C,B56)</f>
        <v>54000</v>
      </c>
    </row>
    <row r="57" spans="1:3">
      <c r="A57" s="1" cm="1">
        <f t="array" ref="A57">INDEX(Calendar_Weeks!$A$2:$A$53,INT((ROW()-2)/8)+1)</f>
        <v>46069</v>
      </c>
      <c r="B57" t="str" cm="1">
        <f t="array" ref="B57">INDEX(Material_Master!$A$2:$A$9,MOD(ROW()-2,8)+1)</f>
        <v>M008</v>
      </c>
      <c r="C57">
        <f>SUMIFS(Weekly_Material_Requirements!$F:$F,Weekly_Material_Requirements!$A:$A,A57,Weekly_Material_Requirements!$C:$C,B57)</f>
        <v>54000</v>
      </c>
    </row>
    <row r="58" spans="1:3">
      <c r="A58" s="1" cm="1">
        <f t="array" ref="A58">INDEX(Calendar_Weeks!$A$2:$A$53,INT((ROW()-2)/8)+1)</f>
        <v>46076</v>
      </c>
      <c r="B58" t="str" cm="1">
        <f t="array" ref="B58">INDEX(Material_Master!$A$2:$A$9,MOD(ROW()-2,8)+1)</f>
        <v>M001</v>
      </c>
      <c r="C58">
        <f>SUMIFS(Weekly_Material_Requirements!$F:$F,Weekly_Material_Requirements!$A:$A,A58,Weekly_Material_Requirements!$C:$C,B58)</f>
        <v>4725</v>
      </c>
    </row>
    <row r="59" spans="1:3">
      <c r="A59" s="1" cm="1">
        <f t="array" ref="A59">INDEX(Calendar_Weeks!$A$2:$A$53,INT((ROW()-2)/8)+1)</f>
        <v>46076</v>
      </c>
      <c r="B59" t="str" cm="1">
        <f t="array" ref="B59">INDEX(Material_Master!$A$2:$A$9,MOD(ROW()-2,8)+1)</f>
        <v>M002</v>
      </c>
      <c r="C59">
        <f>SUMIFS(Weekly_Material_Requirements!$F:$F,Weekly_Material_Requirements!$A:$A,A59,Weekly_Material_Requirements!$C:$C,B59)</f>
        <v>3660</v>
      </c>
    </row>
    <row r="60" spans="1:3">
      <c r="A60" s="1" cm="1">
        <f t="array" ref="A60">INDEX(Calendar_Weeks!$A$2:$A$53,INT((ROW()-2)/8)+1)</f>
        <v>46076</v>
      </c>
      <c r="B60" t="str" cm="1">
        <f t="array" ref="B60">INDEX(Material_Master!$A$2:$A$9,MOD(ROW()-2,8)+1)</f>
        <v>M003</v>
      </c>
      <c r="C60">
        <f>SUMIFS(Weekly_Material_Requirements!$F:$F,Weekly_Material_Requirements!$A:$A,A60,Weekly_Material_Requirements!$C:$C,B60)</f>
        <v>2525</v>
      </c>
    </row>
    <row r="61" spans="1:3">
      <c r="A61" s="1" cm="1">
        <f t="array" ref="A61">INDEX(Calendar_Weeks!$A$2:$A$53,INT((ROW()-2)/8)+1)</f>
        <v>46076</v>
      </c>
      <c r="B61" t="str" cm="1">
        <f t="array" ref="B61">INDEX(Material_Master!$A$2:$A$9,MOD(ROW()-2,8)+1)</f>
        <v>M004</v>
      </c>
      <c r="C61">
        <f>SUMIFS(Weekly_Material_Requirements!$F:$F,Weekly_Material_Requirements!$A:$A,A61,Weekly_Material_Requirements!$C:$C,B61)</f>
        <v>3502.0000000000005</v>
      </c>
    </row>
    <row r="62" spans="1:3">
      <c r="A62" s="1" cm="1">
        <f t="array" ref="A62">INDEX(Calendar_Weeks!$A$2:$A$53,INT((ROW()-2)/8)+1)</f>
        <v>46076</v>
      </c>
      <c r="B62" t="str" cm="1">
        <f t="array" ref="B62">INDEX(Material_Master!$A$2:$A$9,MOD(ROW()-2,8)+1)</f>
        <v>M005</v>
      </c>
      <c r="C62">
        <f>SUMIFS(Weekly_Material_Requirements!$F:$F,Weekly_Material_Requirements!$A:$A,A62,Weekly_Material_Requirements!$C:$C,B62)</f>
        <v>4420</v>
      </c>
    </row>
    <row r="63" spans="1:3">
      <c r="A63" s="1" cm="1">
        <f t="array" ref="A63">INDEX(Calendar_Weeks!$A$2:$A$53,INT((ROW()-2)/8)+1)</f>
        <v>46076</v>
      </c>
      <c r="B63" t="str" cm="1">
        <f t="array" ref="B63">INDEX(Material_Master!$A$2:$A$9,MOD(ROW()-2,8)+1)</f>
        <v>M006</v>
      </c>
      <c r="C63">
        <f>SUMIFS(Weekly_Material_Requirements!$F:$F,Weekly_Material_Requirements!$A:$A,A63,Weekly_Material_Requirements!$C:$C,B63)</f>
        <v>487.90000000000003</v>
      </c>
    </row>
    <row r="64" spans="1:3">
      <c r="A64" s="1" cm="1">
        <f t="array" ref="A64">INDEX(Calendar_Weeks!$A$2:$A$53,INT((ROW()-2)/8)+1)</f>
        <v>46076</v>
      </c>
      <c r="B64" t="str" cm="1">
        <f t="array" ref="B64">INDEX(Material_Master!$A$2:$A$9,MOD(ROW()-2,8)+1)</f>
        <v>M007</v>
      </c>
      <c r="C64">
        <f>SUMIFS(Weekly_Material_Requirements!$F:$F,Weekly_Material_Requirements!$A:$A,A64,Weekly_Material_Requirements!$C:$C,B64)</f>
        <v>54600</v>
      </c>
    </row>
    <row r="65" spans="1:3">
      <c r="A65" s="1" cm="1">
        <f t="array" ref="A65">INDEX(Calendar_Weeks!$A$2:$A$53,INT((ROW()-2)/8)+1)</f>
        <v>46076</v>
      </c>
      <c r="B65" t="str" cm="1">
        <f t="array" ref="B65">INDEX(Material_Master!$A$2:$A$9,MOD(ROW()-2,8)+1)</f>
        <v>M008</v>
      </c>
      <c r="C65">
        <f>SUMIFS(Weekly_Material_Requirements!$F:$F,Weekly_Material_Requirements!$A:$A,A65,Weekly_Material_Requirements!$C:$C,B65)</f>
        <v>54600</v>
      </c>
    </row>
    <row r="66" spans="1:3">
      <c r="A66" s="1" cm="1">
        <f t="array" ref="A66">INDEX(Calendar_Weeks!$A$2:$A$53,INT((ROW()-2)/8)+1)</f>
        <v>46083</v>
      </c>
      <c r="B66" t="str" cm="1">
        <f t="array" ref="B66">INDEX(Material_Master!$A$2:$A$9,MOD(ROW()-2,8)+1)</f>
        <v>M001</v>
      </c>
      <c r="C66">
        <f>SUMIFS(Weekly_Material_Requirements!$F:$F,Weekly_Material_Requirements!$A:$A,A66,Weekly_Material_Requirements!$C:$C,B66)</f>
        <v>5145</v>
      </c>
    </row>
    <row r="67" spans="1:3">
      <c r="A67" s="1" cm="1">
        <f t="array" ref="A67">INDEX(Calendar_Weeks!$A$2:$A$53,INT((ROW()-2)/8)+1)</f>
        <v>46083</v>
      </c>
      <c r="B67" t="str" cm="1">
        <f t="array" ref="B67">INDEX(Material_Master!$A$2:$A$9,MOD(ROW()-2,8)+1)</f>
        <v>M002</v>
      </c>
      <c r="C67">
        <f>SUMIFS(Weekly_Material_Requirements!$F:$F,Weekly_Material_Requirements!$A:$A,A67,Weekly_Material_Requirements!$C:$C,B67)</f>
        <v>3870</v>
      </c>
    </row>
    <row r="68" spans="1:3">
      <c r="A68" s="1" cm="1">
        <f t="array" ref="A68">INDEX(Calendar_Weeks!$A$2:$A$53,INT((ROW()-2)/8)+1)</f>
        <v>46083</v>
      </c>
      <c r="B68" t="str" cm="1">
        <f t="array" ref="B68">INDEX(Material_Master!$A$2:$A$9,MOD(ROW()-2,8)+1)</f>
        <v>M003</v>
      </c>
      <c r="C68">
        <f>SUMIFS(Weekly_Material_Requirements!$F:$F,Weekly_Material_Requirements!$A:$A,A68,Weekly_Material_Requirements!$C:$C,B68)</f>
        <v>2750</v>
      </c>
    </row>
    <row r="69" spans="1:3">
      <c r="A69" s="1" cm="1">
        <f t="array" ref="A69">INDEX(Calendar_Weeks!$A$2:$A$53,INT((ROW()-2)/8)+1)</f>
        <v>46083</v>
      </c>
      <c r="B69" t="str" cm="1">
        <f t="array" ref="B69">INDEX(Material_Master!$A$2:$A$9,MOD(ROW()-2,8)+1)</f>
        <v>M004</v>
      </c>
      <c r="C69">
        <f>SUMIFS(Weekly_Material_Requirements!$F:$F,Weekly_Material_Requirements!$A:$A,A69,Weekly_Material_Requirements!$C:$C,B69)</f>
        <v>3978.0000000000005</v>
      </c>
    </row>
    <row r="70" spans="1:3">
      <c r="A70" s="1" cm="1">
        <f t="array" ref="A70">INDEX(Calendar_Weeks!$A$2:$A$53,INT((ROW()-2)/8)+1)</f>
        <v>46083</v>
      </c>
      <c r="B70" t="str" cm="1">
        <f t="array" ref="B70">INDEX(Material_Master!$A$2:$A$9,MOD(ROW()-2,8)+1)</f>
        <v>M005</v>
      </c>
      <c r="C70">
        <f>SUMIFS(Weekly_Material_Requirements!$F:$F,Weekly_Material_Requirements!$A:$A,A70,Weekly_Material_Requirements!$C:$C,B70)</f>
        <v>4680</v>
      </c>
    </row>
    <row r="71" spans="1:3">
      <c r="A71" s="1" cm="1">
        <f t="array" ref="A71">INDEX(Calendar_Weeks!$A$2:$A$53,INT((ROW()-2)/8)+1)</f>
        <v>46083</v>
      </c>
      <c r="B71" t="str" cm="1">
        <f t="array" ref="B71">INDEX(Material_Master!$A$2:$A$9,MOD(ROW()-2,8)+1)</f>
        <v>M006</v>
      </c>
      <c r="C71">
        <f>SUMIFS(Weekly_Material_Requirements!$F:$F,Weekly_Material_Requirements!$A:$A,A71,Weekly_Material_Requirements!$C:$C,B71)</f>
        <v>529.5</v>
      </c>
    </row>
    <row r="72" spans="1:3">
      <c r="A72" s="1" cm="1">
        <f t="array" ref="A72">INDEX(Calendar_Weeks!$A$2:$A$53,INT((ROW()-2)/8)+1)</f>
        <v>46083</v>
      </c>
      <c r="B72" t="str" cm="1">
        <f t="array" ref="B72">INDEX(Material_Master!$A$2:$A$9,MOD(ROW()-2,8)+1)</f>
        <v>M007</v>
      </c>
      <c r="C72">
        <f>SUMIFS(Weekly_Material_Requirements!$F:$F,Weekly_Material_Requirements!$A:$A,A72,Weekly_Material_Requirements!$C:$C,B72)</f>
        <v>59300</v>
      </c>
    </row>
    <row r="73" spans="1:3">
      <c r="A73" s="1" cm="1">
        <f t="array" ref="A73">INDEX(Calendar_Weeks!$A$2:$A$53,INT((ROW()-2)/8)+1)</f>
        <v>46083</v>
      </c>
      <c r="B73" t="str" cm="1">
        <f t="array" ref="B73">INDEX(Material_Master!$A$2:$A$9,MOD(ROW()-2,8)+1)</f>
        <v>M008</v>
      </c>
      <c r="C73">
        <f>SUMIFS(Weekly_Material_Requirements!$F:$F,Weekly_Material_Requirements!$A:$A,A73,Weekly_Material_Requirements!$C:$C,B73)</f>
        <v>59300</v>
      </c>
    </row>
    <row r="74" spans="1:3">
      <c r="A74" s="1" cm="1">
        <f t="array" ref="A74">INDEX(Calendar_Weeks!$A$2:$A$53,INT((ROW()-2)/8)+1)</f>
        <v>46090</v>
      </c>
      <c r="B74" t="str" cm="1">
        <f t="array" ref="B74">INDEX(Material_Master!$A$2:$A$9,MOD(ROW()-2,8)+1)</f>
        <v>M001</v>
      </c>
      <c r="C74">
        <f>SUMIFS(Weekly_Material_Requirements!$F:$F,Weekly_Material_Requirements!$A:$A,A74,Weekly_Material_Requirements!$C:$C,B74)</f>
        <v>5145</v>
      </c>
    </row>
    <row r="75" spans="1:3">
      <c r="A75" s="1" cm="1">
        <f t="array" ref="A75">INDEX(Calendar_Weeks!$A$2:$A$53,INT((ROW()-2)/8)+1)</f>
        <v>46090</v>
      </c>
      <c r="B75" t="str" cm="1">
        <f t="array" ref="B75">INDEX(Material_Master!$A$2:$A$9,MOD(ROW()-2,8)+1)</f>
        <v>M002</v>
      </c>
      <c r="C75">
        <f>SUMIFS(Weekly_Material_Requirements!$F:$F,Weekly_Material_Requirements!$A:$A,A75,Weekly_Material_Requirements!$C:$C,B75)</f>
        <v>3780</v>
      </c>
    </row>
    <row r="76" spans="1:3">
      <c r="A76" s="1" cm="1">
        <f t="array" ref="A76">INDEX(Calendar_Weeks!$A$2:$A$53,INT((ROW()-2)/8)+1)</f>
        <v>46090</v>
      </c>
      <c r="B76" t="str" cm="1">
        <f t="array" ref="B76">INDEX(Material_Master!$A$2:$A$9,MOD(ROW()-2,8)+1)</f>
        <v>M003</v>
      </c>
      <c r="C76">
        <f>SUMIFS(Weekly_Material_Requirements!$F:$F,Weekly_Material_Requirements!$A:$A,A76,Weekly_Material_Requirements!$C:$C,B76)</f>
        <v>2850</v>
      </c>
    </row>
    <row r="77" spans="1:3">
      <c r="A77" s="1" cm="1">
        <f t="array" ref="A77">INDEX(Calendar_Weeks!$A$2:$A$53,INT((ROW()-2)/8)+1)</f>
        <v>46090</v>
      </c>
      <c r="B77" t="str" cm="1">
        <f t="array" ref="B77">INDEX(Material_Master!$A$2:$A$9,MOD(ROW()-2,8)+1)</f>
        <v>M004</v>
      </c>
      <c r="C77">
        <f>SUMIFS(Weekly_Material_Requirements!$F:$F,Weekly_Material_Requirements!$A:$A,A77,Weekly_Material_Requirements!$C:$C,B77)</f>
        <v>3774.0000000000005</v>
      </c>
    </row>
    <row r="78" spans="1:3">
      <c r="A78" s="1" cm="1">
        <f t="array" ref="A78">INDEX(Calendar_Weeks!$A$2:$A$53,INT((ROW()-2)/8)+1)</f>
        <v>46090</v>
      </c>
      <c r="B78" t="str" cm="1">
        <f t="array" ref="B78">INDEX(Material_Master!$A$2:$A$9,MOD(ROW()-2,8)+1)</f>
        <v>M005</v>
      </c>
      <c r="C78">
        <f>SUMIFS(Weekly_Material_Requirements!$F:$F,Weekly_Material_Requirements!$A:$A,A78,Weekly_Material_Requirements!$C:$C,B78)</f>
        <v>4472</v>
      </c>
    </row>
    <row r="79" spans="1:3">
      <c r="A79" s="1" cm="1">
        <f t="array" ref="A79">INDEX(Calendar_Weeks!$A$2:$A$53,INT((ROW()-2)/8)+1)</f>
        <v>46090</v>
      </c>
      <c r="B79" t="str" cm="1">
        <f t="array" ref="B79">INDEX(Material_Master!$A$2:$A$9,MOD(ROW()-2,8)+1)</f>
        <v>M006</v>
      </c>
      <c r="C79">
        <f>SUMIFS(Weekly_Material_Requirements!$F:$F,Weekly_Material_Requirements!$A:$A,A79,Weekly_Material_Requirements!$C:$C,B79)</f>
        <v>519.30000000000007</v>
      </c>
    </row>
    <row r="80" spans="1:3">
      <c r="A80" s="1" cm="1">
        <f t="array" ref="A80">INDEX(Calendar_Weeks!$A$2:$A$53,INT((ROW()-2)/8)+1)</f>
        <v>46090</v>
      </c>
      <c r="B80" t="str" cm="1">
        <f t="array" ref="B80">INDEX(Material_Master!$A$2:$A$9,MOD(ROW()-2,8)+1)</f>
        <v>M007</v>
      </c>
      <c r="C80">
        <f>SUMIFS(Weekly_Material_Requirements!$F:$F,Weekly_Material_Requirements!$A:$A,A80,Weekly_Material_Requirements!$C:$C,B80)</f>
        <v>58400</v>
      </c>
    </row>
    <row r="81" spans="1:3">
      <c r="A81" s="1" cm="1">
        <f t="array" ref="A81">INDEX(Calendar_Weeks!$A$2:$A$53,INT((ROW()-2)/8)+1)</f>
        <v>46090</v>
      </c>
      <c r="B81" t="str" cm="1">
        <f t="array" ref="B81">INDEX(Material_Master!$A$2:$A$9,MOD(ROW()-2,8)+1)</f>
        <v>M008</v>
      </c>
      <c r="C81">
        <f>SUMIFS(Weekly_Material_Requirements!$F:$F,Weekly_Material_Requirements!$A:$A,A81,Weekly_Material_Requirements!$C:$C,B81)</f>
        <v>58400</v>
      </c>
    </row>
    <row r="82" spans="1:3">
      <c r="A82" s="1" cm="1">
        <f t="array" ref="A82">INDEX(Calendar_Weeks!$A$2:$A$53,INT((ROW()-2)/8)+1)</f>
        <v>46097</v>
      </c>
      <c r="B82" t="str" cm="1">
        <f t="array" ref="B82">INDEX(Material_Master!$A$2:$A$9,MOD(ROW()-2,8)+1)</f>
        <v>M001</v>
      </c>
      <c r="C82">
        <f>SUMIFS(Weekly_Material_Requirements!$F:$F,Weekly_Material_Requirements!$A:$A,A82,Weekly_Material_Requirements!$C:$C,B82)</f>
        <v>5915</v>
      </c>
    </row>
    <row r="83" spans="1:3">
      <c r="A83" s="1" cm="1">
        <f t="array" ref="A83">INDEX(Calendar_Weeks!$A$2:$A$53,INT((ROW()-2)/8)+1)</f>
        <v>46097</v>
      </c>
      <c r="B83" t="str" cm="1">
        <f t="array" ref="B83">INDEX(Material_Master!$A$2:$A$9,MOD(ROW()-2,8)+1)</f>
        <v>M002</v>
      </c>
      <c r="C83">
        <f>SUMIFS(Weekly_Material_Requirements!$F:$F,Weekly_Material_Requirements!$A:$A,A83,Weekly_Material_Requirements!$C:$C,B83)</f>
        <v>3660</v>
      </c>
    </row>
    <row r="84" spans="1:3">
      <c r="A84" s="1" cm="1">
        <f t="array" ref="A84">INDEX(Calendar_Weeks!$A$2:$A$53,INT((ROW()-2)/8)+1)</f>
        <v>46097</v>
      </c>
      <c r="B84" t="str" cm="1">
        <f t="array" ref="B84">INDEX(Material_Master!$A$2:$A$9,MOD(ROW()-2,8)+1)</f>
        <v>M003</v>
      </c>
      <c r="C84">
        <f>SUMIFS(Weekly_Material_Requirements!$F:$F,Weekly_Material_Requirements!$A:$A,A84,Weekly_Material_Requirements!$C:$C,B84)</f>
        <v>2750</v>
      </c>
    </row>
    <row r="85" spans="1:3">
      <c r="A85" s="1" cm="1">
        <f t="array" ref="A85">INDEX(Calendar_Weeks!$A$2:$A$53,INT((ROW()-2)/8)+1)</f>
        <v>46097</v>
      </c>
      <c r="B85" t="str" cm="1">
        <f t="array" ref="B85">INDEX(Material_Master!$A$2:$A$9,MOD(ROW()-2,8)+1)</f>
        <v>M004</v>
      </c>
      <c r="C85">
        <f>SUMIFS(Weekly_Material_Requirements!$F:$F,Weekly_Material_Requirements!$A:$A,A85,Weekly_Material_Requirements!$C:$C,B85)</f>
        <v>4046.0000000000005</v>
      </c>
    </row>
    <row r="86" spans="1:3">
      <c r="A86" s="1" cm="1">
        <f t="array" ref="A86">INDEX(Calendar_Weeks!$A$2:$A$53,INT((ROW()-2)/8)+1)</f>
        <v>46097</v>
      </c>
      <c r="B86" t="str" cm="1">
        <f t="array" ref="B86">INDEX(Material_Master!$A$2:$A$9,MOD(ROW()-2,8)+1)</f>
        <v>M005</v>
      </c>
      <c r="C86">
        <f>SUMIFS(Weekly_Material_Requirements!$F:$F,Weekly_Material_Requirements!$A:$A,A86,Weekly_Material_Requirements!$C:$C,B86)</f>
        <v>4576</v>
      </c>
    </row>
    <row r="87" spans="1:3">
      <c r="A87" s="1" cm="1">
        <f t="array" ref="A87">INDEX(Calendar_Weeks!$A$2:$A$53,INT((ROW()-2)/8)+1)</f>
        <v>46097</v>
      </c>
      <c r="B87" t="str" cm="1">
        <f t="array" ref="B87">INDEX(Material_Master!$A$2:$A$9,MOD(ROW()-2,8)+1)</f>
        <v>M006</v>
      </c>
      <c r="C87">
        <f>SUMIFS(Weekly_Material_Requirements!$F:$F,Weekly_Material_Requirements!$A:$A,A87,Weekly_Material_Requirements!$C:$C,B87)</f>
        <v>545.30000000000007</v>
      </c>
    </row>
    <row r="88" spans="1:3">
      <c r="A88" s="1" cm="1">
        <f t="array" ref="A88">INDEX(Calendar_Weeks!$A$2:$A$53,INT((ROW()-2)/8)+1)</f>
        <v>46097</v>
      </c>
      <c r="B88" t="str" cm="1">
        <f t="array" ref="B88">INDEX(Material_Master!$A$2:$A$9,MOD(ROW()-2,8)+1)</f>
        <v>M007</v>
      </c>
      <c r="C88">
        <f>SUMIFS(Weekly_Material_Requirements!$F:$F,Weekly_Material_Requirements!$A:$A,A88,Weekly_Material_Requirements!$C:$C,B88)</f>
        <v>60800</v>
      </c>
    </row>
    <row r="89" spans="1:3">
      <c r="A89" s="1" cm="1">
        <f t="array" ref="A89">INDEX(Calendar_Weeks!$A$2:$A$53,INT((ROW()-2)/8)+1)</f>
        <v>46097</v>
      </c>
      <c r="B89" t="str" cm="1">
        <f t="array" ref="B89">INDEX(Material_Master!$A$2:$A$9,MOD(ROW()-2,8)+1)</f>
        <v>M008</v>
      </c>
      <c r="C89">
        <f>SUMIFS(Weekly_Material_Requirements!$F:$F,Weekly_Material_Requirements!$A:$A,A89,Weekly_Material_Requirements!$C:$C,B89)</f>
        <v>60800</v>
      </c>
    </row>
    <row r="90" spans="1:3">
      <c r="A90" s="1" cm="1">
        <f t="array" ref="A90">INDEX(Calendar_Weeks!$A$2:$A$53,INT((ROW()-2)/8)+1)</f>
        <v>46104</v>
      </c>
      <c r="B90" t="str" cm="1">
        <f t="array" ref="B90">INDEX(Material_Master!$A$2:$A$9,MOD(ROW()-2,8)+1)</f>
        <v>M001</v>
      </c>
      <c r="C90">
        <f>SUMIFS(Weekly_Material_Requirements!$F:$F,Weekly_Material_Requirements!$A:$A,A90,Weekly_Material_Requirements!$C:$C,B90)</f>
        <v>4550</v>
      </c>
    </row>
    <row r="91" spans="1:3">
      <c r="A91" s="1" cm="1">
        <f t="array" ref="A91">INDEX(Calendar_Weeks!$A$2:$A$53,INT((ROW()-2)/8)+1)</f>
        <v>46104</v>
      </c>
      <c r="B91" t="str" cm="1">
        <f t="array" ref="B91">INDEX(Material_Master!$A$2:$A$9,MOD(ROW()-2,8)+1)</f>
        <v>M002</v>
      </c>
      <c r="C91">
        <f>SUMIFS(Weekly_Material_Requirements!$F:$F,Weekly_Material_Requirements!$A:$A,A91,Weekly_Material_Requirements!$C:$C,B91)</f>
        <v>3630</v>
      </c>
    </row>
    <row r="92" spans="1:3">
      <c r="A92" s="1" cm="1">
        <f t="array" ref="A92">INDEX(Calendar_Weeks!$A$2:$A$53,INT((ROW()-2)/8)+1)</f>
        <v>46104</v>
      </c>
      <c r="B92" t="str" cm="1">
        <f t="array" ref="B92">INDEX(Material_Master!$A$2:$A$9,MOD(ROW()-2,8)+1)</f>
        <v>M003</v>
      </c>
      <c r="C92">
        <f>SUMIFS(Weekly_Material_Requirements!$F:$F,Weekly_Material_Requirements!$A:$A,A92,Weekly_Material_Requirements!$C:$C,B92)</f>
        <v>2675</v>
      </c>
    </row>
    <row r="93" spans="1:3">
      <c r="A93" s="1" cm="1">
        <f t="array" ref="A93">INDEX(Calendar_Weeks!$A$2:$A$53,INT((ROW()-2)/8)+1)</f>
        <v>46104</v>
      </c>
      <c r="B93" t="str" cm="1">
        <f t="array" ref="B93">INDEX(Material_Master!$A$2:$A$9,MOD(ROW()-2,8)+1)</f>
        <v>M004</v>
      </c>
      <c r="C93">
        <f>SUMIFS(Weekly_Material_Requirements!$F:$F,Weekly_Material_Requirements!$A:$A,A93,Weekly_Material_Requirements!$C:$C,B93)</f>
        <v>3910.0000000000005</v>
      </c>
    </row>
    <row r="94" spans="1:3">
      <c r="A94" s="1" cm="1">
        <f t="array" ref="A94">INDEX(Calendar_Weeks!$A$2:$A$53,INT((ROW()-2)/8)+1)</f>
        <v>46104</v>
      </c>
      <c r="B94" t="str" cm="1">
        <f t="array" ref="B94">INDEX(Material_Master!$A$2:$A$9,MOD(ROW()-2,8)+1)</f>
        <v>M005</v>
      </c>
      <c r="C94">
        <f>SUMIFS(Weekly_Material_Requirements!$F:$F,Weekly_Material_Requirements!$A:$A,A94,Weekly_Material_Requirements!$C:$C,B94)</f>
        <v>4524</v>
      </c>
    </row>
    <row r="95" spans="1:3">
      <c r="A95" s="1" cm="1">
        <f t="array" ref="A95">INDEX(Calendar_Weeks!$A$2:$A$53,INT((ROW()-2)/8)+1)</f>
        <v>46104</v>
      </c>
      <c r="B95" t="str" cm="1">
        <f t="array" ref="B95">INDEX(Material_Master!$A$2:$A$9,MOD(ROW()-2,8)+1)</f>
        <v>M006</v>
      </c>
      <c r="C95">
        <f>SUMIFS(Weekly_Material_Requirements!$F:$F,Weekly_Material_Requirements!$A:$A,A95,Weekly_Material_Requirements!$C:$C,B95)</f>
        <v>498.9</v>
      </c>
    </row>
    <row r="96" spans="1:3">
      <c r="A96" s="1" cm="1">
        <f t="array" ref="A96">INDEX(Calendar_Weeks!$A$2:$A$53,INT((ROW()-2)/8)+1)</f>
        <v>46104</v>
      </c>
      <c r="B96" t="str" cm="1">
        <f t="array" ref="B96">INDEX(Material_Master!$A$2:$A$9,MOD(ROW()-2,8)+1)</f>
        <v>M007</v>
      </c>
      <c r="C96">
        <f>SUMIFS(Weekly_Material_Requirements!$F:$F,Weekly_Material_Requirements!$A:$A,A96,Weekly_Material_Requirements!$C:$C,B96)</f>
        <v>56000</v>
      </c>
    </row>
    <row r="97" spans="1:3">
      <c r="A97" s="1" cm="1">
        <f t="array" ref="A97">INDEX(Calendar_Weeks!$A$2:$A$53,INT((ROW()-2)/8)+1)</f>
        <v>46104</v>
      </c>
      <c r="B97" t="str" cm="1">
        <f t="array" ref="B97">INDEX(Material_Master!$A$2:$A$9,MOD(ROW()-2,8)+1)</f>
        <v>M008</v>
      </c>
      <c r="C97">
        <f>SUMIFS(Weekly_Material_Requirements!$F:$F,Weekly_Material_Requirements!$A:$A,A97,Weekly_Material_Requirements!$C:$C,B97)</f>
        <v>56000</v>
      </c>
    </row>
    <row r="98" spans="1:3">
      <c r="A98" s="1" cm="1">
        <f t="array" ref="A98">INDEX(Calendar_Weeks!$A$2:$A$53,INT((ROW()-2)/8)+1)</f>
        <v>46111</v>
      </c>
      <c r="B98" t="str" cm="1">
        <f t="array" ref="B98">INDEX(Material_Master!$A$2:$A$9,MOD(ROW()-2,8)+1)</f>
        <v>M001</v>
      </c>
      <c r="C98">
        <f>SUMIFS(Weekly_Material_Requirements!$F:$F,Weekly_Material_Requirements!$A:$A,A98,Weekly_Material_Requirements!$C:$C,B98)</f>
        <v>5320</v>
      </c>
    </row>
    <row r="99" spans="1:3">
      <c r="A99" s="1" cm="1">
        <f t="array" ref="A99">INDEX(Calendar_Weeks!$A$2:$A$53,INT((ROW()-2)/8)+1)</f>
        <v>46111</v>
      </c>
      <c r="B99" t="str" cm="1">
        <f t="array" ref="B99">INDEX(Material_Master!$A$2:$A$9,MOD(ROW()-2,8)+1)</f>
        <v>M002</v>
      </c>
      <c r="C99">
        <f>SUMIFS(Weekly_Material_Requirements!$F:$F,Weekly_Material_Requirements!$A:$A,A99,Weekly_Material_Requirements!$C:$C,B99)</f>
        <v>3870</v>
      </c>
    </row>
    <row r="100" spans="1:3">
      <c r="A100" s="1" cm="1">
        <f t="array" ref="A100">INDEX(Calendar_Weeks!$A$2:$A$53,INT((ROW()-2)/8)+1)</f>
        <v>46111</v>
      </c>
      <c r="B100" t="str" cm="1">
        <f t="array" ref="B100">INDEX(Material_Master!$A$2:$A$9,MOD(ROW()-2,8)+1)</f>
        <v>M003</v>
      </c>
      <c r="C100">
        <f>SUMIFS(Weekly_Material_Requirements!$F:$F,Weekly_Material_Requirements!$A:$A,A100,Weekly_Material_Requirements!$C:$C,B100)</f>
        <v>2525</v>
      </c>
    </row>
    <row r="101" spans="1:3">
      <c r="A101" s="1" cm="1">
        <f t="array" ref="A101">INDEX(Calendar_Weeks!$A$2:$A$53,INT((ROW()-2)/8)+1)</f>
        <v>46111</v>
      </c>
      <c r="B101" t="str" cm="1">
        <f t="array" ref="B101">INDEX(Material_Master!$A$2:$A$9,MOD(ROW()-2,8)+1)</f>
        <v>M004</v>
      </c>
      <c r="C101">
        <f>SUMIFS(Weekly_Material_Requirements!$F:$F,Weekly_Material_Requirements!$A:$A,A101,Weekly_Material_Requirements!$C:$C,B101)</f>
        <v>4046.0000000000005</v>
      </c>
    </row>
    <row r="102" spans="1:3">
      <c r="A102" s="1" cm="1">
        <f t="array" ref="A102">INDEX(Calendar_Weeks!$A$2:$A$53,INT((ROW()-2)/8)+1)</f>
        <v>46111</v>
      </c>
      <c r="B102" t="str" cm="1">
        <f t="array" ref="B102">INDEX(Material_Master!$A$2:$A$9,MOD(ROW()-2,8)+1)</f>
        <v>M005</v>
      </c>
      <c r="C102">
        <f>SUMIFS(Weekly_Material_Requirements!$F:$F,Weekly_Material_Requirements!$A:$A,A102,Weekly_Material_Requirements!$C:$C,B102)</f>
        <v>4628</v>
      </c>
    </row>
    <row r="103" spans="1:3">
      <c r="A103" s="1" cm="1">
        <f t="array" ref="A103">INDEX(Calendar_Weeks!$A$2:$A$53,INT((ROW()-2)/8)+1)</f>
        <v>46111</v>
      </c>
      <c r="B103" t="str" cm="1">
        <f t="array" ref="B103">INDEX(Material_Master!$A$2:$A$9,MOD(ROW()-2,8)+1)</f>
        <v>M006</v>
      </c>
      <c r="C103">
        <f>SUMIFS(Weekly_Material_Requirements!$F:$F,Weekly_Material_Requirements!$A:$A,A103,Weekly_Material_Requirements!$C:$C,B103)</f>
        <v>529.69999999999993</v>
      </c>
    </row>
    <row r="104" spans="1:3">
      <c r="A104" s="1" cm="1">
        <f t="array" ref="A104">INDEX(Calendar_Weeks!$A$2:$A$53,INT((ROW()-2)/8)+1)</f>
        <v>46111</v>
      </c>
      <c r="B104" t="str" cm="1">
        <f t="array" ref="B104">INDEX(Material_Master!$A$2:$A$9,MOD(ROW()-2,8)+1)</f>
        <v>M007</v>
      </c>
      <c r="C104">
        <f>SUMIFS(Weekly_Material_Requirements!$F:$F,Weekly_Material_Requirements!$A:$A,A104,Weekly_Material_Requirements!$C:$C,B104)</f>
        <v>59000</v>
      </c>
    </row>
    <row r="105" spans="1:3">
      <c r="A105" s="1" cm="1">
        <f t="array" ref="A105">INDEX(Calendar_Weeks!$A$2:$A$53,INT((ROW()-2)/8)+1)</f>
        <v>46111</v>
      </c>
      <c r="B105" t="str" cm="1">
        <f t="array" ref="B105">INDEX(Material_Master!$A$2:$A$9,MOD(ROW()-2,8)+1)</f>
        <v>M008</v>
      </c>
      <c r="C105">
        <f>SUMIFS(Weekly_Material_Requirements!$F:$F,Weekly_Material_Requirements!$A:$A,A105,Weekly_Material_Requirements!$C:$C,B105)</f>
        <v>59000</v>
      </c>
    </row>
    <row r="106" spans="1:3">
      <c r="A106" s="1" cm="1">
        <f t="array" ref="A106">INDEX(Calendar_Weeks!$A$2:$A$53,INT((ROW()-2)/8)+1)</f>
        <v>46118</v>
      </c>
      <c r="B106" t="str" cm="1">
        <f t="array" ref="B106">INDEX(Material_Master!$A$2:$A$9,MOD(ROW()-2,8)+1)</f>
        <v>M001</v>
      </c>
      <c r="C106">
        <f>SUMIFS(Weekly_Material_Requirements!$F:$F,Weekly_Material_Requirements!$A:$A,A106,Weekly_Material_Requirements!$C:$C,B106)</f>
        <v>4795</v>
      </c>
    </row>
    <row r="107" spans="1:3">
      <c r="A107" s="1" cm="1">
        <f t="array" ref="A107">INDEX(Calendar_Weeks!$A$2:$A$53,INT((ROW()-2)/8)+1)</f>
        <v>46118</v>
      </c>
      <c r="B107" t="str" cm="1">
        <f t="array" ref="B107">INDEX(Material_Master!$A$2:$A$9,MOD(ROW()-2,8)+1)</f>
        <v>M002</v>
      </c>
      <c r="C107">
        <f>SUMIFS(Weekly_Material_Requirements!$F:$F,Weekly_Material_Requirements!$A:$A,A107,Weekly_Material_Requirements!$C:$C,B107)</f>
        <v>3780</v>
      </c>
    </row>
    <row r="108" spans="1:3">
      <c r="A108" s="1" cm="1">
        <f t="array" ref="A108">INDEX(Calendar_Weeks!$A$2:$A$53,INT((ROW()-2)/8)+1)</f>
        <v>46118</v>
      </c>
      <c r="B108" t="str" cm="1">
        <f t="array" ref="B108">INDEX(Material_Master!$A$2:$A$9,MOD(ROW()-2,8)+1)</f>
        <v>M003</v>
      </c>
      <c r="C108">
        <f>SUMIFS(Weekly_Material_Requirements!$F:$F,Weekly_Material_Requirements!$A:$A,A108,Weekly_Material_Requirements!$C:$C,B108)</f>
        <v>2675</v>
      </c>
    </row>
    <row r="109" spans="1:3">
      <c r="A109" s="1" cm="1">
        <f t="array" ref="A109">INDEX(Calendar_Weeks!$A$2:$A$53,INT((ROW()-2)/8)+1)</f>
        <v>46118</v>
      </c>
      <c r="B109" t="str" cm="1">
        <f t="array" ref="B109">INDEX(Material_Master!$A$2:$A$9,MOD(ROW()-2,8)+1)</f>
        <v>M004</v>
      </c>
      <c r="C109">
        <f>SUMIFS(Weekly_Material_Requirements!$F:$F,Weekly_Material_Requirements!$A:$A,A109,Weekly_Material_Requirements!$C:$C,B109)</f>
        <v>3944.0000000000005</v>
      </c>
    </row>
    <row r="110" spans="1:3">
      <c r="A110" s="1" cm="1">
        <f t="array" ref="A110">INDEX(Calendar_Weeks!$A$2:$A$53,INT((ROW()-2)/8)+1)</f>
        <v>46118</v>
      </c>
      <c r="B110" t="str" cm="1">
        <f t="array" ref="B110">INDEX(Material_Master!$A$2:$A$9,MOD(ROW()-2,8)+1)</f>
        <v>M005</v>
      </c>
      <c r="C110">
        <f>SUMIFS(Weekly_Material_Requirements!$F:$F,Weekly_Material_Requirements!$A:$A,A110,Weekly_Material_Requirements!$C:$C,B110)</f>
        <v>4420</v>
      </c>
    </row>
    <row r="111" spans="1:3">
      <c r="A111" s="1" cm="1">
        <f t="array" ref="A111">INDEX(Calendar_Weeks!$A$2:$A$53,INT((ROW()-2)/8)+1)</f>
        <v>46118</v>
      </c>
      <c r="B111" t="str" cm="1">
        <f t="array" ref="B111">INDEX(Material_Master!$A$2:$A$9,MOD(ROW()-2,8)+1)</f>
        <v>M006</v>
      </c>
      <c r="C111">
        <f>SUMIFS(Weekly_Material_Requirements!$F:$F,Weekly_Material_Requirements!$A:$A,A111,Weekly_Material_Requirements!$C:$C,B111)</f>
        <v>508.4</v>
      </c>
    </row>
    <row r="112" spans="1:3">
      <c r="A112" s="1" cm="1">
        <f t="array" ref="A112">INDEX(Calendar_Weeks!$A$2:$A$53,INT((ROW()-2)/8)+1)</f>
        <v>46118</v>
      </c>
      <c r="B112" t="str" cm="1">
        <f t="array" ref="B112">INDEX(Material_Master!$A$2:$A$9,MOD(ROW()-2,8)+1)</f>
        <v>M007</v>
      </c>
      <c r="C112">
        <f>SUMIFS(Weekly_Material_Requirements!$F:$F,Weekly_Material_Requirements!$A:$A,A112,Weekly_Material_Requirements!$C:$C,B112)</f>
        <v>57100</v>
      </c>
    </row>
    <row r="113" spans="1:3">
      <c r="A113" s="1" cm="1">
        <f t="array" ref="A113">INDEX(Calendar_Weeks!$A$2:$A$53,INT((ROW()-2)/8)+1)</f>
        <v>46118</v>
      </c>
      <c r="B113" t="str" cm="1">
        <f t="array" ref="B113">INDEX(Material_Master!$A$2:$A$9,MOD(ROW()-2,8)+1)</f>
        <v>M008</v>
      </c>
      <c r="C113">
        <f>SUMIFS(Weekly_Material_Requirements!$F:$F,Weekly_Material_Requirements!$A:$A,A113,Weekly_Material_Requirements!$C:$C,B113)</f>
        <v>57100</v>
      </c>
    </row>
    <row r="114" spans="1:3">
      <c r="A114" s="1" cm="1">
        <f t="array" ref="A114">INDEX(Calendar_Weeks!$A$2:$A$53,INT((ROW()-2)/8)+1)</f>
        <v>46125</v>
      </c>
      <c r="B114" t="str" cm="1">
        <f t="array" ref="B114">INDEX(Material_Master!$A$2:$A$9,MOD(ROW()-2,8)+1)</f>
        <v>M001</v>
      </c>
      <c r="C114">
        <f>SUMIFS(Weekly_Material_Requirements!$F:$F,Weekly_Material_Requirements!$A:$A,A114,Weekly_Material_Requirements!$C:$C,B114)</f>
        <v>5180</v>
      </c>
    </row>
    <row r="115" spans="1:3">
      <c r="A115" s="1" cm="1">
        <f t="array" ref="A115">INDEX(Calendar_Weeks!$A$2:$A$53,INT((ROW()-2)/8)+1)</f>
        <v>46125</v>
      </c>
      <c r="B115" t="str" cm="1">
        <f t="array" ref="B115">INDEX(Material_Master!$A$2:$A$9,MOD(ROW()-2,8)+1)</f>
        <v>M002</v>
      </c>
      <c r="C115">
        <f>SUMIFS(Weekly_Material_Requirements!$F:$F,Weekly_Material_Requirements!$A:$A,A115,Weekly_Material_Requirements!$C:$C,B115)</f>
        <v>3870</v>
      </c>
    </row>
    <row r="116" spans="1:3">
      <c r="A116" s="1" cm="1">
        <f t="array" ref="A116">INDEX(Calendar_Weeks!$A$2:$A$53,INT((ROW()-2)/8)+1)</f>
        <v>46125</v>
      </c>
      <c r="B116" t="str" cm="1">
        <f t="array" ref="B116">INDEX(Material_Master!$A$2:$A$9,MOD(ROW()-2,8)+1)</f>
        <v>M003</v>
      </c>
      <c r="C116">
        <f>SUMIFS(Weekly_Material_Requirements!$F:$F,Weekly_Material_Requirements!$A:$A,A116,Weekly_Material_Requirements!$C:$C,B116)</f>
        <v>2700</v>
      </c>
    </row>
    <row r="117" spans="1:3">
      <c r="A117" s="1" cm="1">
        <f t="array" ref="A117">INDEX(Calendar_Weeks!$A$2:$A$53,INT((ROW()-2)/8)+1)</f>
        <v>46125</v>
      </c>
      <c r="B117" t="str" cm="1">
        <f t="array" ref="B117">INDEX(Material_Master!$A$2:$A$9,MOD(ROW()-2,8)+1)</f>
        <v>M004</v>
      </c>
      <c r="C117">
        <f>SUMIFS(Weekly_Material_Requirements!$F:$F,Weekly_Material_Requirements!$A:$A,A117,Weekly_Material_Requirements!$C:$C,B117)</f>
        <v>3876.0000000000005</v>
      </c>
    </row>
    <row r="118" spans="1:3">
      <c r="A118" s="1" cm="1">
        <f t="array" ref="A118">INDEX(Calendar_Weeks!$A$2:$A$53,INT((ROW()-2)/8)+1)</f>
        <v>46125</v>
      </c>
      <c r="B118" t="str" cm="1">
        <f t="array" ref="B118">INDEX(Material_Master!$A$2:$A$9,MOD(ROW()-2,8)+1)</f>
        <v>M005</v>
      </c>
      <c r="C118">
        <f>SUMIFS(Weekly_Material_Requirements!$F:$F,Weekly_Material_Requirements!$A:$A,A118,Weekly_Material_Requirements!$C:$C,B118)</f>
        <v>4316</v>
      </c>
    </row>
    <row r="119" spans="1:3">
      <c r="A119" s="1" cm="1">
        <f t="array" ref="A119">INDEX(Calendar_Weeks!$A$2:$A$53,INT((ROW()-2)/8)+1)</f>
        <v>46125</v>
      </c>
      <c r="B119" t="str" cm="1">
        <f t="array" ref="B119">INDEX(Material_Master!$A$2:$A$9,MOD(ROW()-2,8)+1)</f>
        <v>M006</v>
      </c>
      <c r="C119">
        <f>SUMIFS(Weekly_Material_Requirements!$F:$F,Weekly_Material_Requirements!$A:$A,A119,Weekly_Material_Requirements!$C:$C,B119)</f>
        <v>518.20000000000005</v>
      </c>
    </row>
    <row r="120" spans="1:3">
      <c r="A120" s="1" cm="1">
        <f t="array" ref="A120">INDEX(Calendar_Weeks!$A$2:$A$53,INT((ROW()-2)/8)+1)</f>
        <v>46125</v>
      </c>
      <c r="B120" t="str" cm="1">
        <f t="array" ref="B120">INDEX(Material_Master!$A$2:$A$9,MOD(ROW()-2,8)+1)</f>
        <v>M007</v>
      </c>
      <c r="C120">
        <f>SUMIFS(Weekly_Material_Requirements!$F:$F,Weekly_Material_Requirements!$A:$A,A120,Weekly_Material_Requirements!$C:$C,B120)</f>
        <v>58200</v>
      </c>
    </row>
    <row r="121" spans="1:3">
      <c r="A121" s="1" cm="1">
        <f t="array" ref="A121">INDEX(Calendar_Weeks!$A$2:$A$53,INT((ROW()-2)/8)+1)</f>
        <v>46125</v>
      </c>
      <c r="B121" t="str" cm="1">
        <f t="array" ref="B121">INDEX(Material_Master!$A$2:$A$9,MOD(ROW()-2,8)+1)</f>
        <v>M008</v>
      </c>
      <c r="C121">
        <f>SUMIFS(Weekly_Material_Requirements!$F:$F,Weekly_Material_Requirements!$A:$A,A121,Weekly_Material_Requirements!$C:$C,B121)</f>
        <v>58200</v>
      </c>
    </row>
    <row r="122" spans="1:3">
      <c r="A122" s="1" cm="1">
        <f t="array" ref="A122">INDEX(Calendar_Weeks!$A$2:$A$53,INT((ROW()-2)/8)+1)</f>
        <v>46132</v>
      </c>
      <c r="B122" t="str" cm="1">
        <f t="array" ref="B122">INDEX(Material_Master!$A$2:$A$9,MOD(ROW()-2,8)+1)</f>
        <v>M001</v>
      </c>
      <c r="C122">
        <f>SUMIFS(Weekly_Material_Requirements!$F:$F,Weekly_Material_Requirements!$A:$A,A122,Weekly_Material_Requirements!$C:$C,B122)</f>
        <v>4935</v>
      </c>
    </row>
    <row r="123" spans="1:3">
      <c r="A123" s="1" cm="1">
        <f t="array" ref="A123">INDEX(Calendar_Weeks!$A$2:$A$53,INT((ROW()-2)/8)+1)</f>
        <v>46132</v>
      </c>
      <c r="B123" t="str" cm="1">
        <f t="array" ref="B123">INDEX(Material_Master!$A$2:$A$9,MOD(ROW()-2,8)+1)</f>
        <v>M002</v>
      </c>
      <c r="C123">
        <f>SUMIFS(Weekly_Material_Requirements!$F:$F,Weekly_Material_Requirements!$A:$A,A123,Weekly_Material_Requirements!$C:$C,B123)</f>
        <v>3840</v>
      </c>
    </row>
    <row r="124" spans="1:3">
      <c r="A124" s="1" cm="1">
        <f t="array" ref="A124">INDEX(Calendar_Weeks!$A$2:$A$53,INT((ROW()-2)/8)+1)</f>
        <v>46132</v>
      </c>
      <c r="B124" t="str" cm="1">
        <f t="array" ref="B124">INDEX(Material_Master!$A$2:$A$9,MOD(ROW()-2,8)+1)</f>
        <v>M003</v>
      </c>
      <c r="C124">
        <f>SUMIFS(Weekly_Material_Requirements!$F:$F,Weekly_Material_Requirements!$A:$A,A124,Weekly_Material_Requirements!$C:$C,B124)</f>
        <v>2725</v>
      </c>
    </row>
    <row r="125" spans="1:3">
      <c r="A125" s="1" cm="1">
        <f t="array" ref="A125">INDEX(Calendar_Weeks!$A$2:$A$53,INT((ROW()-2)/8)+1)</f>
        <v>46132</v>
      </c>
      <c r="B125" t="str" cm="1">
        <f t="array" ref="B125">INDEX(Material_Master!$A$2:$A$9,MOD(ROW()-2,8)+1)</f>
        <v>M004</v>
      </c>
      <c r="C125">
        <f>SUMIFS(Weekly_Material_Requirements!$F:$F,Weekly_Material_Requirements!$A:$A,A125,Weekly_Material_Requirements!$C:$C,B125)</f>
        <v>4012.0000000000005</v>
      </c>
    </row>
    <row r="126" spans="1:3">
      <c r="A126" s="1" cm="1">
        <f t="array" ref="A126">INDEX(Calendar_Weeks!$A$2:$A$53,INT((ROW()-2)/8)+1)</f>
        <v>46132</v>
      </c>
      <c r="B126" t="str" cm="1">
        <f t="array" ref="B126">INDEX(Material_Master!$A$2:$A$9,MOD(ROW()-2,8)+1)</f>
        <v>M005</v>
      </c>
      <c r="C126">
        <f>SUMIFS(Weekly_Material_Requirements!$F:$F,Weekly_Material_Requirements!$A:$A,A126,Weekly_Material_Requirements!$C:$C,B126)</f>
        <v>4628</v>
      </c>
    </row>
    <row r="127" spans="1:3">
      <c r="A127" s="1" cm="1">
        <f t="array" ref="A127">INDEX(Calendar_Weeks!$A$2:$A$53,INT((ROW()-2)/8)+1)</f>
        <v>46132</v>
      </c>
      <c r="B127" t="str" cm="1">
        <f t="array" ref="B127">INDEX(Material_Master!$A$2:$A$9,MOD(ROW()-2,8)+1)</f>
        <v>M006</v>
      </c>
      <c r="C127">
        <f>SUMIFS(Weekly_Material_Requirements!$F:$F,Weekly_Material_Requirements!$A:$A,A127,Weekly_Material_Requirements!$C:$C,B127)</f>
        <v>521.79999999999995</v>
      </c>
    </row>
    <row r="128" spans="1:3">
      <c r="A128" s="1" cm="1">
        <f t="array" ref="A128">INDEX(Calendar_Weeks!$A$2:$A$53,INT((ROW()-2)/8)+1)</f>
        <v>46132</v>
      </c>
      <c r="B128" t="str" cm="1">
        <f t="array" ref="B128">INDEX(Material_Master!$A$2:$A$9,MOD(ROW()-2,8)+1)</f>
        <v>M007</v>
      </c>
      <c r="C128">
        <f>SUMIFS(Weekly_Material_Requirements!$F:$F,Weekly_Material_Requirements!$A:$A,A128,Weekly_Material_Requirements!$C:$C,B128)</f>
        <v>58500</v>
      </c>
    </row>
    <row r="129" spans="1:3">
      <c r="A129" s="1" cm="1">
        <f t="array" ref="A129">INDEX(Calendar_Weeks!$A$2:$A$53,INT((ROW()-2)/8)+1)</f>
        <v>46132</v>
      </c>
      <c r="B129" t="str" cm="1">
        <f t="array" ref="B129">INDEX(Material_Master!$A$2:$A$9,MOD(ROW()-2,8)+1)</f>
        <v>M008</v>
      </c>
      <c r="C129">
        <f>SUMIFS(Weekly_Material_Requirements!$F:$F,Weekly_Material_Requirements!$A:$A,A129,Weekly_Material_Requirements!$C:$C,B129)</f>
        <v>58500</v>
      </c>
    </row>
    <row r="130" spans="1:3">
      <c r="A130" s="1" cm="1">
        <f t="array" ref="A130">INDEX(Calendar_Weeks!$A$2:$A$53,INT((ROW()-2)/8)+1)</f>
        <v>46139</v>
      </c>
      <c r="B130" t="str" cm="1">
        <f t="array" ref="B130">INDEX(Material_Master!$A$2:$A$9,MOD(ROW()-2,8)+1)</f>
        <v>M001</v>
      </c>
      <c r="C130">
        <f>SUMIFS(Weekly_Material_Requirements!$F:$F,Weekly_Material_Requirements!$A:$A,A130,Weekly_Material_Requirements!$C:$C,B130)</f>
        <v>5040</v>
      </c>
    </row>
    <row r="131" spans="1:3">
      <c r="A131" s="1" cm="1">
        <f t="array" ref="A131">INDEX(Calendar_Weeks!$A$2:$A$53,INT((ROW()-2)/8)+1)</f>
        <v>46139</v>
      </c>
      <c r="B131" t="str" cm="1">
        <f t="array" ref="B131">INDEX(Material_Master!$A$2:$A$9,MOD(ROW()-2,8)+1)</f>
        <v>M002</v>
      </c>
      <c r="C131">
        <f>SUMIFS(Weekly_Material_Requirements!$F:$F,Weekly_Material_Requirements!$A:$A,A131,Weekly_Material_Requirements!$C:$C,B131)</f>
        <v>3870</v>
      </c>
    </row>
    <row r="132" spans="1:3">
      <c r="A132" s="1" cm="1">
        <f t="array" ref="A132">INDEX(Calendar_Weeks!$A$2:$A$53,INT((ROW()-2)/8)+1)</f>
        <v>46139</v>
      </c>
      <c r="B132" t="str" cm="1">
        <f t="array" ref="B132">INDEX(Material_Master!$A$2:$A$9,MOD(ROW()-2,8)+1)</f>
        <v>M003</v>
      </c>
      <c r="C132">
        <f>SUMIFS(Weekly_Material_Requirements!$F:$F,Weekly_Material_Requirements!$A:$A,A132,Weekly_Material_Requirements!$C:$C,B132)</f>
        <v>2800</v>
      </c>
    </row>
    <row r="133" spans="1:3">
      <c r="A133" s="1" cm="1">
        <f t="array" ref="A133">INDEX(Calendar_Weeks!$A$2:$A$53,INT((ROW()-2)/8)+1)</f>
        <v>46139</v>
      </c>
      <c r="B133" t="str" cm="1">
        <f t="array" ref="B133">INDEX(Material_Master!$A$2:$A$9,MOD(ROW()-2,8)+1)</f>
        <v>M004</v>
      </c>
      <c r="C133">
        <f>SUMIFS(Weekly_Material_Requirements!$F:$F,Weekly_Material_Requirements!$A:$A,A133,Weekly_Material_Requirements!$C:$C,B133)</f>
        <v>4046.0000000000005</v>
      </c>
    </row>
    <row r="134" spans="1:3">
      <c r="A134" s="1" cm="1">
        <f t="array" ref="A134">INDEX(Calendar_Weeks!$A$2:$A$53,INT((ROW()-2)/8)+1)</f>
        <v>46139</v>
      </c>
      <c r="B134" t="str" cm="1">
        <f t="array" ref="B134">INDEX(Material_Master!$A$2:$A$9,MOD(ROW()-2,8)+1)</f>
        <v>M005</v>
      </c>
      <c r="C134">
        <f>SUMIFS(Weekly_Material_Requirements!$F:$F,Weekly_Material_Requirements!$A:$A,A134,Weekly_Material_Requirements!$C:$C,B134)</f>
        <v>4420</v>
      </c>
    </row>
    <row r="135" spans="1:3">
      <c r="A135" s="1" cm="1">
        <f t="array" ref="A135">INDEX(Calendar_Weeks!$A$2:$A$53,INT((ROW()-2)/8)+1)</f>
        <v>46139</v>
      </c>
      <c r="B135" t="str" cm="1">
        <f t="array" ref="B135">INDEX(Material_Master!$A$2:$A$9,MOD(ROW()-2,8)+1)</f>
        <v>M006</v>
      </c>
      <c r="C135">
        <f>SUMIFS(Weekly_Material_Requirements!$F:$F,Weekly_Material_Requirements!$A:$A,A135,Weekly_Material_Requirements!$C:$C,B135)</f>
        <v>523.5</v>
      </c>
    </row>
    <row r="136" spans="1:3">
      <c r="A136" s="1" cm="1">
        <f t="array" ref="A136">INDEX(Calendar_Weeks!$A$2:$A$53,INT((ROW()-2)/8)+1)</f>
        <v>46139</v>
      </c>
      <c r="B136" t="str" cm="1">
        <f t="array" ref="B136">INDEX(Material_Master!$A$2:$A$9,MOD(ROW()-2,8)+1)</f>
        <v>M007</v>
      </c>
      <c r="C136">
        <f>SUMIFS(Weekly_Material_Requirements!$F:$F,Weekly_Material_Requirements!$A:$A,A136,Weekly_Material_Requirements!$C:$C,B136)</f>
        <v>58900</v>
      </c>
    </row>
    <row r="137" spans="1:3">
      <c r="A137" s="1" cm="1">
        <f t="array" ref="A137">INDEX(Calendar_Weeks!$A$2:$A$53,INT((ROW()-2)/8)+1)</f>
        <v>46139</v>
      </c>
      <c r="B137" t="str" cm="1">
        <f t="array" ref="B137">INDEX(Material_Master!$A$2:$A$9,MOD(ROW()-2,8)+1)</f>
        <v>M008</v>
      </c>
      <c r="C137">
        <f>SUMIFS(Weekly_Material_Requirements!$F:$F,Weekly_Material_Requirements!$A:$A,A137,Weekly_Material_Requirements!$C:$C,B137)</f>
        <v>58900</v>
      </c>
    </row>
    <row r="138" spans="1:3">
      <c r="A138" s="1" cm="1">
        <f t="array" ref="A138">INDEX(Calendar_Weeks!$A$2:$A$53,INT((ROW()-2)/8)+1)</f>
        <v>46146</v>
      </c>
      <c r="B138" t="str" cm="1">
        <f t="array" ref="B138">INDEX(Material_Master!$A$2:$A$9,MOD(ROW()-2,8)+1)</f>
        <v>M001</v>
      </c>
      <c r="C138">
        <f>SUMIFS(Weekly_Material_Requirements!$F:$F,Weekly_Material_Requirements!$A:$A,A138,Weekly_Material_Requirements!$C:$C,B138)</f>
        <v>5285</v>
      </c>
    </row>
    <row r="139" spans="1:3">
      <c r="A139" s="1" cm="1">
        <f t="array" ref="A139">INDEX(Calendar_Weeks!$A$2:$A$53,INT((ROW()-2)/8)+1)</f>
        <v>46146</v>
      </c>
      <c r="B139" t="str" cm="1">
        <f t="array" ref="B139">INDEX(Material_Master!$A$2:$A$9,MOD(ROW()-2,8)+1)</f>
        <v>M002</v>
      </c>
      <c r="C139">
        <f>SUMIFS(Weekly_Material_Requirements!$F:$F,Weekly_Material_Requirements!$A:$A,A139,Weekly_Material_Requirements!$C:$C,B139)</f>
        <v>3990</v>
      </c>
    </row>
    <row r="140" spans="1:3">
      <c r="A140" s="1" cm="1">
        <f t="array" ref="A140">INDEX(Calendar_Weeks!$A$2:$A$53,INT((ROW()-2)/8)+1)</f>
        <v>46146</v>
      </c>
      <c r="B140" t="str" cm="1">
        <f t="array" ref="B140">INDEX(Material_Master!$A$2:$A$9,MOD(ROW()-2,8)+1)</f>
        <v>M003</v>
      </c>
      <c r="C140">
        <f>SUMIFS(Weekly_Material_Requirements!$F:$F,Weekly_Material_Requirements!$A:$A,A140,Weekly_Material_Requirements!$C:$C,B140)</f>
        <v>2775</v>
      </c>
    </row>
    <row r="141" spans="1:3">
      <c r="A141" s="1" cm="1">
        <f t="array" ref="A141">INDEX(Calendar_Weeks!$A$2:$A$53,INT((ROW()-2)/8)+1)</f>
        <v>46146</v>
      </c>
      <c r="B141" t="str" cm="1">
        <f t="array" ref="B141">INDEX(Material_Master!$A$2:$A$9,MOD(ROW()-2,8)+1)</f>
        <v>M004</v>
      </c>
      <c r="C141">
        <f>SUMIFS(Weekly_Material_Requirements!$F:$F,Weekly_Material_Requirements!$A:$A,A141,Weekly_Material_Requirements!$C:$C,B141)</f>
        <v>4284</v>
      </c>
    </row>
    <row r="142" spans="1:3">
      <c r="A142" s="1" cm="1">
        <f t="array" ref="A142">INDEX(Calendar_Weeks!$A$2:$A$53,INT((ROW()-2)/8)+1)</f>
        <v>46146</v>
      </c>
      <c r="B142" t="str" cm="1">
        <f t="array" ref="B142">INDEX(Material_Master!$A$2:$A$9,MOD(ROW()-2,8)+1)</f>
        <v>M005</v>
      </c>
      <c r="C142">
        <f>SUMIFS(Weekly_Material_Requirements!$F:$F,Weekly_Material_Requirements!$A:$A,A142,Weekly_Material_Requirements!$C:$C,B142)</f>
        <v>4940</v>
      </c>
    </row>
    <row r="143" spans="1:3">
      <c r="A143" s="1" cm="1">
        <f t="array" ref="A143">INDEX(Calendar_Weeks!$A$2:$A$53,INT((ROW()-2)/8)+1)</f>
        <v>46146</v>
      </c>
      <c r="B143" t="str" cm="1">
        <f t="array" ref="B143">INDEX(Material_Master!$A$2:$A$9,MOD(ROW()-2,8)+1)</f>
        <v>M006</v>
      </c>
      <c r="C143">
        <f>SUMIFS(Weekly_Material_Requirements!$F:$F,Weekly_Material_Requirements!$A:$A,A143,Weekly_Material_Requirements!$C:$C,B143)</f>
        <v>551.4</v>
      </c>
    </row>
    <row r="144" spans="1:3">
      <c r="A144" s="1" cm="1">
        <f t="array" ref="A144">INDEX(Calendar_Weeks!$A$2:$A$53,INT((ROW()-2)/8)+1)</f>
        <v>46146</v>
      </c>
      <c r="B144" t="str" cm="1">
        <f t="array" ref="B144">INDEX(Material_Master!$A$2:$A$9,MOD(ROW()-2,8)+1)</f>
        <v>M007</v>
      </c>
      <c r="C144">
        <f>SUMIFS(Weekly_Material_Requirements!$F:$F,Weekly_Material_Requirements!$A:$A,A144,Weekly_Material_Requirements!$C:$C,B144)</f>
        <v>61600</v>
      </c>
    </row>
    <row r="145" spans="1:3">
      <c r="A145" s="1" cm="1">
        <f t="array" ref="A145">INDEX(Calendar_Weeks!$A$2:$A$53,INT((ROW()-2)/8)+1)</f>
        <v>46146</v>
      </c>
      <c r="B145" t="str" cm="1">
        <f t="array" ref="B145">INDEX(Material_Master!$A$2:$A$9,MOD(ROW()-2,8)+1)</f>
        <v>M008</v>
      </c>
      <c r="C145">
        <f>SUMIFS(Weekly_Material_Requirements!$F:$F,Weekly_Material_Requirements!$A:$A,A145,Weekly_Material_Requirements!$C:$C,B145)</f>
        <v>61600</v>
      </c>
    </row>
    <row r="146" spans="1:3">
      <c r="A146" s="1" cm="1">
        <f t="array" ref="A146">INDEX(Calendar_Weeks!$A$2:$A$53,INT((ROW()-2)/8)+1)</f>
        <v>46153</v>
      </c>
      <c r="B146" t="str" cm="1">
        <f t="array" ref="B146">INDEX(Material_Master!$A$2:$A$9,MOD(ROW()-2,8)+1)</f>
        <v>M001</v>
      </c>
      <c r="C146">
        <f>SUMIFS(Weekly_Material_Requirements!$F:$F,Weekly_Material_Requirements!$A:$A,A146,Weekly_Material_Requirements!$C:$C,B146)</f>
        <v>5460</v>
      </c>
    </row>
    <row r="147" spans="1:3">
      <c r="A147" s="1" cm="1">
        <f t="array" ref="A147">INDEX(Calendar_Weeks!$A$2:$A$53,INT((ROW()-2)/8)+1)</f>
        <v>46153</v>
      </c>
      <c r="B147" t="str" cm="1">
        <f t="array" ref="B147">INDEX(Material_Master!$A$2:$A$9,MOD(ROW()-2,8)+1)</f>
        <v>M002</v>
      </c>
      <c r="C147">
        <f>SUMIFS(Weekly_Material_Requirements!$F:$F,Weekly_Material_Requirements!$A:$A,A147,Weekly_Material_Requirements!$C:$C,B147)</f>
        <v>3780</v>
      </c>
    </row>
    <row r="148" spans="1:3">
      <c r="A148" s="1" cm="1">
        <f t="array" ref="A148">INDEX(Calendar_Weeks!$A$2:$A$53,INT((ROW()-2)/8)+1)</f>
        <v>46153</v>
      </c>
      <c r="B148" t="str" cm="1">
        <f t="array" ref="B148">INDEX(Material_Master!$A$2:$A$9,MOD(ROW()-2,8)+1)</f>
        <v>M003</v>
      </c>
      <c r="C148">
        <f>SUMIFS(Weekly_Material_Requirements!$F:$F,Weekly_Material_Requirements!$A:$A,A148,Weekly_Material_Requirements!$C:$C,B148)</f>
        <v>2975</v>
      </c>
    </row>
    <row r="149" spans="1:3">
      <c r="A149" s="1" cm="1">
        <f t="array" ref="A149">INDEX(Calendar_Weeks!$A$2:$A$53,INT((ROW()-2)/8)+1)</f>
        <v>46153</v>
      </c>
      <c r="B149" t="str" cm="1">
        <f t="array" ref="B149">INDEX(Material_Master!$A$2:$A$9,MOD(ROW()-2,8)+1)</f>
        <v>M004</v>
      </c>
      <c r="C149">
        <f>SUMIFS(Weekly_Material_Requirements!$F:$F,Weekly_Material_Requirements!$A:$A,A149,Weekly_Material_Requirements!$C:$C,B149)</f>
        <v>3876.0000000000005</v>
      </c>
    </row>
    <row r="150" spans="1:3">
      <c r="A150" s="1" cm="1">
        <f t="array" ref="A150">INDEX(Calendar_Weeks!$A$2:$A$53,INT((ROW()-2)/8)+1)</f>
        <v>46153</v>
      </c>
      <c r="B150" t="str" cm="1">
        <f t="array" ref="B150">INDEX(Material_Master!$A$2:$A$9,MOD(ROW()-2,8)+1)</f>
        <v>M005</v>
      </c>
      <c r="C150">
        <f>SUMIFS(Weekly_Material_Requirements!$F:$F,Weekly_Material_Requirements!$A:$A,A150,Weekly_Material_Requirements!$C:$C,B150)</f>
        <v>4680</v>
      </c>
    </row>
    <row r="151" spans="1:3">
      <c r="A151" s="1" cm="1">
        <f t="array" ref="A151">INDEX(Calendar_Weeks!$A$2:$A$53,INT((ROW()-2)/8)+1)</f>
        <v>46153</v>
      </c>
      <c r="B151" t="str" cm="1">
        <f t="array" ref="B151">INDEX(Material_Master!$A$2:$A$9,MOD(ROW()-2,8)+1)</f>
        <v>M006</v>
      </c>
      <c r="C151">
        <f>SUMIFS(Weekly_Material_Requirements!$F:$F,Weekly_Material_Requirements!$A:$A,A151,Weekly_Material_Requirements!$C:$C,B151)</f>
        <v>538.80000000000007</v>
      </c>
    </row>
    <row r="152" spans="1:3">
      <c r="A152" s="1" cm="1">
        <f t="array" ref="A152">INDEX(Calendar_Weeks!$A$2:$A$53,INT((ROW()-2)/8)+1)</f>
        <v>46153</v>
      </c>
      <c r="B152" t="str" cm="1">
        <f t="array" ref="B152">INDEX(Material_Master!$A$2:$A$9,MOD(ROW()-2,8)+1)</f>
        <v>M007</v>
      </c>
      <c r="C152">
        <f>SUMIFS(Weekly_Material_Requirements!$F:$F,Weekly_Material_Requirements!$A:$A,A152,Weekly_Material_Requirements!$C:$C,B152)</f>
        <v>60500</v>
      </c>
    </row>
    <row r="153" spans="1:3">
      <c r="A153" s="1" cm="1">
        <f t="array" ref="A153">INDEX(Calendar_Weeks!$A$2:$A$53,INT((ROW()-2)/8)+1)</f>
        <v>46153</v>
      </c>
      <c r="B153" t="str" cm="1">
        <f t="array" ref="B153">INDEX(Material_Master!$A$2:$A$9,MOD(ROW()-2,8)+1)</f>
        <v>M008</v>
      </c>
      <c r="C153">
        <f>SUMIFS(Weekly_Material_Requirements!$F:$F,Weekly_Material_Requirements!$A:$A,A153,Weekly_Material_Requirements!$C:$C,B153)</f>
        <v>60500</v>
      </c>
    </row>
    <row r="154" spans="1:3">
      <c r="A154" s="1" cm="1">
        <f t="array" ref="A154">INDEX(Calendar_Weeks!$A$2:$A$53,INT((ROW()-2)/8)+1)</f>
        <v>46160</v>
      </c>
      <c r="B154" t="str" cm="1">
        <f t="array" ref="B154">INDEX(Material_Master!$A$2:$A$9,MOD(ROW()-2,8)+1)</f>
        <v>M001</v>
      </c>
      <c r="C154">
        <f>SUMIFS(Weekly_Material_Requirements!$F:$F,Weekly_Material_Requirements!$A:$A,A154,Weekly_Material_Requirements!$C:$C,B154)</f>
        <v>5110</v>
      </c>
    </row>
    <row r="155" spans="1:3">
      <c r="A155" s="1" cm="1">
        <f t="array" ref="A155">INDEX(Calendar_Weeks!$A$2:$A$53,INT((ROW()-2)/8)+1)</f>
        <v>46160</v>
      </c>
      <c r="B155" t="str" cm="1">
        <f t="array" ref="B155">INDEX(Material_Master!$A$2:$A$9,MOD(ROW()-2,8)+1)</f>
        <v>M002</v>
      </c>
      <c r="C155">
        <f>SUMIFS(Weekly_Material_Requirements!$F:$F,Weekly_Material_Requirements!$A:$A,A155,Weekly_Material_Requirements!$C:$C,B155)</f>
        <v>4020</v>
      </c>
    </row>
    <row r="156" spans="1:3">
      <c r="A156" s="1" cm="1">
        <f t="array" ref="A156">INDEX(Calendar_Weeks!$A$2:$A$53,INT((ROW()-2)/8)+1)</f>
        <v>46160</v>
      </c>
      <c r="B156" t="str" cm="1">
        <f t="array" ref="B156">INDEX(Material_Master!$A$2:$A$9,MOD(ROW()-2,8)+1)</f>
        <v>M003</v>
      </c>
      <c r="C156">
        <f>SUMIFS(Weekly_Material_Requirements!$F:$F,Weekly_Material_Requirements!$A:$A,A156,Weekly_Material_Requirements!$C:$C,B156)</f>
        <v>2950</v>
      </c>
    </row>
    <row r="157" spans="1:3">
      <c r="A157" s="1" cm="1">
        <f t="array" ref="A157">INDEX(Calendar_Weeks!$A$2:$A$53,INT((ROW()-2)/8)+1)</f>
        <v>46160</v>
      </c>
      <c r="B157" t="str" cm="1">
        <f t="array" ref="B157">INDEX(Material_Master!$A$2:$A$9,MOD(ROW()-2,8)+1)</f>
        <v>M004</v>
      </c>
      <c r="C157">
        <f>SUMIFS(Weekly_Material_Requirements!$F:$F,Weekly_Material_Requirements!$A:$A,A157,Weekly_Material_Requirements!$C:$C,B157)</f>
        <v>4114</v>
      </c>
    </row>
    <row r="158" spans="1:3">
      <c r="A158" s="1" cm="1">
        <f t="array" ref="A158">INDEX(Calendar_Weeks!$A$2:$A$53,INT((ROW()-2)/8)+1)</f>
        <v>46160</v>
      </c>
      <c r="B158" t="str" cm="1">
        <f t="array" ref="B158">INDEX(Material_Master!$A$2:$A$9,MOD(ROW()-2,8)+1)</f>
        <v>M005</v>
      </c>
      <c r="C158">
        <f>SUMIFS(Weekly_Material_Requirements!$F:$F,Weekly_Material_Requirements!$A:$A,A158,Weekly_Material_Requirements!$C:$C,B158)</f>
        <v>4628</v>
      </c>
    </row>
    <row r="159" spans="1:3">
      <c r="A159" s="1" cm="1">
        <f t="array" ref="A159">INDEX(Calendar_Weeks!$A$2:$A$53,INT((ROW()-2)/8)+1)</f>
        <v>46160</v>
      </c>
      <c r="B159" t="str" cm="1">
        <f t="array" ref="B159">INDEX(Material_Master!$A$2:$A$9,MOD(ROW()-2,8)+1)</f>
        <v>M006</v>
      </c>
      <c r="C159">
        <f>SUMIFS(Weekly_Material_Requirements!$F:$F,Weekly_Material_Requirements!$A:$A,A159,Weekly_Material_Requirements!$C:$C,B159)</f>
        <v>539.69999999999993</v>
      </c>
    </row>
    <row r="160" spans="1:3">
      <c r="A160" s="1" cm="1">
        <f t="array" ref="A160">INDEX(Calendar_Weeks!$A$2:$A$53,INT((ROW()-2)/8)+1)</f>
        <v>46160</v>
      </c>
      <c r="B160" t="str" cm="1">
        <f t="array" ref="B160">INDEX(Material_Master!$A$2:$A$9,MOD(ROW()-2,8)+1)</f>
        <v>M007</v>
      </c>
      <c r="C160">
        <f>SUMIFS(Weekly_Material_Requirements!$F:$F,Weekly_Material_Requirements!$A:$A,A160,Weekly_Material_Requirements!$C:$C,B160)</f>
        <v>60800</v>
      </c>
    </row>
    <row r="161" spans="1:3">
      <c r="A161" s="1" cm="1">
        <f t="array" ref="A161">INDEX(Calendar_Weeks!$A$2:$A$53,INT((ROW()-2)/8)+1)</f>
        <v>46160</v>
      </c>
      <c r="B161" t="str" cm="1">
        <f t="array" ref="B161">INDEX(Material_Master!$A$2:$A$9,MOD(ROW()-2,8)+1)</f>
        <v>M008</v>
      </c>
      <c r="C161">
        <f>SUMIFS(Weekly_Material_Requirements!$F:$F,Weekly_Material_Requirements!$A:$A,A161,Weekly_Material_Requirements!$C:$C,B161)</f>
        <v>60800</v>
      </c>
    </row>
    <row r="162" spans="1:3">
      <c r="A162" s="1" cm="1">
        <f t="array" ref="A162">INDEX(Calendar_Weeks!$A$2:$A$53,INT((ROW()-2)/8)+1)</f>
        <v>46167</v>
      </c>
      <c r="B162" t="str" cm="1">
        <f t="array" ref="B162">INDEX(Material_Master!$A$2:$A$9,MOD(ROW()-2,8)+1)</f>
        <v>M001</v>
      </c>
      <c r="C162">
        <f>SUMIFS(Weekly_Material_Requirements!$F:$F,Weekly_Material_Requirements!$A:$A,A162,Weekly_Material_Requirements!$C:$C,B162)</f>
        <v>5250</v>
      </c>
    </row>
    <row r="163" spans="1:3">
      <c r="A163" s="1" cm="1">
        <f t="array" ref="A163">INDEX(Calendar_Weeks!$A$2:$A$53,INT((ROW()-2)/8)+1)</f>
        <v>46167</v>
      </c>
      <c r="B163" t="str" cm="1">
        <f t="array" ref="B163">INDEX(Material_Master!$A$2:$A$9,MOD(ROW()-2,8)+1)</f>
        <v>M002</v>
      </c>
      <c r="C163">
        <f>SUMIFS(Weekly_Material_Requirements!$F:$F,Weekly_Material_Requirements!$A:$A,A163,Weekly_Material_Requirements!$C:$C,B163)</f>
        <v>3840</v>
      </c>
    </row>
    <row r="164" spans="1:3">
      <c r="A164" s="1" cm="1">
        <f t="array" ref="A164">INDEX(Calendar_Weeks!$A$2:$A$53,INT((ROW()-2)/8)+1)</f>
        <v>46167</v>
      </c>
      <c r="B164" t="str" cm="1">
        <f t="array" ref="B164">INDEX(Material_Master!$A$2:$A$9,MOD(ROW()-2,8)+1)</f>
        <v>M003</v>
      </c>
      <c r="C164">
        <f>SUMIFS(Weekly_Material_Requirements!$F:$F,Weekly_Material_Requirements!$A:$A,A164,Weekly_Material_Requirements!$C:$C,B164)</f>
        <v>2975</v>
      </c>
    </row>
    <row r="165" spans="1:3">
      <c r="A165" s="1" cm="1">
        <f t="array" ref="A165">INDEX(Calendar_Weeks!$A$2:$A$53,INT((ROW()-2)/8)+1)</f>
        <v>46167</v>
      </c>
      <c r="B165" t="str" cm="1">
        <f t="array" ref="B165">INDEX(Material_Master!$A$2:$A$9,MOD(ROW()-2,8)+1)</f>
        <v>M004</v>
      </c>
      <c r="C165">
        <f>SUMIFS(Weekly_Material_Requirements!$F:$F,Weekly_Material_Requirements!$A:$A,A165,Weekly_Material_Requirements!$C:$C,B165)</f>
        <v>4182</v>
      </c>
    </row>
    <row r="166" spans="1:3">
      <c r="A166" s="1" cm="1">
        <f t="array" ref="A166">INDEX(Calendar_Weeks!$A$2:$A$53,INT((ROW()-2)/8)+1)</f>
        <v>46167</v>
      </c>
      <c r="B166" t="str" cm="1">
        <f t="array" ref="B166">INDEX(Material_Master!$A$2:$A$9,MOD(ROW()-2,8)+1)</f>
        <v>M005</v>
      </c>
      <c r="C166">
        <f>SUMIFS(Weekly_Material_Requirements!$F:$F,Weekly_Material_Requirements!$A:$A,A166,Weekly_Material_Requirements!$C:$C,B166)</f>
        <v>4732</v>
      </c>
    </row>
    <row r="167" spans="1:3">
      <c r="A167" s="1" cm="1">
        <f t="array" ref="A167">INDEX(Calendar_Weeks!$A$2:$A$53,INT((ROW()-2)/8)+1)</f>
        <v>46167</v>
      </c>
      <c r="B167" t="str" cm="1">
        <f t="array" ref="B167">INDEX(Material_Master!$A$2:$A$9,MOD(ROW()-2,8)+1)</f>
        <v>M006</v>
      </c>
      <c r="C167">
        <f>SUMIFS(Weekly_Material_Requirements!$F:$F,Weekly_Material_Requirements!$A:$A,A167,Weekly_Material_Requirements!$C:$C,B167)</f>
        <v>543.70000000000005</v>
      </c>
    </row>
    <row r="168" spans="1:3">
      <c r="A168" s="1" cm="1">
        <f t="array" ref="A168">INDEX(Calendar_Weeks!$A$2:$A$53,INT((ROW()-2)/8)+1)</f>
        <v>46167</v>
      </c>
      <c r="B168" t="str" cm="1">
        <f t="array" ref="B168">INDEX(Material_Master!$A$2:$A$9,MOD(ROW()-2,8)+1)</f>
        <v>M007</v>
      </c>
      <c r="C168">
        <f>SUMIFS(Weekly_Material_Requirements!$F:$F,Weekly_Material_Requirements!$A:$A,A168,Weekly_Material_Requirements!$C:$C,B168)</f>
        <v>61100</v>
      </c>
    </row>
    <row r="169" spans="1:3">
      <c r="A169" s="1" cm="1">
        <f t="array" ref="A169">INDEX(Calendar_Weeks!$A$2:$A$53,INT((ROW()-2)/8)+1)</f>
        <v>46167</v>
      </c>
      <c r="B169" t="str" cm="1">
        <f t="array" ref="B169">INDEX(Material_Master!$A$2:$A$9,MOD(ROW()-2,8)+1)</f>
        <v>M008</v>
      </c>
      <c r="C169">
        <f>SUMIFS(Weekly_Material_Requirements!$F:$F,Weekly_Material_Requirements!$A:$A,A169,Weekly_Material_Requirements!$C:$C,B169)</f>
        <v>61100</v>
      </c>
    </row>
    <row r="170" spans="1:3">
      <c r="A170" s="1" cm="1">
        <f t="array" ref="A170">INDEX(Calendar_Weeks!$A$2:$A$53,INT((ROW()-2)/8)+1)</f>
        <v>46174</v>
      </c>
      <c r="B170" t="str" cm="1">
        <f t="array" ref="B170">INDEX(Material_Master!$A$2:$A$9,MOD(ROW()-2,8)+1)</f>
        <v>M001</v>
      </c>
      <c r="C170">
        <f>SUMIFS(Weekly_Material_Requirements!$F:$F,Weekly_Material_Requirements!$A:$A,A170,Weekly_Material_Requirements!$C:$C,B170)</f>
        <v>5110</v>
      </c>
    </row>
    <row r="171" spans="1:3">
      <c r="A171" s="1" cm="1">
        <f t="array" ref="A171">INDEX(Calendar_Weeks!$A$2:$A$53,INT((ROW()-2)/8)+1)</f>
        <v>46174</v>
      </c>
      <c r="B171" t="str" cm="1">
        <f t="array" ref="B171">INDEX(Material_Master!$A$2:$A$9,MOD(ROW()-2,8)+1)</f>
        <v>M002</v>
      </c>
      <c r="C171">
        <f>SUMIFS(Weekly_Material_Requirements!$F:$F,Weekly_Material_Requirements!$A:$A,A171,Weekly_Material_Requirements!$C:$C,B171)</f>
        <v>3630</v>
      </c>
    </row>
    <row r="172" spans="1:3">
      <c r="A172" s="1" cm="1">
        <f t="array" ref="A172">INDEX(Calendar_Weeks!$A$2:$A$53,INT((ROW()-2)/8)+1)</f>
        <v>46174</v>
      </c>
      <c r="B172" t="str" cm="1">
        <f t="array" ref="B172">INDEX(Material_Master!$A$2:$A$9,MOD(ROW()-2,8)+1)</f>
        <v>M003</v>
      </c>
      <c r="C172">
        <f>SUMIFS(Weekly_Material_Requirements!$F:$F,Weekly_Material_Requirements!$A:$A,A172,Weekly_Material_Requirements!$C:$C,B172)</f>
        <v>2750</v>
      </c>
    </row>
    <row r="173" spans="1:3">
      <c r="A173" s="1" cm="1">
        <f t="array" ref="A173">INDEX(Calendar_Weeks!$A$2:$A$53,INT((ROW()-2)/8)+1)</f>
        <v>46174</v>
      </c>
      <c r="B173" t="str" cm="1">
        <f t="array" ref="B173">INDEX(Material_Master!$A$2:$A$9,MOD(ROW()-2,8)+1)</f>
        <v>M004</v>
      </c>
      <c r="C173">
        <f>SUMIFS(Weekly_Material_Requirements!$F:$F,Weekly_Material_Requirements!$A:$A,A173,Weekly_Material_Requirements!$C:$C,B173)</f>
        <v>4182</v>
      </c>
    </row>
    <row r="174" spans="1:3">
      <c r="A174" s="1" cm="1">
        <f t="array" ref="A174">INDEX(Calendar_Weeks!$A$2:$A$53,INT((ROW()-2)/8)+1)</f>
        <v>46174</v>
      </c>
      <c r="B174" t="str" cm="1">
        <f t="array" ref="B174">INDEX(Material_Master!$A$2:$A$9,MOD(ROW()-2,8)+1)</f>
        <v>M005</v>
      </c>
      <c r="C174">
        <f>SUMIFS(Weekly_Material_Requirements!$F:$F,Weekly_Material_Requirements!$A:$A,A174,Weekly_Material_Requirements!$C:$C,B174)</f>
        <v>4576</v>
      </c>
    </row>
    <row r="175" spans="1:3">
      <c r="A175" s="1" cm="1">
        <f t="array" ref="A175">INDEX(Calendar_Weeks!$A$2:$A$53,INT((ROW()-2)/8)+1)</f>
        <v>46174</v>
      </c>
      <c r="B175" t="str" cm="1">
        <f t="array" ref="B175">INDEX(Material_Master!$A$2:$A$9,MOD(ROW()-2,8)+1)</f>
        <v>M006</v>
      </c>
      <c r="C175">
        <f>SUMIFS(Weekly_Material_Requirements!$F:$F,Weekly_Material_Requirements!$A:$A,A175,Weekly_Material_Requirements!$C:$C,B175)</f>
        <v>525.1</v>
      </c>
    </row>
    <row r="176" spans="1:3">
      <c r="A176" s="1" cm="1">
        <f t="array" ref="A176">INDEX(Calendar_Weeks!$A$2:$A$53,INT((ROW()-2)/8)+1)</f>
        <v>46174</v>
      </c>
      <c r="B176" t="str" cm="1">
        <f t="array" ref="B176">INDEX(Material_Master!$A$2:$A$9,MOD(ROW()-2,8)+1)</f>
        <v>M007</v>
      </c>
      <c r="C176">
        <f>SUMIFS(Weekly_Material_Requirements!$F:$F,Weekly_Material_Requirements!$A:$A,A176,Weekly_Material_Requirements!$C:$C,B176)</f>
        <v>58800</v>
      </c>
    </row>
    <row r="177" spans="1:3">
      <c r="A177" s="1" cm="1">
        <f t="array" ref="A177">INDEX(Calendar_Weeks!$A$2:$A$53,INT((ROW()-2)/8)+1)</f>
        <v>46174</v>
      </c>
      <c r="B177" t="str" cm="1">
        <f t="array" ref="B177">INDEX(Material_Master!$A$2:$A$9,MOD(ROW()-2,8)+1)</f>
        <v>M008</v>
      </c>
      <c r="C177">
        <f>SUMIFS(Weekly_Material_Requirements!$F:$F,Weekly_Material_Requirements!$A:$A,A177,Weekly_Material_Requirements!$C:$C,B177)</f>
        <v>58800</v>
      </c>
    </row>
    <row r="178" spans="1:3">
      <c r="A178" s="1" cm="1">
        <f t="array" ref="A178">INDEX(Calendar_Weeks!$A$2:$A$53,INT((ROW()-2)/8)+1)</f>
        <v>46181</v>
      </c>
      <c r="B178" t="str" cm="1">
        <f t="array" ref="B178">INDEX(Material_Master!$A$2:$A$9,MOD(ROW()-2,8)+1)</f>
        <v>M001</v>
      </c>
      <c r="C178">
        <f>SUMIFS(Weekly_Material_Requirements!$F:$F,Weekly_Material_Requirements!$A:$A,A178,Weekly_Material_Requirements!$C:$C,B178)</f>
        <v>5285</v>
      </c>
    </row>
    <row r="179" spans="1:3">
      <c r="A179" s="1" cm="1">
        <f t="array" ref="A179">INDEX(Calendar_Weeks!$A$2:$A$53,INT((ROW()-2)/8)+1)</f>
        <v>46181</v>
      </c>
      <c r="B179" t="str" cm="1">
        <f t="array" ref="B179">INDEX(Material_Master!$A$2:$A$9,MOD(ROW()-2,8)+1)</f>
        <v>M002</v>
      </c>
      <c r="C179">
        <f>SUMIFS(Weekly_Material_Requirements!$F:$F,Weekly_Material_Requirements!$A:$A,A179,Weekly_Material_Requirements!$C:$C,B179)</f>
        <v>3990</v>
      </c>
    </row>
    <row r="180" spans="1:3">
      <c r="A180" s="1" cm="1">
        <f t="array" ref="A180">INDEX(Calendar_Weeks!$A$2:$A$53,INT((ROW()-2)/8)+1)</f>
        <v>46181</v>
      </c>
      <c r="B180" t="str" cm="1">
        <f t="array" ref="B180">INDEX(Material_Master!$A$2:$A$9,MOD(ROW()-2,8)+1)</f>
        <v>M003</v>
      </c>
      <c r="C180">
        <f>SUMIFS(Weekly_Material_Requirements!$F:$F,Weekly_Material_Requirements!$A:$A,A180,Weekly_Material_Requirements!$C:$C,B180)</f>
        <v>2725</v>
      </c>
    </row>
    <row r="181" spans="1:3">
      <c r="A181" s="1" cm="1">
        <f t="array" ref="A181">INDEX(Calendar_Weeks!$A$2:$A$53,INT((ROW()-2)/8)+1)</f>
        <v>46181</v>
      </c>
      <c r="B181" t="str" cm="1">
        <f t="array" ref="B181">INDEX(Material_Master!$A$2:$A$9,MOD(ROW()-2,8)+1)</f>
        <v>M004</v>
      </c>
      <c r="C181">
        <f>SUMIFS(Weekly_Material_Requirements!$F:$F,Weekly_Material_Requirements!$A:$A,A181,Weekly_Material_Requirements!$C:$C,B181)</f>
        <v>4386</v>
      </c>
    </row>
    <row r="182" spans="1:3">
      <c r="A182" s="1" cm="1">
        <f t="array" ref="A182">INDEX(Calendar_Weeks!$A$2:$A$53,INT((ROW()-2)/8)+1)</f>
        <v>46181</v>
      </c>
      <c r="B182" t="str" cm="1">
        <f t="array" ref="B182">INDEX(Material_Master!$A$2:$A$9,MOD(ROW()-2,8)+1)</f>
        <v>M005</v>
      </c>
      <c r="C182">
        <f>SUMIFS(Weekly_Material_Requirements!$F:$F,Weekly_Material_Requirements!$A:$A,A182,Weekly_Material_Requirements!$C:$C,B182)</f>
        <v>4784</v>
      </c>
    </row>
    <row r="183" spans="1:3">
      <c r="A183" s="1" cm="1">
        <f t="array" ref="A183">INDEX(Calendar_Weeks!$A$2:$A$53,INT((ROW()-2)/8)+1)</f>
        <v>46181</v>
      </c>
      <c r="B183" t="str" cm="1">
        <f t="array" ref="B183">INDEX(Material_Master!$A$2:$A$9,MOD(ROW()-2,8)+1)</f>
        <v>M006</v>
      </c>
      <c r="C183">
        <f>SUMIFS(Weekly_Material_Requirements!$F:$F,Weekly_Material_Requirements!$A:$A,A183,Weekly_Material_Requirements!$C:$C,B183)</f>
        <v>549.29999999999995</v>
      </c>
    </row>
    <row r="184" spans="1:3">
      <c r="A184" s="1" cm="1">
        <f t="array" ref="A184">INDEX(Calendar_Weeks!$A$2:$A$53,INT((ROW()-2)/8)+1)</f>
        <v>46181</v>
      </c>
      <c r="B184" t="str" cm="1">
        <f t="array" ref="B184">INDEX(Material_Master!$A$2:$A$9,MOD(ROW()-2,8)+1)</f>
        <v>M007</v>
      </c>
      <c r="C184">
        <f>SUMIFS(Weekly_Material_Requirements!$F:$F,Weekly_Material_Requirements!$A:$A,A184,Weekly_Material_Requirements!$C:$C,B184)</f>
        <v>61400</v>
      </c>
    </row>
    <row r="185" spans="1:3">
      <c r="A185" s="1" cm="1">
        <f t="array" ref="A185">INDEX(Calendar_Weeks!$A$2:$A$53,INT((ROW()-2)/8)+1)</f>
        <v>46181</v>
      </c>
      <c r="B185" t="str" cm="1">
        <f t="array" ref="B185">INDEX(Material_Master!$A$2:$A$9,MOD(ROW()-2,8)+1)</f>
        <v>M008</v>
      </c>
      <c r="C185">
        <f>SUMIFS(Weekly_Material_Requirements!$F:$F,Weekly_Material_Requirements!$A:$A,A185,Weekly_Material_Requirements!$C:$C,B185)</f>
        <v>61400</v>
      </c>
    </row>
    <row r="186" spans="1:3">
      <c r="A186" s="1" cm="1">
        <f t="array" ref="A186">INDEX(Calendar_Weeks!$A$2:$A$53,INT((ROW()-2)/8)+1)</f>
        <v>46188</v>
      </c>
      <c r="B186" t="str" cm="1">
        <f t="array" ref="B186">INDEX(Material_Master!$A$2:$A$9,MOD(ROW()-2,8)+1)</f>
        <v>M001</v>
      </c>
      <c r="C186">
        <f>SUMIFS(Weekly_Material_Requirements!$F:$F,Weekly_Material_Requirements!$A:$A,A186,Weekly_Material_Requirements!$C:$C,B186)</f>
        <v>5320</v>
      </c>
    </row>
    <row r="187" spans="1:3">
      <c r="A187" s="1" cm="1">
        <f t="array" ref="A187">INDEX(Calendar_Weeks!$A$2:$A$53,INT((ROW()-2)/8)+1)</f>
        <v>46188</v>
      </c>
      <c r="B187" t="str" cm="1">
        <f t="array" ref="B187">INDEX(Material_Master!$A$2:$A$9,MOD(ROW()-2,8)+1)</f>
        <v>M002</v>
      </c>
      <c r="C187">
        <f>SUMIFS(Weekly_Material_Requirements!$F:$F,Weekly_Material_Requirements!$A:$A,A187,Weekly_Material_Requirements!$C:$C,B187)</f>
        <v>3780</v>
      </c>
    </row>
    <row r="188" spans="1:3">
      <c r="A188" s="1" cm="1">
        <f t="array" ref="A188">INDEX(Calendar_Weeks!$A$2:$A$53,INT((ROW()-2)/8)+1)</f>
        <v>46188</v>
      </c>
      <c r="B188" t="str" cm="1">
        <f t="array" ref="B188">INDEX(Material_Master!$A$2:$A$9,MOD(ROW()-2,8)+1)</f>
        <v>M003</v>
      </c>
      <c r="C188">
        <f>SUMIFS(Weekly_Material_Requirements!$F:$F,Weekly_Material_Requirements!$A:$A,A188,Weekly_Material_Requirements!$C:$C,B188)</f>
        <v>2700</v>
      </c>
    </row>
    <row r="189" spans="1:3">
      <c r="A189" s="1" cm="1">
        <f t="array" ref="A189">INDEX(Calendar_Weeks!$A$2:$A$53,INT((ROW()-2)/8)+1)</f>
        <v>46188</v>
      </c>
      <c r="B189" t="str" cm="1">
        <f t="array" ref="B189">INDEX(Material_Master!$A$2:$A$9,MOD(ROW()-2,8)+1)</f>
        <v>M004</v>
      </c>
      <c r="C189">
        <f>SUMIFS(Weekly_Material_Requirements!$F:$F,Weekly_Material_Requirements!$A:$A,A189,Weekly_Material_Requirements!$C:$C,B189)</f>
        <v>4250</v>
      </c>
    </row>
    <row r="190" spans="1:3">
      <c r="A190" s="1" cm="1">
        <f t="array" ref="A190">INDEX(Calendar_Weeks!$A$2:$A$53,INT((ROW()-2)/8)+1)</f>
        <v>46188</v>
      </c>
      <c r="B190" t="str" cm="1">
        <f t="array" ref="B190">INDEX(Material_Master!$A$2:$A$9,MOD(ROW()-2,8)+1)</f>
        <v>M005</v>
      </c>
      <c r="C190">
        <f>SUMIFS(Weekly_Material_Requirements!$F:$F,Weekly_Material_Requirements!$A:$A,A190,Weekly_Material_Requirements!$C:$C,B190)</f>
        <v>4628</v>
      </c>
    </row>
    <row r="191" spans="1:3">
      <c r="A191" s="1" cm="1">
        <f t="array" ref="A191">INDEX(Calendar_Weeks!$A$2:$A$53,INT((ROW()-2)/8)+1)</f>
        <v>46188</v>
      </c>
      <c r="B191" t="str" cm="1">
        <f t="array" ref="B191">INDEX(Material_Master!$A$2:$A$9,MOD(ROW()-2,8)+1)</f>
        <v>M006</v>
      </c>
      <c r="C191">
        <f>SUMIFS(Weekly_Material_Requirements!$F:$F,Weekly_Material_Requirements!$A:$A,A191,Weekly_Material_Requirements!$C:$C,B191)</f>
        <v>536.9</v>
      </c>
    </row>
    <row r="192" spans="1:3">
      <c r="A192" s="1" cm="1">
        <f t="array" ref="A192">INDEX(Calendar_Weeks!$A$2:$A$53,INT((ROW()-2)/8)+1)</f>
        <v>46188</v>
      </c>
      <c r="B192" t="str" cm="1">
        <f t="array" ref="B192">INDEX(Material_Master!$A$2:$A$9,MOD(ROW()-2,8)+1)</f>
        <v>M007</v>
      </c>
      <c r="C192">
        <f>SUMIFS(Weekly_Material_Requirements!$F:$F,Weekly_Material_Requirements!$A:$A,A192,Weekly_Material_Requirements!$C:$C,B192)</f>
        <v>60000</v>
      </c>
    </row>
    <row r="193" spans="1:3">
      <c r="A193" s="1" cm="1">
        <f t="array" ref="A193">INDEX(Calendar_Weeks!$A$2:$A$53,INT((ROW()-2)/8)+1)</f>
        <v>46188</v>
      </c>
      <c r="B193" t="str" cm="1">
        <f t="array" ref="B193">INDEX(Material_Master!$A$2:$A$9,MOD(ROW()-2,8)+1)</f>
        <v>M008</v>
      </c>
      <c r="C193">
        <f>SUMIFS(Weekly_Material_Requirements!$F:$F,Weekly_Material_Requirements!$A:$A,A193,Weekly_Material_Requirements!$C:$C,B193)</f>
        <v>60000</v>
      </c>
    </row>
    <row r="194" spans="1:3">
      <c r="A194" s="1" cm="1">
        <f t="array" ref="A194">INDEX(Calendar_Weeks!$A$2:$A$53,INT((ROW()-2)/8)+1)</f>
        <v>46195</v>
      </c>
      <c r="B194" t="str" cm="1">
        <f t="array" ref="B194">INDEX(Material_Master!$A$2:$A$9,MOD(ROW()-2,8)+1)</f>
        <v>M001</v>
      </c>
      <c r="C194">
        <f>SUMIFS(Weekly_Material_Requirements!$F:$F,Weekly_Material_Requirements!$A:$A,A194,Weekly_Material_Requirements!$C:$C,B194)</f>
        <v>5495</v>
      </c>
    </row>
    <row r="195" spans="1:3">
      <c r="A195" s="1" cm="1">
        <f t="array" ref="A195">INDEX(Calendar_Weeks!$A$2:$A$53,INT((ROW()-2)/8)+1)</f>
        <v>46195</v>
      </c>
      <c r="B195" t="str" cm="1">
        <f t="array" ref="B195">INDEX(Material_Master!$A$2:$A$9,MOD(ROW()-2,8)+1)</f>
        <v>M002</v>
      </c>
      <c r="C195">
        <f>SUMIFS(Weekly_Material_Requirements!$F:$F,Weekly_Material_Requirements!$A:$A,A195,Weekly_Material_Requirements!$C:$C,B195)</f>
        <v>4140</v>
      </c>
    </row>
    <row r="196" spans="1:3">
      <c r="A196" s="1" cm="1">
        <f t="array" ref="A196">INDEX(Calendar_Weeks!$A$2:$A$53,INT((ROW()-2)/8)+1)</f>
        <v>46195</v>
      </c>
      <c r="B196" t="str" cm="1">
        <f t="array" ref="B196">INDEX(Material_Master!$A$2:$A$9,MOD(ROW()-2,8)+1)</f>
        <v>M003</v>
      </c>
      <c r="C196">
        <f>SUMIFS(Weekly_Material_Requirements!$F:$F,Weekly_Material_Requirements!$A:$A,A196,Weekly_Material_Requirements!$C:$C,B196)</f>
        <v>2925</v>
      </c>
    </row>
    <row r="197" spans="1:3">
      <c r="A197" s="1" cm="1">
        <f t="array" ref="A197">INDEX(Calendar_Weeks!$A$2:$A$53,INT((ROW()-2)/8)+1)</f>
        <v>46195</v>
      </c>
      <c r="B197" t="str" cm="1">
        <f t="array" ref="B197">INDEX(Material_Master!$A$2:$A$9,MOD(ROW()-2,8)+1)</f>
        <v>M004</v>
      </c>
      <c r="C197">
        <f>SUMIFS(Weekly_Material_Requirements!$F:$F,Weekly_Material_Requirements!$A:$A,A197,Weekly_Material_Requirements!$C:$C,B197)</f>
        <v>4318</v>
      </c>
    </row>
    <row r="198" spans="1:3">
      <c r="A198" s="1" cm="1">
        <f t="array" ref="A198">INDEX(Calendar_Weeks!$A$2:$A$53,INT((ROW()-2)/8)+1)</f>
        <v>46195</v>
      </c>
      <c r="B198" t="str" cm="1">
        <f t="array" ref="B198">INDEX(Material_Master!$A$2:$A$9,MOD(ROW()-2,8)+1)</f>
        <v>M005</v>
      </c>
      <c r="C198">
        <f>SUMIFS(Weekly_Material_Requirements!$F:$F,Weekly_Material_Requirements!$A:$A,A198,Weekly_Material_Requirements!$C:$C,B198)</f>
        <v>4628</v>
      </c>
    </row>
    <row r="199" spans="1:3">
      <c r="A199" s="1" cm="1">
        <f t="array" ref="A199">INDEX(Calendar_Weeks!$A$2:$A$53,INT((ROW()-2)/8)+1)</f>
        <v>46195</v>
      </c>
      <c r="B199" t="str" cm="1">
        <f t="array" ref="B199">INDEX(Material_Master!$A$2:$A$9,MOD(ROW()-2,8)+1)</f>
        <v>M006</v>
      </c>
      <c r="C199">
        <f>SUMIFS(Weekly_Material_Requirements!$F:$F,Weekly_Material_Requirements!$A:$A,A199,Weekly_Material_Requirements!$C:$C,B199)</f>
        <v>558.69999999999993</v>
      </c>
    </row>
    <row r="200" spans="1:3">
      <c r="A200" s="1" cm="1">
        <f t="array" ref="A200">INDEX(Calendar_Weeks!$A$2:$A$53,INT((ROW()-2)/8)+1)</f>
        <v>46195</v>
      </c>
      <c r="B200" t="str" cm="1">
        <f t="array" ref="B200">INDEX(Material_Master!$A$2:$A$9,MOD(ROW()-2,8)+1)</f>
        <v>M007</v>
      </c>
      <c r="C200">
        <f>SUMIFS(Weekly_Material_Requirements!$F:$F,Weekly_Material_Requirements!$A:$A,A200,Weekly_Material_Requirements!$C:$C,B200)</f>
        <v>62800</v>
      </c>
    </row>
    <row r="201" spans="1:3">
      <c r="A201" s="1" cm="1">
        <f t="array" ref="A201">INDEX(Calendar_Weeks!$A$2:$A$53,INT((ROW()-2)/8)+1)</f>
        <v>46195</v>
      </c>
      <c r="B201" t="str" cm="1">
        <f t="array" ref="B201">INDEX(Material_Master!$A$2:$A$9,MOD(ROW()-2,8)+1)</f>
        <v>M008</v>
      </c>
      <c r="C201">
        <f>SUMIFS(Weekly_Material_Requirements!$F:$F,Weekly_Material_Requirements!$A:$A,A201,Weekly_Material_Requirements!$C:$C,B201)</f>
        <v>62800</v>
      </c>
    </row>
    <row r="202" spans="1:3">
      <c r="A202" s="1" cm="1">
        <f t="array" ref="A202">INDEX(Calendar_Weeks!$A$2:$A$53,INT((ROW()-2)/8)+1)</f>
        <v>46202</v>
      </c>
      <c r="B202" t="str" cm="1">
        <f t="array" ref="B202">INDEX(Material_Master!$A$2:$A$9,MOD(ROW()-2,8)+1)</f>
        <v>M001</v>
      </c>
      <c r="C202">
        <f>SUMIFS(Weekly_Material_Requirements!$F:$F,Weekly_Material_Requirements!$A:$A,A202,Weekly_Material_Requirements!$C:$C,B202)</f>
        <v>5355</v>
      </c>
    </row>
    <row r="203" spans="1:3">
      <c r="A203" s="1" cm="1">
        <f t="array" ref="A203">INDEX(Calendar_Weeks!$A$2:$A$53,INT((ROW()-2)/8)+1)</f>
        <v>46202</v>
      </c>
      <c r="B203" t="str" cm="1">
        <f t="array" ref="B203">INDEX(Material_Master!$A$2:$A$9,MOD(ROW()-2,8)+1)</f>
        <v>M002</v>
      </c>
      <c r="C203">
        <f>SUMIFS(Weekly_Material_Requirements!$F:$F,Weekly_Material_Requirements!$A:$A,A203,Weekly_Material_Requirements!$C:$C,B203)</f>
        <v>4020</v>
      </c>
    </row>
    <row r="204" spans="1:3">
      <c r="A204" s="1" cm="1">
        <f t="array" ref="A204">INDEX(Calendar_Weeks!$A$2:$A$53,INT((ROW()-2)/8)+1)</f>
        <v>46202</v>
      </c>
      <c r="B204" t="str" cm="1">
        <f t="array" ref="B204">INDEX(Material_Master!$A$2:$A$9,MOD(ROW()-2,8)+1)</f>
        <v>M003</v>
      </c>
      <c r="C204">
        <f>SUMIFS(Weekly_Material_Requirements!$F:$F,Weekly_Material_Requirements!$A:$A,A204,Weekly_Material_Requirements!$C:$C,B204)</f>
        <v>2925</v>
      </c>
    </row>
    <row r="205" spans="1:3">
      <c r="A205" s="1" cm="1">
        <f t="array" ref="A205">INDEX(Calendar_Weeks!$A$2:$A$53,INT((ROW()-2)/8)+1)</f>
        <v>46202</v>
      </c>
      <c r="B205" t="str" cm="1">
        <f t="array" ref="B205">INDEX(Material_Master!$A$2:$A$9,MOD(ROW()-2,8)+1)</f>
        <v>M004</v>
      </c>
      <c r="C205">
        <f>SUMIFS(Weekly_Material_Requirements!$F:$F,Weekly_Material_Requirements!$A:$A,A205,Weekly_Material_Requirements!$C:$C,B205)</f>
        <v>4080.0000000000005</v>
      </c>
    </row>
    <row r="206" spans="1:3">
      <c r="A206" s="1" cm="1">
        <f t="array" ref="A206">INDEX(Calendar_Weeks!$A$2:$A$53,INT((ROW()-2)/8)+1)</f>
        <v>46202</v>
      </c>
      <c r="B206" t="str" cm="1">
        <f t="array" ref="B206">INDEX(Material_Master!$A$2:$A$9,MOD(ROW()-2,8)+1)</f>
        <v>M005</v>
      </c>
      <c r="C206">
        <f>SUMIFS(Weekly_Material_Requirements!$F:$F,Weekly_Material_Requirements!$A:$A,A206,Weekly_Material_Requirements!$C:$C,B206)</f>
        <v>4888</v>
      </c>
    </row>
    <row r="207" spans="1:3">
      <c r="A207" s="1" cm="1">
        <f t="array" ref="A207">INDEX(Calendar_Weeks!$A$2:$A$53,INT((ROW()-2)/8)+1)</f>
        <v>46202</v>
      </c>
      <c r="B207" t="str" cm="1">
        <f t="array" ref="B207">INDEX(Material_Master!$A$2:$A$9,MOD(ROW()-2,8)+1)</f>
        <v>M006</v>
      </c>
      <c r="C207">
        <f>SUMIFS(Weekly_Material_Requirements!$F:$F,Weekly_Material_Requirements!$A:$A,A207,Weekly_Material_Requirements!$C:$C,B207)</f>
        <v>551.19999999999993</v>
      </c>
    </row>
    <row r="208" spans="1:3">
      <c r="A208" s="1" cm="1">
        <f t="array" ref="A208">INDEX(Calendar_Weeks!$A$2:$A$53,INT((ROW()-2)/8)+1)</f>
        <v>46202</v>
      </c>
      <c r="B208" t="str" cm="1">
        <f t="array" ref="B208">INDEX(Material_Master!$A$2:$A$9,MOD(ROW()-2,8)+1)</f>
        <v>M007</v>
      </c>
      <c r="C208">
        <f>SUMIFS(Weekly_Material_Requirements!$F:$F,Weekly_Material_Requirements!$A:$A,A208,Weekly_Material_Requirements!$C:$C,B208)</f>
        <v>61800</v>
      </c>
    </row>
    <row r="209" spans="1:3">
      <c r="A209" s="1" cm="1">
        <f t="array" ref="A209">INDEX(Calendar_Weeks!$A$2:$A$53,INT((ROW()-2)/8)+1)</f>
        <v>46202</v>
      </c>
      <c r="B209" t="str" cm="1">
        <f t="array" ref="B209">INDEX(Material_Master!$A$2:$A$9,MOD(ROW()-2,8)+1)</f>
        <v>M008</v>
      </c>
      <c r="C209">
        <f>SUMIFS(Weekly_Material_Requirements!$F:$F,Weekly_Material_Requirements!$A:$A,A209,Weekly_Material_Requirements!$C:$C,B209)</f>
        <v>61800</v>
      </c>
    </row>
    <row r="210" spans="1:3">
      <c r="A210" s="1" cm="1">
        <f t="array" ref="A210">INDEX(Calendar_Weeks!$A$2:$A$53,INT((ROW()-2)/8)+1)</f>
        <v>46209</v>
      </c>
      <c r="B210" t="str" cm="1">
        <f t="array" ref="B210">INDEX(Material_Master!$A$2:$A$9,MOD(ROW()-2,8)+1)</f>
        <v>M001</v>
      </c>
      <c r="C210">
        <f>SUMIFS(Weekly_Material_Requirements!$F:$F,Weekly_Material_Requirements!$A:$A,A210,Weekly_Material_Requirements!$C:$C,B210)</f>
        <v>5530</v>
      </c>
    </row>
    <row r="211" spans="1:3">
      <c r="A211" s="1" cm="1">
        <f t="array" ref="A211">INDEX(Calendar_Weeks!$A$2:$A$53,INT((ROW()-2)/8)+1)</f>
        <v>46209</v>
      </c>
      <c r="B211" t="str" cm="1">
        <f t="array" ref="B211">INDEX(Material_Master!$A$2:$A$9,MOD(ROW()-2,8)+1)</f>
        <v>M002</v>
      </c>
      <c r="C211">
        <f>SUMIFS(Weekly_Material_Requirements!$F:$F,Weekly_Material_Requirements!$A:$A,A211,Weekly_Material_Requirements!$C:$C,B211)</f>
        <v>4290</v>
      </c>
    </row>
    <row r="212" spans="1:3">
      <c r="A212" s="1" cm="1">
        <f t="array" ref="A212">INDEX(Calendar_Weeks!$A$2:$A$53,INT((ROW()-2)/8)+1)</f>
        <v>46209</v>
      </c>
      <c r="B212" t="str" cm="1">
        <f t="array" ref="B212">INDEX(Material_Master!$A$2:$A$9,MOD(ROW()-2,8)+1)</f>
        <v>M003</v>
      </c>
      <c r="C212">
        <f>SUMIFS(Weekly_Material_Requirements!$F:$F,Weekly_Material_Requirements!$A:$A,A212,Weekly_Material_Requirements!$C:$C,B212)</f>
        <v>2900</v>
      </c>
    </row>
    <row r="213" spans="1:3">
      <c r="A213" s="1" cm="1">
        <f t="array" ref="A213">INDEX(Calendar_Weeks!$A$2:$A$53,INT((ROW()-2)/8)+1)</f>
        <v>46209</v>
      </c>
      <c r="B213" t="str" cm="1">
        <f t="array" ref="B213">INDEX(Material_Master!$A$2:$A$9,MOD(ROW()-2,8)+1)</f>
        <v>M004</v>
      </c>
      <c r="C213">
        <f>SUMIFS(Weekly_Material_Requirements!$F:$F,Weekly_Material_Requirements!$A:$A,A213,Weekly_Material_Requirements!$C:$C,B213)</f>
        <v>4250</v>
      </c>
    </row>
    <row r="214" spans="1:3">
      <c r="A214" s="1" cm="1">
        <f t="array" ref="A214">INDEX(Calendar_Weeks!$A$2:$A$53,INT((ROW()-2)/8)+1)</f>
        <v>46209</v>
      </c>
      <c r="B214" t="str" cm="1">
        <f t="array" ref="B214">INDEX(Material_Master!$A$2:$A$9,MOD(ROW()-2,8)+1)</f>
        <v>M005</v>
      </c>
      <c r="C214">
        <f>SUMIFS(Weekly_Material_Requirements!$F:$F,Weekly_Material_Requirements!$A:$A,A214,Weekly_Material_Requirements!$C:$C,B214)</f>
        <v>5252</v>
      </c>
    </row>
    <row r="215" spans="1:3">
      <c r="A215" s="1" cm="1">
        <f t="array" ref="A215">INDEX(Calendar_Weeks!$A$2:$A$53,INT((ROW()-2)/8)+1)</f>
        <v>46209</v>
      </c>
      <c r="B215" t="str" cm="1">
        <f t="array" ref="B215">INDEX(Material_Master!$A$2:$A$9,MOD(ROW()-2,8)+1)</f>
        <v>M006</v>
      </c>
      <c r="C215">
        <f>SUMIFS(Weekly_Material_Requirements!$F:$F,Weekly_Material_Requirements!$A:$A,A215,Weekly_Material_Requirements!$C:$C,B215)</f>
        <v>575.70000000000005</v>
      </c>
    </row>
    <row r="216" spans="1:3">
      <c r="A216" s="1" cm="1">
        <f t="array" ref="A216">INDEX(Calendar_Weeks!$A$2:$A$53,INT((ROW()-2)/8)+1)</f>
        <v>46209</v>
      </c>
      <c r="B216" t="str" cm="1">
        <f t="array" ref="B216">INDEX(Material_Master!$A$2:$A$9,MOD(ROW()-2,8)+1)</f>
        <v>M007</v>
      </c>
      <c r="C216">
        <f>SUMIFS(Weekly_Material_Requirements!$F:$F,Weekly_Material_Requirements!$A:$A,A216,Weekly_Material_Requirements!$C:$C,B216)</f>
        <v>64300</v>
      </c>
    </row>
    <row r="217" spans="1:3">
      <c r="A217" s="1" cm="1">
        <f t="array" ref="A217">INDEX(Calendar_Weeks!$A$2:$A$53,INT((ROW()-2)/8)+1)</f>
        <v>46209</v>
      </c>
      <c r="B217" t="str" cm="1">
        <f t="array" ref="B217">INDEX(Material_Master!$A$2:$A$9,MOD(ROW()-2,8)+1)</f>
        <v>M008</v>
      </c>
      <c r="C217">
        <f>SUMIFS(Weekly_Material_Requirements!$F:$F,Weekly_Material_Requirements!$A:$A,A217,Weekly_Material_Requirements!$C:$C,B217)</f>
        <v>64300</v>
      </c>
    </row>
    <row r="218" spans="1:3">
      <c r="A218" s="1" cm="1">
        <f t="array" ref="A218">INDEX(Calendar_Weeks!$A$2:$A$53,INT((ROW()-2)/8)+1)</f>
        <v>46216</v>
      </c>
      <c r="B218" t="str" cm="1">
        <f t="array" ref="B218">INDEX(Material_Master!$A$2:$A$9,MOD(ROW()-2,8)+1)</f>
        <v>M001</v>
      </c>
      <c r="C218">
        <f>SUMIFS(Weekly_Material_Requirements!$F:$F,Weekly_Material_Requirements!$A:$A,A218,Weekly_Material_Requirements!$C:$C,B218)</f>
        <v>5495</v>
      </c>
    </row>
    <row r="219" spans="1:3">
      <c r="A219" s="1" cm="1">
        <f t="array" ref="A219">INDEX(Calendar_Weeks!$A$2:$A$53,INT((ROW()-2)/8)+1)</f>
        <v>46216</v>
      </c>
      <c r="B219" t="str" cm="1">
        <f t="array" ref="B219">INDEX(Material_Master!$A$2:$A$9,MOD(ROW()-2,8)+1)</f>
        <v>M002</v>
      </c>
      <c r="C219">
        <f>SUMIFS(Weekly_Material_Requirements!$F:$F,Weekly_Material_Requirements!$A:$A,A219,Weekly_Material_Requirements!$C:$C,B219)</f>
        <v>4230</v>
      </c>
    </row>
    <row r="220" spans="1:3">
      <c r="A220" s="1" cm="1">
        <f t="array" ref="A220">INDEX(Calendar_Weeks!$A$2:$A$53,INT((ROW()-2)/8)+1)</f>
        <v>46216</v>
      </c>
      <c r="B220" t="str" cm="1">
        <f t="array" ref="B220">INDEX(Material_Master!$A$2:$A$9,MOD(ROW()-2,8)+1)</f>
        <v>M003</v>
      </c>
      <c r="C220">
        <f>SUMIFS(Weekly_Material_Requirements!$F:$F,Weekly_Material_Requirements!$A:$A,A220,Weekly_Material_Requirements!$C:$C,B220)</f>
        <v>3025</v>
      </c>
    </row>
    <row r="221" spans="1:3">
      <c r="A221" s="1" cm="1">
        <f t="array" ref="A221">INDEX(Calendar_Weeks!$A$2:$A$53,INT((ROW()-2)/8)+1)</f>
        <v>46216</v>
      </c>
      <c r="B221" t="str" cm="1">
        <f t="array" ref="B221">INDEX(Material_Master!$A$2:$A$9,MOD(ROW()-2,8)+1)</f>
        <v>M004</v>
      </c>
      <c r="C221">
        <f>SUMIFS(Weekly_Material_Requirements!$F:$F,Weekly_Material_Requirements!$A:$A,A221,Weekly_Material_Requirements!$C:$C,B221)</f>
        <v>4114</v>
      </c>
    </row>
    <row r="222" spans="1:3">
      <c r="A222" s="1" cm="1">
        <f t="array" ref="A222">INDEX(Calendar_Weeks!$A$2:$A$53,INT((ROW()-2)/8)+1)</f>
        <v>46216</v>
      </c>
      <c r="B222" t="str" cm="1">
        <f t="array" ref="B222">INDEX(Material_Master!$A$2:$A$9,MOD(ROW()-2,8)+1)</f>
        <v>M005</v>
      </c>
      <c r="C222">
        <f>SUMIFS(Weekly_Material_Requirements!$F:$F,Weekly_Material_Requirements!$A:$A,A222,Weekly_Material_Requirements!$C:$C,B222)</f>
        <v>5096</v>
      </c>
    </row>
    <row r="223" spans="1:3">
      <c r="A223" s="1" cm="1">
        <f t="array" ref="A223">INDEX(Calendar_Weeks!$A$2:$A$53,INT((ROW()-2)/8)+1)</f>
        <v>46216</v>
      </c>
      <c r="B223" t="str" cm="1">
        <f t="array" ref="B223">INDEX(Material_Master!$A$2:$A$9,MOD(ROW()-2,8)+1)</f>
        <v>M006</v>
      </c>
      <c r="C223">
        <f>SUMIFS(Weekly_Material_Requirements!$F:$F,Weekly_Material_Requirements!$A:$A,A223,Weekly_Material_Requirements!$C:$C,B223)</f>
        <v>568.9</v>
      </c>
    </row>
    <row r="224" spans="1:3">
      <c r="A224" s="1" cm="1">
        <f t="array" ref="A224">INDEX(Calendar_Weeks!$A$2:$A$53,INT((ROW()-2)/8)+1)</f>
        <v>46216</v>
      </c>
      <c r="B224" t="str" cm="1">
        <f t="array" ref="B224">INDEX(Material_Master!$A$2:$A$9,MOD(ROW()-2,8)+1)</f>
        <v>M007</v>
      </c>
      <c r="C224">
        <f>SUMIFS(Weekly_Material_Requirements!$F:$F,Weekly_Material_Requirements!$A:$A,A224,Weekly_Material_Requirements!$C:$C,B224)</f>
        <v>63800</v>
      </c>
    </row>
    <row r="225" spans="1:3">
      <c r="A225" s="1" cm="1">
        <f t="array" ref="A225">INDEX(Calendar_Weeks!$A$2:$A$53,INT((ROW()-2)/8)+1)</f>
        <v>46216</v>
      </c>
      <c r="B225" t="str" cm="1">
        <f t="array" ref="B225">INDEX(Material_Master!$A$2:$A$9,MOD(ROW()-2,8)+1)</f>
        <v>M008</v>
      </c>
      <c r="C225">
        <f>SUMIFS(Weekly_Material_Requirements!$F:$F,Weekly_Material_Requirements!$A:$A,A225,Weekly_Material_Requirements!$C:$C,B225)</f>
        <v>63800</v>
      </c>
    </row>
    <row r="226" spans="1:3">
      <c r="A226" s="1" cm="1">
        <f t="array" ref="A226">INDEX(Calendar_Weeks!$A$2:$A$53,INT((ROW()-2)/8)+1)</f>
        <v>46223</v>
      </c>
      <c r="B226" t="str" cm="1">
        <f t="array" ref="B226">INDEX(Material_Master!$A$2:$A$9,MOD(ROW()-2,8)+1)</f>
        <v>M001</v>
      </c>
      <c r="C226">
        <f>SUMIFS(Weekly_Material_Requirements!$F:$F,Weekly_Material_Requirements!$A:$A,A226,Weekly_Material_Requirements!$C:$C,B226)</f>
        <v>5600</v>
      </c>
    </row>
    <row r="227" spans="1:3">
      <c r="A227" s="1" cm="1">
        <f t="array" ref="A227">INDEX(Calendar_Weeks!$A$2:$A$53,INT((ROW()-2)/8)+1)</f>
        <v>46223</v>
      </c>
      <c r="B227" t="str" cm="1">
        <f t="array" ref="B227">INDEX(Material_Master!$A$2:$A$9,MOD(ROW()-2,8)+1)</f>
        <v>M002</v>
      </c>
      <c r="C227">
        <f>SUMIFS(Weekly_Material_Requirements!$F:$F,Weekly_Material_Requirements!$A:$A,A227,Weekly_Material_Requirements!$C:$C,B227)</f>
        <v>4110</v>
      </c>
    </row>
    <row r="228" spans="1:3">
      <c r="A228" s="1" cm="1">
        <f t="array" ref="A228">INDEX(Calendar_Weeks!$A$2:$A$53,INT((ROW()-2)/8)+1)</f>
        <v>46223</v>
      </c>
      <c r="B228" t="str" cm="1">
        <f t="array" ref="B228">INDEX(Material_Master!$A$2:$A$9,MOD(ROW()-2,8)+1)</f>
        <v>M003</v>
      </c>
      <c r="C228">
        <f>SUMIFS(Weekly_Material_Requirements!$F:$F,Weekly_Material_Requirements!$A:$A,A228,Weekly_Material_Requirements!$C:$C,B228)</f>
        <v>2750</v>
      </c>
    </row>
    <row r="229" spans="1:3">
      <c r="A229" s="1" cm="1">
        <f t="array" ref="A229">INDEX(Calendar_Weeks!$A$2:$A$53,INT((ROW()-2)/8)+1)</f>
        <v>46223</v>
      </c>
      <c r="B229" t="str" cm="1">
        <f t="array" ref="B229">INDEX(Material_Master!$A$2:$A$9,MOD(ROW()-2,8)+1)</f>
        <v>M004</v>
      </c>
      <c r="C229">
        <f>SUMIFS(Weekly_Material_Requirements!$F:$F,Weekly_Material_Requirements!$A:$A,A229,Weekly_Material_Requirements!$C:$C,B229)</f>
        <v>4352</v>
      </c>
    </row>
    <row r="230" spans="1:3">
      <c r="A230" s="1" cm="1">
        <f t="array" ref="A230">INDEX(Calendar_Weeks!$A$2:$A$53,INT((ROW()-2)/8)+1)</f>
        <v>46223</v>
      </c>
      <c r="B230" t="str" cm="1">
        <f t="array" ref="B230">INDEX(Material_Master!$A$2:$A$9,MOD(ROW()-2,8)+1)</f>
        <v>M005</v>
      </c>
      <c r="C230">
        <f>SUMIFS(Weekly_Material_Requirements!$F:$F,Weekly_Material_Requirements!$A:$A,A230,Weekly_Material_Requirements!$C:$C,B230)</f>
        <v>5044</v>
      </c>
    </row>
    <row r="231" spans="1:3">
      <c r="A231" s="1" cm="1">
        <f t="array" ref="A231">INDEX(Calendar_Weeks!$A$2:$A$53,INT((ROW()-2)/8)+1)</f>
        <v>46223</v>
      </c>
      <c r="B231" t="str" cm="1">
        <f t="array" ref="B231">INDEX(Material_Master!$A$2:$A$9,MOD(ROW()-2,8)+1)</f>
        <v>M006</v>
      </c>
      <c r="C231">
        <f>SUMIFS(Weekly_Material_Requirements!$F:$F,Weekly_Material_Requirements!$A:$A,A231,Weekly_Material_Requirements!$C:$C,B231)</f>
        <v>567.20000000000005</v>
      </c>
    </row>
    <row r="232" spans="1:3">
      <c r="A232" s="1" cm="1">
        <f t="array" ref="A232">INDEX(Calendar_Weeks!$A$2:$A$53,INT((ROW()-2)/8)+1)</f>
        <v>46223</v>
      </c>
      <c r="B232" t="str" cm="1">
        <f t="array" ref="B232">INDEX(Material_Master!$A$2:$A$9,MOD(ROW()-2,8)+1)</f>
        <v>M007</v>
      </c>
      <c r="C232">
        <f>SUMIFS(Weekly_Material_Requirements!$F:$F,Weekly_Material_Requirements!$A:$A,A232,Weekly_Material_Requirements!$C:$C,B232)</f>
        <v>63200</v>
      </c>
    </row>
    <row r="233" spans="1:3">
      <c r="A233" s="1" cm="1">
        <f t="array" ref="A233">INDEX(Calendar_Weeks!$A$2:$A$53,INT((ROW()-2)/8)+1)</f>
        <v>46223</v>
      </c>
      <c r="B233" t="str" cm="1">
        <f t="array" ref="B233">INDEX(Material_Master!$A$2:$A$9,MOD(ROW()-2,8)+1)</f>
        <v>M008</v>
      </c>
      <c r="C233">
        <f>SUMIFS(Weekly_Material_Requirements!$F:$F,Weekly_Material_Requirements!$A:$A,A233,Weekly_Material_Requirements!$C:$C,B233)</f>
        <v>63200</v>
      </c>
    </row>
    <row r="234" spans="1:3">
      <c r="A234" s="1" cm="1">
        <f t="array" ref="A234">INDEX(Calendar_Weeks!$A$2:$A$53,INT((ROW()-2)/8)+1)</f>
        <v>46230</v>
      </c>
      <c r="B234" t="str" cm="1">
        <f t="array" ref="B234">INDEX(Material_Master!$A$2:$A$9,MOD(ROW()-2,8)+1)</f>
        <v>M001</v>
      </c>
      <c r="C234">
        <f>SUMIFS(Weekly_Material_Requirements!$F:$F,Weekly_Material_Requirements!$A:$A,A234,Weekly_Material_Requirements!$C:$C,B234)</f>
        <v>5495</v>
      </c>
    </row>
    <row r="235" spans="1:3">
      <c r="A235" s="1" cm="1">
        <f t="array" ref="A235">INDEX(Calendar_Weeks!$A$2:$A$53,INT((ROW()-2)/8)+1)</f>
        <v>46230</v>
      </c>
      <c r="B235" t="str" cm="1">
        <f t="array" ref="B235">INDEX(Material_Master!$A$2:$A$9,MOD(ROW()-2,8)+1)</f>
        <v>M002</v>
      </c>
      <c r="C235">
        <f>SUMIFS(Weekly_Material_Requirements!$F:$F,Weekly_Material_Requirements!$A:$A,A235,Weekly_Material_Requirements!$C:$C,B235)</f>
        <v>4260</v>
      </c>
    </row>
    <row r="236" spans="1:3">
      <c r="A236" s="1" cm="1">
        <f t="array" ref="A236">INDEX(Calendar_Weeks!$A$2:$A$53,INT((ROW()-2)/8)+1)</f>
        <v>46230</v>
      </c>
      <c r="B236" t="str" cm="1">
        <f t="array" ref="B236">INDEX(Material_Master!$A$2:$A$9,MOD(ROW()-2,8)+1)</f>
        <v>M003</v>
      </c>
      <c r="C236">
        <f>SUMIFS(Weekly_Material_Requirements!$F:$F,Weekly_Material_Requirements!$A:$A,A236,Weekly_Material_Requirements!$C:$C,B236)</f>
        <v>3100</v>
      </c>
    </row>
    <row r="237" spans="1:3">
      <c r="A237" s="1" cm="1">
        <f t="array" ref="A237">INDEX(Calendar_Weeks!$A$2:$A$53,INT((ROW()-2)/8)+1)</f>
        <v>46230</v>
      </c>
      <c r="B237" t="str" cm="1">
        <f t="array" ref="B237">INDEX(Material_Master!$A$2:$A$9,MOD(ROW()-2,8)+1)</f>
        <v>M004</v>
      </c>
      <c r="C237">
        <f>SUMIFS(Weekly_Material_Requirements!$F:$F,Weekly_Material_Requirements!$A:$A,A237,Weekly_Material_Requirements!$C:$C,B237)</f>
        <v>4046.0000000000005</v>
      </c>
    </row>
    <row r="238" spans="1:3">
      <c r="A238" s="1" cm="1">
        <f t="array" ref="A238">INDEX(Calendar_Weeks!$A$2:$A$53,INT((ROW()-2)/8)+1)</f>
        <v>46230</v>
      </c>
      <c r="B238" t="str" cm="1">
        <f t="array" ref="B238">INDEX(Material_Master!$A$2:$A$9,MOD(ROW()-2,8)+1)</f>
        <v>M005</v>
      </c>
      <c r="C238">
        <f>SUMIFS(Weekly_Material_Requirements!$F:$F,Weekly_Material_Requirements!$A:$A,A238,Weekly_Material_Requirements!$C:$C,B238)</f>
        <v>4836</v>
      </c>
    </row>
    <row r="239" spans="1:3">
      <c r="A239" s="1" cm="1">
        <f t="array" ref="A239">INDEX(Calendar_Weeks!$A$2:$A$53,INT((ROW()-2)/8)+1)</f>
        <v>46230</v>
      </c>
      <c r="B239" t="str" cm="1">
        <f t="array" ref="B239">INDEX(Material_Master!$A$2:$A$9,MOD(ROW()-2,8)+1)</f>
        <v>M006</v>
      </c>
      <c r="C239">
        <f>SUMIFS(Weekly_Material_Requirements!$F:$F,Weekly_Material_Requirements!$A:$A,A239,Weekly_Material_Requirements!$C:$C,B239)</f>
        <v>563.70000000000005</v>
      </c>
    </row>
    <row r="240" spans="1:3">
      <c r="A240" s="1" cm="1">
        <f t="array" ref="A240">INDEX(Calendar_Weeks!$A$2:$A$53,INT((ROW()-2)/8)+1)</f>
        <v>46230</v>
      </c>
      <c r="B240" t="str" cm="1">
        <f t="array" ref="B240">INDEX(Material_Master!$A$2:$A$9,MOD(ROW()-2,8)+1)</f>
        <v>M007</v>
      </c>
      <c r="C240">
        <f>SUMIFS(Weekly_Material_Requirements!$F:$F,Weekly_Material_Requirements!$A:$A,A240,Weekly_Material_Requirements!$C:$C,B240)</f>
        <v>63500</v>
      </c>
    </row>
    <row r="241" spans="1:3">
      <c r="A241" s="1" cm="1">
        <f t="array" ref="A241">INDEX(Calendar_Weeks!$A$2:$A$53,INT((ROW()-2)/8)+1)</f>
        <v>46230</v>
      </c>
      <c r="B241" t="str" cm="1">
        <f t="array" ref="B241">INDEX(Material_Master!$A$2:$A$9,MOD(ROW()-2,8)+1)</f>
        <v>M008</v>
      </c>
      <c r="C241">
        <f>SUMIFS(Weekly_Material_Requirements!$F:$F,Weekly_Material_Requirements!$A:$A,A241,Weekly_Material_Requirements!$C:$C,B241)</f>
        <v>63500</v>
      </c>
    </row>
    <row r="242" spans="1:3">
      <c r="A242" s="1" cm="1">
        <f t="array" ref="A242">INDEX(Calendar_Weeks!$A$2:$A$53,INT((ROW()-2)/8)+1)</f>
        <v>46237</v>
      </c>
      <c r="B242" t="str" cm="1">
        <f t="array" ref="B242">INDEX(Material_Master!$A$2:$A$9,MOD(ROW()-2,8)+1)</f>
        <v>M001</v>
      </c>
      <c r="C242">
        <f>SUMIFS(Weekly_Material_Requirements!$F:$F,Weekly_Material_Requirements!$A:$A,A242,Weekly_Material_Requirements!$C:$C,B242)</f>
        <v>5600</v>
      </c>
    </row>
    <row r="243" spans="1:3">
      <c r="A243" s="1" cm="1">
        <f t="array" ref="A243">INDEX(Calendar_Weeks!$A$2:$A$53,INT((ROW()-2)/8)+1)</f>
        <v>46237</v>
      </c>
      <c r="B243" t="str" cm="1">
        <f t="array" ref="B243">INDEX(Material_Master!$A$2:$A$9,MOD(ROW()-2,8)+1)</f>
        <v>M002</v>
      </c>
      <c r="C243">
        <f>SUMIFS(Weekly_Material_Requirements!$F:$F,Weekly_Material_Requirements!$A:$A,A243,Weekly_Material_Requirements!$C:$C,B243)</f>
        <v>3960</v>
      </c>
    </row>
    <row r="244" spans="1:3">
      <c r="A244" s="1" cm="1">
        <f t="array" ref="A244">INDEX(Calendar_Weeks!$A$2:$A$53,INT((ROW()-2)/8)+1)</f>
        <v>46237</v>
      </c>
      <c r="B244" t="str" cm="1">
        <f t="array" ref="B244">INDEX(Material_Master!$A$2:$A$9,MOD(ROW()-2,8)+1)</f>
        <v>M003</v>
      </c>
      <c r="C244">
        <f>SUMIFS(Weekly_Material_Requirements!$F:$F,Weekly_Material_Requirements!$A:$A,A244,Weekly_Material_Requirements!$C:$C,B244)</f>
        <v>2975</v>
      </c>
    </row>
    <row r="245" spans="1:3">
      <c r="A245" s="1" cm="1">
        <f t="array" ref="A245">INDEX(Calendar_Weeks!$A$2:$A$53,INT((ROW()-2)/8)+1)</f>
        <v>46237</v>
      </c>
      <c r="B245" t="str" cm="1">
        <f t="array" ref="B245">INDEX(Material_Master!$A$2:$A$9,MOD(ROW()-2,8)+1)</f>
        <v>M004</v>
      </c>
      <c r="C245">
        <f>SUMIFS(Weekly_Material_Requirements!$F:$F,Weekly_Material_Requirements!$A:$A,A245,Weekly_Material_Requirements!$C:$C,B245)</f>
        <v>4284</v>
      </c>
    </row>
    <row r="246" spans="1:3">
      <c r="A246" s="1" cm="1">
        <f t="array" ref="A246">INDEX(Calendar_Weeks!$A$2:$A$53,INT((ROW()-2)/8)+1)</f>
        <v>46237</v>
      </c>
      <c r="B246" t="str" cm="1">
        <f t="array" ref="B246">INDEX(Material_Master!$A$2:$A$9,MOD(ROW()-2,8)+1)</f>
        <v>M005</v>
      </c>
      <c r="C246">
        <f>SUMIFS(Weekly_Material_Requirements!$F:$F,Weekly_Material_Requirements!$A:$A,A246,Weekly_Material_Requirements!$C:$C,B246)</f>
        <v>5044</v>
      </c>
    </row>
    <row r="247" spans="1:3">
      <c r="A247" s="1" cm="1">
        <f t="array" ref="A247">INDEX(Calendar_Weeks!$A$2:$A$53,INT((ROW()-2)/8)+1)</f>
        <v>46237</v>
      </c>
      <c r="B247" t="str" cm="1">
        <f t="array" ref="B247">INDEX(Material_Master!$A$2:$A$9,MOD(ROW()-2,8)+1)</f>
        <v>M006</v>
      </c>
      <c r="C247">
        <f>SUMIFS(Weekly_Material_Requirements!$F:$F,Weekly_Material_Requirements!$A:$A,A247,Weekly_Material_Requirements!$C:$C,B247)</f>
        <v>566.79999999999995</v>
      </c>
    </row>
    <row r="248" spans="1:3">
      <c r="A248" s="1" cm="1">
        <f t="array" ref="A248">INDEX(Calendar_Weeks!$A$2:$A$53,INT((ROW()-2)/8)+1)</f>
        <v>46237</v>
      </c>
      <c r="B248" t="str" cm="1">
        <f t="array" ref="B248">INDEX(Material_Master!$A$2:$A$9,MOD(ROW()-2,8)+1)</f>
        <v>M007</v>
      </c>
      <c r="C248">
        <f>SUMIFS(Weekly_Material_Requirements!$F:$F,Weekly_Material_Requirements!$A:$A,A248,Weekly_Material_Requirements!$C:$C,B248)</f>
        <v>63400</v>
      </c>
    </row>
    <row r="249" spans="1:3">
      <c r="A249" s="1" cm="1">
        <f t="array" ref="A249">INDEX(Calendar_Weeks!$A$2:$A$53,INT((ROW()-2)/8)+1)</f>
        <v>46237</v>
      </c>
      <c r="B249" t="str" cm="1">
        <f t="array" ref="B249">INDEX(Material_Master!$A$2:$A$9,MOD(ROW()-2,8)+1)</f>
        <v>M008</v>
      </c>
      <c r="C249">
        <f>SUMIFS(Weekly_Material_Requirements!$F:$F,Weekly_Material_Requirements!$A:$A,A249,Weekly_Material_Requirements!$C:$C,B249)</f>
        <v>63400</v>
      </c>
    </row>
    <row r="250" spans="1:3">
      <c r="A250" s="1" cm="1">
        <f t="array" ref="A250">INDEX(Calendar_Weeks!$A$2:$A$53,INT((ROW()-2)/8)+1)</f>
        <v>46244</v>
      </c>
      <c r="B250" t="str" cm="1">
        <f t="array" ref="B250">INDEX(Material_Master!$A$2:$A$9,MOD(ROW()-2,8)+1)</f>
        <v>M001</v>
      </c>
      <c r="C250">
        <f>SUMIFS(Weekly_Material_Requirements!$F:$F,Weekly_Material_Requirements!$A:$A,A250,Weekly_Material_Requirements!$C:$C,B250)</f>
        <v>5390</v>
      </c>
    </row>
    <row r="251" spans="1:3">
      <c r="A251" s="1" cm="1">
        <f t="array" ref="A251">INDEX(Calendar_Weeks!$A$2:$A$53,INT((ROW()-2)/8)+1)</f>
        <v>46244</v>
      </c>
      <c r="B251" t="str" cm="1">
        <f t="array" ref="B251">INDEX(Material_Master!$A$2:$A$9,MOD(ROW()-2,8)+1)</f>
        <v>M002</v>
      </c>
      <c r="C251">
        <f>SUMIFS(Weekly_Material_Requirements!$F:$F,Weekly_Material_Requirements!$A:$A,A251,Weekly_Material_Requirements!$C:$C,B251)</f>
        <v>4050</v>
      </c>
    </row>
    <row r="252" spans="1:3">
      <c r="A252" s="1" cm="1">
        <f t="array" ref="A252">INDEX(Calendar_Weeks!$A$2:$A$53,INT((ROW()-2)/8)+1)</f>
        <v>46244</v>
      </c>
      <c r="B252" t="str" cm="1">
        <f t="array" ref="B252">INDEX(Material_Master!$A$2:$A$9,MOD(ROW()-2,8)+1)</f>
        <v>M003</v>
      </c>
      <c r="C252">
        <f>SUMIFS(Weekly_Material_Requirements!$F:$F,Weekly_Material_Requirements!$A:$A,A252,Weekly_Material_Requirements!$C:$C,B252)</f>
        <v>2775</v>
      </c>
    </row>
    <row r="253" spans="1:3">
      <c r="A253" s="1" cm="1">
        <f t="array" ref="A253">INDEX(Calendar_Weeks!$A$2:$A$53,INT((ROW()-2)/8)+1)</f>
        <v>46244</v>
      </c>
      <c r="B253" t="str" cm="1">
        <f t="array" ref="B253">INDEX(Material_Master!$A$2:$A$9,MOD(ROW()-2,8)+1)</f>
        <v>M004</v>
      </c>
      <c r="C253">
        <f>SUMIFS(Weekly_Material_Requirements!$F:$F,Weekly_Material_Requirements!$A:$A,A253,Weekly_Material_Requirements!$C:$C,B253)</f>
        <v>4488</v>
      </c>
    </row>
    <row r="254" spans="1:3">
      <c r="A254" s="1" cm="1">
        <f t="array" ref="A254">INDEX(Calendar_Weeks!$A$2:$A$53,INT((ROW()-2)/8)+1)</f>
        <v>46244</v>
      </c>
      <c r="B254" t="str" cm="1">
        <f t="array" ref="B254">INDEX(Material_Master!$A$2:$A$9,MOD(ROW()-2,8)+1)</f>
        <v>M005</v>
      </c>
      <c r="C254">
        <f>SUMIFS(Weekly_Material_Requirements!$F:$F,Weekly_Material_Requirements!$A:$A,A254,Weekly_Material_Requirements!$C:$C,B254)</f>
        <v>5304</v>
      </c>
    </row>
    <row r="255" spans="1:3">
      <c r="A255" s="1" cm="1">
        <f t="array" ref="A255">INDEX(Calendar_Weeks!$A$2:$A$53,INT((ROW()-2)/8)+1)</f>
        <v>46244</v>
      </c>
      <c r="B255" t="str" cm="1">
        <f t="array" ref="B255">INDEX(Material_Master!$A$2:$A$9,MOD(ROW()-2,8)+1)</f>
        <v>M006</v>
      </c>
      <c r="C255">
        <f>SUMIFS(Weekly_Material_Requirements!$F:$F,Weekly_Material_Requirements!$A:$A,A255,Weekly_Material_Requirements!$C:$C,B255)</f>
        <v>569.80000000000007</v>
      </c>
    </row>
    <row r="256" spans="1:3">
      <c r="A256" s="1" cm="1">
        <f t="array" ref="A256">INDEX(Calendar_Weeks!$A$2:$A$53,INT((ROW()-2)/8)+1)</f>
        <v>46244</v>
      </c>
      <c r="B256" t="str" cm="1">
        <f t="array" ref="B256">INDEX(Material_Master!$A$2:$A$9,MOD(ROW()-2,8)+1)</f>
        <v>M007</v>
      </c>
      <c r="C256">
        <f>SUMIFS(Weekly_Material_Requirements!$F:$F,Weekly_Material_Requirements!$A:$A,A256,Weekly_Material_Requirements!$C:$C,B256)</f>
        <v>63400</v>
      </c>
    </row>
    <row r="257" spans="1:3">
      <c r="A257" s="1" cm="1">
        <f t="array" ref="A257">INDEX(Calendar_Weeks!$A$2:$A$53,INT((ROW()-2)/8)+1)</f>
        <v>46244</v>
      </c>
      <c r="B257" t="str" cm="1">
        <f t="array" ref="B257">INDEX(Material_Master!$A$2:$A$9,MOD(ROW()-2,8)+1)</f>
        <v>M008</v>
      </c>
      <c r="C257">
        <f>SUMIFS(Weekly_Material_Requirements!$F:$F,Weekly_Material_Requirements!$A:$A,A257,Weekly_Material_Requirements!$C:$C,B257)</f>
        <v>63400</v>
      </c>
    </row>
    <row r="258" spans="1:3">
      <c r="A258" s="1" cm="1">
        <f t="array" ref="A258">INDEX(Calendar_Weeks!$A$2:$A$53,INT((ROW()-2)/8)+1)</f>
        <v>46251</v>
      </c>
      <c r="B258" t="str" cm="1">
        <f t="array" ref="B258">INDEX(Material_Master!$A$2:$A$9,MOD(ROW()-2,8)+1)</f>
        <v>M001</v>
      </c>
      <c r="C258">
        <f>SUMIFS(Weekly_Material_Requirements!$F:$F,Weekly_Material_Requirements!$A:$A,A258,Weekly_Material_Requirements!$C:$C,B258)</f>
        <v>5810</v>
      </c>
    </row>
    <row r="259" spans="1:3">
      <c r="A259" s="1" cm="1">
        <f t="array" ref="A259">INDEX(Calendar_Weeks!$A$2:$A$53,INT((ROW()-2)/8)+1)</f>
        <v>46251</v>
      </c>
      <c r="B259" t="str" cm="1">
        <f t="array" ref="B259">INDEX(Material_Master!$A$2:$A$9,MOD(ROW()-2,8)+1)</f>
        <v>M002</v>
      </c>
      <c r="C259">
        <f>SUMIFS(Weekly_Material_Requirements!$F:$F,Weekly_Material_Requirements!$A:$A,A259,Weekly_Material_Requirements!$C:$C,B259)</f>
        <v>3990</v>
      </c>
    </row>
    <row r="260" spans="1:3">
      <c r="A260" s="1" cm="1">
        <f t="array" ref="A260">INDEX(Calendar_Weeks!$A$2:$A$53,INT((ROW()-2)/8)+1)</f>
        <v>46251</v>
      </c>
      <c r="B260" t="str" cm="1">
        <f t="array" ref="B260">INDEX(Material_Master!$A$2:$A$9,MOD(ROW()-2,8)+1)</f>
        <v>M003</v>
      </c>
      <c r="C260">
        <f>SUMIFS(Weekly_Material_Requirements!$F:$F,Weekly_Material_Requirements!$A:$A,A260,Weekly_Material_Requirements!$C:$C,B260)</f>
        <v>2925</v>
      </c>
    </row>
    <row r="261" spans="1:3">
      <c r="A261" s="1" cm="1">
        <f t="array" ref="A261">INDEX(Calendar_Weeks!$A$2:$A$53,INT((ROW()-2)/8)+1)</f>
        <v>46251</v>
      </c>
      <c r="B261" t="str" cm="1">
        <f t="array" ref="B261">INDEX(Material_Master!$A$2:$A$9,MOD(ROW()-2,8)+1)</f>
        <v>M004</v>
      </c>
      <c r="C261">
        <f>SUMIFS(Weekly_Material_Requirements!$F:$F,Weekly_Material_Requirements!$A:$A,A261,Weekly_Material_Requirements!$C:$C,B261)</f>
        <v>4318</v>
      </c>
    </row>
    <row r="262" spans="1:3">
      <c r="A262" s="1" cm="1">
        <f t="array" ref="A262">INDEX(Calendar_Weeks!$A$2:$A$53,INT((ROW()-2)/8)+1)</f>
        <v>46251</v>
      </c>
      <c r="B262" t="str" cm="1">
        <f t="array" ref="B262">INDEX(Material_Master!$A$2:$A$9,MOD(ROW()-2,8)+1)</f>
        <v>M005</v>
      </c>
      <c r="C262">
        <f>SUMIFS(Weekly_Material_Requirements!$F:$F,Weekly_Material_Requirements!$A:$A,A262,Weekly_Material_Requirements!$C:$C,B262)</f>
        <v>4836</v>
      </c>
    </row>
    <row r="263" spans="1:3">
      <c r="A263" s="1" cm="1">
        <f t="array" ref="A263">INDEX(Calendar_Weeks!$A$2:$A$53,INT((ROW()-2)/8)+1)</f>
        <v>46251</v>
      </c>
      <c r="B263" t="str" cm="1">
        <f t="array" ref="B263">INDEX(Material_Master!$A$2:$A$9,MOD(ROW()-2,8)+1)</f>
        <v>M006</v>
      </c>
      <c r="C263">
        <f>SUMIFS(Weekly_Material_Requirements!$F:$F,Weekly_Material_Requirements!$A:$A,A263,Weekly_Material_Requirements!$C:$C,B263)</f>
        <v>568.5</v>
      </c>
    </row>
    <row r="264" spans="1:3">
      <c r="A264" s="1" cm="1">
        <f t="array" ref="A264">INDEX(Calendar_Weeks!$A$2:$A$53,INT((ROW()-2)/8)+1)</f>
        <v>46251</v>
      </c>
      <c r="B264" t="str" cm="1">
        <f t="array" ref="B264">INDEX(Material_Master!$A$2:$A$9,MOD(ROW()-2,8)+1)</f>
        <v>M007</v>
      </c>
      <c r="C264">
        <f>SUMIFS(Weekly_Material_Requirements!$F:$F,Weekly_Material_Requirements!$A:$A,A264,Weekly_Material_Requirements!$C:$C,B264)</f>
        <v>63600</v>
      </c>
    </row>
    <row r="265" spans="1:3">
      <c r="A265" s="1" cm="1">
        <f t="array" ref="A265">INDEX(Calendar_Weeks!$A$2:$A$53,INT((ROW()-2)/8)+1)</f>
        <v>46251</v>
      </c>
      <c r="B265" t="str" cm="1">
        <f t="array" ref="B265">INDEX(Material_Master!$A$2:$A$9,MOD(ROW()-2,8)+1)</f>
        <v>M008</v>
      </c>
      <c r="C265">
        <f>SUMIFS(Weekly_Material_Requirements!$F:$F,Weekly_Material_Requirements!$A:$A,A265,Weekly_Material_Requirements!$C:$C,B265)</f>
        <v>63600</v>
      </c>
    </row>
    <row r="266" spans="1:3">
      <c r="A266" s="1" cm="1">
        <f t="array" ref="A266">INDEX(Calendar_Weeks!$A$2:$A$53,INT((ROW()-2)/8)+1)</f>
        <v>46258</v>
      </c>
      <c r="B266" t="str" cm="1">
        <f t="array" ref="B266">INDEX(Material_Master!$A$2:$A$9,MOD(ROW()-2,8)+1)</f>
        <v>M001</v>
      </c>
      <c r="C266">
        <f>SUMIFS(Weekly_Material_Requirements!$F:$F,Weekly_Material_Requirements!$A:$A,A266,Weekly_Material_Requirements!$C:$C,B266)</f>
        <v>5390</v>
      </c>
    </row>
    <row r="267" spans="1:3">
      <c r="A267" s="1" cm="1">
        <f t="array" ref="A267">INDEX(Calendar_Weeks!$A$2:$A$53,INT((ROW()-2)/8)+1)</f>
        <v>46258</v>
      </c>
      <c r="B267" t="str" cm="1">
        <f t="array" ref="B267">INDEX(Material_Master!$A$2:$A$9,MOD(ROW()-2,8)+1)</f>
        <v>M002</v>
      </c>
      <c r="C267">
        <f>SUMIFS(Weekly_Material_Requirements!$F:$F,Weekly_Material_Requirements!$A:$A,A267,Weekly_Material_Requirements!$C:$C,B267)</f>
        <v>3930</v>
      </c>
    </row>
    <row r="268" spans="1:3">
      <c r="A268" s="1" cm="1">
        <f t="array" ref="A268">INDEX(Calendar_Weeks!$A$2:$A$53,INT((ROW()-2)/8)+1)</f>
        <v>46258</v>
      </c>
      <c r="B268" t="str" cm="1">
        <f t="array" ref="B268">INDEX(Material_Master!$A$2:$A$9,MOD(ROW()-2,8)+1)</f>
        <v>M003</v>
      </c>
      <c r="C268">
        <f>SUMIFS(Weekly_Material_Requirements!$F:$F,Weekly_Material_Requirements!$A:$A,A268,Weekly_Material_Requirements!$C:$C,B268)</f>
        <v>2975</v>
      </c>
    </row>
    <row r="269" spans="1:3">
      <c r="A269" s="1" cm="1">
        <f t="array" ref="A269">INDEX(Calendar_Weeks!$A$2:$A$53,INT((ROW()-2)/8)+1)</f>
        <v>46258</v>
      </c>
      <c r="B269" t="str" cm="1">
        <f t="array" ref="B269">INDEX(Material_Master!$A$2:$A$9,MOD(ROW()-2,8)+1)</f>
        <v>M004</v>
      </c>
      <c r="C269">
        <f>SUMIFS(Weekly_Material_Requirements!$F:$F,Weekly_Material_Requirements!$A:$A,A269,Weekly_Material_Requirements!$C:$C,B269)</f>
        <v>4386</v>
      </c>
    </row>
    <row r="270" spans="1:3">
      <c r="A270" s="1" cm="1">
        <f t="array" ref="A270">INDEX(Calendar_Weeks!$A$2:$A$53,INT((ROW()-2)/8)+1)</f>
        <v>46258</v>
      </c>
      <c r="B270" t="str" cm="1">
        <f t="array" ref="B270">INDEX(Material_Master!$A$2:$A$9,MOD(ROW()-2,8)+1)</f>
        <v>M005</v>
      </c>
      <c r="C270">
        <f>SUMIFS(Weekly_Material_Requirements!$F:$F,Weekly_Material_Requirements!$A:$A,A270,Weekly_Material_Requirements!$C:$C,B270)</f>
        <v>5148</v>
      </c>
    </row>
    <row r="271" spans="1:3">
      <c r="A271" s="1" cm="1">
        <f t="array" ref="A271">INDEX(Calendar_Weeks!$A$2:$A$53,INT((ROW()-2)/8)+1)</f>
        <v>46258</v>
      </c>
      <c r="B271" t="str" cm="1">
        <f t="array" ref="B271">INDEX(Material_Master!$A$2:$A$9,MOD(ROW()-2,8)+1)</f>
        <v>M006</v>
      </c>
      <c r="C271">
        <f>SUMIFS(Weekly_Material_Requirements!$F:$F,Weekly_Material_Requirements!$A:$A,A271,Weekly_Material_Requirements!$C:$C,B271)</f>
        <v>565.1</v>
      </c>
    </row>
    <row r="272" spans="1:3">
      <c r="A272" s="1" cm="1">
        <f t="array" ref="A272">INDEX(Calendar_Weeks!$A$2:$A$53,INT((ROW()-2)/8)+1)</f>
        <v>46258</v>
      </c>
      <c r="B272" t="str" cm="1">
        <f t="array" ref="B272">INDEX(Material_Master!$A$2:$A$9,MOD(ROW()-2,8)+1)</f>
        <v>M007</v>
      </c>
      <c r="C272">
        <f>SUMIFS(Weekly_Material_Requirements!$F:$F,Weekly_Material_Requirements!$A:$A,A272,Weekly_Material_Requirements!$C:$C,B272)</f>
        <v>63200</v>
      </c>
    </row>
    <row r="273" spans="1:3">
      <c r="A273" s="1" cm="1">
        <f t="array" ref="A273">INDEX(Calendar_Weeks!$A$2:$A$53,INT((ROW()-2)/8)+1)</f>
        <v>46258</v>
      </c>
      <c r="B273" t="str" cm="1">
        <f t="array" ref="B273">INDEX(Material_Master!$A$2:$A$9,MOD(ROW()-2,8)+1)</f>
        <v>M008</v>
      </c>
      <c r="C273">
        <f>SUMIFS(Weekly_Material_Requirements!$F:$F,Weekly_Material_Requirements!$A:$A,A273,Weekly_Material_Requirements!$C:$C,B273)</f>
        <v>63200</v>
      </c>
    </row>
    <row r="274" spans="1:3">
      <c r="A274" s="1" cm="1">
        <f t="array" ref="A274">INDEX(Calendar_Weeks!$A$2:$A$53,INT((ROW()-2)/8)+1)</f>
        <v>46265</v>
      </c>
      <c r="B274" t="str" cm="1">
        <f t="array" ref="B274">INDEX(Material_Master!$A$2:$A$9,MOD(ROW()-2,8)+1)</f>
        <v>M001</v>
      </c>
      <c r="C274">
        <f>SUMIFS(Weekly_Material_Requirements!$F:$F,Weekly_Material_Requirements!$A:$A,A274,Weekly_Material_Requirements!$C:$C,B274)</f>
        <v>5425</v>
      </c>
    </row>
    <row r="275" spans="1:3">
      <c r="A275" s="1" cm="1">
        <f t="array" ref="A275">INDEX(Calendar_Weeks!$A$2:$A$53,INT((ROW()-2)/8)+1)</f>
        <v>46265</v>
      </c>
      <c r="B275" t="str" cm="1">
        <f t="array" ref="B275">INDEX(Material_Master!$A$2:$A$9,MOD(ROW()-2,8)+1)</f>
        <v>M002</v>
      </c>
      <c r="C275">
        <f>SUMIFS(Weekly_Material_Requirements!$F:$F,Weekly_Material_Requirements!$A:$A,A275,Weekly_Material_Requirements!$C:$C,B275)</f>
        <v>4050</v>
      </c>
    </row>
    <row r="276" spans="1:3">
      <c r="A276" s="1" cm="1">
        <f t="array" ref="A276">INDEX(Calendar_Weeks!$A$2:$A$53,INT((ROW()-2)/8)+1)</f>
        <v>46265</v>
      </c>
      <c r="B276" t="str" cm="1">
        <f t="array" ref="B276">INDEX(Material_Master!$A$2:$A$9,MOD(ROW()-2,8)+1)</f>
        <v>M003</v>
      </c>
      <c r="C276">
        <f>SUMIFS(Weekly_Material_Requirements!$F:$F,Weekly_Material_Requirements!$A:$A,A276,Weekly_Material_Requirements!$C:$C,B276)</f>
        <v>2925</v>
      </c>
    </row>
    <row r="277" spans="1:3">
      <c r="A277" s="1" cm="1">
        <f t="array" ref="A277">INDEX(Calendar_Weeks!$A$2:$A$53,INT((ROW()-2)/8)+1)</f>
        <v>46265</v>
      </c>
      <c r="B277" t="str" cm="1">
        <f t="array" ref="B277">INDEX(Material_Master!$A$2:$A$9,MOD(ROW()-2,8)+1)</f>
        <v>M004</v>
      </c>
      <c r="C277">
        <f>SUMIFS(Weekly_Material_Requirements!$F:$F,Weekly_Material_Requirements!$A:$A,A277,Weekly_Material_Requirements!$C:$C,B277)</f>
        <v>4386</v>
      </c>
    </row>
    <row r="278" spans="1:3">
      <c r="A278" s="1" cm="1">
        <f t="array" ref="A278">INDEX(Calendar_Weeks!$A$2:$A$53,INT((ROW()-2)/8)+1)</f>
        <v>46265</v>
      </c>
      <c r="B278" t="str" cm="1">
        <f t="array" ref="B278">INDEX(Material_Master!$A$2:$A$9,MOD(ROW()-2,8)+1)</f>
        <v>M005</v>
      </c>
      <c r="C278">
        <f>SUMIFS(Weekly_Material_Requirements!$F:$F,Weekly_Material_Requirements!$A:$A,A278,Weekly_Material_Requirements!$C:$C,B278)</f>
        <v>4992</v>
      </c>
    </row>
    <row r="279" spans="1:3">
      <c r="A279" s="1" cm="1">
        <f t="array" ref="A279">INDEX(Calendar_Weeks!$A$2:$A$53,INT((ROW()-2)/8)+1)</f>
        <v>46265</v>
      </c>
      <c r="B279" t="str" cm="1">
        <f t="array" ref="B279">INDEX(Material_Master!$A$2:$A$9,MOD(ROW()-2,8)+1)</f>
        <v>M006</v>
      </c>
      <c r="C279">
        <f>SUMIFS(Weekly_Material_Requirements!$F:$F,Weekly_Material_Requirements!$A:$A,A279,Weekly_Material_Requirements!$C:$C,B279)</f>
        <v>564.5</v>
      </c>
    </row>
    <row r="280" spans="1:3">
      <c r="A280" s="1" cm="1">
        <f t="array" ref="A280">INDEX(Calendar_Weeks!$A$2:$A$53,INT((ROW()-2)/8)+1)</f>
        <v>46265</v>
      </c>
      <c r="B280" t="str" cm="1">
        <f t="array" ref="B280">INDEX(Material_Master!$A$2:$A$9,MOD(ROW()-2,8)+1)</f>
        <v>M007</v>
      </c>
      <c r="C280">
        <f>SUMIFS(Weekly_Material_Requirements!$F:$F,Weekly_Material_Requirements!$A:$A,A280,Weekly_Material_Requirements!$C:$C,B280)</f>
        <v>63200</v>
      </c>
    </row>
    <row r="281" spans="1:3">
      <c r="A281" s="1" cm="1">
        <f t="array" ref="A281">INDEX(Calendar_Weeks!$A$2:$A$53,INT((ROW()-2)/8)+1)</f>
        <v>46265</v>
      </c>
      <c r="B281" t="str" cm="1">
        <f t="array" ref="B281">INDEX(Material_Master!$A$2:$A$9,MOD(ROW()-2,8)+1)</f>
        <v>M008</v>
      </c>
      <c r="C281">
        <f>SUMIFS(Weekly_Material_Requirements!$F:$F,Weekly_Material_Requirements!$A:$A,A281,Weekly_Material_Requirements!$C:$C,B281)</f>
        <v>63200</v>
      </c>
    </row>
    <row r="282" spans="1:3">
      <c r="A282" s="1" cm="1">
        <f t="array" ref="A282">INDEX(Calendar_Weeks!$A$2:$A$53,INT((ROW()-2)/8)+1)</f>
        <v>46272</v>
      </c>
      <c r="B282" t="str" cm="1">
        <f t="array" ref="B282">INDEX(Material_Master!$A$2:$A$9,MOD(ROW()-2,8)+1)</f>
        <v>M001</v>
      </c>
      <c r="C282">
        <f>SUMIFS(Weekly_Material_Requirements!$F:$F,Weekly_Material_Requirements!$A:$A,A282,Weekly_Material_Requirements!$C:$C,B282)</f>
        <v>5180</v>
      </c>
    </row>
    <row r="283" spans="1:3">
      <c r="A283" s="1" cm="1">
        <f t="array" ref="A283">INDEX(Calendar_Weeks!$A$2:$A$53,INT((ROW()-2)/8)+1)</f>
        <v>46272</v>
      </c>
      <c r="B283" t="str" cm="1">
        <f t="array" ref="B283">INDEX(Material_Master!$A$2:$A$9,MOD(ROW()-2,8)+1)</f>
        <v>M002</v>
      </c>
      <c r="C283">
        <f>SUMIFS(Weekly_Material_Requirements!$F:$F,Weekly_Material_Requirements!$A:$A,A283,Weekly_Material_Requirements!$C:$C,B283)</f>
        <v>3690</v>
      </c>
    </row>
    <row r="284" spans="1:3">
      <c r="A284" s="1" cm="1">
        <f t="array" ref="A284">INDEX(Calendar_Weeks!$A$2:$A$53,INT((ROW()-2)/8)+1)</f>
        <v>46272</v>
      </c>
      <c r="B284" t="str" cm="1">
        <f t="array" ref="B284">INDEX(Material_Master!$A$2:$A$9,MOD(ROW()-2,8)+1)</f>
        <v>M003</v>
      </c>
      <c r="C284">
        <f>SUMIFS(Weekly_Material_Requirements!$F:$F,Weekly_Material_Requirements!$A:$A,A284,Weekly_Material_Requirements!$C:$C,B284)</f>
        <v>2600</v>
      </c>
    </row>
    <row r="285" spans="1:3">
      <c r="A285" s="1" cm="1">
        <f t="array" ref="A285">INDEX(Calendar_Weeks!$A$2:$A$53,INT((ROW()-2)/8)+1)</f>
        <v>46272</v>
      </c>
      <c r="B285" t="str" cm="1">
        <f t="array" ref="B285">INDEX(Material_Master!$A$2:$A$9,MOD(ROW()-2,8)+1)</f>
        <v>M004</v>
      </c>
      <c r="C285">
        <f>SUMIFS(Weekly_Material_Requirements!$F:$F,Weekly_Material_Requirements!$A:$A,A285,Weekly_Material_Requirements!$C:$C,B285)</f>
        <v>3876.0000000000005</v>
      </c>
    </row>
    <row r="286" spans="1:3">
      <c r="A286" s="1" cm="1">
        <f t="array" ref="A286">INDEX(Calendar_Weeks!$A$2:$A$53,INT((ROW()-2)/8)+1)</f>
        <v>46272</v>
      </c>
      <c r="B286" t="str" cm="1">
        <f t="array" ref="B286">INDEX(Material_Master!$A$2:$A$9,MOD(ROW()-2,8)+1)</f>
        <v>M005</v>
      </c>
      <c r="C286">
        <f>SUMIFS(Weekly_Material_Requirements!$F:$F,Weekly_Material_Requirements!$A:$A,A286,Weekly_Material_Requirements!$C:$C,B286)</f>
        <v>4420</v>
      </c>
    </row>
    <row r="287" spans="1:3">
      <c r="A287" s="1" cm="1">
        <f t="array" ref="A287">INDEX(Calendar_Weeks!$A$2:$A$53,INT((ROW()-2)/8)+1)</f>
        <v>46272</v>
      </c>
      <c r="B287" t="str" cm="1">
        <f t="array" ref="B287">INDEX(Material_Master!$A$2:$A$9,MOD(ROW()-2,8)+1)</f>
        <v>M006</v>
      </c>
      <c r="C287">
        <f>SUMIFS(Weekly_Material_Requirements!$F:$F,Weekly_Material_Requirements!$A:$A,A287,Weekly_Material_Requirements!$C:$C,B287)</f>
        <v>513.4</v>
      </c>
    </row>
    <row r="288" spans="1:3">
      <c r="A288" s="1" cm="1">
        <f t="array" ref="A288">INDEX(Calendar_Weeks!$A$2:$A$53,INT((ROW()-2)/8)+1)</f>
        <v>46272</v>
      </c>
      <c r="B288" t="str" cm="1">
        <f t="array" ref="B288">INDEX(Material_Master!$A$2:$A$9,MOD(ROW()-2,8)+1)</f>
        <v>M007</v>
      </c>
      <c r="C288">
        <f>SUMIFS(Weekly_Material_Requirements!$F:$F,Weekly_Material_Requirements!$A:$A,A288,Weekly_Material_Requirements!$C:$C,B288)</f>
        <v>57400</v>
      </c>
    </row>
    <row r="289" spans="1:3">
      <c r="A289" s="1" cm="1">
        <f t="array" ref="A289">INDEX(Calendar_Weeks!$A$2:$A$53,INT((ROW()-2)/8)+1)</f>
        <v>46272</v>
      </c>
      <c r="B289" t="str" cm="1">
        <f t="array" ref="B289">INDEX(Material_Master!$A$2:$A$9,MOD(ROW()-2,8)+1)</f>
        <v>M008</v>
      </c>
      <c r="C289">
        <f>SUMIFS(Weekly_Material_Requirements!$F:$F,Weekly_Material_Requirements!$A:$A,A289,Weekly_Material_Requirements!$C:$C,B289)</f>
        <v>57400</v>
      </c>
    </row>
    <row r="290" spans="1:3">
      <c r="A290" s="1" cm="1">
        <f t="array" ref="A290">INDEX(Calendar_Weeks!$A$2:$A$53,INT((ROW()-2)/8)+1)</f>
        <v>46279</v>
      </c>
      <c r="B290" t="str" cm="1">
        <f t="array" ref="B290">INDEX(Material_Master!$A$2:$A$9,MOD(ROW()-2,8)+1)</f>
        <v>M001</v>
      </c>
      <c r="C290">
        <f>SUMIFS(Weekly_Material_Requirements!$F:$F,Weekly_Material_Requirements!$A:$A,A290,Weekly_Material_Requirements!$C:$C,B290)</f>
        <v>4935</v>
      </c>
    </row>
    <row r="291" spans="1:3">
      <c r="A291" s="1" cm="1">
        <f t="array" ref="A291">INDEX(Calendar_Weeks!$A$2:$A$53,INT((ROW()-2)/8)+1)</f>
        <v>46279</v>
      </c>
      <c r="B291" t="str" cm="1">
        <f t="array" ref="B291">INDEX(Material_Master!$A$2:$A$9,MOD(ROW()-2,8)+1)</f>
        <v>M002</v>
      </c>
      <c r="C291">
        <f>SUMIFS(Weekly_Material_Requirements!$F:$F,Weekly_Material_Requirements!$A:$A,A291,Weekly_Material_Requirements!$C:$C,B291)</f>
        <v>3780</v>
      </c>
    </row>
    <row r="292" spans="1:3">
      <c r="A292" s="1" cm="1">
        <f t="array" ref="A292">INDEX(Calendar_Weeks!$A$2:$A$53,INT((ROW()-2)/8)+1)</f>
        <v>46279</v>
      </c>
      <c r="B292" t="str" cm="1">
        <f t="array" ref="B292">INDEX(Material_Master!$A$2:$A$9,MOD(ROW()-2,8)+1)</f>
        <v>M003</v>
      </c>
      <c r="C292">
        <f>SUMIFS(Weekly_Material_Requirements!$F:$F,Weekly_Material_Requirements!$A:$A,A292,Weekly_Material_Requirements!$C:$C,B292)</f>
        <v>2775</v>
      </c>
    </row>
    <row r="293" spans="1:3">
      <c r="A293" s="1" cm="1">
        <f t="array" ref="A293">INDEX(Calendar_Weeks!$A$2:$A$53,INT((ROW()-2)/8)+1)</f>
        <v>46279</v>
      </c>
      <c r="B293" t="str" cm="1">
        <f t="array" ref="B293">INDEX(Material_Master!$A$2:$A$9,MOD(ROW()-2,8)+1)</f>
        <v>M004</v>
      </c>
      <c r="C293">
        <f>SUMIFS(Weekly_Material_Requirements!$F:$F,Weekly_Material_Requirements!$A:$A,A293,Weekly_Material_Requirements!$C:$C,B293)</f>
        <v>3808.0000000000005</v>
      </c>
    </row>
    <row r="294" spans="1:3">
      <c r="A294" s="1" cm="1">
        <f t="array" ref="A294">INDEX(Calendar_Weeks!$A$2:$A$53,INT((ROW()-2)/8)+1)</f>
        <v>46279</v>
      </c>
      <c r="B294" t="str" cm="1">
        <f t="array" ref="B294">INDEX(Material_Master!$A$2:$A$9,MOD(ROW()-2,8)+1)</f>
        <v>M005</v>
      </c>
      <c r="C294">
        <f>SUMIFS(Weekly_Material_Requirements!$F:$F,Weekly_Material_Requirements!$A:$A,A294,Weekly_Material_Requirements!$C:$C,B294)</f>
        <v>4420</v>
      </c>
    </row>
    <row r="295" spans="1:3">
      <c r="A295" s="1" cm="1">
        <f t="array" ref="A295">INDEX(Calendar_Weeks!$A$2:$A$53,INT((ROW()-2)/8)+1)</f>
        <v>46279</v>
      </c>
      <c r="B295" t="str" cm="1">
        <f t="array" ref="B295">INDEX(Material_Master!$A$2:$A$9,MOD(ROW()-2,8)+1)</f>
        <v>M006</v>
      </c>
      <c r="C295">
        <f>SUMIFS(Weekly_Material_Requirements!$F:$F,Weekly_Material_Requirements!$A:$A,A295,Weekly_Material_Requirements!$C:$C,B295)</f>
        <v>511.2</v>
      </c>
    </row>
    <row r="296" spans="1:3">
      <c r="A296" s="1" cm="1">
        <f t="array" ref="A296">INDEX(Calendar_Weeks!$A$2:$A$53,INT((ROW()-2)/8)+1)</f>
        <v>46279</v>
      </c>
      <c r="B296" t="str" cm="1">
        <f t="array" ref="B296">INDEX(Material_Master!$A$2:$A$9,MOD(ROW()-2,8)+1)</f>
        <v>M007</v>
      </c>
      <c r="C296">
        <f>SUMIFS(Weekly_Material_Requirements!$F:$F,Weekly_Material_Requirements!$A:$A,A296,Weekly_Material_Requirements!$C:$C,B296)</f>
        <v>57500</v>
      </c>
    </row>
    <row r="297" spans="1:3">
      <c r="A297" s="1" cm="1">
        <f t="array" ref="A297">INDEX(Calendar_Weeks!$A$2:$A$53,INT((ROW()-2)/8)+1)</f>
        <v>46279</v>
      </c>
      <c r="B297" t="str" cm="1">
        <f t="array" ref="B297">INDEX(Material_Master!$A$2:$A$9,MOD(ROW()-2,8)+1)</f>
        <v>M008</v>
      </c>
      <c r="C297">
        <f>SUMIFS(Weekly_Material_Requirements!$F:$F,Weekly_Material_Requirements!$A:$A,A297,Weekly_Material_Requirements!$C:$C,B297)</f>
        <v>57500</v>
      </c>
    </row>
    <row r="298" spans="1:3">
      <c r="A298" s="1" cm="1">
        <f t="array" ref="A298">INDEX(Calendar_Weeks!$A$2:$A$53,INT((ROW()-2)/8)+1)</f>
        <v>46286</v>
      </c>
      <c r="B298" t="str" cm="1">
        <f t="array" ref="B298">INDEX(Material_Master!$A$2:$A$9,MOD(ROW()-2,8)+1)</f>
        <v>M001</v>
      </c>
      <c r="C298">
        <f>SUMIFS(Weekly_Material_Requirements!$F:$F,Weekly_Material_Requirements!$A:$A,A298,Weekly_Material_Requirements!$C:$C,B298)</f>
        <v>5005</v>
      </c>
    </row>
    <row r="299" spans="1:3">
      <c r="A299" s="1" cm="1">
        <f t="array" ref="A299">INDEX(Calendar_Weeks!$A$2:$A$53,INT((ROW()-2)/8)+1)</f>
        <v>46286</v>
      </c>
      <c r="B299" t="str" cm="1">
        <f t="array" ref="B299">INDEX(Material_Master!$A$2:$A$9,MOD(ROW()-2,8)+1)</f>
        <v>M002</v>
      </c>
      <c r="C299">
        <f>SUMIFS(Weekly_Material_Requirements!$F:$F,Weekly_Material_Requirements!$A:$A,A299,Weekly_Material_Requirements!$C:$C,B299)</f>
        <v>3900</v>
      </c>
    </row>
    <row r="300" spans="1:3">
      <c r="A300" s="1" cm="1">
        <f t="array" ref="A300">INDEX(Calendar_Weeks!$A$2:$A$53,INT((ROW()-2)/8)+1)</f>
        <v>46286</v>
      </c>
      <c r="B300" t="str" cm="1">
        <f t="array" ref="B300">INDEX(Material_Master!$A$2:$A$9,MOD(ROW()-2,8)+1)</f>
        <v>M003</v>
      </c>
      <c r="C300">
        <f>SUMIFS(Weekly_Material_Requirements!$F:$F,Weekly_Material_Requirements!$A:$A,A300,Weekly_Material_Requirements!$C:$C,B300)</f>
        <v>2875</v>
      </c>
    </row>
    <row r="301" spans="1:3">
      <c r="A301" s="1" cm="1">
        <f t="array" ref="A301">INDEX(Calendar_Weeks!$A$2:$A$53,INT((ROW()-2)/8)+1)</f>
        <v>46286</v>
      </c>
      <c r="B301" t="str" cm="1">
        <f t="array" ref="B301">INDEX(Material_Master!$A$2:$A$9,MOD(ROW()-2,8)+1)</f>
        <v>M004</v>
      </c>
      <c r="C301">
        <f>SUMIFS(Weekly_Material_Requirements!$F:$F,Weekly_Material_Requirements!$A:$A,A301,Weekly_Material_Requirements!$C:$C,B301)</f>
        <v>3944.0000000000005</v>
      </c>
    </row>
    <row r="302" spans="1:3">
      <c r="A302" s="1" cm="1">
        <f t="array" ref="A302">INDEX(Calendar_Weeks!$A$2:$A$53,INT((ROW()-2)/8)+1)</f>
        <v>46286</v>
      </c>
      <c r="B302" t="str" cm="1">
        <f t="array" ref="B302">INDEX(Material_Master!$A$2:$A$9,MOD(ROW()-2,8)+1)</f>
        <v>M005</v>
      </c>
      <c r="C302">
        <f>SUMIFS(Weekly_Material_Requirements!$F:$F,Weekly_Material_Requirements!$A:$A,A302,Weekly_Material_Requirements!$C:$C,B302)</f>
        <v>4524</v>
      </c>
    </row>
    <row r="303" spans="1:3">
      <c r="A303" s="1" cm="1">
        <f t="array" ref="A303">INDEX(Calendar_Weeks!$A$2:$A$53,INT((ROW()-2)/8)+1)</f>
        <v>46286</v>
      </c>
      <c r="B303" t="str" cm="1">
        <f t="array" ref="B303">INDEX(Material_Master!$A$2:$A$9,MOD(ROW()-2,8)+1)</f>
        <v>M006</v>
      </c>
      <c r="C303">
        <f>SUMIFS(Weekly_Material_Requirements!$F:$F,Weekly_Material_Requirements!$A:$A,A303,Weekly_Material_Requirements!$C:$C,B303)</f>
        <v>524.79999999999995</v>
      </c>
    </row>
    <row r="304" spans="1:3">
      <c r="A304" s="1" cm="1">
        <f t="array" ref="A304">INDEX(Calendar_Weeks!$A$2:$A$53,INT((ROW()-2)/8)+1)</f>
        <v>46286</v>
      </c>
      <c r="B304" t="str" cm="1">
        <f t="array" ref="B304">INDEX(Material_Master!$A$2:$A$9,MOD(ROW()-2,8)+1)</f>
        <v>M007</v>
      </c>
      <c r="C304">
        <f>SUMIFS(Weekly_Material_Requirements!$F:$F,Weekly_Material_Requirements!$A:$A,A304,Weekly_Material_Requirements!$C:$C,B304)</f>
        <v>59100</v>
      </c>
    </row>
    <row r="305" spans="1:3">
      <c r="A305" s="1" cm="1">
        <f t="array" ref="A305">INDEX(Calendar_Weeks!$A$2:$A$53,INT((ROW()-2)/8)+1)</f>
        <v>46286</v>
      </c>
      <c r="B305" t="str" cm="1">
        <f t="array" ref="B305">INDEX(Material_Master!$A$2:$A$9,MOD(ROW()-2,8)+1)</f>
        <v>M008</v>
      </c>
      <c r="C305">
        <f>SUMIFS(Weekly_Material_Requirements!$F:$F,Weekly_Material_Requirements!$A:$A,A305,Weekly_Material_Requirements!$C:$C,B305)</f>
        <v>59100</v>
      </c>
    </row>
    <row r="306" spans="1:3">
      <c r="A306" s="1" cm="1">
        <f t="array" ref="A306">INDEX(Calendar_Weeks!$A$2:$A$53,INT((ROW()-2)/8)+1)</f>
        <v>46293</v>
      </c>
      <c r="B306" t="str" cm="1">
        <f t="array" ref="B306">INDEX(Material_Master!$A$2:$A$9,MOD(ROW()-2,8)+1)</f>
        <v>M001</v>
      </c>
      <c r="C306">
        <f>SUMIFS(Weekly_Material_Requirements!$F:$F,Weekly_Material_Requirements!$A:$A,A306,Weekly_Material_Requirements!$C:$C,B306)</f>
        <v>5145</v>
      </c>
    </row>
    <row r="307" spans="1:3">
      <c r="A307" s="1" cm="1">
        <f t="array" ref="A307">INDEX(Calendar_Weeks!$A$2:$A$53,INT((ROW()-2)/8)+1)</f>
        <v>46293</v>
      </c>
      <c r="B307" t="str" cm="1">
        <f t="array" ref="B307">INDEX(Material_Master!$A$2:$A$9,MOD(ROW()-2,8)+1)</f>
        <v>M002</v>
      </c>
      <c r="C307">
        <f>SUMIFS(Weekly_Material_Requirements!$F:$F,Weekly_Material_Requirements!$A:$A,A307,Weekly_Material_Requirements!$C:$C,B307)</f>
        <v>3750</v>
      </c>
    </row>
    <row r="308" spans="1:3">
      <c r="A308" s="1" cm="1">
        <f t="array" ref="A308">INDEX(Calendar_Weeks!$A$2:$A$53,INT((ROW()-2)/8)+1)</f>
        <v>46293</v>
      </c>
      <c r="B308" t="str" cm="1">
        <f t="array" ref="B308">INDEX(Material_Master!$A$2:$A$9,MOD(ROW()-2,8)+1)</f>
        <v>M003</v>
      </c>
      <c r="C308">
        <f>SUMIFS(Weekly_Material_Requirements!$F:$F,Weekly_Material_Requirements!$A:$A,A308,Weekly_Material_Requirements!$C:$C,B308)</f>
        <v>2700</v>
      </c>
    </row>
    <row r="309" spans="1:3">
      <c r="A309" s="1" cm="1">
        <f t="array" ref="A309">INDEX(Calendar_Weeks!$A$2:$A$53,INT((ROW()-2)/8)+1)</f>
        <v>46293</v>
      </c>
      <c r="B309" t="str" cm="1">
        <f t="array" ref="B309">INDEX(Material_Master!$A$2:$A$9,MOD(ROW()-2,8)+1)</f>
        <v>M004</v>
      </c>
      <c r="C309">
        <f>SUMIFS(Weekly_Material_Requirements!$F:$F,Weekly_Material_Requirements!$A:$A,A309,Weekly_Material_Requirements!$C:$C,B309)</f>
        <v>3978.0000000000005</v>
      </c>
    </row>
    <row r="310" spans="1:3">
      <c r="A310" s="1" cm="1">
        <f t="array" ref="A310">INDEX(Calendar_Weeks!$A$2:$A$53,INT((ROW()-2)/8)+1)</f>
        <v>46293</v>
      </c>
      <c r="B310" t="str" cm="1">
        <f t="array" ref="B310">INDEX(Material_Master!$A$2:$A$9,MOD(ROW()-2,8)+1)</f>
        <v>M005</v>
      </c>
      <c r="C310">
        <f>SUMIFS(Weekly_Material_Requirements!$F:$F,Weekly_Material_Requirements!$A:$A,A310,Weekly_Material_Requirements!$C:$C,B310)</f>
        <v>4680</v>
      </c>
    </row>
    <row r="311" spans="1:3">
      <c r="A311" s="1" cm="1">
        <f t="array" ref="A311">INDEX(Calendar_Weeks!$A$2:$A$53,INT((ROW()-2)/8)+1)</f>
        <v>46293</v>
      </c>
      <c r="B311" t="str" cm="1">
        <f t="array" ref="B311">INDEX(Material_Master!$A$2:$A$9,MOD(ROW()-2,8)+1)</f>
        <v>M006</v>
      </c>
      <c r="C311">
        <f>SUMIFS(Weekly_Material_Requirements!$F:$F,Weekly_Material_Requirements!$A:$A,A311,Weekly_Material_Requirements!$C:$C,B311)</f>
        <v>525.1</v>
      </c>
    </row>
    <row r="312" spans="1:3">
      <c r="A312" s="1" cm="1">
        <f t="array" ref="A312">INDEX(Calendar_Weeks!$A$2:$A$53,INT((ROW()-2)/8)+1)</f>
        <v>46293</v>
      </c>
      <c r="B312" t="str" cm="1">
        <f t="array" ref="B312">INDEX(Material_Master!$A$2:$A$9,MOD(ROW()-2,8)+1)</f>
        <v>M007</v>
      </c>
      <c r="C312">
        <f>SUMIFS(Weekly_Material_Requirements!$F:$F,Weekly_Material_Requirements!$A:$A,A312,Weekly_Material_Requirements!$C:$C,B312)</f>
        <v>58700</v>
      </c>
    </row>
    <row r="313" spans="1:3">
      <c r="A313" s="1" cm="1">
        <f t="array" ref="A313">INDEX(Calendar_Weeks!$A$2:$A$53,INT((ROW()-2)/8)+1)</f>
        <v>46293</v>
      </c>
      <c r="B313" t="str" cm="1">
        <f t="array" ref="B313">INDEX(Material_Master!$A$2:$A$9,MOD(ROW()-2,8)+1)</f>
        <v>M008</v>
      </c>
      <c r="C313">
        <f>SUMIFS(Weekly_Material_Requirements!$F:$F,Weekly_Material_Requirements!$A:$A,A313,Weekly_Material_Requirements!$C:$C,B313)</f>
        <v>58700</v>
      </c>
    </row>
    <row r="314" spans="1:3">
      <c r="A314" s="1" cm="1">
        <f t="array" ref="A314">INDEX(Calendar_Weeks!$A$2:$A$53,INT((ROW()-2)/8)+1)</f>
        <v>46300</v>
      </c>
      <c r="B314" t="str" cm="1">
        <f t="array" ref="B314">INDEX(Material_Master!$A$2:$A$9,MOD(ROW()-2,8)+1)</f>
        <v>M001</v>
      </c>
      <c r="C314">
        <f>SUMIFS(Weekly_Material_Requirements!$F:$F,Weekly_Material_Requirements!$A:$A,A314,Weekly_Material_Requirements!$C:$C,B314)</f>
        <v>5250</v>
      </c>
    </row>
    <row r="315" spans="1:3">
      <c r="A315" s="1" cm="1">
        <f t="array" ref="A315">INDEX(Calendar_Weeks!$A$2:$A$53,INT((ROW()-2)/8)+1)</f>
        <v>46300</v>
      </c>
      <c r="B315" t="str" cm="1">
        <f t="array" ref="B315">INDEX(Material_Master!$A$2:$A$9,MOD(ROW()-2,8)+1)</f>
        <v>M002</v>
      </c>
      <c r="C315">
        <f>SUMIFS(Weekly_Material_Requirements!$F:$F,Weekly_Material_Requirements!$A:$A,A315,Weekly_Material_Requirements!$C:$C,B315)</f>
        <v>3690</v>
      </c>
    </row>
    <row r="316" spans="1:3">
      <c r="A316" s="1" cm="1">
        <f t="array" ref="A316">INDEX(Calendar_Weeks!$A$2:$A$53,INT((ROW()-2)/8)+1)</f>
        <v>46300</v>
      </c>
      <c r="B316" t="str" cm="1">
        <f t="array" ref="B316">INDEX(Material_Master!$A$2:$A$9,MOD(ROW()-2,8)+1)</f>
        <v>M003</v>
      </c>
      <c r="C316">
        <f>SUMIFS(Weekly_Material_Requirements!$F:$F,Weekly_Material_Requirements!$A:$A,A316,Weekly_Material_Requirements!$C:$C,B316)</f>
        <v>2725</v>
      </c>
    </row>
    <row r="317" spans="1:3">
      <c r="A317" s="1" cm="1">
        <f t="array" ref="A317">INDEX(Calendar_Weeks!$A$2:$A$53,INT((ROW()-2)/8)+1)</f>
        <v>46300</v>
      </c>
      <c r="B317" t="str" cm="1">
        <f t="array" ref="B317">INDEX(Material_Master!$A$2:$A$9,MOD(ROW()-2,8)+1)</f>
        <v>M004</v>
      </c>
      <c r="C317">
        <f>SUMIFS(Weekly_Material_Requirements!$F:$F,Weekly_Material_Requirements!$A:$A,A317,Weekly_Material_Requirements!$C:$C,B317)</f>
        <v>4114</v>
      </c>
    </row>
    <row r="318" spans="1:3">
      <c r="A318" s="1" cm="1">
        <f t="array" ref="A318">INDEX(Calendar_Weeks!$A$2:$A$53,INT((ROW()-2)/8)+1)</f>
        <v>46300</v>
      </c>
      <c r="B318" t="str" cm="1">
        <f t="array" ref="B318">INDEX(Material_Master!$A$2:$A$9,MOD(ROW()-2,8)+1)</f>
        <v>M005</v>
      </c>
      <c r="C318">
        <f>SUMIFS(Weekly_Material_Requirements!$F:$F,Weekly_Material_Requirements!$A:$A,A318,Weekly_Material_Requirements!$C:$C,B318)</f>
        <v>4576</v>
      </c>
    </row>
    <row r="319" spans="1:3">
      <c r="A319" s="1" cm="1">
        <f t="array" ref="A319">INDEX(Calendar_Weeks!$A$2:$A$53,INT((ROW()-2)/8)+1)</f>
        <v>46300</v>
      </c>
      <c r="B319" t="str" cm="1">
        <f t="array" ref="B319">INDEX(Material_Master!$A$2:$A$9,MOD(ROW()-2,8)+1)</f>
        <v>M006</v>
      </c>
      <c r="C319">
        <f>SUMIFS(Weekly_Material_Requirements!$F:$F,Weekly_Material_Requirements!$A:$A,A319,Weekly_Material_Requirements!$C:$C,B319)</f>
        <v>528.29999999999995</v>
      </c>
    </row>
    <row r="320" spans="1:3">
      <c r="A320" s="1" cm="1">
        <f t="array" ref="A320">INDEX(Calendar_Weeks!$A$2:$A$53,INT((ROW()-2)/8)+1)</f>
        <v>46300</v>
      </c>
      <c r="B320" t="str" cm="1">
        <f t="array" ref="B320">INDEX(Material_Master!$A$2:$A$9,MOD(ROW()-2,8)+1)</f>
        <v>M007</v>
      </c>
      <c r="C320">
        <f>SUMIFS(Weekly_Material_Requirements!$F:$F,Weekly_Material_Requirements!$A:$A,A320,Weekly_Material_Requirements!$C:$C,B320)</f>
        <v>59100</v>
      </c>
    </row>
    <row r="321" spans="1:3">
      <c r="A321" s="1" cm="1">
        <f t="array" ref="A321">INDEX(Calendar_Weeks!$A$2:$A$53,INT((ROW()-2)/8)+1)</f>
        <v>46300</v>
      </c>
      <c r="B321" t="str" cm="1">
        <f t="array" ref="B321">INDEX(Material_Master!$A$2:$A$9,MOD(ROW()-2,8)+1)</f>
        <v>M008</v>
      </c>
      <c r="C321">
        <f>SUMIFS(Weekly_Material_Requirements!$F:$F,Weekly_Material_Requirements!$A:$A,A321,Weekly_Material_Requirements!$C:$C,B321)</f>
        <v>59100</v>
      </c>
    </row>
    <row r="322" spans="1:3">
      <c r="A322" s="1" cm="1">
        <f t="array" ref="A322">INDEX(Calendar_Weeks!$A$2:$A$53,INT((ROW()-2)/8)+1)</f>
        <v>46307</v>
      </c>
      <c r="B322" t="str" cm="1">
        <f t="array" ref="B322">INDEX(Material_Master!$A$2:$A$9,MOD(ROW()-2,8)+1)</f>
        <v>M001</v>
      </c>
      <c r="C322">
        <f>SUMIFS(Weekly_Material_Requirements!$F:$F,Weekly_Material_Requirements!$A:$A,A322,Weekly_Material_Requirements!$C:$C,B322)</f>
        <v>4935</v>
      </c>
    </row>
    <row r="323" spans="1:3">
      <c r="A323" s="1" cm="1">
        <f t="array" ref="A323">INDEX(Calendar_Weeks!$A$2:$A$53,INT((ROW()-2)/8)+1)</f>
        <v>46307</v>
      </c>
      <c r="B323" t="str" cm="1">
        <f t="array" ref="B323">INDEX(Material_Master!$A$2:$A$9,MOD(ROW()-2,8)+1)</f>
        <v>M002</v>
      </c>
      <c r="C323">
        <f>SUMIFS(Weekly_Material_Requirements!$F:$F,Weekly_Material_Requirements!$A:$A,A323,Weekly_Material_Requirements!$C:$C,B323)</f>
        <v>3630</v>
      </c>
    </row>
    <row r="324" spans="1:3">
      <c r="A324" s="1" cm="1">
        <f t="array" ref="A324">INDEX(Calendar_Weeks!$A$2:$A$53,INT((ROW()-2)/8)+1)</f>
        <v>46307</v>
      </c>
      <c r="B324" t="str" cm="1">
        <f t="array" ref="B324">INDEX(Material_Master!$A$2:$A$9,MOD(ROW()-2,8)+1)</f>
        <v>M003</v>
      </c>
      <c r="C324">
        <f>SUMIFS(Weekly_Material_Requirements!$F:$F,Weekly_Material_Requirements!$A:$A,A324,Weekly_Material_Requirements!$C:$C,B324)</f>
        <v>2600</v>
      </c>
    </row>
    <row r="325" spans="1:3">
      <c r="A325" s="1" cm="1">
        <f t="array" ref="A325">INDEX(Calendar_Weeks!$A$2:$A$53,INT((ROW()-2)/8)+1)</f>
        <v>46307</v>
      </c>
      <c r="B325" t="str" cm="1">
        <f t="array" ref="B325">INDEX(Material_Master!$A$2:$A$9,MOD(ROW()-2,8)+1)</f>
        <v>M004</v>
      </c>
      <c r="C325">
        <f>SUMIFS(Weekly_Material_Requirements!$F:$F,Weekly_Material_Requirements!$A:$A,A325,Weekly_Material_Requirements!$C:$C,B325)</f>
        <v>3808.0000000000005</v>
      </c>
    </row>
    <row r="326" spans="1:3">
      <c r="A326" s="1" cm="1">
        <f t="array" ref="A326">INDEX(Calendar_Weeks!$A$2:$A$53,INT((ROW()-2)/8)+1)</f>
        <v>46307</v>
      </c>
      <c r="B326" t="str" cm="1">
        <f t="array" ref="B326">INDEX(Material_Master!$A$2:$A$9,MOD(ROW()-2,8)+1)</f>
        <v>M005</v>
      </c>
      <c r="C326">
        <f>SUMIFS(Weekly_Material_Requirements!$F:$F,Weekly_Material_Requirements!$A:$A,A326,Weekly_Material_Requirements!$C:$C,B326)</f>
        <v>4472</v>
      </c>
    </row>
    <row r="327" spans="1:3">
      <c r="A327" s="1" cm="1">
        <f t="array" ref="A327">INDEX(Calendar_Weeks!$A$2:$A$53,INT((ROW()-2)/8)+1)</f>
        <v>46307</v>
      </c>
      <c r="B327" t="str" cm="1">
        <f t="array" ref="B327">INDEX(Material_Master!$A$2:$A$9,MOD(ROW()-2,8)+1)</f>
        <v>M006</v>
      </c>
      <c r="C327">
        <f>SUMIFS(Weekly_Material_Requirements!$F:$F,Weekly_Material_Requirements!$A:$A,A327,Weekly_Material_Requirements!$C:$C,B327)</f>
        <v>504.2</v>
      </c>
    </row>
    <row r="328" spans="1:3">
      <c r="A328" s="1" cm="1">
        <f t="array" ref="A328">INDEX(Calendar_Weeks!$A$2:$A$53,INT((ROW()-2)/8)+1)</f>
        <v>46307</v>
      </c>
      <c r="B328" t="str" cm="1">
        <f t="array" ref="B328">INDEX(Material_Master!$A$2:$A$9,MOD(ROW()-2,8)+1)</f>
        <v>M007</v>
      </c>
      <c r="C328">
        <f>SUMIFS(Weekly_Material_Requirements!$F:$F,Weekly_Material_Requirements!$A:$A,A328,Weekly_Material_Requirements!$C:$C,B328)</f>
        <v>56400</v>
      </c>
    </row>
    <row r="329" spans="1:3">
      <c r="A329" s="1" cm="1">
        <f t="array" ref="A329">INDEX(Calendar_Weeks!$A$2:$A$53,INT((ROW()-2)/8)+1)</f>
        <v>46307</v>
      </c>
      <c r="B329" t="str" cm="1">
        <f t="array" ref="B329">INDEX(Material_Master!$A$2:$A$9,MOD(ROW()-2,8)+1)</f>
        <v>M008</v>
      </c>
      <c r="C329">
        <f>SUMIFS(Weekly_Material_Requirements!$F:$F,Weekly_Material_Requirements!$A:$A,A329,Weekly_Material_Requirements!$C:$C,B329)</f>
        <v>56400</v>
      </c>
    </row>
    <row r="330" spans="1:3">
      <c r="A330" s="1" cm="1">
        <f t="array" ref="A330">INDEX(Calendar_Weeks!$A$2:$A$53,INT((ROW()-2)/8)+1)</f>
        <v>46314</v>
      </c>
      <c r="B330" t="str" cm="1">
        <f t="array" ref="B330">INDEX(Material_Master!$A$2:$A$9,MOD(ROW()-2,8)+1)</f>
        <v>M001</v>
      </c>
      <c r="C330">
        <f>SUMIFS(Weekly_Material_Requirements!$F:$F,Weekly_Material_Requirements!$A:$A,A330,Weekly_Material_Requirements!$C:$C,B330)</f>
        <v>5075</v>
      </c>
    </row>
    <row r="331" spans="1:3">
      <c r="A331" s="1" cm="1">
        <f t="array" ref="A331">INDEX(Calendar_Weeks!$A$2:$A$53,INT((ROW()-2)/8)+1)</f>
        <v>46314</v>
      </c>
      <c r="B331" t="str" cm="1">
        <f t="array" ref="B331">INDEX(Material_Master!$A$2:$A$9,MOD(ROW()-2,8)+1)</f>
        <v>M002</v>
      </c>
      <c r="C331">
        <f>SUMIFS(Weekly_Material_Requirements!$F:$F,Weekly_Material_Requirements!$A:$A,A331,Weekly_Material_Requirements!$C:$C,B331)</f>
        <v>3630</v>
      </c>
    </row>
    <row r="332" spans="1:3">
      <c r="A332" s="1" cm="1">
        <f t="array" ref="A332">INDEX(Calendar_Weeks!$A$2:$A$53,INT((ROW()-2)/8)+1)</f>
        <v>46314</v>
      </c>
      <c r="B332" t="str" cm="1">
        <f t="array" ref="B332">INDEX(Material_Master!$A$2:$A$9,MOD(ROW()-2,8)+1)</f>
        <v>M003</v>
      </c>
      <c r="C332">
        <f>SUMIFS(Weekly_Material_Requirements!$F:$F,Weekly_Material_Requirements!$A:$A,A332,Weekly_Material_Requirements!$C:$C,B332)</f>
        <v>2575</v>
      </c>
    </row>
    <row r="333" spans="1:3">
      <c r="A333" s="1" cm="1">
        <f t="array" ref="A333">INDEX(Calendar_Weeks!$A$2:$A$53,INT((ROW()-2)/8)+1)</f>
        <v>46314</v>
      </c>
      <c r="B333" t="str" cm="1">
        <f t="array" ref="B333">INDEX(Material_Master!$A$2:$A$9,MOD(ROW()-2,8)+1)</f>
        <v>M004</v>
      </c>
      <c r="C333">
        <f>SUMIFS(Weekly_Material_Requirements!$F:$F,Weekly_Material_Requirements!$A:$A,A333,Weekly_Material_Requirements!$C:$C,B333)</f>
        <v>4012.0000000000005</v>
      </c>
    </row>
    <row r="334" spans="1:3">
      <c r="A334" s="1" cm="1">
        <f t="array" ref="A334">INDEX(Calendar_Weeks!$A$2:$A$53,INT((ROW()-2)/8)+1)</f>
        <v>46314</v>
      </c>
      <c r="B334" t="str" cm="1">
        <f t="array" ref="B334">INDEX(Material_Master!$A$2:$A$9,MOD(ROW()-2,8)+1)</f>
        <v>M005</v>
      </c>
      <c r="C334">
        <f>SUMIFS(Weekly_Material_Requirements!$F:$F,Weekly_Material_Requirements!$A:$A,A334,Weekly_Material_Requirements!$C:$C,B334)</f>
        <v>4628</v>
      </c>
    </row>
    <row r="335" spans="1:3">
      <c r="A335" s="1" cm="1">
        <f t="array" ref="A335">INDEX(Calendar_Weeks!$A$2:$A$53,INT((ROW()-2)/8)+1)</f>
        <v>46314</v>
      </c>
      <c r="B335" t="str" cm="1">
        <f t="array" ref="B335">INDEX(Material_Master!$A$2:$A$9,MOD(ROW()-2,8)+1)</f>
        <v>M006</v>
      </c>
      <c r="C335">
        <f>SUMIFS(Weekly_Material_Requirements!$F:$F,Weekly_Material_Requirements!$A:$A,A335,Weekly_Material_Requirements!$C:$C,B335)</f>
        <v>516.6</v>
      </c>
    </row>
    <row r="336" spans="1:3">
      <c r="A336" s="1" cm="1">
        <f t="array" ref="A336">INDEX(Calendar_Weeks!$A$2:$A$53,INT((ROW()-2)/8)+1)</f>
        <v>46314</v>
      </c>
      <c r="B336" t="str" cm="1">
        <f t="array" ref="B336">INDEX(Material_Master!$A$2:$A$9,MOD(ROW()-2,8)+1)</f>
        <v>M007</v>
      </c>
      <c r="C336">
        <f>SUMIFS(Weekly_Material_Requirements!$F:$F,Weekly_Material_Requirements!$A:$A,A336,Weekly_Material_Requirements!$C:$C,B336)</f>
        <v>57600</v>
      </c>
    </row>
    <row r="337" spans="1:3">
      <c r="A337" s="1" cm="1">
        <f t="array" ref="A337">INDEX(Calendar_Weeks!$A$2:$A$53,INT((ROW()-2)/8)+1)</f>
        <v>46314</v>
      </c>
      <c r="B337" t="str" cm="1">
        <f t="array" ref="B337">INDEX(Material_Master!$A$2:$A$9,MOD(ROW()-2,8)+1)</f>
        <v>M008</v>
      </c>
      <c r="C337">
        <f>SUMIFS(Weekly_Material_Requirements!$F:$F,Weekly_Material_Requirements!$A:$A,A337,Weekly_Material_Requirements!$C:$C,B337)</f>
        <v>57600</v>
      </c>
    </row>
    <row r="338" spans="1:3">
      <c r="A338" s="1" cm="1">
        <f t="array" ref="A338">INDEX(Calendar_Weeks!$A$2:$A$53,INT((ROW()-2)/8)+1)</f>
        <v>46321</v>
      </c>
      <c r="B338" t="str" cm="1">
        <f t="array" ref="B338">INDEX(Material_Master!$A$2:$A$9,MOD(ROW()-2,8)+1)</f>
        <v>M001</v>
      </c>
      <c r="C338">
        <f>SUMIFS(Weekly_Material_Requirements!$F:$F,Weekly_Material_Requirements!$A:$A,A338,Weekly_Material_Requirements!$C:$C,B338)</f>
        <v>4795</v>
      </c>
    </row>
    <row r="339" spans="1:3">
      <c r="A339" s="1" cm="1">
        <f t="array" ref="A339">INDEX(Calendar_Weeks!$A$2:$A$53,INT((ROW()-2)/8)+1)</f>
        <v>46321</v>
      </c>
      <c r="B339" t="str" cm="1">
        <f t="array" ref="B339">INDEX(Material_Master!$A$2:$A$9,MOD(ROW()-2,8)+1)</f>
        <v>M002</v>
      </c>
      <c r="C339">
        <f>SUMIFS(Weekly_Material_Requirements!$F:$F,Weekly_Material_Requirements!$A:$A,A339,Weekly_Material_Requirements!$C:$C,B339)</f>
        <v>3720</v>
      </c>
    </row>
    <row r="340" spans="1:3">
      <c r="A340" s="1" cm="1">
        <f t="array" ref="A340">INDEX(Calendar_Weeks!$A$2:$A$53,INT((ROW()-2)/8)+1)</f>
        <v>46321</v>
      </c>
      <c r="B340" t="str" cm="1">
        <f t="array" ref="B340">INDEX(Material_Master!$A$2:$A$9,MOD(ROW()-2,8)+1)</f>
        <v>M003</v>
      </c>
      <c r="C340">
        <f>SUMIFS(Weekly_Material_Requirements!$F:$F,Weekly_Material_Requirements!$A:$A,A340,Weekly_Material_Requirements!$C:$C,B340)</f>
        <v>2800</v>
      </c>
    </row>
    <row r="341" spans="1:3">
      <c r="A341" s="1" cm="1">
        <f t="array" ref="A341">INDEX(Calendar_Weeks!$A$2:$A$53,INT((ROW()-2)/8)+1)</f>
        <v>46321</v>
      </c>
      <c r="B341" t="str" cm="1">
        <f t="array" ref="B341">INDEX(Material_Master!$A$2:$A$9,MOD(ROW()-2,8)+1)</f>
        <v>M004</v>
      </c>
      <c r="C341">
        <f>SUMIFS(Weekly_Material_Requirements!$F:$F,Weekly_Material_Requirements!$A:$A,A341,Weekly_Material_Requirements!$C:$C,B341)</f>
        <v>3944.0000000000005</v>
      </c>
    </row>
    <row r="342" spans="1:3">
      <c r="A342" s="1" cm="1">
        <f t="array" ref="A342">INDEX(Calendar_Weeks!$A$2:$A$53,INT((ROW()-2)/8)+1)</f>
        <v>46321</v>
      </c>
      <c r="B342" t="str" cm="1">
        <f t="array" ref="B342">INDEX(Material_Master!$A$2:$A$9,MOD(ROW()-2,8)+1)</f>
        <v>M005</v>
      </c>
      <c r="C342">
        <f>SUMIFS(Weekly_Material_Requirements!$F:$F,Weekly_Material_Requirements!$A:$A,A342,Weekly_Material_Requirements!$C:$C,B342)</f>
        <v>4680</v>
      </c>
    </row>
    <row r="343" spans="1:3">
      <c r="A343" s="1" cm="1">
        <f t="array" ref="A343">INDEX(Calendar_Weeks!$A$2:$A$53,INT((ROW()-2)/8)+1)</f>
        <v>46321</v>
      </c>
      <c r="B343" t="str" cm="1">
        <f t="array" ref="B343">INDEX(Material_Master!$A$2:$A$9,MOD(ROW()-2,8)+1)</f>
        <v>M006</v>
      </c>
      <c r="C343">
        <f>SUMIFS(Weekly_Material_Requirements!$F:$F,Weekly_Material_Requirements!$A:$A,A343,Weekly_Material_Requirements!$C:$C,B343)</f>
        <v>515.79999999999995</v>
      </c>
    </row>
    <row r="344" spans="1:3">
      <c r="A344" s="1" cm="1">
        <f t="array" ref="A344">INDEX(Calendar_Weeks!$A$2:$A$53,INT((ROW()-2)/8)+1)</f>
        <v>46321</v>
      </c>
      <c r="B344" t="str" cm="1">
        <f t="array" ref="B344">INDEX(Material_Master!$A$2:$A$9,MOD(ROW()-2,8)+1)</f>
        <v>M007</v>
      </c>
      <c r="C344">
        <f>SUMIFS(Weekly_Material_Requirements!$F:$F,Weekly_Material_Requirements!$A:$A,A344,Weekly_Material_Requirements!$C:$C,B344)</f>
        <v>57900</v>
      </c>
    </row>
    <row r="345" spans="1:3">
      <c r="A345" s="1" cm="1">
        <f t="array" ref="A345">INDEX(Calendar_Weeks!$A$2:$A$53,INT((ROW()-2)/8)+1)</f>
        <v>46321</v>
      </c>
      <c r="B345" t="str" cm="1">
        <f t="array" ref="B345">INDEX(Material_Master!$A$2:$A$9,MOD(ROW()-2,8)+1)</f>
        <v>M008</v>
      </c>
      <c r="C345">
        <f>SUMIFS(Weekly_Material_Requirements!$F:$F,Weekly_Material_Requirements!$A:$A,A345,Weekly_Material_Requirements!$C:$C,B345)</f>
        <v>57900</v>
      </c>
    </row>
    <row r="346" spans="1:3">
      <c r="A346" s="1" cm="1">
        <f t="array" ref="A346">INDEX(Calendar_Weeks!$A$2:$A$53,INT((ROW()-2)/8)+1)</f>
        <v>46328</v>
      </c>
      <c r="B346" t="str" cm="1">
        <f t="array" ref="B346">INDEX(Material_Master!$A$2:$A$9,MOD(ROW()-2,8)+1)</f>
        <v>M001</v>
      </c>
      <c r="C346">
        <f>SUMIFS(Weekly_Material_Requirements!$F:$F,Weekly_Material_Requirements!$A:$A,A346,Weekly_Material_Requirements!$C:$C,B346)</f>
        <v>5600</v>
      </c>
    </row>
    <row r="347" spans="1:3">
      <c r="A347" s="1" cm="1">
        <f t="array" ref="A347">INDEX(Calendar_Weeks!$A$2:$A$53,INT((ROW()-2)/8)+1)</f>
        <v>46328</v>
      </c>
      <c r="B347" t="str" cm="1">
        <f t="array" ref="B347">INDEX(Material_Master!$A$2:$A$9,MOD(ROW()-2,8)+1)</f>
        <v>M002</v>
      </c>
      <c r="C347">
        <f>SUMIFS(Weekly_Material_Requirements!$F:$F,Weekly_Material_Requirements!$A:$A,A347,Weekly_Material_Requirements!$C:$C,B347)</f>
        <v>3870</v>
      </c>
    </row>
    <row r="348" spans="1:3">
      <c r="A348" s="1" cm="1">
        <f t="array" ref="A348">INDEX(Calendar_Weeks!$A$2:$A$53,INT((ROW()-2)/8)+1)</f>
        <v>46328</v>
      </c>
      <c r="B348" t="str" cm="1">
        <f t="array" ref="B348">INDEX(Material_Master!$A$2:$A$9,MOD(ROW()-2,8)+1)</f>
        <v>M003</v>
      </c>
      <c r="C348">
        <f>SUMIFS(Weekly_Material_Requirements!$F:$F,Weekly_Material_Requirements!$A:$A,A348,Weekly_Material_Requirements!$C:$C,B348)</f>
        <v>2850</v>
      </c>
    </row>
    <row r="349" spans="1:3">
      <c r="A349" s="1" cm="1">
        <f t="array" ref="A349">INDEX(Calendar_Weeks!$A$2:$A$53,INT((ROW()-2)/8)+1)</f>
        <v>46328</v>
      </c>
      <c r="B349" t="str" cm="1">
        <f t="array" ref="B349">INDEX(Material_Master!$A$2:$A$9,MOD(ROW()-2,8)+1)</f>
        <v>M004</v>
      </c>
      <c r="C349">
        <f>SUMIFS(Weekly_Material_Requirements!$F:$F,Weekly_Material_Requirements!$A:$A,A349,Weekly_Material_Requirements!$C:$C,B349)</f>
        <v>4284</v>
      </c>
    </row>
    <row r="350" spans="1:3">
      <c r="A350" s="1" cm="1">
        <f t="array" ref="A350">INDEX(Calendar_Weeks!$A$2:$A$53,INT((ROW()-2)/8)+1)</f>
        <v>46328</v>
      </c>
      <c r="B350" t="str" cm="1">
        <f t="array" ref="B350">INDEX(Material_Master!$A$2:$A$9,MOD(ROW()-2,8)+1)</f>
        <v>M005</v>
      </c>
      <c r="C350">
        <f>SUMIFS(Weekly_Material_Requirements!$F:$F,Weekly_Material_Requirements!$A:$A,A350,Weekly_Material_Requirements!$C:$C,B350)</f>
        <v>4836</v>
      </c>
    </row>
    <row r="351" spans="1:3">
      <c r="A351" s="1" cm="1">
        <f t="array" ref="A351">INDEX(Calendar_Weeks!$A$2:$A$53,INT((ROW()-2)/8)+1)</f>
        <v>46328</v>
      </c>
      <c r="B351" t="str" cm="1">
        <f t="array" ref="B351">INDEX(Material_Master!$A$2:$A$9,MOD(ROW()-2,8)+1)</f>
        <v>M006</v>
      </c>
      <c r="C351">
        <f>SUMIFS(Weekly_Material_Requirements!$F:$F,Weekly_Material_Requirements!$A:$A,A351,Weekly_Material_Requirements!$C:$C,B351)</f>
        <v>556.6</v>
      </c>
    </row>
    <row r="352" spans="1:3">
      <c r="A352" s="1" cm="1">
        <f t="array" ref="A352">INDEX(Calendar_Weeks!$A$2:$A$53,INT((ROW()-2)/8)+1)</f>
        <v>46328</v>
      </c>
      <c r="B352" t="str" cm="1">
        <f t="array" ref="B352">INDEX(Material_Master!$A$2:$A$9,MOD(ROW()-2,8)+1)</f>
        <v>M007</v>
      </c>
      <c r="C352">
        <f>SUMIFS(Weekly_Material_Requirements!$F:$F,Weekly_Material_Requirements!$A:$A,A352,Weekly_Material_Requirements!$C:$C,B352)</f>
        <v>62200</v>
      </c>
    </row>
    <row r="353" spans="1:3">
      <c r="A353" s="1" cm="1">
        <f t="array" ref="A353">INDEX(Calendar_Weeks!$A$2:$A$53,INT((ROW()-2)/8)+1)</f>
        <v>46328</v>
      </c>
      <c r="B353" t="str" cm="1">
        <f t="array" ref="B353">INDEX(Material_Master!$A$2:$A$9,MOD(ROW()-2,8)+1)</f>
        <v>M008</v>
      </c>
      <c r="C353">
        <f>SUMIFS(Weekly_Material_Requirements!$F:$F,Weekly_Material_Requirements!$A:$A,A353,Weekly_Material_Requirements!$C:$C,B353)</f>
        <v>62200</v>
      </c>
    </row>
    <row r="354" spans="1:3">
      <c r="A354" s="1" cm="1">
        <f t="array" ref="A354">INDEX(Calendar_Weeks!$A$2:$A$53,INT((ROW()-2)/8)+1)</f>
        <v>46335</v>
      </c>
      <c r="B354" t="str" cm="1">
        <f t="array" ref="B354">INDEX(Material_Master!$A$2:$A$9,MOD(ROW()-2,8)+1)</f>
        <v>M001</v>
      </c>
      <c r="C354">
        <f>SUMIFS(Weekly_Material_Requirements!$F:$F,Weekly_Material_Requirements!$A:$A,A354,Weekly_Material_Requirements!$C:$C,B354)</f>
        <v>4970</v>
      </c>
    </row>
    <row r="355" spans="1:3">
      <c r="A355" s="1" cm="1">
        <f t="array" ref="A355">INDEX(Calendar_Weeks!$A$2:$A$53,INT((ROW()-2)/8)+1)</f>
        <v>46335</v>
      </c>
      <c r="B355" t="str" cm="1">
        <f t="array" ref="B355">INDEX(Material_Master!$A$2:$A$9,MOD(ROW()-2,8)+1)</f>
        <v>M002</v>
      </c>
      <c r="C355">
        <f>SUMIFS(Weekly_Material_Requirements!$F:$F,Weekly_Material_Requirements!$A:$A,A355,Weekly_Material_Requirements!$C:$C,B355)</f>
        <v>3990</v>
      </c>
    </row>
    <row r="356" spans="1:3">
      <c r="A356" s="1" cm="1">
        <f t="array" ref="A356">INDEX(Calendar_Weeks!$A$2:$A$53,INT((ROW()-2)/8)+1)</f>
        <v>46335</v>
      </c>
      <c r="B356" t="str" cm="1">
        <f t="array" ref="B356">INDEX(Material_Master!$A$2:$A$9,MOD(ROW()-2,8)+1)</f>
        <v>M003</v>
      </c>
      <c r="C356">
        <f>SUMIFS(Weekly_Material_Requirements!$F:$F,Weekly_Material_Requirements!$A:$A,A356,Weekly_Material_Requirements!$C:$C,B356)</f>
        <v>3000</v>
      </c>
    </row>
    <row r="357" spans="1:3">
      <c r="A357" s="1" cm="1">
        <f t="array" ref="A357">INDEX(Calendar_Weeks!$A$2:$A$53,INT((ROW()-2)/8)+1)</f>
        <v>46335</v>
      </c>
      <c r="B357" t="str" cm="1">
        <f t="array" ref="B357">INDEX(Material_Master!$A$2:$A$9,MOD(ROW()-2,8)+1)</f>
        <v>M004</v>
      </c>
      <c r="C357">
        <f>SUMIFS(Weekly_Material_Requirements!$F:$F,Weekly_Material_Requirements!$A:$A,A357,Weekly_Material_Requirements!$C:$C,B357)</f>
        <v>3978.0000000000005</v>
      </c>
    </row>
    <row r="358" spans="1:3">
      <c r="A358" s="1" cm="1">
        <f t="array" ref="A358">INDEX(Calendar_Weeks!$A$2:$A$53,INT((ROW()-2)/8)+1)</f>
        <v>46335</v>
      </c>
      <c r="B358" t="str" cm="1">
        <f t="array" ref="B358">INDEX(Material_Master!$A$2:$A$9,MOD(ROW()-2,8)+1)</f>
        <v>M005</v>
      </c>
      <c r="C358">
        <f>SUMIFS(Weekly_Material_Requirements!$F:$F,Weekly_Material_Requirements!$A:$A,A358,Weekly_Material_Requirements!$C:$C,B358)</f>
        <v>4732</v>
      </c>
    </row>
    <row r="359" spans="1:3">
      <c r="A359" s="1" cm="1">
        <f t="array" ref="A359">INDEX(Calendar_Weeks!$A$2:$A$53,INT((ROW()-2)/8)+1)</f>
        <v>46335</v>
      </c>
      <c r="B359" t="str" cm="1">
        <f t="array" ref="B359">INDEX(Material_Master!$A$2:$A$9,MOD(ROW()-2,8)+1)</f>
        <v>M006</v>
      </c>
      <c r="C359">
        <f>SUMIFS(Weekly_Material_Requirements!$F:$F,Weekly_Material_Requirements!$A:$A,A359,Weekly_Material_Requirements!$C:$C,B359)</f>
        <v>534.9</v>
      </c>
    </row>
    <row r="360" spans="1:3">
      <c r="A360" s="1" cm="1">
        <f t="array" ref="A360">INDEX(Calendar_Weeks!$A$2:$A$53,INT((ROW()-2)/8)+1)</f>
        <v>46335</v>
      </c>
      <c r="B360" t="str" cm="1">
        <f t="array" ref="B360">INDEX(Material_Master!$A$2:$A$9,MOD(ROW()-2,8)+1)</f>
        <v>M007</v>
      </c>
      <c r="C360">
        <f>SUMIFS(Weekly_Material_Requirements!$F:$F,Weekly_Material_Requirements!$A:$A,A360,Weekly_Material_Requirements!$C:$C,B360)</f>
        <v>60300</v>
      </c>
    </row>
    <row r="361" spans="1:3">
      <c r="A361" s="1" cm="1">
        <f t="array" ref="A361">INDEX(Calendar_Weeks!$A$2:$A$53,INT((ROW()-2)/8)+1)</f>
        <v>46335</v>
      </c>
      <c r="B361" t="str" cm="1">
        <f t="array" ref="B361">INDEX(Material_Master!$A$2:$A$9,MOD(ROW()-2,8)+1)</f>
        <v>M008</v>
      </c>
      <c r="C361">
        <f>SUMIFS(Weekly_Material_Requirements!$F:$F,Weekly_Material_Requirements!$A:$A,A361,Weekly_Material_Requirements!$C:$C,B361)</f>
        <v>60300</v>
      </c>
    </row>
    <row r="362" spans="1:3">
      <c r="A362" s="1" cm="1">
        <f t="array" ref="A362">INDEX(Calendar_Weeks!$A$2:$A$53,INT((ROW()-2)/8)+1)</f>
        <v>46342</v>
      </c>
      <c r="B362" t="str" cm="1">
        <f t="array" ref="B362">INDEX(Material_Master!$A$2:$A$9,MOD(ROW()-2,8)+1)</f>
        <v>M001</v>
      </c>
      <c r="C362">
        <f>SUMIFS(Weekly_Material_Requirements!$F:$F,Weekly_Material_Requirements!$A:$A,A362,Weekly_Material_Requirements!$C:$C,B362)</f>
        <v>5600</v>
      </c>
    </row>
    <row r="363" spans="1:3">
      <c r="A363" s="1" cm="1">
        <f t="array" ref="A363">INDEX(Calendar_Weeks!$A$2:$A$53,INT((ROW()-2)/8)+1)</f>
        <v>46342</v>
      </c>
      <c r="B363" t="str" cm="1">
        <f t="array" ref="B363">INDEX(Material_Master!$A$2:$A$9,MOD(ROW()-2,8)+1)</f>
        <v>M002</v>
      </c>
      <c r="C363">
        <f>SUMIFS(Weekly_Material_Requirements!$F:$F,Weekly_Material_Requirements!$A:$A,A363,Weekly_Material_Requirements!$C:$C,B363)</f>
        <v>3930</v>
      </c>
    </row>
    <row r="364" spans="1:3">
      <c r="A364" s="1" cm="1">
        <f t="array" ref="A364">INDEX(Calendar_Weeks!$A$2:$A$53,INT((ROW()-2)/8)+1)</f>
        <v>46342</v>
      </c>
      <c r="B364" t="str" cm="1">
        <f t="array" ref="B364">INDEX(Material_Master!$A$2:$A$9,MOD(ROW()-2,8)+1)</f>
        <v>M003</v>
      </c>
      <c r="C364">
        <f>SUMIFS(Weekly_Material_Requirements!$F:$F,Weekly_Material_Requirements!$A:$A,A364,Weekly_Material_Requirements!$C:$C,B364)</f>
        <v>2950</v>
      </c>
    </row>
    <row r="365" spans="1:3">
      <c r="A365" s="1" cm="1">
        <f t="array" ref="A365">INDEX(Calendar_Weeks!$A$2:$A$53,INT((ROW()-2)/8)+1)</f>
        <v>46342</v>
      </c>
      <c r="B365" t="str" cm="1">
        <f t="array" ref="B365">INDEX(Material_Master!$A$2:$A$9,MOD(ROW()-2,8)+1)</f>
        <v>M004</v>
      </c>
      <c r="C365">
        <f>SUMIFS(Weekly_Material_Requirements!$F:$F,Weekly_Material_Requirements!$A:$A,A365,Weekly_Material_Requirements!$C:$C,B365)</f>
        <v>4216</v>
      </c>
    </row>
    <row r="366" spans="1:3">
      <c r="A366" s="1" cm="1">
        <f t="array" ref="A366">INDEX(Calendar_Weeks!$A$2:$A$53,INT((ROW()-2)/8)+1)</f>
        <v>46342</v>
      </c>
      <c r="B366" t="str" cm="1">
        <f t="array" ref="B366">INDEX(Material_Master!$A$2:$A$9,MOD(ROW()-2,8)+1)</f>
        <v>M005</v>
      </c>
      <c r="C366">
        <f>SUMIFS(Weekly_Material_Requirements!$F:$F,Weekly_Material_Requirements!$A:$A,A366,Weekly_Material_Requirements!$C:$C,B366)</f>
        <v>4888</v>
      </c>
    </row>
    <row r="367" spans="1:3">
      <c r="A367" s="1" cm="1">
        <f t="array" ref="A367">INDEX(Calendar_Weeks!$A$2:$A$53,INT((ROW()-2)/8)+1)</f>
        <v>46342</v>
      </c>
      <c r="B367" t="str" cm="1">
        <f t="array" ref="B367">INDEX(Material_Master!$A$2:$A$9,MOD(ROW()-2,8)+1)</f>
        <v>M006</v>
      </c>
      <c r="C367">
        <f>SUMIFS(Weekly_Material_Requirements!$F:$F,Weekly_Material_Requirements!$A:$A,A367,Weekly_Material_Requirements!$C:$C,B367)</f>
        <v>560</v>
      </c>
    </row>
    <row r="368" spans="1:3">
      <c r="A368" s="1" cm="1">
        <f t="array" ref="A368">INDEX(Calendar_Weeks!$A$2:$A$53,INT((ROW()-2)/8)+1)</f>
        <v>46342</v>
      </c>
      <c r="B368" t="str" cm="1">
        <f t="array" ref="B368">INDEX(Material_Master!$A$2:$A$9,MOD(ROW()-2,8)+1)</f>
        <v>M007</v>
      </c>
      <c r="C368">
        <f>SUMIFS(Weekly_Material_Requirements!$F:$F,Weekly_Material_Requirements!$A:$A,A368,Weekly_Material_Requirements!$C:$C,B368)</f>
        <v>62700</v>
      </c>
    </row>
    <row r="369" spans="1:3">
      <c r="A369" s="1" cm="1">
        <f t="array" ref="A369">INDEX(Calendar_Weeks!$A$2:$A$53,INT((ROW()-2)/8)+1)</f>
        <v>46342</v>
      </c>
      <c r="B369" t="str" cm="1">
        <f t="array" ref="B369">INDEX(Material_Master!$A$2:$A$9,MOD(ROW()-2,8)+1)</f>
        <v>M008</v>
      </c>
      <c r="C369">
        <f>SUMIFS(Weekly_Material_Requirements!$F:$F,Weekly_Material_Requirements!$A:$A,A369,Weekly_Material_Requirements!$C:$C,B369)</f>
        <v>62700</v>
      </c>
    </row>
    <row r="370" spans="1:3">
      <c r="A370" s="1" cm="1">
        <f t="array" ref="A370">INDEX(Calendar_Weeks!$A$2:$A$53,INT((ROW()-2)/8)+1)</f>
        <v>46349</v>
      </c>
      <c r="B370" t="str" cm="1">
        <f t="array" ref="B370">INDEX(Material_Master!$A$2:$A$9,MOD(ROW()-2,8)+1)</f>
        <v>M001</v>
      </c>
      <c r="C370">
        <f>SUMIFS(Weekly_Material_Requirements!$F:$F,Weekly_Material_Requirements!$A:$A,A370,Weekly_Material_Requirements!$C:$C,B370)</f>
        <v>5355</v>
      </c>
    </row>
    <row r="371" spans="1:3">
      <c r="A371" s="1" cm="1">
        <f t="array" ref="A371">INDEX(Calendar_Weeks!$A$2:$A$53,INT((ROW()-2)/8)+1)</f>
        <v>46349</v>
      </c>
      <c r="B371" t="str" cm="1">
        <f t="array" ref="B371">INDEX(Material_Master!$A$2:$A$9,MOD(ROW()-2,8)+1)</f>
        <v>M002</v>
      </c>
      <c r="C371">
        <f>SUMIFS(Weekly_Material_Requirements!$F:$F,Weekly_Material_Requirements!$A:$A,A371,Weekly_Material_Requirements!$C:$C,B371)</f>
        <v>3810</v>
      </c>
    </row>
    <row r="372" spans="1:3">
      <c r="A372" s="1" cm="1">
        <f t="array" ref="A372">INDEX(Calendar_Weeks!$A$2:$A$53,INT((ROW()-2)/8)+1)</f>
        <v>46349</v>
      </c>
      <c r="B372" t="str" cm="1">
        <f t="array" ref="B372">INDEX(Material_Master!$A$2:$A$9,MOD(ROW()-2,8)+1)</f>
        <v>M003</v>
      </c>
      <c r="C372">
        <f>SUMIFS(Weekly_Material_Requirements!$F:$F,Weekly_Material_Requirements!$A:$A,A372,Weekly_Material_Requirements!$C:$C,B372)</f>
        <v>2875</v>
      </c>
    </row>
    <row r="373" spans="1:3">
      <c r="A373" s="1" cm="1">
        <f t="array" ref="A373">INDEX(Calendar_Weeks!$A$2:$A$53,INT((ROW()-2)/8)+1)</f>
        <v>46349</v>
      </c>
      <c r="B373" t="str" cm="1">
        <f t="array" ref="B373">INDEX(Material_Master!$A$2:$A$9,MOD(ROW()-2,8)+1)</f>
        <v>M004</v>
      </c>
      <c r="C373">
        <f>SUMIFS(Weekly_Material_Requirements!$F:$F,Weekly_Material_Requirements!$A:$A,A373,Weekly_Material_Requirements!$C:$C,B373)</f>
        <v>4046.0000000000005</v>
      </c>
    </row>
    <row r="374" spans="1:3">
      <c r="A374" s="1" cm="1">
        <f t="array" ref="A374">INDEX(Calendar_Weeks!$A$2:$A$53,INT((ROW()-2)/8)+1)</f>
        <v>46349</v>
      </c>
      <c r="B374" t="str" cm="1">
        <f t="array" ref="B374">INDEX(Material_Master!$A$2:$A$9,MOD(ROW()-2,8)+1)</f>
        <v>M005</v>
      </c>
      <c r="C374">
        <f>SUMIFS(Weekly_Material_Requirements!$F:$F,Weekly_Material_Requirements!$A:$A,A374,Weekly_Material_Requirements!$C:$C,B374)</f>
        <v>4836</v>
      </c>
    </row>
    <row r="375" spans="1:3">
      <c r="A375" s="1" cm="1">
        <f t="array" ref="A375">INDEX(Calendar_Weeks!$A$2:$A$53,INT((ROW()-2)/8)+1)</f>
        <v>46349</v>
      </c>
      <c r="B375" t="str" cm="1">
        <f t="array" ref="B375">INDEX(Material_Master!$A$2:$A$9,MOD(ROW()-2,8)+1)</f>
        <v>M006</v>
      </c>
      <c r="C375">
        <f>SUMIFS(Weekly_Material_Requirements!$F:$F,Weekly_Material_Requirements!$A:$A,A375,Weekly_Material_Requirements!$C:$C,B375)</f>
        <v>542.30000000000007</v>
      </c>
    </row>
    <row r="376" spans="1:3">
      <c r="A376" s="1" cm="1">
        <f t="array" ref="A376">INDEX(Calendar_Weeks!$A$2:$A$53,INT((ROW()-2)/8)+1)</f>
        <v>46349</v>
      </c>
      <c r="B376" t="str" cm="1">
        <f t="array" ref="B376">INDEX(Material_Master!$A$2:$A$9,MOD(ROW()-2,8)+1)</f>
        <v>M007</v>
      </c>
      <c r="C376">
        <f>SUMIFS(Weekly_Material_Requirements!$F:$F,Weekly_Material_Requirements!$A:$A,A376,Weekly_Material_Requirements!$C:$C,B376)</f>
        <v>60700</v>
      </c>
    </row>
    <row r="377" spans="1:3">
      <c r="A377" s="1" cm="1">
        <f t="array" ref="A377">INDEX(Calendar_Weeks!$A$2:$A$53,INT((ROW()-2)/8)+1)</f>
        <v>46349</v>
      </c>
      <c r="B377" t="str" cm="1">
        <f t="array" ref="B377">INDEX(Material_Master!$A$2:$A$9,MOD(ROW()-2,8)+1)</f>
        <v>M008</v>
      </c>
      <c r="C377">
        <f>SUMIFS(Weekly_Material_Requirements!$F:$F,Weekly_Material_Requirements!$A:$A,A377,Weekly_Material_Requirements!$C:$C,B377)</f>
        <v>60700</v>
      </c>
    </row>
    <row r="378" spans="1:3">
      <c r="A378" s="1" cm="1">
        <f t="array" ref="A378">INDEX(Calendar_Weeks!$A$2:$A$53,INT((ROW()-2)/8)+1)</f>
        <v>46356</v>
      </c>
      <c r="B378" t="str" cm="1">
        <f t="array" ref="B378">INDEX(Material_Master!$A$2:$A$9,MOD(ROW()-2,8)+1)</f>
        <v>M001</v>
      </c>
      <c r="C378">
        <f>SUMIFS(Weekly_Material_Requirements!$F:$F,Weekly_Material_Requirements!$A:$A,A378,Weekly_Material_Requirements!$C:$C,B378)</f>
        <v>5355</v>
      </c>
    </row>
    <row r="379" spans="1:3">
      <c r="A379" s="1" cm="1">
        <f t="array" ref="A379">INDEX(Calendar_Weeks!$A$2:$A$53,INT((ROW()-2)/8)+1)</f>
        <v>46356</v>
      </c>
      <c r="B379" t="str" cm="1">
        <f t="array" ref="B379">INDEX(Material_Master!$A$2:$A$9,MOD(ROW()-2,8)+1)</f>
        <v>M002</v>
      </c>
      <c r="C379">
        <f>SUMIFS(Weekly_Material_Requirements!$F:$F,Weekly_Material_Requirements!$A:$A,A379,Weekly_Material_Requirements!$C:$C,B379)</f>
        <v>3900</v>
      </c>
    </row>
    <row r="380" spans="1:3">
      <c r="A380" s="1" cm="1">
        <f t="array" ref="A380">INDEX(Calendar_Weeks!$A$2:$A$53,INT((ROW()-2)/8)+1)</f>
        <v>46356</v>
      </c>
      <c r="B380" t="str" cm="1">
        <f t="array" ref="B380">INDEX(Material_Master!$A$2:$A$9,MOD(ROW()-2,8)+1)</f>
        <v>M003</v>
      </c>
      <c r="C380">
        <f>SUMIFS(Weekly_Material_Requirements!$F:$F,Weekly_Material_Requirements!$A:$A,A380,Weekly_Material_Requirements!$C:$C,B380)</f>
        <v>2875</v>
      </c>
    </row>
    <row r="381" spans="1:3">
      <c r="A381" s="1" cm="1">
        <f t="array" ref="A381">INDEX(Calendar_Weeks!$A$2:$A$53,INT((ROW()-2)/8)+1)</f>
        <v>46356</v>
      </c>
      <c r="B381" t="str" cm="1">
        <f t="array" ref="B381">INDEX(Material_Master!$A$2:$A$9,MOD(ROW()-2,8)+1)</f>
        <v>M004</v>
      </c>
      <c r="C381">
        <f>SUMIFS(Weekly_Material_Requirements!$F:$F,Weekly_Material_Requirements!$A:$A,A381,Weekly_Material_Requirements!$C:$C,B381)</f>
        <v>4216</v>
      </c>
    </row>
    <row r="382" spans="1:3">
      <c r="A382" s="1" cm="1">
        <f t="array" ref="A382">INDEX(Calendar_Weeks!$A$2:$A$53,INT((ROW()-2)/8)+1)</f>
        <v>46356</v>
      </c>
      <c r="B382" t="str" cm="1">
        <f t="array" ref="B382">INDEX(Material_Master!$A$2:$A$9,MOD(ROW()-2,8)+1)</f>
        <v>M005</v>
      </c>
      <c r="C382">
        <f>SUMIFS(Weekly_Material_Requirements!$F:$F,Weekly_Material_Requirements!$A:$A,A382,Weekly_Material_Requirements!$C:$C,B382)</f>
        <v>4888</v>
      </c>
    </row>
    <row r="383" spans="1:3">
      <c r="A383" s="1" cm="1">
        <f t="array" ref="A383">INDEX(Calendar_Weeks!$A$2:$A$53,INT((ROW()-2)/8)+1)</f>
        <v>46356</v>
      </c>
      <c r="B383" t="str" cm="1">
        <f t="array" ref="B383">INDEX(Material_Master!$A$2:$A$9,MOD(ROW()-2,8)+1)</f>
        <v>M006</v>
      </c>
      <c r="C383">
        <f>SUMIFS(Weekly_Material_Requirements!$F:$F,Weekly_Material_Requirements!$A:$A,A383,Weekly_Material_Requirements!$C:$C,B383)</f>
        <v>550.4</v>
      </c>
    </row>
    <row r="384" spans="1:3">
      <c r="A384" s="1" cm="1">
        <f t="array" ref="A384">INDEX(Calendar_Weeks!$A$2:$A$53,INT((ROW()-2)/8)+1)</f>
        <v>46356</v>
      </c>
      <c r="B384" t="str" cm="1">
        <f t="array" ref="B384">INDEX(Material_Master!$A$2:$A$9,MOD(ROW()-2,8)+1)</f>
        <v>M007</v>
      </c>
      <c r="C384">
        <f>SUMIFS(Weekly_Material_Requirements!$F:$F,Weekly_Material_Requirements!$A:$A,A384,Weekly_Material_Requirements!$C:$C,B384)</f>
        <v>61600</v>
      </c>
    </row>
    <row r="385" spans="1:3">
      <c r="A385" s="1" cm="1">
        <f t="array" ref="A385">INDEX(Calendar_Weeks!$A$2:$A$53,INT((ROW()-2)/8)+1)</f>
        <v>46356</v>
      </c>
      <c r="B385" t="str" cm="1">
        <f t="array" ref="B385">INDEX(Material_Master!$A$2:$A$9,MOD(ROW()-2,8)+1)</f>
        <v>M008</v>
      </c>
      <c r="C385">
        <f>SUMIFS(Weekly_Material_Requirements!$F:$F,Weekly_Material_Requirements!$A:$A,A385,Weekly_Material_Requirements!$C:$C,B385)</f>
        <v>61600</v>
      </c>
    </row>
    <row r="386" spans="1:3">
      <c r="A386" s="1" cm="1">
        <f t="array" ref="A386">INDEX(Calendar_Weeks!$A$2:$A$53,INT((ROW()-2)/8)+1)</f>
        <v>46363</v>
      </c>
      <c r="B386" t="str" cm="1">
        <f t="array" ref="B386">INDEX(Material_Master!$A$2:$A$9,MOD(ROW()-2,8)+1)</f>
        <v>M001</v>
      </c>
      <c r="C386">
        <f>SUMIFS(Weekly_Material_Requirements!$F:$F,Weekly_Material_Requirements!$A:$A,A386,Weekly_Material_Requirements!$C:$C,B386)</f>
        <v>6090</v>
      </c>
    </row>
    <row r="387" spans="1:3">
      <c r="A387" s="1" cm="1">
        <f t="array" ref="A387">INDEX(Calendar_Weeks!$A$2:$A$53,INT((ROW()-2)/8)+1)</f>
        <v>46363</v>
      </c>
      <c r="B387" t="str" cm="1">
        <f t="array" ref="B387">INDEX(Material_Master!$A$2:$A$9,MOD(ROW()-2,8)+1)</f>
        <v>M002</v>
      </c>
      <c r="C387">
        <f>SUMIFS(Weekly_Material_Requirements!$F:$F,Weekly_Material_Requirements!$A:$A,A387,Weekly_Material_Requirements!$C:$C,B387)</f>
        <v>4680</v>
      </c>
    </row>
    <row r="388" spans="1:3">
      <c r="A388" s="1" cm="1">
        <f t="array" ref="A388">INDEX(Calendar_Weeks!$A$2:$A$53,INT((ROW()-2)/8)+1)</f>
        <v>46363</v>
      </c>
      <c r="B388" t="str" cm="1">
        <f t="array" ref="B388">INDEX(Material_Master!$A$2:$A$9,MOD(ROW()-2,8)+1)</f>
        <v>M003</v>
      </c>
      <c r="C388">
        <f>SUMIFS(Weekly_Material_Requirements!$F:$F,Weekly_Material_Requirements!$A:$A,A388,Weekly_Material_Requirements!$C:$C,B388)</f>
        <v>3425</v>
      </c>
    </row>
    <row r="389" spans="1:3">
      <c r="A389" s="1" cm="1">
        <f t="array" ref="A389">INDEX(Calendar_Weeks!$A$2:$A$53,INT((ROW()-2)/8)+1)</f>
        <v>46363</v>
      </c>
      <c r="B389" t="str" cm="1">
        <f t="array" ref="B389">INDEX(Material_Master!$A$2:$A$9,MOD(ROW()-2,8)+1)</f>
        <v>M004</v>
      </c>
      <c r="C389">
        <f>SUMIFS(Weekly_Material_Requirements!$F:$F,Weekly_Material_Requirements!$A:$A,A389,Weekly_Material_Requirements!$C:$C,B389)</f>
        <v>4828</v>
      </c>
    </row>
    <row r="390" spans="1:3">
      <c r="A390" s="1" cm="1">
        <f t="array" ref="A390">INDEX(Calendar_Weeks!$A$2:$A$53,INT((ROW()-2)/8)+1)</f>
        <v>46363</v>
      </c>
      <c r="B390" t="str" cm="1">
        <f t="array" ref="B390">INDEX(Material_Master!$A$2:$A$9,MOD(ROW()-2,8)+1)</f>
        <v>M005</v>
      </c>
      <c r="C390">
        <f>SUMIFS(Weekly_Material_Requirements!$F:$F,Weekly_Material_Requirements!$A:$A,A390,Weekly_Material_Requirements!$C:$C,B390)</f>
        <v>5616</v>
      </c>
    </row>
    <row r="391" spans="1:3">
      <c r="A391" s="1" cm="1">
        <f t="array" ref="A391">INDEX(Calendar_Weeks!$A$2:$A$53,INT((ROW()-2)/8)+1)</f>
        <v>46363</v>
      </c>
      <c r="B391" t="str" cm="1">
        <f t="array" ref="B391">INDEX(Material_Master!$A$2:$A$9,MOD(ROW()-2,8)+1)</f>
        <v>M006</v>
      </c>
      <c r="C391">
        <f>SUMIFS(Weekly_Material_Requirements!$F:$F,Weekly_Material_Requirements!$A:$A,A391,Weekly_Material_Requirements!$C:$C,B391)</f>
        <v>638.4</v>
      </c>
    </row>
    <row r="392" spans="1:3">
      <c r="A392" s="1" cm="1">
        <f t="array" ref="A392">INDEX(Calendar_Weeks!$A$2:$A$53,INT((ROW()-2)/8)+1)</f>
        <v>46363</v>
      </c>
      <c r="B392" t="str" cm="1">
        <f t="array" ref="B392">INDEX(Material_Master!$A$2:$A$9,MOD(ROW()-2,8)+1)</f>
        <v>M007</v>
      </c>
      <c r="C392">
        <f>SUMIFS(Weekly_Material_Requirements!$F:$F,Weekly_Material_Requirements!$A:$A,A392,Weekly_Material_Requirements!$C:$C,B392)</f>
        <v>71700</v>
      </c>
    </row>
    <row r="393" spans="1:3">
      <c r="A393" s="1" cm="1">
        <f t="array" ref="A393">INDEX(Calendar_Weeks!$A$2:$A$53,INT((ROW()-2)/8)+1)</f>
        <v>46363</v>
      </c>
      <c r="B393" t="str" cm="1">
        <f t="array" ref="B393">INDEX(Material_Master!$A$2:$A$9,MOD(ROW()-2,8)+1)</f>
        <v>M008</v>
      </c>
      <c r="C393">
        <f>SUMIFS(Weekly_Material_Requirements!$F:$F,Weekly_Material_Requirements!$A:$A,A393,Weekly_Material_Requirements!$C:$C,B393)</f>
        <v>71700</v>
      </c>
    </row>
    <row r="394" spans="1:3">
      <c r="A394" s="1" cm="1">
        <f t="array" ref="A394">INDEX(Calendar_Weeks!$A$2:$A$53,INT((ROW()-2)/8)+1)</f>
        <v>46370</v>
      </c>
      <c r="B394" t="str" cm="1">
        <f t="array" ref="B394">INDEX(Material_Master!$A$2:$A$9,MOD(ROW()-2,8)+1)</f>
        <v>M001</v>
      </c>
      <c r="C394">
        <f>SUMIFS(Weekly_Material_Requirements!$F:$F,Weekly_Material_Requirements!$A:$A,A394,Weekly_Material_Requirements!$C:$C,B394)</f>
        <v>5880</v>
      </c>
    </row>
    <row r="395" spans="1:3">
      <c r="A395" s="1" cm="1">
        <f t="array" ref="A395">INDEX(Calendar_Weeks!$A$2:$A$53,INT((ROW()-2)/8)+1)</f>
        <v>46370</v>
      </c>
      <c r="B395" t="str" cm="1">
        <f t="array" ref="B395">INDEX(Material_Master!$A$2:$A$9,MOD(ROW()-2,8)+1)</f>
        <v>M002</v>
      </c>
      <c r="C395">
        <f>SUMIFS(Weekly_Material_Requirements!$F:$F,Weekly_Material_Requirements!$A:$A,A395,Weekly_Material_Requirements!$C:$C,B395)</f>
        <v>4500</v>
      </c>
    </row>
    <row r="396" spans="1:3">
      <c r="A396" s="1" cm="1">
        <f t="array" ref="A396">INDEX(Calendar_Weeks!$A$2:$A$53,INT((ROW()-2)/8)+1)</f>
        <v>46370</v>
      </c>
      <c r="B396" t="str" cm="1">
        <f t="array" ref="B396">INDEX(Material_Master!$A$2:$A$9,MOD(ROW()-2,8)+1)</f>
        <v>M003</v>
      </c>
      <c r="C396">
        <f>SUMIFS(Weekly_Material_Requirements!$F:$F,Weekly_Material_Requirements!$A:$A,A396,Weekly_Material_Requirements!$C:$C,B396)</f>
        <v>3125</v>
      </c>
    </row>
    <row r="397" spans="1:3">
      <c r="A397" s="1" cm="1">
        <f t="array" ref="A397">INDEX(Calendar_Weeks!$A$2:$A$53,INT((ROW()-2)/8)+1)</f>
        <v>46370</v>
      </c>
      <c r="B397" t="str" cm="1">
        <f t="array" ref="B397">INDEX(Material_Master!$A$2:$A$9,MOD(ROW()-2,8)+1)</f>
        <v>M004</v>
      </c>
      <c r="C397">
        <f>SUMIFS(Weekly_Material_Requirements!$F:$F,Weekly_Material_Requirements!$A:$A,A397,Weekly_Material_Requirements!$C:$C,B397)</f>
        <v>4862</v>
      </c>
    </row>
    <row r="398" spans="1:3">
      <c r="A398" s="1" cm="1">
        <f t="array" ref="A398">INDEX(Calendar_Weeks!$A$2:$A$53,INT((ROW()-2)/8)+1)</f>
        <v>46370</v>
      </c>
      <c r="B398" t="str" cm="1">
        <f t="array" ref="B398">INDEX(Material_Master!$A$2:$A$9,MOD(ROW()-2,8)+1)</f>
        <v>M005</v>
      </c>
      <c r="C398">
        <f>SUMIFS(Weekly_Material_Requirements!$F:$F,Weekly_Material_Requirements!$A:$A,A398,Weekly_Material_Requirements!$C:$C,B398)</f>
        <v>6916</v>
      </c>
    </row>
    <row r="399" spans="1:3">
      <c r="A399" s="1" cm="1">
        <f t="array" ref="A399">INDEX(Calendar_Weeks!$A$2:$A$53,INT((ROW()-2)/8)+1)</f>
        <v>46370</v>
      </c>
      <c r="B399" t="str" cm="1">
        <f t="array" ref="B399">INDEX(Material_Master!$A$2:$A$9,MOD(ROW()-2,8)+1)</f>
        <v>M006</v>
      </c>
      <c r="C399">
        <f>SUMIFS(Weekly_Material_Requirements!$F:$F,Weekly_Material_Requirements!$A:$A,A399,Weekly_Material_Requirements!$C:$C,B399)</f>
        <v>651.29999999999995</v>
      </c>
    </row>
    <row r="400" spans="1:3">
      <c r="A400" s="1" cm="1">
        <f t="array" ref="A400">INDEX(Calendar_Weeks!$A$2:$A$53,INT((ROW()-2)/8)+1)</f>
        <v>46370</v>
      </c>
      <c r="B400" t="str" cm="1">
        <f t="array" ref="B400">INDEX(Material_Master!$A$2:$A$9,MOD(ROW()-2,8)+1)</f>
        <v>M007</v>
      </c>
      <c r="C400">
        <f>SUMIFS(Weekly_Material_Requirements!$F:$F,Weekly_Material_Requirements!$A:$A,A400,Weekly_Material_Requirements!$C:$C,B400)</f>
        <v>71900</v>
      </c>
    </row>
    <row r="401" spans="1:3">
      <c r="A401" s="1" cm="1">
        <f t="array" ref="A401">INDEX(Calendar_Weeks!$A$2:$A$53,INT((ROW()-2)/8)+1)</f>
        <v>46370</v>
      </c>
      <c r="B401" t="str" cm="1">
        <f t="array" ref="B401">INDEX(Material_Master!$A$2:$A$9,MOD(ROW()-2,8)+1)</f>
        <v>M008</v>
      </c>
      <c r="C401">
        <f>SUMIFS(Weekly_Material_Requirements!$F:$F,Weekly_Material_Requirements!$A:$A,A401,Weekly_Material_Requirements!$C:$C,B401)</f>
        <v>71900</v>
      </c>
    </row>
    <row r="402" spans="1:3">
      <c r="A402" s="1" cm="1">
        <f t="array" ref="A402">INDEX(Calendar_Weeks!$A$2:$A$53,INT((ROW()-2)/8)+1)</f>
        <v>46377</v>
      </c>
      <c r="B402" t="str" cm="1">
        <f t="array" ref="B402">INDEX(Material_Master!$A$2:$A$9,MOD(ROW()-2,8)+1)</f>
        <v>M001</v>
      </c>
      <c r="C402">
        <f>SUMIFS(Weekly_Material_Requirements!$F:$F,Weekly_Material_Requirements!$A:$A,A402,Weekly_Material_Requirements!$C:$C,B402)</f>
        <v>6265</v>
      </c>
    </row>
    <row r="403" spans="1:3">
      <c r="A403" s="1" cm="1">
        <f t="array" ref="A403">INDEX(Calendar_Weeks!$A$2:$A$53,INT((ROW()-2)/8)+1)</f>
        <v>46377</v>
      </c>
      <c r="B403" t="str" cm="1">
        <f t="array" ref="B403">INDEX(Material_Master!$A$2:$A$9,MOD(ROW()-2,8)+1)</f>
        <v>M002</v>
      </c>
      <c r="C403">
        <f>SUMIFS(Weekly_Material_Requirements!$F:$F,Weekly_Material_Requirements!$A:$A,A403,Weekly_Material_Requirements!$C:$C,B403)</f>
        <v>4530</v>
      </c>
    </row>
    <row r="404" spans="1:3">
      <c r="A404" s="1" cm="1">
        <f t="array" ref="A404">INDEX(Calendar_Weeks!$A$2:$A$53,INT((ROW()-2)/8)+1)</f>
        <v>46377</v>
      </c>
      <c r="B404" t="str" cm="1">
        <f t="array" ref="B404">INDEX(Material_Master!$A$2:$A$9,MOD(ROW()-2,8)+1)</f>
        <v>M003</v>
      </c>
      <c r="C404">
        <f>SUMIFS(Weekly_Material_Requirements!$F:$F,Weekly_Material_Requirements!$A:$A,A404,Weekly_Material_Requirements!$C:$C,B404)</f>
        <v>3175</v>
      </c>
    </row>
    <row r="405" spans="1:3">
      <c r="A405" s="1" cm="1">
        <f t="array" ref="A405">INDEX(Calendar_Weeks!$A$2:$A$53,INT((ROW()-2)/8)+1)</f>
        <v>46377</v>
      </c>
      <c r="B405" t="str" cm="1">
        <f t="array" ref="B405">INDEX(Material_Master!$A$2:$A$9,MOD(ROW()-2,8)+1)</f>
        <v>M004</v>
      </c>
      <c r="C405">
        <f>SUMIFS(Weekly_Material_Requirements!$F:$F,Weekly_Material_Requirements!$A:$A,A405,Weekly_Material_Requirements!$C:$C,B405)</f>
        <v>4692</v>
      </c>
    </row>
    <row r="406" spans="1:3">
      <c r="A406" s="1" cm="1">
        <f t="array" ref="A406">INDEX(Calendar_Weeks!$A$2:$A$53,INT((ROW()-2)/8)+1)</f>
        <v>46377</v>
      </c>
      <c r="B406" t="str" cm="1">
        <f t="array" ref="B406">INDEX(Material_Master!$A$2:$A$9,MOD(ROW()-2,8)+1)</f>
        <v>M005</v>
      </c>
      <c r="C406">
        <f>SUMIFS(Weekly_Material_Requirements!$F:$F,Weekly_Material_Requirements!$A:$A,A406,Weekly_Material_Requirements!$C:$C,B406)</f>
        <v>5304</v>
      </c>
    </row>
    <row r="407" spans="1:3">
      <c r="A407" s="1" cm="1">
        <f t="array" ref="A407">INDEX(Calendar_Weeks!$A$2:$A$53,INT((ROW()-2)/8)+1)</f>
        <v>46377</v>
      </c>
      <c r="B407" t="str" cm="1">
        <f t="array" ref="B407">INDEX(Material_Master!$A$2:$A$9,MOD(ROW()-2,8)+1)</f>
        <v>M006</v>
      </c>
      <c r="C407">
        <f>SUMIFS(Weekly_Material_Requirements!$F:$F,Weekly_Material_Requirements!$A:$A,A407,Weekly_Material_Requirements!$C:$C,B407)</f>
        <v>622.6</v>
      </c>
    </row>
    <row r="408" spans="1:3">
      <c r="A408" s="1" cm="1">
        <f t="array" ref="A408">INDEX(Calendar_Weeks!$A$2:$A$53,INT((ROW()-2)/8)+1)</f>
        <v>46377</v>
      </c>
      <c r="B408" t="str" cm="1">
        <f t="array" ref="B408">INDEX(Material_Master!$A$2:$A$9,MOD(ROW()-2,8)+1)</f>
        <v>M007</v>
      </c>
      <c r="C408">
        <f>SUMIFS(Weekly_Material_Requirements!$F:$F,Weekly_Material_Requirements!$A:$A,A408,Weekly_Material_Requirements!$C:$C,B408)</f>
        <v>69700</v>
      </c>
    </row>
    <row r="409" spans="1:3">
      <c r="A409" s="1" cm="1">
        <f t="array" ref="A409">INDEX(Calendar_Weeks!$A$2:$A$53,INT((ROW()-2)/8)+1)</f>
        <v>46377</v>
      </c>
      <c r="B409" t="str" cm="1">
        <f t="array" ref="B409">INDEX(Material_Master!$A$2:$A$9,MOD(ROW()-2,8)+1)</f>
        <v>M008</v>
      </c>
      <c r="C409">
        <f>SUMIFS(Weekly_Material_Requirements!$F:$F,Weekly_Material_Requirements!$A:$A,A409,Weekly_Material_Requirements!$C:$C,B409)</f>
        <v>69700</v>
      </c>
    </row>
    <row r="410" spans="1:3">
      <c r="A410" s="1" cm="1">
        <f t="array" ref="A410">INDEX(Calendar_Weeks!$A$2:$A$53,INT((ROW()-2)/8)+1)</f>
        <v>46384</v>
      </c>
      <c r="B410" t="str" cm="1">
        <f t="array" ref="B410">INDEX(Material_Master!$A$2:$A$9,MOD(ROW()-2,8)+1)</f>
        <v>M001</v>
      </c>
      <c r="C410">
        <f>SUMIFS(Weekly_Material_Requirements!$F:$F,Weekly_Material_Requirements!$A:$A,A410,Weekly_Material_Requirements!$C:$C,B410)</f>
        <v>6195</v>
      </c>
    </row>
    <row r="411" spans="1:3">
      <c r="A411" s="1" cm="1">
        <f t="array" ref="A411">INDEX(Calendar_Weeks!$A$2:$A$53,INT((ROW()-2)/8)+1)</f>
        <v>46384</v>
      </c>
      <c r="B411" t="str" cm="1">
        <f t="array" ref="B411">INDEX(Material_Master!$A$2:$A$9,MOD(ROW()-2,8)+1)</f>
        <v>M002</v>
      </c>
      <c r="C411">
        <f>SUMIFS(Weekly_Material_Requirements!$F:$F,Weekly_Material_Requirements!$A:$A,A411,Weekly_Material_Requirements!$C:$C,B411)</f>
        <v>4500</v>
      </c>
    </row>
    <row r="412" spans="1:3">
      <c r="A412" s="1" cm="1">
        <f t="array" ref="A412">INDEX(Calendar_Weeks!$A$2:$A$53,INT((ROW()-2)/8)+1)</f>
        <v>46384</v>
      </c>
      <c r="B412" t="str" cm="1">
        <f t="array" ref="B412">INDEX(Material_Master!$A$2:$A$9,MOD(ROW()-2,8)+1)</f>
        <v>M003</v>
      </c>
      <c r="C412">
        <f>SUMIFS(Weekly_Material_Requirements!$F:$F,Weekly_Material_Requirements!$A:$A,A412,Weekly_Material_Requirements!$C:$C,B412)</f>
        <v>3175</v>
      </c>
    </row>
    <row r="413" spans="1:3">
      <c r="A413" s="1" cm="1">
        <f t="array" ref="A413">INDEX(Calendar_Weeks!$A$2:$A$53,INT((ROW()-2)/8)+1)</f>
        <v>46384</v>
      </c>
      <c r="B413" t="str" cm="1">
        <f t="array" ref="B413">INDEX(Material_Master!$A$2:$A$9,MOD(ROW()-2,8)+1)</f>
        <v>M004</v>
      </c>
      <c r="C413">
        <f>SUMIFS(Weekly_Material_Requirements!$F:$F,Weekly_Material_Requirements!$A:$A,A413,Weekly_Material_Requirements!$C:$C,B413)</f>
        <v>4828</v>
      </c>
    </row>
    <row r="414" spans="1:3">
      <c r="A414" s="1" cm="1">
        <f t="array" ref="A414">INDEX(Calendar_Weeks!$A$2:$A$53,INT((ROW()-2)/8)+1)</f>
        <v>46384</v>
      </c>
      <c r="B414" t="str" cm="1">
        <f t="array" ref="B414">INDEX(Material_Master!$A$2:$A$9,MOD(ROW()-2,8)+1)</f>
        <v>M005</v>
      </c>
      <c r="C414">
        <f>SUMIFS(Weekly_Material_Requirements!$F:$F,Weekly_Material_Requirements!$A:$A,A414,Weekly_Material_Requirements!$C:$C,B414)</f>
        <v>5564</v>
      </c>
    </row>
    <row r="415" spans="1:3">
      <c r="A415" s="1" cm="1">
        <f t="array" ref="A415">INDEX(Calendar_Weeks!$A$2:$A$53,INT((ROW()-2)/8)+1)</f>
        <v>46384</v>
      </c>
      <c r="B415" t="str" cm="1">
        <f t="array" ref="B415">INDEX(Material_Master!$A$2:$A$9,MOD(ROW()-2,8)+1)</f>
        <v>M006</v>
      </c>
      <c r="C415">
        <f>SUMIFS(Weekly_Material_Requirements!$F:$F,Weekly_Material_Requirements!$A:$A,A415,Weekly_Material_Requirements!$C:$C,B415)</f>
        <v>629.4</v>
      </c>
    </row>
    <row r="416" spans="1:3">
      <c r="A416" s="1" cm="1">
        <f t="array" ref="A416">INDEX(Calendar_Weeks!$A$2:$A$53,INT((ROW()-2)/8)+1)</f>
        <v>46384</v>
      </c>
      <c r="B416" t="str" cm="1">
        <f t="array" ref="B416">INDEX(Material_Master!$A$2:$A$9,MOD(ROW()-2,8)+1)</f>
        <v>M007</v>
      </c>
      <c r="C416">
        <f>SUMIFS(Weekly_Material_Requirements!$F:$F,Weekly_Material_Requirements!$A:$A,A416,Weekly_Material_Requirements!$C:$C,B416)</f>
        <v>70300</v>
      </c>
    </row>
    <row r="417" spans="1:3">
      <c r="A417" s="1" cm="1">
        <f t="array" ref="A417">INDEX(Calendar_Weeks!$A$2:$A$53,INT((ROW()-2)/8)+1)</f>
        <v>46384</v>
      </c>
      <c r="B417" t="str" cm="1">
        <f t="array" ref="B417">INDEX(Material_Master!$A$2:$A$9,MOD(ROW()-2,8)+1)</f>
        <v>M008</v>
      </c>
      <c r="C417">
        <f>SUMIFS(Weekly_Material_Requirements!$F:$F,Weekly_Material_Requirements!$A:$A,A417,Weekly_Material_Requirements!$C:$C,B417)</f>
        <v>70300</v>
      </c>
    </row>
    <row r="418" spans="1:3">
      <c r="A418" s="1"/>
    </row>
    <row r="419" spans="1:3">
      <c r="A419" s="1"/>
    </row>
    <row r="420" spans="1:3">
      <c r="A420" s="1"/>
    </row>
    <row r="421" spans="1:3">
      <c r="A421" s="1"/>
    </row>
    <row r="422" spans="1:3">
      <c r="A422" s="1"/>
    </row>
    <row r="423" spans="1:3">
      <c r="A423" s="1"/>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8D76-638B-4138-ACEA-6FF0ABFFA2B6}">
  <dimension ref="A1:L418"/>
  <sheetViews>
    <sheetView workbookViewId="0">
      <selection activeCell="F14" sqref="F14"/>
    </sheetView>
  </sheetViews>
  <sheetFormatPr defaultRowHeight="14.4"/>
  <cols>
    <col min="1" max="2" width="12.6640625" customWidth="1"/>
    <col min="3" max="3" width="23.6640625" customWidth="1"/>
    <col min="4" max="4" width="27.6640625" customWidth="1"/>
    <col min="5" max="5" width="28.88671875" customWidth="1"/>
    <col min="6" max="6" width="21" customWidth="1"/>
    <col min="7" max="7" width="27.21875" customWidth="1"/>
    <col min="8" max="8" width="19.44140625" customWidth="1"/>
    <col min="9" max="9" width="22.5546875" customWidth="1"/>
    <col min="10" max="10" width="29.21875" customWidth="1"/>
    <col min="11" max="11" width="22.44140625" customWidth="1"/>
    <col min="12" max="12" width="22.5546875" customWidth="1"/>
  </cols>
  <sheetData>
    <row r="1" spans="1:12">
      <c r="A1" t="s">
        <v>68</v>
      </c>
      <c r="B1" t="s">
        <v>43</v>
      </c>
      <c r="C1" t="s">
        <v>120</v>
      </c>
      <c r="D1" t="s">
        <v>119</v>
      </c>
      <c r="E1" t="s">
        <v>121</v>
      </c>
      <c r="F1" t="s">
        <v>122</v>
      </c>
      <c r="G1" t="s">
        <v>123</v>
      </c>
      <c r="H1" t="s">
        <v>124</v>
      </c>
      <c r="I1" t="s">
        <v>125</v>
      </c>
      <c r="J1" t="s">
        <v>126</v>
      </c>
      <c r="K1" t="s">
        <v>127</v>
      </c>
      <c r="L1" t="s">
        <v>128</v>
      </c>
    </row>
    <row r="2" spans="1:12">
      <c r="A2" s="1">
        <f>Weekly_Material_Summary!A2</f>
        <v>46027</v>
      </c>
      <c r="B2" t="str">
        <f>Weekly_Material_Summary!B2</f>
        <v>M001</v>
      </c>
      <c r="C2">
        <f>SUMIFS(Raw_Material_Inventory!$C:$C,Raw_Material_Inventory!$A:$A,A2,Raw_Material_Inventory!$B:$B,B2)</f>
        <v>4200</v>
      </c>
      <c r="D2">
        <f>Weekly_Material_Summary!C2</f>
        <v>3674.9999999999995</v>
      </c>
      <c r="E2">
        <f>ROUND(D2*0.25,0)</f>
        <v>919</v>
      </c>
      <c r="F2">
        <f>MAX(0,ROUND(D2+E2-C2,0))</f>
        <v>394</v>
      </c>
      <c r="G2">
        <v>1.02</v>
      </c>
      <c r="H2">
        <f>ROUND(F2*G2,0)</f>
        <v>402</v>
      </c>
      <c r="I2">
        <f>C2+H2</f>
        <v>4602</v>
      </c>
      <c r="J2">
        <f>I2-D2</f>
        <v>927.00000000000045</v>
      </c>
      <c r="K2">
        <f>MAX(0,-J2)</f>
        <v>0</v>
      </c>
      <c r="L2">
        <f>MAX(0,J2)</f>
        <v>927.00000000000045</v>
      </c>
    </row>
    <row r="3" spans="1:12">
      <c r="A3" s="1">
        <f>Weekly_Material_Summary!A3</f>
        <v>46027</v>
      </c>
      <c r="B3" t="str">
        <f>Weekly_Material_Summary!B3</f>
        <v>M002</v>
      </c>
      <c r="C3">
        <f>SUMIFS(Raw_Material_Inventory!$C:$C,Raw_Material_Inventory!$A:$A,A3,Raw_Material_Inventory!$B:$B,B3)</f>
        <v>3100</v>
      </c>
      <c r="D3">
        <f>Weekly_Material_Summary!C3</f>
        <v>2850</v>
      </c>
      <c r="E3">
        <f t="shared" ref="E3:E66" si="0">ROUND(D3*0.25,0)</f>
        <v>713</v>
      </c>
      <c r="F3">
        <f t="shared" ref="F3:F66" si="1">MAX(0,ROUND(D3+E3-C3,0))</f>
        <v>463</v>
      </c>
      <c r="G3">
        <v>1.01</v>
      </c>
      <c r="H3">
        <f t="shared" ref="H3:H66" si="2">ROUND(F3*G3,0)</f>
        <v>468</v>
      </c>
      <c r="I3">
        <f t="shared" ref="I3:I66" si="3">C3+H3</f>
        <v>3568</v>
      </c>
      <c r="J3">
        <f t="shared" ref="J3:J66" si="4">I3-D3</f>
        <v>718</v>
      </c>
      <c r="K3">
        <f t="shared" ref="K3:K66" si="5">MAX(0,-J3)</f>
        <v>0</v>
      </c>
      <c r="L3">
        <f t="shared" ref="L3:L8" si="6">MAX(0,J3)</f>
        <v>718</v>
      </c>
    </row>
    <row r="4" spans="1:12">
      <c r="A4" s="1">
        <f>Weekly_Material_Summary!A4</f>
        <v>46027</v>
      </c>
      <c r="B4" t="str">
        <f>Weekly_Material_Summary!B4</f>
        <v>M003</v>
      </c>
      <c r="C4">
        <f>SUMIFS(Raw_Material_Inventory!$C:$C,Raw_Material_Inventory!$A:$A,A4,Raw_Material_Inventory!$B:$B,B4)</f>
        <v>1900</v>
      </c>
      <c r="D4">
        <f>Weekly_Material_Summary!C4</f>
        <v>2050</v>
      </c>
      <c r="E4">
        <f t="shared" si="0"/>
        <v>513</v>
      </c>
      <c r="F4">
        <f t="shared" si="1"/>
        <v>663</v>
      </c>
      <c r="G4">
        <v>1.02</v>
      </c>
      <c r="H4">
        <f t="shared" si="2"/>
        <v>676</v>
      </c>
      <c r="I4">
        <f t="shared" si="3"/>
        <v>2576</v>
      </c>
      <c r="J4">
        <f t="shared" si="4"/>
        <v>526</v>
      </c>
      <c r="K4">
        <f t="shared" si="5"/>
        <v>0</v>
      </c>
      <c r="L4">
        <f t="shared" si="6"/>
        <v>526</v>
      </c>
    </row>
    <row r="5" spans="1:12">
      <c r="A5" s="1">
        <f>Weekly_Material_Summary!A5</f>
        <v>46027</v>
      </c>
      <c r="B5" t="str">
        <f>Weekly_Material_Summary!B5</f>
        <v>M004</v>
      </c>
      <c r="C5">
        <f>SUMIFS(Raw_Material_Inventory!$C:$C,Raw_Material_Inventory!$A:$A,A5,Raw_Material_Inventory!$B:$B,B5)</f>
        <v>2300</v>
      </c>
      <c r="D5">
        <f>Weekly_Material_Summary!C5</f>
        <v>2992</v>
      </c>
      <c r="E5">
        <f t="shared" si="0"/>
        <v>748</v>
      </c>
      <c r="F5">
        <f t="shared" si="1"/>
        <v>1440</v>
      </c>
      <c r="G5">
        <v>0.99</v>
      </c>
      <c r="H5">
        <f t="shared" si="2"/>
        <v>1426</v>
      </c>
      <c r="I5">
        <f t="shared" si="3"/>
        <v>3726</v>
      </c>
      <c r="J5">
        <f t="shared" si="4"/>
        <v>734</v>
      </c>
      <c r="K5">
        <f t="shared" si="5"/>
        <v>0</v>
      </c>
      <c r="L5">
        <f t="shared" si="6"/>
        <v>734</v>
      </c>
    </row>
    <row r="6" spans="1:12">
      <c r="A6" s="1">
        <f>Weekly_Material_Summary!A6</f>
        <v>46027</v>
      </c>
      <c r="B6" t="str">
        <f>Weekly_Material_Summary!B6</f>
        <v>M005</v>
      </c>
      <c r="C6">
        <f>SUMIFS(Raw_Material_Inventory!$C:$C,Raw_Material_Inventory!$A:$A,A6,Raw_Material_Inventory!$B:$B,B6)</f>
        <v>2800</v>
      </c>
      <c r="D6">
        <f>Weekly_Material_Summary!C6</f>
        <v>3484</v>
      </c>
      <c r="E6">
        <f t="shared" si="0"/>
        <v>871</v>
      </c>
      <c r="F6">
        <f t="shared" si="1"/>
        <v>1555</v>
      </c>
      <c r="G6">
        <v>1.01</v>
      </c>
      <c r="H6">
        <f t="shared" si="2"/>
        <v>1571</v>
      </c>
      <c r="I6">
        <f t="shared" si="3"/>
        <v>4371</v>
      </c>
      <c r="J6">
        <f t="shared" si="4"/>
        <v>887</v>
      </c>
      <c r="K6">
        <f t="shared" si="5"/>
        <v>0</v>
      </c>
      <c r="L6">
        <f t="shared" si="6"/>
        <v>887</v>
      </c>
    </row>
    <row r="7" spans="1:12">
      <c r="A7" s="1">
        <f>Weekly_Material_Summary!A7</f>
        <v>46027</v>
      </c>
      <c r="B7" t="str">
        <f>Weekly_Material_Summary!B7</f>
        <v>M006</v>
      </c>
      <c r="C7">
        <f>SUMIFS(Raw_Material_Inventory!$C:$C,Raw_Material_Inventory!$A:$A,A7,Raw_Material_Inventory!$B:$B,B7)</f>
        <v>420</v>
      </c>
      <c r="D7">
        <f>Weekly_Material_Summary!C7</f>
        <v>389.79999999999995</v>
      </c>
      <c r="E7">
        <f t="shared" si="0"/>
        <v>97</v>
      </c>
      <c r="F7">
        <f t="shared" si="1"/>
        <v>67</v>
      </c>
      <c r="G7">
        <v>0.98</v>
      </c>
      <c r="H7">
        <f t="shared" si="2"/>
        <v>66</v>
      </c>
      <c r="I7">
        <f t="shared" si="3"/>
        <v>486</v>
      </c>
      <c r="J7">
        <f t="shared" si="4"/>
        <v>96.200000000000045</v>
      </c>
      <c r="K7">
        <f t="shared" si="5"/>
        <v>0</v>
      </c>
      <c r="L7">
        <f t="shared" si="6"/>
        <v>96.200000000000045</v>
      </c>
    </row>
    <row r="8" spans="1:12">
      <c r="A8" s="1">
        <f>Weekly_Material_Summary!A8</f>
        <v>46027</v>
      </c>
      <c r="B8" t="str">
        <f>Weekly_Material_Summary!B8</f>
        <v>M007</v>
      </c>
      <c r="C8">
        <f>SUMIFS(Raw_Material_Inventory!$C:$C,Raw_Material_Inventory!$A:$A,A8,Raw_Material_Inventory!$B:$B,B8)</f>
        <v>31000</v>
      </c>
      <c r="D8">
        <f>Weekly_Material_Summary!C8</f>
        <v>43700</v>
      </c>
      <c r="E8">
        <f t="shared" si="0"/>
        <v>10925</v>
      </c>
      <c r="F8">
        <f t="shared" si="1"/>
        <v>23625</v>
      </c>
      <c r="G8">
        <v>1.01</v>
      </c>
      <c r="H8">
        <f t="shared" si="2"/>
        <v>23861</v>
      </c>
      <c r="I8">
        <f t="shared" si="3"/>
        <v>54861</v>
      </c>
      <c r="J8">
        <f t="shared" si="4"/>
        <v>11161</v>
      </c>
      <c r="K8">
        <f t="shared" si="5"/>
        <v>0</v>
      </c>
      <c r="L8">
        <f t="shared" si="6"/>
        <v>11161</v>
      </c>
    </row>
    <row r="9" spans="1:12">
      <c r="A9" s="1">
        <f>Weekly_Material_Summary!A9</f>
        <v>46027</v>
      </c>
      <c r="B9" t="str">
        <f>Weekly_Material_Summary!B9</f>
        <v>M008</v>
      </c>
      <c r="C9">
        <f>SUMIFS(Raw_Material_Inventory!$C:$C,Raw_Material_Inventory!$A:$A,A9,Raw_Material_Inventory!$B:$B,B9)</f>
        <v>32000</v>
      </c>
      <c r="D9">
        <f>Weekly_Material_Summary!C9</f>
        <v>43700</v>
      </c>
      <c r="E9">
        <f t="shared" si="0"/>
        <v>10925</v>
      </c>
      <c r="F9">
        <f t="shared" si="1"/>
        <v>22625</v>
      </c>
      <c r="G9">
        <v>1.02</v>
      </c>
      <c r="H9">
        <f t="shared" si="2"/>
        <v>23078</v>
      </c>
      <c r="I9">
        <f t="shared" si="3"/>
        <v>55078</v>
      </c>
      <c r="J9">
        <f t="shared" si="4"/>
        <v>11378</v>
      </c>
      <c r="K9">
        <f t="shared" si="5"/>
        <v>0</v>
      </c>
      <c r="L9">
        <f>MAX(0,J9)</f>
        <v>11378</v>
      </c>
    </row>
    <row r="10" spans="1:12">
      <c r="A10" s="1">
        <f>Weekly_Material_Summary!A10</f>
        <v>46034</v>
      </c>
      <c r="B10" t="str">
        <f>Weekly_Material_Summary!B10</f>
        <v>M001</v>
      </c>
      <c r="C10">
        <f>L2</f>
        <v>927.00000000000045</v>
      </c>
      <c r="D10">
        <f>Weekly_Material_Summary!C10</f>
        <v>4865</v>
      </c>
      <c r="E10">
        <f t="shared" si="0"/>
        <v>1216</v>
      </c>
      <c r="F10">
        <f t="shared" si="1"/>
        <v>5154</v>
      </c>
      <c r="G10">
        <v>1.02</v>
      </c>
      <c r="H10">
        <f t="shared" si="2"/>
        <v>5257</v>
      </c>
      <c r="I10">
        <f t="shared" si="3"/>
        <v>6184</v>
      </c>
      <c r="J10">
        <f t="shared" si="4"/>
        <v>1319</v>
      </c>
      <c r="K10">
        <f t="shared" si="5"/>
        <v>0</v>
      </c>
      <c r="L10">
        <f t="shared" ref="L10:L73" si="7">MAX(0,J10)</f>
        <v>1319</v>
      </c>
    </row>
    <row r="11" spans="1:12">
      <c r="A11" s="1">
        <f>Weekly_Material_Summary!A11</f>
        <v>46034</v>
      </c>
      <c r="B11" t="str">
        <f>Weekly_Material_Summary!B11</f>
        <v>M002</v>
      </c>
      <c r="C11">
        <f t="shared" ref="C11:C74" si="8">L3</f>
        <v>718</v>
      </c>
      <c r="D11">
        <f>Weekly_Material_Summary!C11</f>
        <v>3510</v>
      </c>
      <c r="E11">
        <f t="shared" si="0"/>
        <v>878</v>
      </c>
      <c r="F11">
        <f t="shared" si="1"/>
        <v>3670</v>
      </c>
      <c r="G11">
        <v>1.01</v>
      </c>
      <c r="H11">
        <f t="shared" si="2"/>
        <v>3707</v>
      </c>
      <c r="I11">
        <f t="shared" si="3"/>
        <v>4425</v>
      </c>
      <c r="J11">
        <f t="shared" si="4"/>
        <v>915</v>
      </c>
      <c r="K11">
        <f t="shared" si="5"/>
        <v>0</v>
      </c>
      <c r="L11">
        <f t="shared" si="7"/>
        <v>915</v>
      </c>
    </row>
    <row r="12" spans="1:12">
      <c r="A12" s="1">
        <f>Weekly_Material_Summary!A12</f>
        <v>46034</v>
      </c>
      <c r="B12" t="str">
        <f>Weekly_Material_Summary!B12</f>
        <v>M003</v>
      </c>
      <c r="C12">
        <f t="shared" si="8"/>
        <v>526</v>
      </c>
      <c r="D12">
        <f>Weekly_Material_Summary!C12</f>
        <v>2675</v>
      </c>
      <c r="E12">
        <f t="shared" si="0"/>
        <v>669</v>
      </c>
      <c r="F12">
        <f t="shared" si="1"/>
        <v>2818</v>
      </c>
      <c r="G12">
        <v>1</v>
      </c>
      <c r="H12">
        <f t="shared" si="2"/>
        <v>2818</v>
      </c>
      <c r="I12">
        <f t="shared" si="3"/>
        <v>3344</v>
      </c>
      <c r="J12">
        <f t="shared" si="4"/>
        <v>669</v>
      </c>
      <c r="K12">
        <f t="shared" si="5"/>
        <v>0</v>
      </c>
      <c r="L12">
        <f t="shared" si="7"/>
        <v>669</v>
      </c>
    </row>
    <row r="13" spans="1:12">
      <c r="A13" s="1">
        <f>Weekly_Material_Summary!A13</f>
        <v>46034</v>
      </c>
      <c r="B13" t="str">
        <f>Weekly_Material_Summary!B13</f>
        <v>M004</v>
      </c>
      <c r="C13">
        <f t="shared" si="8"/>
        <v>734</v>
      </c>
      <c r="D13">
        <f>Weekly_Material_Summary!C13</f>
        <v>3672.0000000000005</v>
      </c>
      <c r="E13">
        <f t="shared" si="0"/>
        <v>918</v>
      </c>
      <c r="F13">
        <f t="shared" si="1"/>
        <v>3856</v>
      </c>
      <c r="G13">
        <v>1</v>
      </c>
      <c r="H13">
        <f t="shared" si="2"/>
        <v>3856</v>
      </c>
      <c r="I13">
        <f t="shared" si="3"/>
        <v>4590</v>
      </c>
      <c r="J13">
        <f t="shared" si="4"/>
        <v>917.99999999999955</v>
      </c>
      <c r="K13">
        <f t="shared" si="5"/>
        <v>0</v>
      </c>
      <c r="L13">
        <f t="shared" si="7"/>
        <v>917.99999999999955</v>
      </c>
    </row>
    <row r="14" spans="1:12">
      <c r="A14" s="1">
        <f>Weekly_Material_Summary!A14</f>
        <v>46034</v>
      </c>
      <c r="B14" t="str">
        <f>Weekly_Material_Summary!B14</f>
        <v>M005</v>
      </c>
      <c r="C14">
        <f t="shared" si="8"/>
        <v>887</v>
      </c>
      <c r="D14">
        <f>Weekly_Material_Summary!C14</f>
        <v>4316</v>
      </c>
      <c r="E14">
        <f t="shared" si="0"/>
        <v>1079</v>
      </c>
      <c r="F14">
        <f t="shared" si="1"/>
        <v>4508</v>
      </c>
      <c r="G14">
        <v>1</v>
      </c>
      <c r="H14">
        <f t="shared" si="2"/>
        <v>4508</v>
      </c>
      <c r="I14">
        <f t="shared" si="3"/>
        <v>5395</v>
      </c>
      <c r="J14">
        <f t="shared" si="4"/>
        <v>1079</v>
      </c>
      <c r="K14">
        <f t="shared" si="5"/>
        <v>0</v>
      </c>
      <c r="L14">
        <f t="shared" si="7"/>
        <v>1079</v>
      </c>
    </row>
    <row r="15" spans="1:12">
      <c r="A15" s="1">
        <f>Weekly_Material_Summary!A15</f>
        <v>46034</v>
      </c>
      <c r="B15" t="str">
        <f>Weekly_Material_Summary!B15</f>
        <v>M006</v>
      </c>
      <c r="C15">
        <f t="shared" si="8"/>
        <v>96.200000000000045</v>
      </c>
      <c r="D15">
        <f>Weekly_Material_Summary!C15</f>
        <v>493.6</v>
      </c>
      <c r="E15">
        <f t="shared" si="0"/>
        <v>123</v>
      </c>
      <c r="F15">
        <f t="shared" si="1"/>
        <v>520</v>
      </c>
      <c r="G15">
        <v>0.99</v>
      </c>
      <c r="H15">
        <f t="shared" si="2"/>
        <v>515</v>
      </c>
      <c r="I15">
        <f t="shared" si="3"/>
        <v>611.20000000000005</v>
      </c>
      <c r="J15">
        <f t="shared" si="4"/>
        <v>117.60000000000002</v>
      </c>
      <c r="K15">
        <f t="shared" si="5"/>
        <v>0</v>
      </c>
      <c r="L15">
        <f t="shared" si="7"/>
        <v>117.60000000000002</v>
      </c>
    </row>
    <row r="16" spans="1:12">
      <c r="A16" s="1">
        <f>Weekly_Material_Summary!A16</f>
        <v>46034</v>
      </c>
      <c r="B16" t="str">
        <f>Weekly_Material_Summary!B16</f>
        <v>M007</v>
      </c>
      <c r="C16">
        <f t="shared" si="8"/>
        <v>11161</v>
      </c>
      <c r="D16">
        <f>Weekly_Material_Summary!C16</f>
        <v>55400</v>
      </c>
      <c r="E16">
        <f t="shared" si="0"/>
        <v>13850</v>
      </c>
      <c r="F16">
        <f t="shared" si="1"/>
        <v>58089</v>
      </c>
      <c r="G16">
        <v>1</v>
      </c>
      <c r="H16">
        <f t="shared" si="2"/>
        <v>58089</v>
      </c>
      <c r="I16">
        <f t="shared" si="3"/>
        <v>69250</v>
      </c>
      <c r="J16">
        <f t="shared" si="4"/>
        <v>13850</v>
      </c>
      <c r="K16">
        <f t="shared" si="5"/>
        <v>0</v>
      </c>
      <c r="L16">
        <f t="shared" si="7"/>
        <v>13850</v>
      </c>
    </row>
    <row r="17" spans="1:12">
      <c r="A17" s="1">
        <f>Weekly_Material_Summary!A17</f>
        <v>46034</v>
      </c>
      <c r="B17" t="str">
        <f>Weekly_Material_Summary!B17</f>
        <v>M008</v>
      </c>
      <c r="C17">
        <f t="shared" si="8"/>
        <v>11378</v>
      </c>
      <c r="D17">
        <f>Weekly_Material_Summary!C17</f>
        <v>55400</v>
      </c>
      <c r="E17">
        <f t="shared" si="0"/>
        <v>13850</v>
      </c>
      <c r="F17">
        <f t="shared" si="1"/>
        <v>57872</v>
      </c>
      <c r="G17">
        <v>0.99</v>
      </c>
      <c r="H17">
        <f t="shared" si="2"/>
        <v>57293</v>
      </c>
      <c r="I17">
        <f t="shared" si="3"/>
        <v>68671</v>
      </c>
      <c r="J17">
        <f t="shared" si="4"/>
        <v>13271</v>
      </c>
      <c r="K17">
        <f t="shared" si="5"/>
        <v>0</v>
      </c>
      <c r="L17">
        <f t="shared" si="7"/>
        <v>13271</v>
      </c>
    </row>
    <row r="18" spans="1:12">
      <c r="A18" s="1">
        <f>Weekly_Material_Summary!A18</f>
        <v>46041</v>
      </c>
      <c r="B18" t="str">
        <f>Weekly_Material_Summary!B18</f>
        <v>M001</v>
      </c>
      <c r="C18">
        <f t="shared" si="8"/>
        <v>1319</v>
      </c>
      <c r="D18">
        <f>Weekly_Material_Summary!C18</f>
        <v>4795</v>
      </c>
      <c r="E18">
        <f t="shared" si="0"/>
        <v>1199</v>
      </c>
      <c r="F18">
        <f t="shared" si="1"/>
        <v>4675</v>
      </c>
      <c r="G18">
        <v>0.98</v>
      </c>
      <c r="H18">
        <f t="shared" si="2"/>
        <v>4582</v>
      </c>
      <c r="I18">
        <f t="shared" si="3"/>
        <v>5901</v>
      </c>
      <c r="J18">
        <f t="shared" si="4"/>
        <v>1106</v>
      </c>
      <c r="K18">
        <f t="shared" si="5"/>
        <v>0</v>
      </c>
      <c r="L18">
        <f t="shared" si="7"/>
        <v>1106</v>
      </c>
    </row>
    <row r="19" spans="1:12">
      <c r="A19" s="1">
        <f>Weekly_Material_Summary!A19</f>
        <v>46041</v>
      </c>
      <c r="B19" t="str">
        <f>Weekly_Material_Summary!B19</f>
        <v>M002</v>
      </c>
      <c r="C19">
        <f t="shared" si="8"/>
        <v>915</v>
      </c>
      <c r="D19">
        <f>Weekly_Material_Summary!C19</f>
        <v>3540</v>
      </c>
      <c r="E19">
        <f t="shared" si="0"/>
        <v>885</v>
      </c>
      <c r="F19">
        <f t="shared" si="1"/>
        <v>3510</v>
      </c>
      <c r="G19">
        <v>1.01</v>
      </c>
      <c r="H19">
        <f t="shared" si="2"/>
        <v>3545</v>
      </c>
      <c r="I19">
        <f t="shared" si="3"/>
        <v>4460</v>
      </c>
      <c r="J19">
        <f t="shared" si="4"/>
        <v>920</v>
      </c>
      <c r="K19">
        <f t="shared" si="5"/>
        <v>0</v>
      </c>
      <c r="L19">
        <f t="shared" si="7"/>
        <v>920</v>
      </c>
    </row>
    <row r="20" spans="1:12">
      <c r="A20" s="1">
        <f>Weekly_Material_Summary!A20</f>
        <v>46041</v>
      </c>
      <c r="B20" t="str">
        <f>Weekly_Material_Summary!B20</f>
        <v>M003</v>
      </c>
      <c r="C20">
        <f t="shared" si="8"/>
        <v>669</v>
      </c>
      <c r="D20">
        <f>Weekly_Material_Summary!C20</f>
        <v>2550</v>
      </c>
      <c r="E20">
        <f t="shared" si="0"/>
        <v>638</v>
      </c>
      <c r="F20">
        <f t="shared" si="1"/>
        <v>2519</v>
      </c>
      <c r="G20">
        <v>0.99</v>
      </c>
      <c r="H20">
        <f t="shared" si="2"/>
        <v>2494</v>
      </c>
      <c r="I20">
        <f t="shared" si="3"/>
        <v>3163</v>
      </c>
      <c r="J20">
        <f t="shared" si="4"/>
        <v>613</v>
      </c>
      <c r="K20">
        <f t="shared" si="5"/>
        <v>0</v>
      </c>
      <c r="L20">
        <f t="shared" si="7"/>
        <v>613</v>
      </c>
    </row>
    <row r="21" spans="1:12">
      <c r="A21" s="1">
        <f>Weekly_Material_Summary!A21</f>
        <v>46041</v>
      </c>
      <c r="B21" t="str">
        <f>Weekly_Material_Summary!B21</f>
        <v>M004</v>
      </c>
      <c r="C21">
        <f t="shared" si="8"/>
        <v>917.99999999999955</v>
      </c>
      <c r="D21">
        <f>Weekly_Material_Summary!C21</f>
        <v>3910.0000000000005</v>
      </c>
      <c r="E21">
        <f t="shared" si="0"/>
        <v>978</v>
      </c>
      <c r="F21">
        <f t="shared" si="1"/>
        <v>3970</v>
      </c>
      <c r="G21">
        <v>1.02</v>
      </c>
      <c r="H21">
        <f t="shared" si="2"/>
        <v>4049</v>
      </c>
      <c r="I21">
        <f t="shared" si="3"/>
        <v>4967</v>
      </c>
      <c r="J21">
        <f t="shared" si="4"/>
        <v>1056.9999999999995</v>
      </c>
      <c r="K21">
        <f t="shared" si="5"/>
        <v>0</v>
      </c>
      <c r="L21">
        <f t="shared" si="7"/>
        <v>1056.9999999999995</v>
      </c>
    </row>
    <row r="22" spans="1:12">
      <c r="A22" s="1">
        <f>Weekly_Material_Summary!A22</f>
        <v>46041</v>
      </c>
      <c r="B22" t="str">
        <f>Weekly_Material_Summary!B22</f>
        <v>M005</v>
      </c>
      <c r="C22">
        <f t="shared" si="8"/>
        <v>1079</v>
      </c>
      <c r="D22">
        <f>Weekly_Material_Summary!C22</f>
        <v>4264</v>
      </c>
      <c r="E22">
        <f t="shared" si="0"/>
        <v>1066</v>
      </c>
      <c r="F22">
        <f t="shared" si="1"/>
        <v>4251</v>
      </c>
      <c r="G22">
        <v>0.99</v>
      </c>
      <c r="H22">
        <f t="shared" si="2"/>
        <v>4208</v>
      </c>
      <c r="I22">
        <f t="shared" si="3"/>
        <v>5287</v>
      </c>
      <c r="J22">
        <f t="shared" si="4"/>
        <v>1023</v>
      </c>
      <c r="K22">
        <f t="shared" si="5"/>
        <v>0</v>
      </c>
      <c r="L22">
        <f t="shared" si="7"/>
        <v>1023</v>
      </c>
    </row>
    <row r="23" spans="1:12">
      <c r="A23" s="1">
        <f>Weekly_Material_Summary!A23</f>
        <v>46041</v>
      </c>
      <c r="B23" t="str">
        <f>Weekly_Material_Summary!B23</f>
        <v>M006</v>
      </c>
      <c r="C23">
        <f t="shared" si="8"/>
        <v>117.60000000000002</v>
      </c>
      <c r="D23">
        <f>Weekly_Material_Summary!C23</f>
        <v>494.5</v>
      </c>
      <c r="E23">
        <f t="shared" si="0"/>
        <v>124</v>
      </c>
      <c r="F23">
        <f t="shared" si="1"/>
        <v>501</v>
      </c>
      <c r="G23">
        <v>1</v>
      </c>
      <c r="H23">
        <f t="shared" si="2"/>
        <v>501</v>
      </c>
      <c r="I23">
        <f t="shared" si="3"/>
        <v>618.6</v>
      </c>
      <c r="J23">
        <f t="shared" si="4"/>
        <v>124.10000000000002</v>
      </c>
      <c r="K23">
        <f t="shared" si="5"/>
        <v>0</v>
      </c>
      <c r="L23">
        <f t="shared" si="7"/>
        <v>124.10000000000002</v>
      </c>
    </row>
    <row r="24" spans="1:12">
      <c r="A24" s="1">
        <f>Weekly_Material_Summary!A24</f>
        <v>46041</v>
      </c>
      <c r="B24" t="str">
        <f>Weekly_Material_Summary!B24</f>
        <v>M007</v>
      </c>
      <c r="C24">
        <f t="shared" si="8"/>
        <v>13850</v>
      </c>
      <c r="D24">
        <f>Weekly_Material_Summary!C24</f>
        <v>55400</v>
      </c>
      <c r="E24">
        <f t="shared" si="0"/>
        <v>13850</v>
      </c>
      <c r="F24">
        <f t="shared" si="1"/>
        <v>55400</v>
      </c>
      <c r="G24">
        <v>1.02</v>
      </c>
      <c r="H24">
        <f t="shared" si="2"/>
        <v>56508</v>
      </c>
      <c r="I24">
        <f t="shared" si="3"/>
        <v>70358</v>
      </c>
      <c r="J24">
        <f t="shared" si="4"/>
        <v>14958</v>
      </c>
      <c r="K24">
        <f t="shared" si="5"/>
        <v>0</v>
      </c>
      <c r="L24">
        <f t="shared" si="7"/>
        <v>14958</v>
      </c>
    </row>
    <row r="25" spans="1:12">
      <c r="A25" s="1">
        <f>Weekly_Material_Summary!A25</f>
        <v>46041</v>
      </c>
      <c r="B25" t="str">
        <f>Weekly_Material_Summary!B25</f>
        <v>M008</v>
      </c>
      <c r="C25">
        <f t="shared" si="8"/>
        <v>13271</v>
      </c>
      <c r="D25">
        <f>Weekly_Material_Summary!C25</f>
        <v>55400</v>
      </c>
      <c r="E25">
        <f t="shared" si="0"/>
        <v>13850</v>
      </c>
      <c r="F25">
        <f t="shared" si="1"/>
        <v>55979</v>
      </c>
      <c r="G25">
        <v>0.99</v>
      </c>
      <c r="H25">
        <f t="shared" si="2"/>
        <v>55419</v>
      </c>
      <c r="I25">
        <f t="shared" si="3"/>
        <v>68690</v>
      </c>
      <c r="J25">
        <f t="shared" si="4"/>
        <v>13290</v>
      </c>
      <c r="K25">
        <f t="shared" si="5"/>
        <v>0</v>
      </c>
      <c r="L25">
        <f t="shared" si="7"/>
        <v>13290</v>
      </c>
    </row>
    <row r="26" spans="1:12">
      <c r="A26" s="1">
        <f>Weekly_Material_Summary!A26</f>
        <v>46048</v>
      </c>
      <c r="B26" t="str">
        <f>Weekly_Material_Summary!B26</f>
        <v>M001</v>
      </c>
      <c r="C26">
        <f t="shared" si="8"/>
        <v>1106</v>
      </c>
      <c r="D26">
        <f>Weekly_Material_Summary!C26</f>
        <v>4655</v>
      </c>
      <c r="E26">
        <f t="shared" si="0"/>
        <v>1164</v>
      </c>
      <c r="F26">
        <f t="shared" si="1"/>
        <v>4713</v>
      </c>
      <c r="G26">
        <v>1.01</v>
      </c>
      <c r="H26">
        <f t="shared" si="2"/>
        <v>4760</v>
      </c>
      <c r="I26">
        <f t="shared" si="3"/>
        <v>5866</v>
      </c>
      <c r="J26">
        <f t="shared" si="4"/>
        <v>1211</v>
      </c>
      <c r="K26">
        <f t="shared" si="5"/>
        <v>0</v>
      </c>
      <c r="L26">
        <f t="shared" si="7"/>
        <v>1211</v>
      </c>
    </row>
    <row r="27" spans="1:12">
      <c r="A27" s="1">
        <f>Weekly_Material_Summary!A27</f>
        <v>46048</v>
      </c>
      <c r="B27" t="str">
        <f>Weekly_Material_Summary!B27</f>
        <v>M002</v>
      </c>
      <c r="C27">
        <f t="shared" si="8"/>
        <v>920</v>
      </c>
      <c r="D27">
        <f>Weekly_Material_Summary!C27</f>
        <v>3630</v>
      </c>
      <c r="E27">
        <f t="shared" si="0"/>
        <v>908</v>
      </c>
      <c r="F27">
        <f t="shared" si="1"/>
        <v>3618</v>
      </c>
      <c r="G27">
        <v>1.02</v>
      </c>
      <c r="H27">
        <f t="shared" si="2"/>
        <v>3690</v>
      </c>
      <c r="I27">
        <f t="shared" si="3"/>
        <v>4610</v>
      </c>
      <c r="J27">
        <f t="shared" si="4"/>
        <v>980</v>
      </c>
      <c r="K27">
        <f t="shared" si="5"/>
        <v>0</v>
      </c>
      <c r="L27">
        <f t="shared" si="7"/>
        <v>980</v>
      </c>
    </row>
    <row r="28" spans="1:12">
      <c r="A28" s="1">
        <f>Weekly_Material_Summary!A28</f>
        <v>46048</v>
      </c>
      <c r="B28" t="str">
        <f>Weekly_Material_Summary!B28</f>
        <v>M003</v>
      </c>
      <c r="C28">
        <f t="shared" si="8"/>
        <v>613</v>
      </c>
      <c r="D28">
        <f>Weekly_Material_Summary!C28</f>
        <v>2600</v>
      </c>
      <c r="E28">
        <f t="shared" si="0"/>
        <v>650</v>
      </c>
      <c r="F28">
        <f t="shared" si="1"/>
        <v>2637</v>
      </c>
      <c r="G28">
        <v>0.99</v>
      </c>
      <c r="H28">
        <f t="shared" si="2"/>
        <v>2611</v>
      </c>
      <c r="I28">
        <f t="shared" si="3"/>
        <v>3224</v>
      </c>
      <c r="J28">
        <f t="shared" si="4"/>
        <v>624</v>
      </c>
      <c r="K28">
        <f t="shared" si="5"/>
        <v>0</v>
      </c>
      <c r="L28">
        <f t="shared" si="7"/>
        <v>624</v>
      </c>
    </row>
    <row r="29" spans="1:12">
      <c r="A29" s="1">
        <f>Weekly_Material_Summary!A29</f>
        <v>46048</v>
      </c>
      <c r="B29" t="str">
        <f>Weekly_Material_Summary!B29</f>
        <v>M004</v>
      </c>
      <c r="C29">
        <f t="shared" si="8"/>
        <v>1056.9999999999995</v>
      </c>
      <c r="D29">
        <f>Weekly_Material_Summary!C29</f>
        <v>3706.0000000000005</v>
      </c>
      <c r="E29">
        <f t="shared" si="0"/>
        <v>927</v>
      </c>
      <c r="F29">
        <f t="shared" si="1"/>
        <v>3576</v>
      </c>
      <c r="G29">
        <v>0.98</v>
      </c>
      <c r="H29">
        <f t="shared" si="2"/>
        <v>3504</v>
      </c>
      <c r="I29">
        <f t="shared" si="3"/>
        <v>4561</v>
      </c>
      <c r="J29">
        <f t="shared" si="4"/>
        <v>854.99999999999955</v>
      </c>
      <c r="K29">
        <f t="shared" si="5"/>
        <v>0</v>
      </c>
      <c r="L29">
        <f t="shared" si="7"/>
        <v>854.99999999999955</v>
      </c>
    </row>
    <row r="30" spans="1:12">
      <c r="A30" s="1">
        <f>Weekly_Material_Summary!A30</f>
        <v>46048</v>
      </c>
      <c r="B30" t="str">
        <f>Weekly_Material_Summary!B30</f>
        <v>M005</v>
      </c>
      <c r="C30">
        <f t="shared" si="8"/>
        <v>1023</v>
      </c>
      <c r="D30">
        <f>Weekly_Material_Summary!C30</f>
        <v>4524</v>
      </c>
      <c r="E30">
        <f t="shared" si="0"/>
        <v>1131</v>
      </c>
      <c r="F30">
        <f t="shared" si="1"/>
        <v>4632</v>
      </c>
      <c r="G30">
        <v>1.02</v>
      </c>
      <c r="H30">
        <f t="shared" si="2"/>
        <v>4725</v>
      </c>
      <c r="I30">
        <f t="shared" si="3"/>
        <v>5748</v>
      </c>
      <c r="J30">
        <f t="shared" si="4"/>
        <v>1224</v>
      </c>
      <c r="K30">
        <f t="shared" si="5"/>
        <v>0</v>
      </c>
      <c r="L30">
        <f t="shared" si="7"/>
        <v>1224</v>
      </c>
    </row>
    <row r="31" spans="1:12">
      <c r="A31" s="1">
        <f>Weekly_Material_Summary!A31</f>
        <v>46048</v>
      </c>
      <c r="B31" t="str">
        <f>Weekly_Material_Summary!B31</f>
        <v>M006</v>
      </c>
      <c r="C31">
        <f t="shared" si="8"/>
        <v>124.10000000000002</v>
      </c>
      <c r="D31">
        <f>Weekly_Material_Summary!C31</f>
        <v>494.69999999999993</v>
      </c>
      <c r="E31">
        <f t="shared" si="0"/>
        <v>124</v>
      </c>
      <c r="F31">
        <f t="shared" si="1"/>
        <v>495</v>
      </c>
      <c r="G31">
        <v>1</v>
      </c>
      <c r="H31">
        <f t="shared" si="2"/>
        <v>495</v>
      </c>
      <c r="I31">
        <f t="shared" si="3"/>
        <v>619.1</v>
      </c>
      <c r="J31">
        <f t="shared" si="4"/>
        <v>124.40000000000009</v>
      </c>
      <c r="K31">
        <f t="shared" si="5"/>
        <v>0</v>
      </c>
      <c r="L31">
        <f t="shared" si="7"/>
        <v>124.40000000000009</v>
      </c>
    </row>
    <row r="32" spans="1:12">
      <c r="A32" s="1">
        <f>Weekly_Material_Summary!A32</f>
        <v>46048</v>
      </c>
      <c r="B32" t="str">
        <f>Weekly_Material_Summary!B32</f>
        <v>M007</v>
      </c>
      <c r="C32">
        <f t="shared" si="8"/>
        <v>14958</v>
      </c>
      <c r="D32">
        <f>Weekly_Material_Summary!C32</f>
        <v>55400</v>
      </c>
      <c r="E32">
        <f t="shared" si="0"/>
        <v>13850</v>
      </c>
      <c r="F32">
        <f t="shared" si="1"/>
        <v>54292</v>
      </c>
      <c r="G32">
        <v>0.98</v>
      </c>
      <c r="H32">
        <f t="shared" si="2"/>
        <v>53206</v>
      </c>
      <c r="I32">
        <f t="shared" si="3"/>
        <v>68164</v>
      </c>
      <c r="J32">
        <f t="shared" si="4"/>
        <v>12764</v>
      </c>
      <c r="K32">
        <f t="shared" si="5"/>
        <v>0</v>
      </c>
      <c r="L32">
        <f t="shared" si="7"/>
        <v>12764</v>
      </c>
    </row>
    <row r="33" spans="1:12">
      <c r="A33" s="1">
        <f>Weekly_Material_Summary!A33</f>
        <v>46048</v>
      </c>
      <c r="B33" t="str">
        <f>Weekly_Material_Summary!B33</f>
        <v>M008</v>
      </c>
      <c r="C33">
        <f t="shared" si="8"/>
        <v>13290</v>
      </c>
      <c r="D33">
        <f>Weekly_Material_Summary!C33</f>
        <v>55400</v>
      </c>
      <c r="E33">
        <f t="shared" si="0"/>
        <v>13850</v>
      </c>
      <c r="F33">
        <f t="shared" si="1"/>
        <v>55960</v>
      </c>
      <c r="G33">
        <v>0.98</v>
      </c>
      <c r="H33">
        <f t="shared" si="2"/>
        <v>54841</v>
      </c>
      <c r="I33">
        <f t="shared" si="3"/>
        <v>68131</v>
      </c>
      <c r="J33">
        <f t="shared" si="4"/>
        <v>12731</v>
      </c>
      <c r="K33">
        <f t="shared" si="5"/>
        <v>0</v>
      </c>
      <c r="L33">
        <f t="shared" si="7"/>
        <v>12731</v>
      </c>
    </row>
    <row r="34" spans="1:12">
      <c r="A34" s="1">
        <f>Weekly_Material_Summary!A34</f>
        <v>46055</v>
      </c>
      <c r="B34" t="str">
        <f>Weekly_Material_Summary!B34</f>
        <v>M001</v>
      </c>
      <c r="C34">
        <f t="shared" si="8"/>
        <v>1211</v>
      </c>
      <c r="D34">
        <f>Weekly_Material_Summary!C34</f>
        <v>4795</v>
      </c>
      <c r="E34">
        <f t="shared" si="0"/>
        <v>1199</v>
      </c>
      <c r="F34">
        <f t="shared" si="1"/>
        <v>4783</v>
      </c>
      <c r="G34">
        <v>1</v>
      </c>
      <c r="H34">
        <f t="shared" si="2"/>
        <v>4783</v>
      </c>
      <c r="I34">
        <f t="shared" si="3"/>
        <v>5994</v>
      </c>
      <c r="J34">
        <f t="shared" si="4"/>
        <v>1199</v>
      </c>
      <c r="K34">
        <f t="shared" si="5"/>
        <v>0</v>
      </c>
      <c r="L34">
        <f t="shared" si="7"/>
        <v>1199</v>
      </c>
    </row>
    <row r="35" spans="1:12">
      <c r="A35" s="1">
        <f>Weekly_Material_Summary!A35</f>
        <v>46055</v>
      </c>
      <c r="B35" t="str">
        <f>Weekly_Material_Summary!B35</f>
        <v>M002</v>
      </c>
      <c r="C35">
        <f t="shared" si="8"/>
        <v>980</v>
      </c>
      <c r="D35">
        <f>Weekly_Material_Summary!C35</f>
        <v>3570</v>
      </c>
      <c r="E35">
        <f t="shared" si="0"/>
        <v>893</v>
      </c>
      <c r="F35">
        <f t="shared" si="1"/>
        <v>3483</v>
      </c>
      <c r="G35">
        <v>1</v>
      </c>
      <c r="H35">
        <f t="shared" si="2"/>
        <v>3483</v>
      </c>
      <c r="I35">
        <f t="shared" si="3"/>
        <v>4463</v>
      </c>
      <c r="J35">
        <f t="shared" si="4"/>
        <v>893</v>
      </c>
      <c r="K35">
        <f t="shared" si="5"/>
        <v>0</v>
      </c>
      <c r="L35">
        <f t="shared" si="7"/>
        <v>893</v>
      </c>
    </row>
    <row r="36" spans="1:12">
      <c r="A36" s="1">
        <f>Weekly_Material_Summary!A36</f>
        <v>46055</v>
      </c>
      <c r="B36" t="str">
        <f>Weekly_Material_Summary!B36</f>
        <v>M003</v>
      </c>
      <c r="C36">
        <f t="shared" si="8"/>
        <v>624</v>
      </c>
      <c r="D36">
        <f>Weekly_Material_Summary!C36</f>
        <v>2600</v>
      </c>
      <c r="E36">
        <f t="shared" si="0"/>
        <v>650</v>
      </c>
      <c r="F36">
        <f t="shared" si="1"/>
        <v>2626</v>
      </c>
      <c r="G36">
        <v>0.98</v>
      </c>
      <c r="H36">
        <f t="shared" si="2"/>
        <v>2573</v>
      </c>
      <c r="I36">
        <f t="shared" si="3"/>
        <v>3197</v>
      </c>
      <c r="J36">
        <f t="shared" si="4"/>
        <v>597</v>
      </c>
      <c r="K36">
        <f t="shared" si="5"/>
        <v>0</v>
      </c>
      <c r="L36">
        <f t="shared" si="7"/>
        <v>597</v>
      </c>
    </row>
    <row r="37" spans="1:12">
      <c r="A37" s="1">
        <f>Weekly_Material_Summary!A37</f>
        <v>46055</v>
      </c>
      <c r="B37" t="str">
        <f>Weekly_Material_Summary!B37</f>
        <v>M004</v>
      </c>
      <c r="C37">
        <f t="shared" si="8"/>
        <v>854.99999999999955</v>
      </c>
      <c r="D37">
        <f>Weekly_Material_Summary!C37</f>
        <v>3842.0000000000005</v>
      </c>
      <c r="E37">
        <f t="shared" si="0"/>
        <v>961</v>
      </c>
      <c r="F37">
        <f t="shared" si="1"/>
        <v>3948</v>
      </c>
      <c r="G37">
        <v>1.02</v>
      </c>
      <c r="H37">
        <f t="shared" si="2"/>
        <v>4027</v>
      </c>
      <c r="I37">
        <f t="shared" si="3"/>
        <v>4882</v>
      </c>
      <c r="J37">
        <f t="shared" si="4"/>
        <v>1039.9999999999995</v>
      </c>
      <c r="K37">
        <f t="shared" si="5"/>
        <v>0</v>
      </c>
      <c r="L37">
        <f t="shared" si="7"/>
        <v>1039.9999999999995</v>
      </c>
    </row>
    <row r="38" spans="1:12">
      <c r="A38" s="1">
        <f>Weekly_Material_Summary!A38</f>
        <v>46055</v>
      </c>
      <c r="B38" t="str">
        <f>Weekly_Material_Summary!B38</f>
        <v>M005</v>
      </c>
      <c r="C38">
        <f t="shared" si="8"/>
        <v>1224</v>
      </c>
      <c r="D38">
        <f>Weekly_Material_Summary!C38</f>
        <v>4420</v>
      </c>
      <c r="E38">
        <f t="shared" si="0"/>
        <v>1105</v>
      </c>
      <c r="F38">
        <f t="shared" si="1"/>
        <v>4301</v>
      </c>
      <c r="G38">
        <v>0.99</v>
      </c>
      <c r="H38">
        <f t="shared" si="2"/>
        <v>4258</v>
      </c>
      <c r="I38">
        <f t="shared" si="3"/>
        <v>5482</v>
      </c>
      <c r="J38">
        <f t="shared" si="4"/>
        <v>1062</v>
      </c>
      <c r="K38">
        <f t="shared" si="5"/>
        <v>0</v>
      </c>
      <c r="L38">
        <f t="shared" si="7"/>
        <v>1062</v>
      </c>
    </row>
    <row r="39" spans="1:12">
      <c r="A39" s="1">
        <f>Weekly_Material_Summary!A39</f>
        <v>46055</v>
      </c>
      <c r="B39" t="str">
        <f>Weekly_Material_Summary!B39</f>
        <v>M006</v>
      </c>
      <c r="C39">
        <f t="shared" si="8"/>
        <v>124.40000000000009</v>
      </c>
      <c r="D39">
        <f>Weekly_Material_Summary!C39</f>
        <v>498.29999999999995</v>
      </c>
      <c r="E39">
        <f t="shared" si="0"/>
        <v>125</v>
      </c>
      <c r="F39">
        <f t="shared" si="1"/>
        <v>499</v>
      </c>
      <c r="G39">
        <v>1.02</v>
      </c>
      <c r="H39">
        <f t="shared" si="2"/>
        <v>509</v>
      </c>
      <c r="I39">
        <f t="shared" si="3"/>
        <v>633.40000000000009</v>
      </c>
      <c r="J39">
        <f t="shared" si="4"/>
        <v>135.10000000000014</v>
      </c>
      <c r="K39">
        <f t="shared" si="5"/>
        <v>0</v>
      </c>
      <c r="L39">
        <f t="shared" si="7"/>
        <v>135.10000000000014</v>
      </c>
    </row>
    <row r="40" spans="1:12">
      <c r="A40" s="1">
        <f>Weekly_Material_Summary!A40</f>
        <v>46055</v>
      </c>
      <c r="B40" t="str">
        <f>Weekly_Material_Summary!B40</f>
        <v>M007</v>
      </c>
      <c r="C40">
        <f t="shared" si="8"/>
        <v>12764</v>
      </c>
      <c r="D40">
        <f>Weekly_Material_Summary!C40</f>
        <v>55800</v>
      </c>
      <c r="E40">
        <f t="shared" si="0"/>
        <v>13950</v>
      </c>
      <c r="F40">
        <f t="shared" si="1"/>
        <v>56986</v>
      </c>
      <c r="G40">
        <v>0.99</v>
      </c>
      <c r="H40">
        <f t="shared" si="2"/>
        <v>56416</v>
      </c>
      <c r="I40">
        <f t="shared" si="3"/>
        <v>69180</v>
      </c>
      <c r="J40">
        <f t="shared" si="4"/>
        <v>13380</v>
      </c>
      <c r="K40">
        <f t="shared" si="5"/>
        <v>0</v>
      </c>
      <c r="L40">
        <f t="shared" si="7"/>
        <v>13380</v>
      </c>
    </row>
    <row r="41" spans="1:12">
      <c r="A41" s="1">
        <f>Weekly_Material_Summary!A41</f>
        <v>46055</v>
      </c>
      <c r="B41" t="str">
        <f>Weekly_Material_Summary!B41</f>
        <v>M008</v>
      </c>
      <c r="C41">
        <f t="shared" si="8"/>
        <v>12731</v>
      </c>
      <c r="D41">
        <f>Weekly_Material_Summary!C41</f>
        <v>55800</v>
      </c>
      <c r="E41">
        <f t="shared" si="0"/>
        <v>13950</v>
      </c>
      <c r="F41">
        <f t="shared" si="1"/>
        <v>57019</v>
      </c>
      <c r="G41">
        <v>0.98</v>
      </c>
      <c r="H41">
        <f t="shared" si="2"/>
        <v>55879</v>
      </c>
      <c r="I41">
        <f t="shared" si="3"/>
        <v>68610</v>
      </c>
      <c r="J41">
        <f t="shared" si="4"/>
        <v>12810</v>
      </c>
      <c r="K41">
        <f t="shared" si="5"/>
        <v>0</v>
      </c>
      <c r="L41">
        <f t="shared" si="7"/>
        <v>12810</v>
      </c>
    </row>
    <row r="42" spans="1:12">
      <c r="A42" s="1">
        <f>Weekly_Material_Summary!A42</f>
        <v>46062</v>
      </c>
      <c r="B42" t="str">
        <f>Weekly_Material_Summary!B42</f>
        <v>M001</v>
      </c>
      <c r="C42">
        <f t="shared" si="8"/>
        <v>1199</v>
      </c>
      <c r="D42">
        <f>Weekly_Material_Summary!C42</f>
        <v>4830</v>
      </c>
      <c r="E42">
        <f t="shared" si="0"/>
        <v>1208</v>
      </c>
      <c r="F42">
        <f t="shared" si="1"/>
        <v>4839</v>
      </c>
      <c r="G42">
        <v>1.01</v>
      </c>
      <c r="H42">
        <f t="shared" si="2"/>
        <v>4887</v>
      </c>
      <c r="I42">
        <f t="shared" si="3"/>
        <v>6086</v>
      </c>
      <c r="J42">
        <f t="shared" si="4"/>
        <v>1256</v>
      </c>
      <c r="K42">
        <f t="shared" si="5"/>
        <v>0</v>
      </c>
      <c r="L42">
        <f t="shared" si="7"/>
        <v>1256</v>
      </c>
    </row>
    <row r="43" spans="1:12">
      <c r="A43" s="1">
        <f>Weekly_Material_Summary!A43</f>
        <v>46062</v>
      </c>
      <c r="B43" t="str">
        <f>Weekly_Material_Summary!B43</f>
        <v>M002</v>
      </c>
      <c r="C43">
        <f t="shared" si="8"/>
        <v>893</v>
      </c>
      <c r="D43">
        <f>Weekly_Material_Summary!C43</f>
        <v>3630</v>
      </c>
      <c r="E43">
        <f t="shared" si="0"/>
        <v>908</v>
      </c>
      <c r="F43">
        <f t="shared" si="1"/>
        <v>3645</v>
      </c>
      <c r="G43">
        <v>1.02</v>
      </c>
      <c r="H43">
        <f t="shared" si="2"/>
        <v>3718</v>
      </c>
      <c r="I43">
        <f t="shared" si="3"/>
        <v>4611</v>
      </c>
      <c r="J43">
        <f t="shared" si="4"/>
        <v>981</v>
      </c>
      <c r="K43">
        <f t="shared" si="5"/>
        <v>0</v>
      </c>
      <c r="L43">
        <f t="shared" si="7"/>
        <v>981</v>
      </c>
    </row>
    <row r="44" spans="1:12">
      <c r="A44" s="1">
        <f>Weekly_Material_Summary!A44</f>
        <v>46062</v>
      </c>
      <c r="B44" t="str">
        <f>Weekly_Material_Summary!B44</f>
        <v>M003</v>
      </c>
      <c r="C44">
        <f t="shared" si="8"/>
        <v>597</v>
      </c>
      <c r="D44">
        <f>Weekly_Material_Summary!C44</f>
        <v>2575</v>
      </c>
      <c r="E44">
        <f t="shared" si="0"/>
        <v>644</v>
      </c>
      <c r="F44">
        <f t="shared" si="1"/>
        <v>2622</v>
      </c>
      <c r="G44">
        <v>0.99</v>
      </c>
      <c r="H44">
        <f t="shared" si="2"/>
        <v>2596</v>
      </c>
      <c r="I44">
        <f t="shared" si="3"/>
        <v>3193</v>
      </c>
      <c r="J44">
        <f t="shared" si="4"/>
        <v>618</v>
      </c>
      <c r="K44">
        <f t="shared" si="5"/>
        <v>0</v>
      </c>
      <c r="L44">
        <f t="shared" si="7"/>
        <v>618</v>
      </c>
    </row>
    <row r="45" spans="1:12">
      <c r="A45" s="1">
        <f>Weekly_Material_Summary!A45</f>
        <v>46062</v>
      </c>
      <c r="B45" t="str">
        <f>Weekly_Material_Summary!B45</f>
        <v>M004</v>
      </c>
      <c r="C45">
        <f t="shared" si="8"/>
        <v>1039.9999999999995</v>
      </c>
      <c r="D45">
        <f>Weekly_Material_Summary!C45</f>
        <v>3774.0000000000005</v>
      </c>
      <c r="E45">
        <f t="shared" si="0"/>
        <v>944</v>
      </c>
      <c r="F45">
        <f t="shared" si="1"/>
        <v>3678</v>
      </c>
      <c r="G45">
        <v>1.01</v>
      </c>
      <c r="H45">
        <f t="shared" si="2"/>
        <v>3715</v>
      </c>
      <c r="I45">
        <f t="shared" si="3"/>
        <v>4755</v>
      </c>
      <c r="J45">
        <f t="shared" si="4"/>
        <v>980.99999999999955</v>
      </c>
      <c r="K45">
        <f t="shared" si="5"/>
        <v>0</v>
      </c>
      <c r="L45">
        <f t="shared" si="7"/>
        <v>980.99999999999955</v>
      </c>
    </row>
    <row r="46" spans="1:12">
      <c r="A46" s="1">
        <f>Weekly_Material_Summary!A46</f>
        <v>46062</v>
      </c>
      <c r="B46" t="str">
        <f>Weekly_Material_Summary!B46</f>
        <v>M005</v>
      </c>
      <c r="C46">
        <f t="shared" si="8"/>
        <v>1062</v>
      </c>
      <c r="D46">
        <f>Weekly_Material_Summary!C46</f>
        <v>4212</v>
      </c>
      <c r="E46">
        <f t="shared" si="0"/>
        <v>1053</v>
      </c>
      <c r="F46">
        <f t="shared" si="1"/>
        <v>4203</v>
      </c>
      <c r="G46">
        <v>0.98</v>
      </c>
      <c r="H46">
        <f t="shared" si="2"/>
        <v>4119</v>
      </c>
      <c r="I46">
        <f t="shared" si="3"/>
        <v>5181</v>
      </c>
      <c r="J46">
        <f t="shared" si="4"/>
        <v>969</v>
      </c>
      <c r="K46">
        <f t="shared" si="5"/>
        <v>0</v>
      </c>
      <c r="L46">
        <f t="shared" si="7"/>
        <v>969</v>
      </c>
    </row>
    <row r="47" spans="1:12">
      <c r="A47" s="1">
        <f>Weekly_Material_Summary!A47</f>
        <v>46062</v>
      </c>
      <c r="B47" t="str">
        <f>Weekly_Material_Summary!B47</f>
        <v>M006</v>
      </c>
      <c r="C47">
        <f t="shared" si="8"/>
        <v>135.10000000000014</v>
      </c>
      <c r="D47">
        <f>Weekly_Material_Summary!C47</f>
        <v>493.7</v>
      </c>
      <c r="E47">
        <f t="shared" si="0"/>
        <v>123</v>
      </c>
      <c r="F47">
        <f t="shared" si="1"/>
        <v>482</v>
      </c>
      <c r="G47">
        <v>0.99</v>
      </c>
      <c r="H47">
        <f t="shared" si="2"/>
        <v>477</v>
      </c>
      <c r="I47">
        <f t="shared" si="3"/>
        <v>612.10000000000014</v>
      </c>
      <c r="J47">
        <f t="shared" si="4"/>
        <v>118.40000000000015</v>
      </c>
      <c r="K47">
        <f t="shared" si="5"/>
        <v>0</v>
      </c>
      <c r="L47">
        <f t="shared" si="7"/>
        <v>118.40000000000015</v>
      </c>
    </row>
    <row r="48" spans="1:12">
      <c r="A48" s="1">
        <f>Weekly_Material_Summary!A48</f>
        <v>46062</v>
      </c>
      <c r="B48" t="str">
        <f>Weekly_Material_Summary!B48</f>
        <v>M007</v>
      </c>
      <c r="C48">
        <f t="shared" si="8"/>
        <v>13380</v>
      </c>
      <c r="D48">
        <f>Weekly_Material_Summary!C48</f>
        <v>55400</v>
      </c>
      <c r="E48">
        <f t="shared" si="0"/>
        <v>13850</v>
      </c>
      <c r="F48">
        <f t="shared" si="1"/>
        <v>55870</v>
      </c>
      <c r="G48">
        <v>1.01</v>
      </c>
      <c r="H48">
        <f t="shared" si="2"/>
        <v>56429</v>
      </c>
      <c r="I48">
        <f t="shared" si="3"/>
        <v>69809</v>
      </c>
      <c r="J48">
        <f t="shared" si="4"/>
        <v>14409</v>
      </c>
      <c r="K48">
        <f t="shared" si="5"/>
        <v>0</v>
      </c>
      <c r="L48">
        <f t="shared" si="7"/>
        <v>14409</v>
      </c>
    </row>
    <row r="49" spans="1:12">
      <c r="A49" s="1">
        <f>Weekly_Material_Summary!A49</f>
        <v>46062</v>
      </c>
      <c r="B49" t="str">
        <f>Weekly_Material_Summary!B49</f>
        <v>M008</v>
      </c>
      <c r="C49">
        <f t="shared" si="8"/>
        <v>12810</v>
      </c>
      <c r="D49">
        <f>Weekly_Material_Summary!C49</f>
        <v>55400</v>
      </c>
      <c r="E49">
        <f t="shared" si="0"/>
        <v>13850</v>
      </c>
      <c r="F49">
        <f t="shared" si="1"/>
        <v>56440</v>
      </c>
      <c r="G49">
        <v>1</v>
      </c>
      <c r="H49">
        <f t="shared" si="2"/>
        <v>56440</v>
      </c>
      <c r="I49">
        <f t="shared" si="3"/>
        <v>69250</v>
      </c>
      <c r="J49">
        <f t="shared" si="4"/>
        <v>13850</v>
      </c>
      <c r="K49">
        <f t="shared" si="5"/>
        <v>0</v>
      </c>
      <c r="L49">
        <f t="shared" si="7"/>
        <v>13850</v>
      </c>
    </row>
    <row r="50" spans="1:12">
      <c r="A50" s="1">
        <f>Weekly_Material_Summary!A50</f>
        <v>46069</v>
      </c>
      <c r="B50" t="str">
        <f>Weekly_Material_Summary!B50</f>
        <v>M001</v>
      </c>
      <c r="C50">
        <f t="shared" si="8"/>
        <v>1256</v>
      </c>
      <c r="D50">
        <f>Weekly_Material_Summary!C50</f>
        <v>4655</v>
      </c>
      <c r="E50">
        <f t="shared" si="0"/>
        <v>1164</v>
      </c>
      <c r="F50">
        <f t="shared" si="1"/>
        <v>4563</v>
      </c>
      <c r="G50">
        <v>1.02</v>
      </c>
      <c r="H50">
        <f t="shared" si="2"/>
        <v>4654</v>
      </c>
      <c r="I50">
        <f t="shared" si="3"/>
        <v>5910</v>
      </c>
      <c r="J50">
        <f t="shared" si="4"/>
        <v>1255</v>
      </c>
      <c r="K50">
        <f t="shared" si="5"/>
        <v>0</v>
      </c>
      <c r="L50">
        <f t="shared" si="7"/>
        <v>1255</v>
      </c>
    </row>
    <row r="51" spans="1:12">
      <c r="A51" s="1">
        <f>Weekly_Material_Summary!A51</f>
        <v>46069</v>
      </c>
      <c r="B51" t="str">
        <f>Weekly_Material_Summary!B51</f>
        <v>M002</v>
      </c>
      <c r="C51">
        <f t="shared" si="8"/>
        <v>981</v>
      </c>
      <c r="D51">
        <f>Weekly_Material_Summary!C51</f>
        <v>3330</v>
      </c>
      <c r="E51">
        <f t="shared" si="0"/>
        <v>833</v>
      </c>
      <c r="F51">
        <f t="shared" si="1"/>
        <v>3182</v>
      </c>
      <c r="G51">
        <v>0.99</v>
      </c>
      <c r="H51">
        <f t="shared" si="2"/>
        <v>3150</v>
      </c>
      <c r="I51">
        <f t="shared" si="3"/>
        <v>4131</v>
      </c>
      <c r="J51">
        <f t="shared" si="4"/>
        <v>801</v>
      </c>
      <c r="K51">
        <f t="shared" si="5"/>
        <v>0</v>
      </c>
      <c r="L51">
        <f t="shared" si="7"/>
        <v>801</v>
      </c>
    </row>
    <row r="52" spans="1:12">
      <c r="A52" s="1">
        <f>Weekly_Material_Summary!A52</f>
        <v>46069</v>
      </c>
      <c r="B52" t="str">
        <f>Weekly_Material_Summary!B52</f>
        <v>M003</v>
      </c>
      <c r="C52">
        <f t="shared" si="8"/>
        <v>618</v>
      </c>
      <c r="D52">
        <f>Weekly_Material_Summary!C52</f>
        <v>2525</v>
      </c>
      <c r="E52">
        <f t="shared" si="0"/>
        <v>631</v>
      </c>
      <c r="F52">
        <f t="shared" si="1"/>
        <v>2538</v>
      </c>
      <c r="G52">
        <v>1.01</v>
      </c>
      <c r="H52">
        <f t="shared" si="2"/>
        <v>2563</v>
      </c>
      <c r="I52">
        <f t="shared" si="3"/>
        <v>3181</v>
      </c>
      <c r="J52">
        <f t="shared" si="4"/>
        <v>656</v>
      </c>
      <c r="K52">
        <f t="shared" si="5"/>
        <v>0</v>
      </c>
      <c r="L52">
        <f t="shared" si="7"/>
        <v>656</v>
      </c>
    </row>
    <row r="53" spans="1:12">
      <c r="A53" s="1">
        <f>Weekly_Material_Summary!A53</f>
        <v>46069</v>
      </c>
      <c r="B53" t="str">
        <f>Weekly_Material_Summary!B53</f>
        <v>M004</v>
      </c>
      <c r="C53">
        <f t="shared" si="8"/>
        <v>980.99999999999955</v>
      </c>
      <c r="D53">
        <f>Weekly_Material_Summary!C53</f>
        <v>3808.0000000000005</v>
      </c>
      <c r="E53">
        <f t="shared" si="0"/>
        <v>952</v>
      </c>
      <c r="F53">
        <f t="shared" si="1"/>
        <v>3779</v>
      </c>
      <c r="G53">
        <v>1.02</v>
      </c>
      <c r="H53">
        <f t="shared" si="2"/>
        <v>3855</v>
      </c>
      <c r="I53">
        <f t="shared" si="3"/>
        <v>4836</v>
      </c>
      <c r="J53">
        <f t="shared" si="4"/>
        <v>1027.9999999999995</v>
      </c>
      <c r="K53">
        <f t="shared" si="5"/>
        <v>0</v>
      </c>
      <c r="L53">
        <f t="shared" si="7"/>
        <v>1027.9999999999995</v>
      </c>
    </row>
    <row r="54" spans="1:12">
      <c r="A54" s="1">
        <f>Weekly_Material_Summary!A54</f>
        <v>46069</v>
      </c>
      <c r="B54" t="str">
        <f>Weekly_Material_Summary!B54</f>
        <v>M005</v>
      </c>
      <c r="C54">
        <f t="shared" si="8"/>
        <v>969</v>
      </c>
      <c r="D54">
        <f>Weekly_Material_Summary!C54</f>
        <v>4316</v>
      </c>
      <c r="E54">
        <f t="shared" si="0"/>
        <v>1079</v>
      </c>
      <c r="F54">
        <f t="shared" si="1"/>
        <v>4426</v>
      </c>
      <c r="G54">
        <v>0.98</v>
      </c>
      <c r="H54">
        <f t="shared" si="2"/>
        <v>4337</v>
      </c>
      <c r="I54">
        <f t="shared" si="3"/>
        <v>5306</v>
      </c>
      <c r="J54">
        <f t="shared" si="4"/>
        <v>990</v>
      </c>
      <c r="K54">
        <f t="shared" si="5"/>
        <v>0</v>
      </c>
      <c r="L54">
        <f t="shared" si="7"/>
        <v>990</v>
      </c>
    </row>
    <row r="55" spans="1:12">
      <c r="A55" s="1">
        <f>Weekly_Material_Summary!A55</f>
        <v>46069</v>
      </c>
      <c r="B55" t="str">
        <f>Weekly_Material_Summary!B55</f>
        <v>M006</v>
      </c>
      <c r="C55">
        <f t="shared" si="8"/>
        <v>118.40000000000015</v>
      </c>
      <c r="D55">
        <f>Weekly_Material_Summary!C55</f>
        <v>482.80000000000007</v>
      </c>
      <c r="E55">
        <f t="shared" si="0"/>
        <v>121</v>
      </c>
      <c r="F55">
        <f t="shared" si="1"/>
        <v>485</v>
      </c>
      <c r="G55">
        <v>0.99</v>
      </c>
      <c r="H55">
        <f t="shared" si="2"/>
        <v>480</v>
      </c>
      <c r="I55">
        <f t="shared" si="3"/>
        <v>598.40000000000009</v>
      </c>
      <c r="J55">
        <f t="shared" si="4"/>
        <v>115.60000000000002</v>
      </c>
      <c r="K55">
        <f t="shared" si="5"/>
        <v>0</v>
      </c>
      <c r="L55">
        <f t="shared" si="7"/>
        <v>115.60000000000002</v>
      </c>
    </row>
    <row r="56" spans="1:12">
      <c r="A56" s="1">
        <f>Weekly_Material_Summary!A56</f>
        <v>46069</v>
      </c>
      <c r="B56" t="str">
        <f>Weekly_Material_Summary!B56</f>
        <v>M007</v>
      </c>
      <c r="C56">
        <f t="shared" si="8"/>
        <v>14409</v>
      </c>
      <c r="D56">
        <f>Weekly_Material_Summary!C56</f>
        <v>54000</v>
      </c>
      <c r="E56">
        <f t="shared" si="0"/>
        <v>13500</v>
      </c>
      <c r="F56">
        <f t="shared" si="1"/>
        <v>53091</v>
      </c>
      <c r="G56">
        <v>1.01</v>
      </c>
      <c r="H56">
        <f t="shared" si="2"/>
        <v>53622</v>
      </c>
      <c r="I56">
        <f t="shared" si="3"/>
        <v>68031</v>
      </c>
      <c r="J56">
        <f t="shared" si="4"/>
        <v>14031</v>
      </c>
      <c r="K56">
        <f t="shared" si="5"/>
        <v>0</v>
      </c>
      <c r="L56">
        <f t="shared" si="7"/>
        <v>14031</v>
      </c>
    </row>
    <row r="57" spans="1:12">
      <c r="A57" s="1">
        <f>Weekly_Material_Summary!A57</f>
        <v>46069</v>
      </c>
      <c r="B57" t="str">
        <f>Weekly_Material_Summary!B57</f>
        <v>M008</v>
      </c>
      <c r="C57">
        <f t="shared" si="8"/>
        <v>13850</v>
      </c>
      <c r="D57">
        <f>Weekly_Material_Summary!C57</f>
        <v>54000</v>
      </c>
      <c r="E57">
        <f t="shared" si="0"/>
        <v>13500</v>
      </c>
      <c r="F57">
        <f t="shared" si="1"/>
        <v>53650</v>
      </c>
      <c r="G57">
        <v>0.99</v>
      </c>
      <c r="H57">
        <f t="shared" si="2"/>
        <v>53114</v>
      </c>
      <c r="I57">
        <f t="shared" si="3"/>
        <v>66964</v>
      </c>
      <c r="J57">
        <f t="shared" si="4"/>
        <v>12964</v>
      </c>
      <c r="K57">
        <f t="shared" si="5"/>
        <v>0</v>
      </c>
      <c r="L57">
        <f t="shared" si="7"/>
        <v>12964</v>
      </c>
    </row>
    <row r="58" spans="1:12">
      <c r="A58" s="1">
        <f>Weekly_Material_Summary!A58</f>
        <v>46076</v>
      </c>
      <c r="B58" t="str">
        <f>Weekly_Material_Summary!B58</f>
        <v>M001</v>
      </c>
      <c r="C58">
        <f t="shared" si="8"/>
        <v>1255</v>
      </c>
      <c r="D58">
        <f>Weekly_Material_Summary!C58</f>
        <v>4725</v>
      </c>
      <c r="E58">
        <f t="shared" si="0"/>
        <v>1181</v>
      </c>
      <c r="F58">
        <f t="shared" si="1"/>
        <v>4651</v>
      </c>
      <c r="G58">
        <v>1</v>
      </c>
      <c r="H58">
        <f t="shared" si="2"/>
        <v>4651</v>
      </c>
      <c r="I58">
        <f t="shared" si="3"/>
        <v>5906</v>
      </c>
      <c r="J58">
        <f t="shared" si="4"/>
        <v>1181</v>
      </c>
      <c r="K58">
        <f t="shared" si="5"/>
        <v>0</v>
      </c>
      <c r="L58">
        <f t="shared" si="7"/>
        <v>1181</v>
      </c>
    </row>
    <row r="59" spans="1:12">
      <c r="A59" s="1">
        <f>Weekly_Material_Summary!A59</f>
        <v>46076</v>
      </c>
      <c r="B59" t="str">
        <f>Weekly_Material_Summary!B59</f>
        <v>M002</v>
      </c>
      <c r="C59">
        <f t="shared" si="8"/>
        <v>801</v>
      </c>
      <c r="D59">
        <f>Weekly_Material_Summary!C59</f>
        <v>3660</v>
      </c>
      <c r="E59">
        <f t="shared" si="0"/>
        <v>915</v>
      </c>
      <c r="F59">
        <f t="shared" si="1"/>
        <v>3774</v>
      </c>
      <c r="G59">
        <v>1</v>
      </c>
      <c r="H59">
        <f t="shared" si="2"/>
        <v>3774</v>
      </c>
      <c r="I59">
        <f t="shared" si="3"/>
        <v>4575</v>
      </c>
      <c r="J59">
        <f t="shared" si="4"/>
        <v>915</v>
      </c>
      <c r="K59">
        <f t="shared" si="5"/>
        <v>0</v>
      </c>
      <c r="L59">
        <f t="shared" si="7"/>
        <v>915</v>
      </c>
    </row>
    <row r="60" spans="1:12">
      <c r="A60" s="1">
        <f>Weekly_Material_Summary!A60</f>
        <v>46076</v>
      </c>
      <c r="B60" t="str">
        <f>Weekly_Material_Summary!B60</f>
        <v>M003</v>
      </c>
      <c r="C60">
        <f t="shared" si="8"/>
        <v>656</v>
      </c>
      <c r="D60">
        <f>Weekly_Material_Summary!C60</f>
        <v>2525</v>
      </c>
      <c r="E60">
        <f t="shared" si="0"/>
        <v>631</v>
      </c>
      <c r="F60">
        <f t="shared" si="1"/>
        <v>2500</v>
      </c>
      <c r="G60">
        <v>1</v>
      </c>
      <c r="H60">
        <f t="shared" si="2"/>
        <v>2500</v>
      </c>
      <c r="I60">
        <f t="shared" si="3"/>
        <v>3156</v>
      </c>
      <c r="J60">
        <f t="shared" si="4"/>
        <v>631</v>
      </c>
      <c r="K60">
        <f t="shared" si="5"/>
        <v>0</v>
      </c>
      <c r="L60">
        <f t="shared" si="7"/>
        <v>631</v>
      </c>
    </row>
    <row r="61" spans="1:12">
      <c r="A61" s="1">
        <f>Weekly_Material_Summary!A61</f>
        <v>46076</v>
      </c>
      <c r="B61" t="str">
        <f>Weekly_Material_Summary!B61</f>
        <v>M004</v>
      </c>
      <c r="C61">
        <f t="shared" si="8"/>
        <v>1027.9999999999995</v>
      </c>
      <c r="D61">
        <f>Weekly_Material_Summary!C61</f>
        <v>3502.0000000000005</v>
      </c>
      <c r="E61">
        <f t="shared" si="0"/>
        <v>876</v>
      </c>
      <c r="F61">
        <f t="shared" si="1"/>
        <v>3350</v>
      </c>
      <c r="G61">
        <v>0.99</v>
      </c>
      <c r="H61">
        <f t="shared" si="2"/>
        <v>3317</v>
      </c>
      <c r="I61">
        <f t="shared" si="3"/>
        <v>4345</v>
      </c>
      <c r="J61">
        <f t="shared" si="4"/>
        <v>842.99999999999955</v>
      </c>
      <c r="K61">
        <f t="shared" si="5"/>
        <v>0</v>
      </c>
      <c r="L61">
        <f t="shared" si="7"/>
        <v>842.99999999999955</v>
      </c>
    </row>
    <row r="62" spans="1:12">
      <c r="A62" s="1">
        <f>Weekly_Material_Summary!A62</f>
        <v>46076</v>
      </c>
      <c r="B62" t="str">
        <f>Weekly_Material_Summary!B62</f>
        <v>M005</v>
      </c>
      <c r="C62">
        <f t="shared" si="8"/>
        <v>990</v>
      </c>
      <c r="D62">
        <f>Weekly_Material_Summary!C62</f>
        <v>4420</v>
      </c>
      <c r="E62">
        <f t="shared" si="0"/>
        <v>1105</v>
      </c>
      <c r="F62">
        <f t="shared" si="1"/>
        <v>4535</v>
      </c>
      <c r="G62">
        <v>1.01</v>
      </c>
      <c r="H62">
        <f t="shared" si="2"/>
        <v>4580</v>
      </c>
      <c r="I62">
        <f t="shared" si="3"/>
        <v>5570</v>
      </c>
      <c r="J62">
        <f t="shared" si="4"/>
        <v>1150</v>
      </c>
      <c r="K62">
        <f t="shared" si="5"/>
        <v>0</v>
      </c>
      <c r="L62">
        <f t="shared" si="7"/>
        <v>1150</v>
      </c>
    </row>
    <row r="63" spans="1:12">
      <c r="A63" s="1">
        <f>Weekly_Material_Summary!A63</f>
        <v>46076</v>
      </c>
      <c r="B63" t="str">
        <f>Weekly_Material_Summary!B63</f>
        <v>M006</v>
      </c>
      <c r="C63">
        <f t="shared" si="8"/>
        <v>115.60000000000002</v>
      </c>
      <c r="D63">
        <f>Weekly_Material_Summary!C63</f>
        <v>487.90000000000003</v>
      </c>
      <c r="E63">
        <f t="shared" si="0"/>
        <v>122</v>
      </c>
      <c r="F63">
        <f t="shared" si="1"/>
        <v>494</v>
      </c>
      <c r="G63">
        <v>1.02</v>
      </c>
      <c r="H63">
        <f t="shared" si="2"/>
        <v>504</v>
      </c>
      <c r="I63">
        <f t="shared" si="3"/>
        <v>619.6</v>
      </c>
      <c r="J63">
        <f t="shared" si="4"/>
        <v>131.69999999999999</v>
      </c>
      <c r="K63">
        <f t="shared" si="5"/>
        <v>0</v>
      </c>
      <c r="L63">
        <f t="shared" si="7"/>
        <v>131.69999999999999</v>
      </c>
    </row>
    <row r="64" spans="1:12">
      <c r="A64" s="1">
        <f>Weekly_Material_Summary!A64</f>
        <v>46076</v>
      </c>
      <c r="B64" t="str">
        <f>Weekly_Material_Summary!B64</f>
        <v>M007</v>
      </c>
      <c r="C64">
        <f t="shared" si="8"/>
        <v>14031</v>
      </c>
      <c r="D64">
        <f>Weekly_Material_Summary!C64</f>
        <v>54600</v>
      </c>
      <c r="E64">
        <f t="shared" si="0"/>
        <v>13650</v>
      </c>
      <c r="F64">
        <f t="shared" si="1"/>
        <v>54219</v>
      </c>
      <c r="G64">
        <v>1.02</v>
      </c>
      <c r="H64">
        <f t="shared" si="2"/>
        <v>55303</v>
      </c>
      <c r="I64">
        <f t="shared" si="3"/>
        <v>69334</v>
      </c>
      <c r="J64">
        <f t="shared" si="4"/>
        <v>14734</v>
      </c>
      <c r="K64">
        <f t="shared" si="5"/>
        <v>0</v>
      </c>
      <c r="L64">
        <f t="shared" si="7"/>
        <v>14734</v>
      </c>
    </row>
    <row r="65" spans="1:12">
      <c r="A65" s="1">
        <f>Weekly_Material_Summary!A65</f>
        <v>46076</v>
      </c>
      <c r="B65" t="str">
        <f>Weekly_Material_Summary!B65</f>
        <v>M008</v>
      </c>
      <c r="C65">
        <f t="shared" si="8"/>
        <v>12964</v>
      </c>
      <c r="D65">
        <f>Weekly_Material_Summary!C65</f>
        <v>54600</v>
      </c>
      <c r="E65">
        <f t="shared" si="0"/>
        <v>13650</v>
      </c>
      <c r="F65">
        <f t="shared" si="1"/>
        <v>55286</v>
      </c>
      <c r="G65">
        <v>0.98</v>
      </c>
      <c r="H65">
        <f t="shared" si="2"/>
        <v>54180</v>
      </c>
      <c r="I65">
        <f t="shared" si="3"/>
        <v>67144</v>
      </c>
      <c r="J65">
        <f t="shared" si="4"/>
        <v>12544</v>
      </c>
      <c r="K65">
        <f t="shared" si="5"/>
        <v>0</v>
      </c>
      <c r="L65">
        <f t="shared" si="7"/>
        <v>12544</v>
      </c>
    </row>
    <row r="66" spans="1:12">
      <c r="A66" s="1">
        <f>Weekly_Material_Summary!A66</f>
        <v>46083</v>
      </c>
      <c r="B66" t="str">
        <f>Weekly_Material_Summary!B66</f>
        <v>M001</v>
      </c>
      <c r="C66">
        <f t="shared" si="8"/>
        <v>1181</v>
      </c>
      <c r="D66">
        <f>Weekly_Material_Summary!C66</f>
        <v>5145</v>
      </c>
      <c r="E66">
        <f t="shared" si="0"/>
        <v>1286</v>
      </c>
      <c r="F66">
        <f t="shared" si="1"/>
        <v>5250</v>
      </c>
      <c r="G66">
        <v>0.99</v>
      </c>
      <c r="H66">
        <f t="shared" si="2"/>
        <v>5198</v>
      </c>
      <c r="I66">
        <f t="shared" si="3"/>
        <v>6379</v>
      </c>
      <c r="J66">
        <f t="shared" si="4"/>
        <v>1234</v>
      </c>
      <c r="K66">
        <f t="shared" si="5"/>
        <v>0</v>
      </c>
      <c r="L66">
        <f t="shared" si="7"/>
        <v>1234</v>
      </c>
    </row>
    <row r="67" spans="1:12">
      <c r="A67" s="1">
        <f>Weekly_Material_Summary!A67</f>
        <v>46083</v>
      </c>
      <c r="B67" t="str">
        <f>Weekly_Material_Summary!B67</f>
        <v>M002</v>
      </c>
      <c r="C67">
        <f t="shared" si="8"/>
        <v>915</v>
      </c>
      <c r="D67">
        <f>Weekly_Material_Summary!C67</f>
        <v>3870</v>
      </c>
      <c r="E67">
        <f t="shared" ref="E67:E130" si="9">ROUND(D67*0.25,0)</f>
        <v>968</v>
      </c>
      <c r="F67">
        <f t="shared" ref="F67:F130" si="10">MAX(0,ROUND(D67+E67-C67,0))</f>
        <v>3923</v>
      </c>
      <c r="G67">
        <v>0.99</v>
      </c>
      <c r="H67">
        <f t="shared" ref="H67:H130" si="11">ROUND(F67*G67,0)</f>
        <v>3884</v>
      </c>
      <c r="I67">
        <f t="shared" ref="I67:I130" si="12">C67+H67</f>
        <v>4799</v>
      </c>
      <c r="J67">
        <f t="shared" ref="J67:J130" si="13">I67-D67</f>
        <v>929</v>
      </c>
      <c r="K67">
        <f t="shared" ref="K67:K130" si="14">MAX(0,-J67)</f>
        <v>0</v>
      </c>
      <c r="L67">
        <f t="shared" si="7"/>
        <v>929</v>
      </c>
    </row>
    <row r="68" spans="1:12">
      <c r="A68" s="1">
        <f>Weekly_Material_Summary!A68</f>
        <v>46083</v>
      </c>
      <c r="B68" t="str">
        <f>Weekly_Material_Summary!B68</f>
        <v>M003</v>
      </c>
      <c r="C68">
        <f t="shared" si="8"/>
        <v>631</v>
      </c>
      <c r="D68">
        <f>Weekly_Material_Summary!C68</f>
        <v>2750</v>
      </c>
      <c r="E68">
        <f t="shared" si="9"/>
        <v>688</v>
      </c>
      <c r="F68">
        <f t="shared" si="10"/>
        <v>2807</v>
      </c>
      <c r="G68">
        <v>0.98</v>
      </c>
      <c r="H68">
        <f t="shared" si="11"/>
        <v>2751</v>
      </c>
      <c r="I68">
        <f t="shared" si="12"/>
        <v>3382</v>
      </c>
      <c r="J68">
        <f t="shared" si="13"/>
        <v>632</v>
      </c>
      <c r="K68">
        <f t="shared" si="14"/>
        <v>0</v>
      </c>
      <c r="L68">
        <f t="shared" si="7"/>
        <v>632</v>
      </c>
    </row>
    <row r="69" spans="1:12">
      <c r="A69" s="1">
        <f>Weekly_Material_Summary!A69</f>
        <v>46083</v>
      </c>
      <c r="B69" t="str">
        <f>Weekly_Material_Summary!B69</f>
        <v>M004</v>
      </c>
      <c r="C69">
        <f t="shared" si="8"/>
        <v>842.99999999999955</v>
      </c>
      <c r="D69">
        <f>Weekly_Material_Summary!C69</f>
        <v>3978.0000000000005</v>
      </c>
      <c r="E69">
        <f t="shared" si="9"/>
        <v>995</v>
      </c>
      <c r="F69">
        <f t="shared" si="10"/>
        <v>4130</v>
      </c>
      <c r="G69">
        <v>1</v>
      </c>
      <c r="H69">
        <f t="shared" si="11"/>
        <v>4130</v>
      </c>
      <c r="I69">
        <f t="shared" si="12"/>
        <v>4973</v>
      </c>
      <c r="J69">
        <f t="shared" si="13"/>
        <v>994.99999999999955</v>
      </c>
      <c r="K69">
        <f t="shared" si="14"/>
        <v>0</v>
      </c>
      <c r="L69">
        <f t="shared" si="7"/>
        <v>994.99999999999955</v>
      </c>
    </row>
    <row r="70" spans="1:12">
      <c r="A70" s="1">
        <f>Weekly_Material_Summary!A70</f>
        <v>46083</v>
      </c>
      <c r="B70" t="str">
        <f>Weekly_Material_Summary!B70</f>
        <v>M005</v>
      </c>
      <c r="C70">
        <f t="shared" si="8"/>
        <v>1150</v>
      </c>
      <c r="D70">
        <f>Weekly_Material_Summary!C70</f>
        <v>4680</v>
      </c>
      <c r="E70">
        <f t="shared" si="9"/>
        <v>1170</v>
      </c>
      <c r="F70">
        <f t="shared" si="10"/>
        <v>4700</v>
      </c>
      <c r="G70">
        <v>1</v>
      </c>
      <c r="H70">
        <f t="shared" si="11"/>
        <v>4700</v>
      </c>
      <c r="I70">
        <f t="shared" si="12"/>
        <v>5850</v>
      </c>
      <c r="J70">
        <f t="shared" si="13"/>
        <v>1170</v>
      </c>
      <c r="K70">
        <f t="shared" si="14"/>
        <v>0</v>
      </c>
      <c r="L70">
        <f t="shared" si="7"/>
        <v>1170</v>
      </c>
    </row>
    <row r="71" spans="1:12">
      <c r="A71" s="1">
        <f>Weekly_Material_Summary!A71</f>
        <v>46083</v>
      </c>
      <c r="B71" t="str">
        <f>Weekly_Material_Summary!B71</f>
        <v>M006</v>
      </c>
      <c r="C71">
        <f t="shared" si="8"/>
        <v>131.69999999999999</v>
      </c>
      <c r="D71">
        <f>Weekly_Material_Summary!C71</f>
        <v>529.5</v>
      </c>
      <c r="E71">
        <f t="shared" si="9"/>
        <v>132</v>
      </c>
      <c r="F71">
        <f t="shared" si="10"/>
        <v>530</v>
      </c>
      <c r="G71">
        <v>0.99</v>
      </c>
      <c r="H71">
        <f t="shared" si="11"/>
        <v>525</v>
      </c>
      <c r="I71">
        <f t="shared" si="12"/>
        <v>656.7</v>
      </c>
      <c r="J71">
        <f t="shared" si="13"/>
        <v>127.20000000000005</v>
      </c>
      <c r="K71">
        <f t="shared" si="14"/>
        <v>0</v>
      </c>
      <c r="L71">
        <f t="shared" si="7"/>
        <v>127.20000000000005</v>
      </c>
    </row>
    <row r="72" spans="1:12">
      <c r="A72" s="1">
        <f>Weekly_Material_Summary!A72</f>
        <v>46083</v>
      </c>
      <c r="B72" t="str">
        <f>Weekly_Material_Summary!B72</f>
        <v>M007</v>
      </c>
      <c r="C72">
        <f t="shared" si="8"/>
        <v>14734</v>
      </c>
      <c r="D72">
        <f>Weekly_Material_Summary!C72</f>
        <v>59300</v>
      </c>
      <c r="E72">
        <f t="shared" si="9"/>
        <v>14825</v>
      </c>
      <c r="F72">
        <f t="shared" si="10"/>
        <v>59391</v>
      </c>
      <c r="G72">
        <v>0.99</v>
      </c>
      <c r="H72">
        <f t="shared" si="11"/>
        <v>58797</v>
      </c>
      <c r="I72">
        <f t="shared" si="12"/>
        <v>73531</v>
      </c>
      <c r="J72">
        <f t="shared" si="13"/>
        <v>14231</v>
      </c>
      <c r="K72">
        <f t="shared" si="14"/>
        <v>0</v>
      </c>
      <c r="L72">
        <f t="shared" si="7"/>
        <v>14231</v>
      </c>
    </row>
    <row r="73" spans="1:12">
      <c r="A73" s="1">
        <f>Weekly_Material_Summary!A73</f>
        <v>46083</v>
      </c>
      <c r="B73" t="str">
        <f>Weekly_Material_Summary!B73</f>
        <v>M008</v>
      </c>
      <c r="C73">
        <f t="shared" si="8"/>
        <v>12544</v>
      </c>
      <c r="D73">
        <f>Weekly_Material_Summary!C73</f>
        <v>59300</v>
      </c>
      <c r="E73">
        <f t="shared" si="9"/>
        <v>14825</v>
      </c>
      <c r="F73">
        <f t="shared" si="10"/>
        <v>61581</v>
      </c>
      <c r="G73">
        <v>0.98</v>
      </c>
      <c r="H73">
        <f t="shared" si="11"/>
        <v>60349</v>
      </c>
      <c r="I73">
        <f t="shared" si="12"/>
        <v>72893</v>
      </c>
      <c r="J73">
        <f t="shared" si="13"/>
        <v>13593</v>
      </c>
      <c r="K73">
        <f t="shared" si="14"/>
        <v>0</v>
      </c>
      <c r="L73">
        <f t="shared" si="7"/>
        <v>13593</v>
      </c>
    </row>
    <row r="74" spans="1:12">
      <c r="A74" s="1">
        <f>Weekly_Material_Summary!A74</f>
        <v>46090</v>
      </c>
      <c r="B74" t="str">
        <f>Weekly_Material_Summary!B74</f>
        <v>M001</v>
      </c>
      <c r="C74">
        <f t="shared" si="8"/>
        <v>1234</v>
      </c>
      <c r="D74">
        <f>Weekly_Material_Summary!C74</f>
        <v>5145</v>
      </c>
      <c r="E74">
        <f t="shared" si="9"/>
        <v>1286</v>
      </c>
      <c r="F74">
        <f t="shared" si="10"/>
        <v>5197</v>
      </c>
      <c r="G74">
        <v>1.02</v>
      </c>
      <c r="H74">
        <f t="shared" si="11"/>
        <v>5301</v>
      </c>
      <c r="I74">
        <f t="shared" si="12"/>
        <v>6535</v>
      </c>
      <c r="J74">
        <f t="shared" si="13"/>
        <v>1390</v>
      </c>
      <c r="K74">
        <f t="shared" si="14"/>
        <v>0</v>
      </c>
      <c r="L74">
        <f t="shared" ref="L74:L137" si="15">MAX(0,J74)</f>
        <v>1390</v>
      </c>
    </row>
    <row r="75" spans="1:12">
      <c r="A75" s="1">
        <f>Weekly_Material_Summary!A75</f>
        <v>46090</v>
      </c>
      <c r="B75" t="str">
        <f>Weekly_Material_Summary!B75</f>
        <v>M002</v>
      </c>
      <c r="C75">
        <f t="shared" ref="C75:C138" si="16">L67</f>
        <v>929</v>
      </c>
      <c r="D75">
        <f>Weekly_Material_Summary!C75</f>
        <v>3780</v>
      </c>
      <c r="E75">
        <f t="shared" si="9"/>
        <v>945</v>
      </c>
      <c r="F75">
        <f t="shared" si="10"/>
        <v>3796</v>
      </c>
      <c r="G75">
        <v>0.98</v>
      </c>
      <c r="H75">
        <f t="shared" si="11"/>
        <v>3720</v>
      </c>
      <c r="I75">
        <f t="shared" si="12"/>
        <v>4649</v>
      </c>
      <c r="J75">
        <f t="shared" si="13"/>
        <v>869</v>
      </c>
      <c r="K75">
        <f t="shared" si="14"/>
        <v>0</v>
      </c>
      <c r="L75">
        <f t="shared" si="15"/>
        <v>869</v>
      </c>
    </row>
    <row r="76" spans="1:12">
      <c r="A76" s="1">
        <f>Weekly_Material_Summary!A76</f>
        <v>46090</v>
      </c>
      <c r="B76" t="str">
        <f>Weekly_Material_Summary!B76</f>
        <v>M003</v>
      </c>
      <c r="C76">
        <f t="shared" si="16"/>
        <v>632</v>
      </c>
      <c r="D76">
        <f>Weekly_Material_Summary!C76</f>
        <v>2850</v>
      </c>
      <c r="E76">
        <f t="shared" si="9"/>
        <v>713</v>
      </c>
      <c r="F76">
        <f t="shared" si="10"/>
        <v>2931</v>
      </c>
      <c r="G76">
        <v>1</v>
      </c>
      <c r="H76">
        <f t="shared" si="11"/>
        <v>2931</v>
      </c>
      <c r="I76">
        <f t="shared" si="12"/>
        <v>3563</v>
      </c>
      <c r="J76">
        <f t="shared" si="13"/>
        <v>713</v>
      </c>
      <c r="K76">
        <f t="shared" si="14"/>
        <v>0</v>
      </c>
      <c r="L76">
        <f t="shared" si="15"/>
        <v>713</v>
      </c>
    </row>
    <row r="77" spans="1:12">
      <c r="A77" s="1">
        <f>Weekly_Material_Summary!A77</f>
        <v>46090</v>
      </c>
      <c r="B77" t="str">
        <f>Weekly_Material_Summary!B77</f>
        <v>M004</v>
      </c>
      <c r="C77">
        <f t="shared" si="16"/>
        <v>994.99999999999955</v>
      </c>
      <c r="D77">
        <f>Weekly_Material_Summary!C77</f>
        <v>3774.0000000000005</v>
      </c>
      <c r="E77">
        <f t="shared" si="9"/>
        <v>944</v>
      </c>
      <c r="F77">
        <f t="shared" si="10"/>
        <v>3723</v>
      </c>
      <c r="G77">
        <v>1.01</v>
      </c>
      <c r="H77">
        <f t="shared" si="11"/>
        <v>3760</v>
      </c>
      <c r="I77">
        <f t="shared" si="12"/>
        <v>4755</v>
      </c>
      <c r="J77">
        <f t="shared" si="13"/>
        <v>980.99999999999955</v>
      </c>
      <c r="K77">
        <f t="shared" si="14"/>
        <v>0</v>
      </c>
      <c r="L77">
        <f t="shared" si="15"/>
        <v>980.99999999999955</v>
      </c>
    </row>
    <row r="78" spans="1:12">
      <c r="A78" s="1">
        <f>Weekly_Material_Summary!A78</f>
        <v>46090</v>
      </c>
      <c r="B78" t="str">
        <f>Weekly_Material_Summary!B78</f>
        <v>M005</v>
      </c>
      <c r="C78">
        <f t="shared" si="16"/>
        <v>1170</v>
      </c>
      <c r="D78">
        <f>Weekly_Material_Summary!C78</f>
        <v>4472</v>
      </c>
      <c r="E78">
        <f t="shared" si="9"/>
        <v>1118</v>
      </c>
      <c r="F78">
        <f t="shared" si="10"/>
        <v>4420</v>
      </c>
      <c r="G78">
        <v>1.01</v>
      </c>
      <c r="H78">
        <f t="shared" si="11"/>
        <v>4464</v>
      </c>
      <c r="I78">
        <f t="shared" si="12"/>
        <v>5634</v>
      </c>
      <c r="J78">
        <f t="shared" si="13"/>
        <v>1162</v>
      </c>
      <c r="K78">
        <f t="shared" si="14"/>
        <v>0</v>
      </c>
      <c r="L78">
        <f t="shared" si="15"/>
        <v>1162</v>
      </c>
    </row>
    <row r="79" spans="1:12">
      <c r="A79" s="1">
        <f>Weekly_Material_Summary!A79</f>
        <v>46090</v>
      </c>
      <c r="B79" t="str">
        <f>Weekly_Material_Summary!B79</f>
        <v>M006</v>
      </c>
      <c r="C79">
        <f t="shared" si="16"/>
        <v>127.20000000000005</v>
      </c>
      <c r="D79">
        <f>Weekly_Material_Summary!C79</f>
        <v>519.30000000000007</v>
      </c>
      <c r="E79">
        <f t="shared" si="9"/>
        <v>130</v>
      </c>
      <c r="F79">
        <f t="shared" si="10"/>
        <v>522</v>
      </c>
      <c r="G79">
        <v>0.98</v>
      </c>
      <c r="H79">
        <f t="shared" si="11"/>
        <v>512</v>
      </c>
      <c r="I79">
        <f t="shared" si="12"/>
        <v>639.20000000000005</v>
      </c>
      <c r="J79">
        <f t="shared" si="13"/>
        <v>119.89999999999998</v>
      </c>
      <c r="K79">
        <f t="shared" si="14"/>
        <v>0</v>
      </c>
      <c r="L79">
        <f t="shared" si="15"/>
        <v>119.89999999999998</v>
      </c>
    </row>
    <row r="80" spans="1:12">
      <c r="A80" s="1">
        <f>Weekly_Material_Summary!A80</f>
        <v>46090</v>
      </c>
      <c r="B80" t="str">
        <f>Weekly_Material_Summary!B80</f>
        <v>M007</v>
      </c>
      <c r="C80">
        <f t="shared" si="16"/>
        <v>14231</v>
      </c>
      <c r="D80">
        <f>Weekly_Material_Summary!C80</f>
        <v>58400</v>
      </c>
      <c r="E80">
        <f t="shared" si="9"/>
        <v>14600</v>
      </c>
      <c r="F80">
        <f t="shared" si="10"/>
        <v>58769</v>
      </c>
      <c r="G80">
        <v>0.99</v>
      </c>
      <c r="H80">
        <f t="shared" si="11"/>
        <v>58181</v>
      </c>
      <c r="I80">
        <f t="shared" si="12"/>
        <v>72412</v>
      </c>
      <c r="J80">
        <f t="shared" si="13"/>
        <v>14012</v>
      </c>
      <c r="K80">
        <f t="shared" si="14"/>
        <v>0</v>
      </c>
      <c r="L80">
        <f t="shared" si="15"/>
        <v>14012</v>
      </c>
    </row>
    <row r="81" spans="1:12">
      <c r="A81" s="1">
        <f>Weekly_Material_Summary!A81</f>
        <v>46090</v>
      </c>
      <c r="B81" t="str">
        <f>Weekly_Material_Summary!B81</f>
        <v>M008</v>
      </c>
      <c r="C81">
        <f t="shared" si="16"/>
        <v>13593</v>
      </c>
      <c r="D81">
        <f>Weekly_Material_Summary!C81</f>
        <v>58400</v>
      </c>
      <c r="E81">
        <f t="shared" si="9"/>
        <v>14600</v>
      </c>
      <c r="F81">
        <f t="shared" si="10"/>
        <v>59407</v>
      </c>
      <c r="G81">
        <v>1.02</v>
      </c>
      <c r="H81">
        <f t="shared" si="11"/>
        <v>60595</v>
      </c>
      <c r="I81">
        <f t="shared" si="12"/>
        <v>74188</v>
      </c>
      <c r="J81">
        <f t="shared" si="13"/>
        <v>15788</v>
      </c>
      <c r="K81">
        <f t="shared" si="14"/>
        <v>0</v>
      </c>
      <c r="L81">
        <f t="shared" si="15"/>
        <v>15788</v>
      </c>
    </row>
    <row r="82" spans="1:12">
      <c r="A82" s="1">
        <f>Weekly_Material_Summary!A82</f>
        <v>46097</v>
      </c>
      <c r="B82" t="str">
        <f>Weekly_Material_Summary!B82</f>
        <v>M001</v>
      </c>
      <c r="C82">
        <f t="shared" si="16"/>
        <v>1390</v>
      </c>
      <c r="D82">
        <f>Weekly_Material_Summary!C82</f>
        <v>5915</v>
      </c>
      <c r="E82">
        <f t="shared" si="9"/>
        <v>1479</v>
      </c>
      <c r="F82">
        <f t="shared" si="10"/>
        <v>6004</v>
      </c>
      <c r="G82">
        <v>1.01</v>
      </c>
      <c r="H82">
        <f t="shared" si="11"/>
        <v>6064</v>
      </c>
      <c r="I82">
        <f t="shared" si="12"/>
        <v>7454</v>
      </c>
      <c r="J82">
        <f t="shared" si="13"/>
        <v>1539</v>
      </c>
      <c r="K82">
        <f t="shared" si="14"/>
        <v>0</v>
      </c>
      <c r="L82">
        <f t="shared" si="15"/>
        <v>1539</v>
      </c>
    </row>
    <row r="83" spans="1:12">
      <c r="A83" s="1">
        <f>Weekly_Material_Summary!A83</f>
        <v>46097</v>
      </c>
      <c r="B83" t="str">
        <f>Weekly_Material_Summary!B83</f>
        <v>M002</v>
      </c>
      <c r="C83">
        <f t="shared" si="16"/>
        <v>869</v>
      </c>
      <c r="D83">
        <f>Weekly_Material_Summary!C83</f>
        <v>3660</v>
      </c>
      <c r="E83">
        <f t="shared" si="9"/>
        <v>915</v>
      </c>
      <c r="F83">
        <f t="shared" si="10"/>
        <v>3706</v>
      </c>
      <c r="G83">
        <v>0.99</v>
      </c>
      <c r="H83">
        <f t="shared" si="11"/>
        <v>3669</v>
      </c>
      <c r="I83">
        <f t="shared" si="12"/>
        <v>4538</v>
      </c>
      <c r="J83">
        <f t="shared" si="13"/>
        <v>878</v>
      </c>
      <c r="K83">
        <f t="shared" si="14"/>
        <v>0</v>
      </c>
      <c r="L83">
        <f t="shared" si="15"/>
        <v>878</v>
      </c>
    </row>
    <row r="84" spans="1:12">
      <c r="A84" s="1">
        <f>Weekly_Material_Summary!A84</f>
        <v>46097</v>
      </c>
      <c r="B84" t="str">
        <f>Weekly_Material_Summary!B84</f>
        <v>M003</v>
      </c>
      <c r="C84">
        <f t="shared" si="16"/>
        <v>713</v>
      </c>
      <c r="D84">
        <f>Weekly_Material_Summary!C84</f>
        <v>2750</v>
      </c>
      <c r="E84">
        <f t="shared" si="9"/>
        <v>688</v>
      </c>
      <c r="F84">
        <f t="shared" si="10"/>
        <v>2725</v>
      </c>
      <c r="G84">
        <v>0.98</v>
      </c>
      <c r="H84">
        <f t="shared" si="11"/>
        <v>2671</v>
      </c>
      <c r="I84">
        <f t="shared" si="12"/>
        <v>3384</v>
      </c>
      <c r="J84">
        <f t="shared" si="13"/>
        <v>634</v>
      </c>
      <c r="K84">
        <f t="shared" si="14"/>
        <v>0</v>
      </c>
      <c r="L84">
        <f t="shared" si="15"/>
        <v>634</v>
      </c>
    </row>
    <row r="85" spans="1:12">
      <c r="A85" s="1">
        <f>Weekly_Material_Summary!A85</f>
        <v>46097</v>
      </c>
      <c r="B85" t="str">
        <f>Weekly_Material_Summary!B85</f>
        <v>M004</v>
      </c>
      <c r="C85">
        <f t="shared" si="16"/>
        <v>980.99999999999955</v>
      </c>
      <c r="D85">
        <f>Weekly_Material_Summary!C85</f>
        <v>4046.0000000000005</v>
      </c>
      <c r="E85">
        <f t="shared" si="9"/>
        <v>1012</v>
      </c>
      <c r="F85">
        <f t="shared" si="10"/>
        <v>4077</v>
      </c>
      <c r="G85">
        <v>1.01</v>
      </c>
      <c r="H85">
        <f t="shared" si="11"/>
        <v>4118</v>
      </c>
      <c r="I85">
        <f t="shared" si="12"/>
        <v>5099</v>
      </c>
      <c r="J85">
        <f t="shared" si="13"/>
        <v>1052.9999999999995</v>
      </c>
      <c r="K85">
        <f t="shared" si="14"/>
        <v>0</v>
      </c>
      <c r="L85">
        <f t="shared" si="15"/>
        <v>1052.9999999999995</v>
      </c>
    </row>
    <row r="86" spans="1:12">
      <c r="A86" s="1">
        <f>Weekly_Material_Summary!A86</f>
        <v>46097</v>
      </c>
      <c r="B86" t="str">
        <f>Weekly_Material_Summary!B86</f>
        <v>M005</v>
      </c>
      <c r="C86">
        <f t="shared" si="16"/>
        <v>1162</v>
      </c>
      <c r="D86">
        <f>Weekly_Material_Summary!C86</f>
        <v>4576</v>
      </c>
      <c r="E86">
        <f t="shared" si="9"/>
        <v>1144</v>
      </c>
      <c r="F86">
        <f t="shared" si="10"/>
        <v>4558</v>
      </c>
      <c r="G86">
        <v>1.02</v>
      </c>
      <c r="H86">
        <f t="shared" si="11"/>
        <v>4649</v>
      </c>
      <c r="I86">
        <f t="shared" si="12"/>
        <v>5811</v>
      </c>
      <c r="J86">
        <f t="shared" si="13"/>
        <v>1235</v>
      </c>
      <c r="K86">
        <f t="shared" si="14"/>
        <v>0</v>
      </c>
      <c r="L86">
        <f t="shared" si="15"/>
        <v>1235</v>
      </c>
    </row>
    <row r="87" spans="1:12">
      <c r="A87" s="1">
        <f>Weekly_Material_Summary!A87</f>
        <v>46097</v>
      </c>
      <c r="B87" t="str">
        <f>Weekly_Material_Summary!B87</f>
        <v>M006</v>
      </c>
      <c r="C87">
        <f t="shared" si="16"/>
        <v>119.89999999999998</v>
      </c>
      <c r="D87">
        <f>Weekly_Material_Summary!C87</f>
        <v>545.30000000000007</v>
      </c>
      <c r="E87">
        <f t="shared" si="9"/>
        <v>136</v>
      </c>
      <c r="F87">
        <f t="shared" si="10"/>
        <v>561</v>
      </c>
      <c r="G87">
        <v>0.99</v>
      </c>
      <c r="H87">
        <f t="shared" si="11"/>
        <v>555</v>
      </c>
      <c r="I87">
        <f t="shared" si="12"/>
        <v>674.9</v>
      </c>
      <c r="J87">
        <f t="shared" si="13"/>
        <v>129.59999999999991</v>
      </c>
      <c r="K87">
        <f t="shared" si="14"/>
        <v>0</v>
      </c>
      <c r="L87">
        <f t="shared" si="15"/>
        <v>129.59999999999991</v>
      </c>
    </row>
    <row r="88" spans="1:12">
      <c r="A88" s="1">
        <f>Weekly_Material_Summary!A88</f>
        <v>46097</v>
      </c>
      <c r="B88" t="str">
        <f>Weekly_Material_Summary!B88</f>
        <v>M007</v>
      </c>
      <c r="C88">
        <f t="shared" si="16"/>
        <v>14012</v>
      </c>
      <c r="D88">
        <f>Weekly_Material_Summary!C88</f>
        <v>60800</v>
      </c>
      <c r="E88">
        <f t="shared" si="9"/>
        <v>15200</v>
      </c>
      <c r="F88">
        <f t="shared" si="10"/>
        <v>61988</v>
      </c>
      <c r="G88">
        <v>1.01</v>
      </c>
      <c r="H88">
        <f t="shared" si="11"/>
        <v>62608</v>
      </c>
      <c r="I88">
        <f t="shared" si="12"/>
        <v>76620</v>
      </c>
      <c r="J88">
        <f t="shared" si="13"/>
        <v>15820</v>
      </c>
      <c r="K88">
        <f t="shared" si="14"/>
        <v>0</v>
      </c>
      <c r="L88">
        <f t="shared" si="15"/>
        <v>15820</v>
      </c>
    </row>
    <row r="89" spans="1:12">
      <c r="A89" s="1">
        <f>Weekly_Material_Summary!A89</f>
        <v>46097</v>
      </c>
      <c r="B89" t="str">
        <f>Weekly_Material_Summary!B89</f>
        <v>M008</v>
      </c>
      <c r="C89">
        <f t="shared" si="16"/>
        <v>15788</v>
      </c>
      <c r="D89">
        <f>Weekly_Material_Summary!C89</f>
        <v>60800</v>
      </c>
      <c r="E89">
        <f t="shared" si="9"/>
        <v>15200</v>
      </c>
      <c r="F89">
        <f t="shared" si="10"/>
        <v>60212</v>
      </c>
      <c r="G89">
        <v>1.01</v>
      </c>
      <c r="H89">
        <f t="shared" si="11"/>
        <v>60814</v>
      </c>
      <c r="I89">
        <f t="shared" si="12"/>
        <v>76602</v>
      </c>
      <c r="J89">
        <f t="shared" si="13"/>
        <v>15802</v>
      </c>
      <c r="K89">
        <f t="shared" si="14"/>
        <v>0</v>
      </c>
      <c r="L89">
        <f t="shared" si="15"/>
        <v>15802</v>
      </c>
    </row>
    <row r="90" spans="1:12">
      <c r="A90" s="1">
        <f>Weekly_Material_Summary!A90</f>
        <v>46104</v>
      </c>
      <c r="B90" t="str">
        <f>Weekly_Material_Summary!B90</f>
        <v>M001</v>
      </c>
      <c r="C90">
        <f t="shared" si="16"/>
        <v>1539</v>
      </c>
      <c r="D90">
        <f>Weekly_Material_Summary!C90</f>
        <v>4550</v>
      </c>
      <c r="E90">
        <f t="shared" si="9"/>
        <v>1138</v>
      </c>
      <c r="F90">
        <f t="shared" si="10"/>
        <v>4149</v>
      </c>
      <c r="G90">
        <v>0.99</v>
      </c>
      <c r="H90">
        <f t="shared" si="11"/>
        <v>4108</v>
      </c>
      <c r="I90">
        <f t="shared" si="12"/>
        <v>5647</v>
      </c>
      <c r="J90">
        <f t="shared" si="13"/>
        <v>1097</v>
      </c>
      <c r="K90">
        <f t="shared" si="14"/>
        <v>0</v>
      </c>
      <c r="L90">
        <f t="shared" si="15"/>
        <v>1097</v>
      </c>
    </row>
    <row r="91" spans="1:12">
      <c r="A91" s="1">
        <f>Weekly_Material_Summary!A91</f>
        <v>46104</v>
      </c>
      <c r="B91" t="str">
        <f>Weekly_Material_Summary!B91</f>
        <v>M002</v>
      </c>
      <c r="C91">
        <f t="shared" si="16"/>
        <v>878</v>
      </c>
      <c r="D91">
        <f>Weekly_Material_Summary!C91</f>
        <v>3630</v>
      </c>
      <c r="E91">
        <f t="shared" si="9"/>
        <v>908</v>
      </c>
      <c r="F91">
        <f t="shared" si="10"/>
        <v>3660</v>
      </c>
      <c r="G91">
        <v>0.98</v>
      </c>
      <c r="H91">
        <f t="shared" si="11"/>
        <v>3587</v>
      </c>
      <c r="I91">
        <f t="shared" si="12"/>
        <v>4465</v>
      </c>
      <c r="J91">
        <f t="shared" si="13"/>
        <v>835</v>
      </c>
      <c r="K91">
        <f t="shared" si="14"/>
        <v>0</v>
      </c>
      <c r="L91">
        <f t="shared" si="15"/>
        <v>835</v>
      </c>
    </row>
    <row r="92" spans="1:12">
      <c r="A92" s="1">
        <f>Weekly_Material_Summary!A92</f>
        <v>46104</v>
      </c>
      <c r="B92" t="str">
        <f>Weekly_Material_Summary!B92</f>
        <v>M003</v>
      </c>
      <c r="C92">
        <f t="shared" si="16"/>
        <v>634</v>
      </c>
      <c r="D92">
        <f>Weekly_Material_Summary!C92</f>
        <v>2675</v>
      </c>
      <c r="E92">
        <f t="shared" si="9"/>
        <v>669</v>
      </c>
      <c r="F92">
        <f t="shared" si="10"/>
        <v>2710</v>
      </c>
      <c r="G92">
        <v>1.02</v>
      </c>
      <c r="H92">
        <f t="shared" si="11"/>
        <v>2764</v>
      </c>
      <c r="I92">
        <f t="shared" si="12"/>
        <v>3398</v>
      </c>
      <c r="J92">
        <f t="shared" si="13"/>
        <v>723</v>
      </c>
      <c r="K92">
        <f t="shared" si="14"/>
        <v>0</v>
      </c>
      <c r="L92">
        <f t="shared" si="15"/>
        <v>723</v>
      </c>
    </row>
    <row r="93" spans="1:12">
      <c r="A93" s="1">
        <f>Weekly_Material_Summary!A93</f>
        <v>46104</v>
      </c>
      <c r="B93" t="str">
        <f>Weekly_Material_Summary!B93</f>
        <v>M004</v>
      </c>
      <c r="C93">
        <f t="shared" si="16"/>
        <v>1052.9999999999995</v>
      </c>
      <c r="D93">
        <f>Weekly_Material_Summary!C93</f>
        <v>3910.0000000000005</v>
      </c>
      <c r="E93">
        <f t="shared" si="9"/>
        <v>978</v>
      </c>
      <c r="F93">
        <f t="shared" si="10"/>
        <v>3835</v>
      </c>
      <c r="G93">
        <v>1.01</v>
      </c>
      <c r="H93">
        <f t="shared" si="11"/>
        <v>3873</v>
      </c>
      <c r="I93">
        <f t="shared" si="12"/>
        <v>4926</v>
      </c>
      <c r="J93">
        <f t="shared" si="13"/>
        <v>1015.9999999999995</v>
      </c>
      <c r="K93">
        <f t="shared" si="14"/>
        <v>0</v>
      </c>
      <c r="L93">
        <f t="shared" si="15"/>
        <v>1015.9999999999995</v>
      </c>
    </row>
    <row r="94" spans="1:12">
      <c r="A94" s="1">
        <f>Weekly_Material_Summary!A94</f>
        <v>46104</v>
      </c>
      <c r="B94" t="str">
        <f>Weekly_Material_Summary!B94</f>
        <v>M005</v>
      </c>
      <c r="C94">
        <f t="shared" si="16"/>
        <v>1235</v>
      </c>
      <c r="D94">
        <f>Weekly_Material_Summary!C94</f>
        <v>4524</v>
      </c>
      <c r="E94">
        <f t="shared" si="9"/>
        <v>1131</v>
      </c>
      <c r="F94">
        <f t="shared" si="10"/>
        <v>4420</v>
      </c>
      <c r="G94">
        <v>0.99</v>
      </c>
      <c r="H94">
        <f t="shared" si="11"/>
        <v>4376</v>
      </c>
      <c r="I94">
        <f t="shared" si="12"/>
        <v>5611</v>
      </c>
      <c r="J94">
        <f t="shared" si="13"/>
        <v>1087</v>
      </c>
      <c r="K94">
        <f t="shared" si="14"/>
        <v>0</v>
      </c>
      <c r="L94">
        <f t="shared" si="15"/>
        <v>1087</v>
      </c>
    </row>
    <row r="95" spans="1:12">
      <c r="A95" s="1">
        <f>Weekly_Material_Summary!A95</f>
        <v>46104</v>
      </c>
      <c r="B95" t="str">
        <f>Weekly_Material_Summary!B95</f>
        <v>M006</v>
      </c>
      <c r="C95">
        <f t="shared" si="16"/>
        <v>129.59999999999991</v>
      </c>
      <c r="D95">
        <f>Weekly_Material_Summary!C95</f>
        <v>498.9</v>
      </c>
      <c r="E95">
        <f t="shared" si="9"/>
        <v>125</v>
      </c>
      <c r="F95">
        <f t="shared" si="10"/>
        <v>494</v>
      </c>
      <c r="G95">
        <v>1.01</v>
      </c>
      <c r="H95">
        <f t="shared" si="11"/>
        <v>499</v>
      </c>
      <c r="I95">
        <f t="shared" si="12"/>
        <v>628.59999999999991</v>
      </c>
      <c r="J95">
        <f t="shared" si="13"/>
        <v>129.69999999999993</v>
      </c>
      <c r="K95">
        <f t="shared" si="14"/>
        <v>0</v>
      </c>
      <c r="L95">
        <f t="shared" si="15"/>
        <v>129.69999999999993</v>
      </c>
    </row>
    <row r="96" spans="1:12">
      <c r="A96" s="1">
        <f>Weekly_Material_Summary!A96</f>
        <v>46104</v>
      </c>
      <c r="B96" t="str">
        <f>Weekly_Material_Summary!B96</f>
        <v>M007</v>
      </c>
      <c r="C96">
        <f t="shared" si="16"/>
        <v>15820</v>
      </c>
      <c r="D96">
        <f>Weekly_Material_Summary!C96</f>
        <v>56000</v>
      </c>
      <c r="E96">
        <f t="shared" si="9"/>
        <v>14000</v>
      </c>
      <c r="F96">
        <f t="shared" si="10"/>
        <v>54180</v>
      </c>
      <c r="G96">
        <v>1.02</v>
      </c>
      <c r="H96">
        <f t="shared" si="11"/>
        <v>55264</v>
      </c>
      <c r="I96">
        <f t="shared" si="12"/>
        <v>71084</v>
      </c>
      <c r="J96">
        <f t="shared" si="13"/>
        <v>15084</v>
      </c>
      <c r="K96">
        <f t="shared" si="14"/>
        <v>0</v>
      </c>
      <c r="L96">
        <f t="shared" si="15"/>
        <v>15084</v>
      </c>
    </row>
    <row r="97" spans="1:12">
      <c r="A97" s="1">
        <f>Weekly_Material_Summary!A97</f>
        <v>46104</v>
      </c>
      <c r="B97" t="str">
        <f>Weekly_Material_Summary!B97</f>
        <v>M008</v>
      </c>
      <c r="C97">
        <f t="shared" si="16"/>
        <v>15802</v>
      </c>
      <c r="D97">
        <f>Weekly_Material_Summary!C97</f>
        <v>56000</v>
      </c>
      <c r="E97">
        <f t="shared" si="9"/>
        <v>14000</v>
      </c>
      <c r="F97">
        <f t="shared" si="10"/>
        <v>54198</v>
      </c>
      <c r="G97">
        <v>1.01</v>
      </c>
      <c r="H97">
        <f t="shared" si="11"/>
        <v>54740</v>
      </c>
      <c r="I97">
        <f t="shared" si="12"/>
        <v>70542</v>
      </c>
      <c r="J97">
        <f t="shared" si="13"/>
        <v>14542</v>
      </c>
      <c r="K97">
        <f t="shared" si="14"/>
        <v>0</v>
      </c>
      <c r="L97">
        <f t="shared" si="15"/>
        <v>14542</v>
      </c>
    </row>
    <row r="98" spans="1:12">
      <c r="A98" s="1">
        <f>Weekly_Material_Summary!A98</f>
        <v>46111</v>
      </c>
      <c r="B98" t="str">
        <f>Weekly_Material_Summary!B98</f>
        <v>M001</v>
      </c>
      <c r="C98">
        <f t="shared" si="16"/>
        <v>1097</v>
      </c>
      <c r="D98">
        <f>Weekly_Material_Summary!C98</f>
        <v>5320</v>
      </c>
      <c r="E98">
        <f t="shared" si="9"/>
        <v>1330</v>
      </c>
      <c r="F98">
        <f t="shared" si="10"/>
        <v>5553</v>
      </c>
      <c r="G98">
        <v>0.99</v>
      </c>
      <c r="H98">
        <f t="shared" si="11"/>
        <v>5497</v>
      </c>
      <c r="I98">
        <f t="shared" si="12"/>
        <v>6594</v>
      </c>
      <c r="J98">
        <f t="shared" si="13"/>
        <v>1274</v>
      </c>
      <c r="K98">
        <f t="shared" si="14"/>
        <v>0</v>
      </c>
      <c r="L98">
        <f t="shared" si="15"/>
        <v>1274</v>
      </c>
    </row>
    <row r="99" spans="1:12">
      <c r="A99" s="1">
        <f>Weekly_Material_Summary!A99</f>
        <v>46111</v>
      </c>
      <c r="B99" t="str">
        <f>Weekly_Material_Summary!B99</f>
        <v>M002</v>
      </c>
      <c r="C99">
        <f t="shared" si="16"/>
        <v>835</v>
      </c>
      <c r="D99">
        <f>Weekly_Material_Summary!C99</f>
        <v>3870</v>
      </c>
      <c r="E99">
        <f t="shared" si="9"/>
        <v>968</v>
      </c>
      <c r="F99">
        <f t="shared" si="10"/>
        <v>4003</v>
      </c>
      <c r="G99">
        <v>1.01</v>
      </c>
      <c r="H99">
        <f t="shared" si="11"/>
        <v>4043</v>
      </c>
      <c r="I99">
        <f t="shared" si="12"/>
        <v>4878</v>
      </c>
      <c r="J99">
        <f t="shared" si="13"/>
        <v>1008</v>
      </c>
      <c r="K99">
        <f t="shared" si="14"/>
        <v>0</v>
      </c>
      <c r="L99">
        <f t="shared" si="15"/>
        <v>1008</v>
      </c>
    </row>
    <row r="100" spans="1:12">
      <c r="A100" s="1">
        <f>Weekly_Material_Summary!A100</f>
        <v>46111</v>
      </c>
      <c r="B100" t="str">
        <f>Weekly_Material_Summary!B100</f>
        <v>M003</v>
      </c>
      <c r="C100">
        <f t="shared" si="16"/>
        <v>723</v>
      </c>
      <c r="D100">
        <f>Weekly_Material_Summary!C100</f>
        <v>2525</v>
      </c>
      <c r="E100">
        <f t="shared" si="9"/>
        <v>631</v>
      </c>
      <c r="F100">
        <f t="shared" si="10"/>
        <v>2433</v>
      </c>
      <c r="G100">
        <v>0.99</v>
      </c>
      <c r="H100">
        <f t="shared" si="11"/>
        <v>2409</v>
      </c>
      <c r="I100">
        <f t="shared" si="12"/>
        <v>3132</v>
      </c>
      <c r="J100">
        <f t="shared" si="13"/>
        <v>607</v>
      </c>
      <c r="K100">
        <f t="shared" si="14"/>
        <v>0</v>
      </c>
      <c r="L100">
        <f t="shared" si="15"/>
        <v>607</v>
      </c>
    </row>
    <row r="101" spans="1:12">
      <c r="A101" s="1">
        <f>Weekly_Material_Summary!A101</f>
        <v>46111</v>
      </c>
      <c r="B101" t="str">
        <f>Weekly_Material_Summary!B101</f>
        <v>M004</v>
      </c>
      <c r="C101">
        <f t="shared" si="16"/>
        <v>1015.9999999999995</v>
      </c>
      <c r="D101">
        <f>Weekly_Material_Summary!C101</f>
        <v>4046.0000000000005</v>
      </c>
      <c r="E101">
        <f t="shared" si="9"/>
        <v>1012</v>
      </c>
      <c r="F101">
        <f t="shared" si="10"/>
        <v>4042</v>
      </c>
      <c r="G101">
        <v>0.99</v>
      </c>
      <c r="H101">
        <f t="shared" si="11"/>
        <v>4002</v>
      </c>
      <c r="I101">
        <f t="shared" si="12"/>
        <v>5018</v>
      </c>
      <c r="J101">
        <f t="shared" si="13"/>
        <v>971.99999999999955</v>
      </c>
      <c r="K101">
        <f t="shared" si="14"/>
        <v>0</v>
      </c>
      <c r="L101">
        <f t="shared" si="15"/>
        <v>971.99999999999955</v>
      </c>
    </row>
    <row r="102" spans="1:12">
      <c r="A102" s="1">
        <f>Weekly_Material_Summary!A102</f>
        <v>46111</v>
      </c>
      <c r="B102" t="str">
        <f>Weekly_Material_Summary!B102</f>
        <v>M005</v>
      </c>
      <c r="C102">
        <f t="shared" si="16"/>
        <v>1087</v>
      </c>
      <c r="D102">
        <f>Weekly_Material_Summary!C102</f>
        <v>4628</v>
      </c>
      <c r="E102">
        <f t="shared" si="9"/>
        <v>1157</v>
      </c>
      <c r="F102">
        <f t="shared" si="10"/>
        <v>4698</v>
      </c>
      <c r="G102">
        <v>0.98</v>
      </c>
      <c r="H102">
        <f t="shared" si="11"/>
        <v>4604</v>
      </c>
      <c r="I102">
        <f t="shared" si="12"/>
        <v>5691</v>
      </c>
      <c r="J102">
        <f t="shared" si="13"/>
        <v>1063</v>
      </c>
      <c r="K102">
        <f t="shared" si="14"/>
        <v>0</v>
      </c>
      <c r="L102">
        <f t="shared" si="15"/>
        <v>1063</v>
      </c>
    </row>
    <row r="103" spans="1:12">
      <c r="A103" s="1">
        <f>Weekly_Material_Summary!A103</f>
        <v>46111</v>
      </c>
      <c r="B103" t="str">
        <f>Weekly_Material_Summary!B103</f>
        <v>M006</v>
      </c>
      <c r="C103">
        <f t="shared" si="16"/>
        <v>129.69999999999993</v>
      </c>
      <c r="D103">
        <f>Weekly_Material_Summary!C103</f>
        <v>529.69999999999993</v>
      </c>
      <c r="E103">
        <f t="shared" si="9"/>
        <v>132</v>
      </c>
      <c r="F103">
        <f t="shared" si="10"/>
        <v>532</v>
      </c>
      <c r="G103">
        <v>1</v>
      </c>
      <c r="H103">
        <f t="shared" si="11"/>
        <v>532</v>
      </c>
      <c r="I103">
        <f t="shared" si="12"/>
        <v>661.69999999999993</v>
      </c>
      <c r="J103">
        <f t="shared" si="13"/>
        <v>132</v>
      </c>
      <c r="K103">
        <f t="shared" si="14"/>
        <v>0</v>
      </c>
      <c r="L103">
        <f t="shared" si="15"/>
        <v>132</v>
      </c>
    </row>
    <row r="104" spans="1:12">
      <c r="A104" s="1">
        <f>Weekly_Material_Summary!A104</f>
        <v>46111</v>
      </c>
      <c r="B104" t="str">
        <f>Weekly_Material_Summary!B104</f>
        <v>M007</v>
      </c>
      <c r="C104">
        <f t="shared" si="16"/>
        <v>15084</v>
      </c>
      <c r="D104">
        <f>Weekly_Material_Summary!C104</f>
        <v>59000</v>
      </c>
      <c r="E104">
        <f t="shared" si="9"/>
        <v>14750</v>
      </c>
      <c r="F104">
        <f t="shared" si="10"/>
        <v>58666</v>
      </c>
      <c r="G104">
        <v>0.99</v>
      </c>
      <c r="H104">
        <f t="shared" si="11"/>
        <v>58079</v>
      </c>
      <c r="I104">
        <f t="shared" si="12"/>
        <v>73163</v>
      </c>
      <c r="J104">
        <f t="shared" si="13"/>
        <v>14163</v>
      </c>
      <c r="K104">
        <f t="shared" si="14"/>
        <v>0</v>
      </c>
      <c r="L104">
        <f t="shared" si="15"/>
        <v>14163</v>
      </c>
    </row>
    <row r="105" spans="1:12">
      <c r="A105" s="1">
        <f>Weekly_Material_Summary!A105</f>
        <v>46111</v>
      </c>
      <c r="B105" t="str">
        <f>Weekly_Material_Summary!B105</f>
        <v>M008</v>
      </c>
      <c r="C105">
        <f t="shared" si="16"/>
        <v>14542</v>
      </c>
      <c r="D105">
        <f>Weekly_Material_Summary!C105</f>
        <v>59000</v>
      </c>
      <c r="E105">
        <f t="shared" si="9"/>
        <v>14750</v>
      </c>
      <c r="F105">
        <f t="shared" si="10"/>
        <v>59208</v>
      </c>
      <c r="G105">
        <v>0.99</v>
      </c>
      <c r="H105">
        <f t="shared" si="11"/>
        <v>58616</v>
      </c>
      <c r="I105">
        <f t="shared" si="12"/>
        <v>73158</v>
      </c>
      <c r="J105">
        <f t="shared" si="13"/>
        <v>14158</v>
      </c>
      <c r="K105">
        <f t="shared" si="14"/>
        <v>0</v>
      </c>
      <c r="L105">
        <f t="shared" si="15"/>
        <v>14158</v>
      </c>
    </row>
    <row r="106" spans="1:12">
      <c r="A106" s="1">
        <f>Weekly_Material_Summary!A106</f>
        <v>46118</v>
      </c>
      <c r="B106" t="str">
        <f>Weekly_Material_Summary!B106</f>
        <v>M001</v>
      </c>
      <c r="C106">
        <f t="shared" si="16"/>
        <v>1274</v>
      </c>
      <c r="D106">
        <f>Weekly_Material_Summary!C106</f>
        <v>4795</v>
      </c>
      <c r="E106">
        <f t="shared" si="9"/>
        <v>1199</v>
      </c>
      <c r="F106">
        <f t="shared" si="10"/>
        <v>4720</v>
      </c>
      <c r="G106">
        <v>0.99</v>
      </c>
      <c r="H106">
        <f t="shared" si="11"/>
        <v>4673</v>
      </c>
      <c r="I106">
        <f t="shared" si="12"/>
        <v>5947</v>
      </c>
      <c r="J106">
        <f t="shared" si="13"/>
        <v>1152</v>
      </c>
      <c r="K106">
        <f t="shared" si="14"/>
        <v>0</v>
      </c>
      <c r="L106">
        <f t="shared" si="15"/>
        <v>1152</v>
      </c>
    </row>
    <row r="107" spans="1:12">
      <c r="A107" s="1">
        <f>Weekly_Material_Summary!A107</f>
        <v>46118</v>
      </c>
      <c r="B107" t="str">
        <f>Weekly_Material_Summary!B107</f>
        <v>M002</v>
      </c>
      <c r="C107">
        <f t="shared" si="16"/>
        <v>1008</v>
      </c>
      <c r="D107">
        <f>Weekly_Material_Summary!C107</f>
        <v>3780</v>
      </c>
      <c r="E107">
        <f t="shared" si="9"/>
        <v>945</v>
      </c>
      <c r="F107">
        <f t="shared" si="10"/>
        <v>3717</v>
      </c>
      <c r="G107">
        <v>0.99</v>
      </c>
      <c r="H107">
        <f t="shared" si="11"/>
        <v>3680</v>
      </c>
      <c r="I107">
        <f t="shared" si="12"/>
        <v>4688</v>
      </c>
      <c r="J107">
        <f t="shared" si="13"/>
        <v>908</v>
      </c>
      <c r="K107">
        <f t="shared" si="14"/>
        <v>0</v>
      </c>
      <c r="L107">
        <f t="shared" si="15"/>
        <v>908</v>
      </c>
    </row>
    <row r="108" spans="1:12">
      <c r="A108" s="1">
        <f>Weekly_Material_Summary!A108</f>
        <v>46118</v>
      </c>
      <c r="B108" t="str">
        <f>Weekly_Material_Summary!B108</f>
        <v>M003</v>
      </c>
      <c r="C108">
        <f t="shared" si="16"/>
        <v>607</v>
      </c>
      <c r="D108">
        <f>Weekly_Material_Summary!C108</f>
        <v>2675</v>
      </c>
      <c r="E108">
        <f t="shared" si="9"/>
        <v>669</v>
      </c>
      <c r="F108">
        <f t="shared" si="10"/>
        <v>2737</v>
      </c>
      <c r="G108">
        <v>1</v>
      </c>
      <c r="H108">
        <f t="shared" si="11"/>
        <v>2737</v>
      </c>
      <c r="I108">
        <f t="shared" si="12"/>
        <v>3344</v>
      </c>
      <c r="J108">
        <f t="shared" si="13"/>
        <v>669</v>
      </c>
      <c r="K108">
        <f t="shared" si="14"/>
        <v>0</v>
      </c>
      <c r="L108">
        <f t="shared" si="15"/>
        <v>669</v>
      </c>
    </row>
    <row r="109" spans="1:12">
      <c r="A109" s="1">
        <f>Weekly_Material_Summary!A109</f>
        <v>46118</v>
      </c>
      <c r="B109" t="str">
        <f>Weekly_Material_Summary!B109</f>
        <v>M004</v>
      </c>
      <c r="C109">
        <f t="shared" si="16"/>
        <v>971.99999999999955</v>
      </c>
      <c r="D109">
        <f>Weekly_Material_Summary!C109</f>
        <v>3944.0000000000005</v>
      </c>
      <c r="E109">
        <f t="shared" si="9"/>
        <v>986</v>
      </c>
      <c r="F109">
        <f t="shared" si="10"/>
        <v>3958</v>
      </c>
      <c r="G109">
        <v>0.98</v>
      </c>
      <c r="H109">
        <f t="shared" si="11"/>
        <v>3879</v>
      </c>
      <c r="I109">
        <f t="shared" si="12"/>
        <v>4851</v>
      </c>
      <c r="J109">
        <f t="shared" si="13"/>
        <v>906.99999999999955</v>
      </c>
      <c r="K109">
        <f t="shared" si="14"/>
        <v>0</v>
      </c>
      <c r="L109">
        <f t="shared" si="15"/>
        <v>906.99999999999955</v>
      </c>
    </row>
    <row r="110" spans="1:12">
      <c r="A110" s="1">
        <f>Weekly_Material_Summary!A110</f>
        <v>46118</v>
      </c>
      <c r="B110" t="str">
        <f>Weekly_Material_Summary!B110</f>
        <v>M005</v>
      </c>
      <c r="C110">
        <f t="shared" si="16"/>
        <v>1063</v>
      </c>
      <c r="D110">
        <f>Weekly_Material_Summary!C110</f>
        <v>4420</v>
      </c>
      <c r="E110">
        <f t="shared" si="9"/>
        <v>1105</v>
      </c>
      <c r="F110">
        <f t="shared" si="10"/>
        <v>4462</v>
      </c>
      <c r="G110">
        <v>1.01</v>
      </c>
      <c r="H110">
        <f t="shared" si="11"/>
        <v>4507</v>
      </c>
      <c r="I110">
        <f t="shared" si="12"/>
        <v>5570</v>
      </c>
      <c r="J110">
        <f t="shared" si="13"/>
        <v>1150</v>
      </c>
      <c r="K110">
        <f t="shared" si="14"/>
        <v>0</v>
      </c>
      <c r="L110">
        <f t="shared" si="15"/>
        <v>1150</v>
      </c>
    </row>
    <row r="111" spans="1:12">
      <c r="A111" s="1">
        <f>Weekly_Material_Summary!A111</f>
        <v>46118</v>
      </c>
      <c r="B111" t="str">
        <f>Weekly_Material_Summary!B111</f>
        <v>M006</v>
      </c>
      <c r="C111">
        <f t="shared" si="16"/>
        <v>132</v>
      </c>
      <c r="D111">
        <f>Weekly_Material_Summary!C111</f>
        <v>508.4</v>
      </c>
      <c r="E111">
        <f t="shared" si="9"/>
        <v>127</v>
      </c>
      <c r="F111">
        <f t="shared" si="10"/>
        <v>503</v>
      </c>
      <c r="G111">
        <v>1.02</v>
      </c>
      <c r="H111">
        <f t="shared" si="11"/>
        <v>513</v>
      </c>
      <c r="I111">
        <f t="shared" si="12"/>
        <v>645</v>
      </c>
      <c r="J111">
        <f t="shared" si="13"/>
        <v>136.60000000000002</v>
      </c>
      <c r="K111">
        <f t="shared" si="14"/>
        <v>0</v>
      </c>
      <c r="L111">
        <f t="shared" si="15"/>
        <v>136.60000000000002</v>
      </c>
    </row>
    <row r="112" spans="1:12">
      <c r="A112" s="1">
        <f>Weekly_Material_Summary!A112</f>
        <v>46118</v>
      </c>
      <c r="B112" t="str">
        <f>Weekly_Material_Summary!B112</f>
        <v>M007</v>
      </c>
      <c r="C112">
        <f t="shared" si="16"/>
        <v>14163</v>
      </c>
      <c r="D112">
        <f>Weekly_Material_Summary!C112</f>
        <v>57100</v>
      </c>
      <c r="E112">
        <f t="shared" si="9"/>
        <v>14275</v>
      </c>
      <c r="F112">
        <f t="shared" si="10"/>
        <v>57212</v>
      </c>
      <c r="G112">
        <v>1</v>
      </c>
      <c r="H112">
        <f t="shared" si="11"/>
        <v>57212</v>
      </c>
      <c r="I112">
        <f t="shared" si="12"/>
        <v>71375</v>
      </c>
      <c r="J112">
        <f t="shared" si="13"/>
        <v>14275</v>
      </c>
      <c r="K112">
        <f t="shared" si="14"/>
        <v>0</v>
      </c>
      <c r="L112">
        <f t="shared" si="15"/>
        <v>14275</v>
      </c>
    </row>
    <row r="113" spans="1:12">
      <c r="A113" s="1">
        <f>Weekly_Material_Summary!A113</f>
        <v>46118</v>
      </c>
      <c r="B113" t="str">
        <f>Weekly_Material_Summary!B113</f>
        <v>M008</v>
      </c>
      <c r="C113">
        <f t="shared" si="16"/>
        <v>14158</v>
      </c>
      <c r="D113">
        <f>Weekly_Material_Summary!C113</f>
        <v>57100</v>
      </c>
      <c r="E113">
        <f t="shared" si="9"/>
        <v>14275</v>
      </c>
      <c r="F113">
        <f t="shared" si="10"/>
        <v>57217</v>
      </c>
      <c r="G113">
        <v>1</v>
      </c>
      <c r="H113">
        <f t="shared" si="11"/>
        <v>57217</v>
      </c>
      <c r="I113">
        <f t="shared" si="12"/>
        <v>71375</v>
      </c>
      <c r="J113">
        <f t="shared" si="13"/>
        <v>14275</v>
      </c>
      <c r="K113">
        <f t="shared" si="14"/>
        <v>0</v>
      </c>
      <c r="L113">
        <f t="shared" si="15"/>
        <v>14275</v>
      </c>
    </row>
    <row r="114" spans="1:12">
      <c r="A114" s="1">
        <f>Weekly_Material_Summary!A114</f>
        <v>46125</v>
      </c>
      <c r="B114" t="str">
        <f>Weekly_Material_Summary!B114</f>
        <v>M001</v>
      </c>
      <c r="C114">
        <f t="shared" si="16"/>
        <v>1152</v>
      </c>
      <c r="D114">
        <f>Weekly_Material_Summary!C114</f>
        <v>5180</v>
      </c>
      <c r="E114">
        <f t="shared" si="9"/>
        <v>1295</v>
      </c>
      <c r="F114">
        <f t="shared" si="10"/>
        <v>5323</v>
      </c>
      <c r="G114">
        <v>1.01</v>
      </c>
      <c r="H114">
        <f t="shared" si="11"/>
        <v>5376</v>
      </c>
      <c r="I114">
        <f t="shared" si="12"/>
        <v>6528</v>
      </c>
      <c r="J114">
        <f t="shared" si="13"/>
        <v>1348</v>
      </c>
      <c r="K114">
        <f t="shared" si="14"/>
        <v>0</v>
      </c>
      <c r="L114">
        <f t="shared" si="15"/>
        <v>1348</v>
      </c>
    </row>
    <row r="115" spans="1:12">
      <c r="A115" s="1">
        <f>Weekly_Material_Summary!A115</f>
        <v>46125</v>
      </c>
      <c r="B115" t="str">
        <f>Weekly_Material_Summary!B115</f>
        <v>M002</v>
      </c>
      <c r="C115">
        <f t="shared" si="16"/>
        <v>908</v>
      </c>
      <c r="D115">
        <f>Weekly_Material_Summary!C115</f>
        <v>3870</v>
      </c>
      <c r="E115">
        <f t="shared" si="9"/>
        <v>968</v>
      </c>
      <c r="F115">
        <f t="shared" si="10"/>
        <v>3930</v>
      </c>
      <c r="G115">
        <v>1.02</v>
      </c>
      <c r="H115">
        <f t="shared" si="11"/>
        <v>4009</v>
      </c>
      <c r="I115">
        <f t="shared" si="12"/>
        <v>4917</v>
      </c>
      <c r="J115">
        <f t="shared" si="13"/>
        <v>1047</v>
      </c>
      <c r="K115">
        <f t="shared" si="14"/>
        <v>0</v>
      </c>
      <c r="L115">
        <f t="shared" si="15"/>
        <v>1047</v>
      </c>
    </row>
    <row r="116" spans="1:12">
      <c r="A116" s="1">
        <f>Weekly_Material_Summary!A116</f>
        <v>46125</v>
      </c>
      <c r="B116" t="str">
        <f>Weekly_Material_Summary!B116</f>
        <v>M003</v>
      </c>
      <c r="C116">
        <f t="shared" si="16"/>
        <v>669</v>
      </c>
      <c r="D116">
        <f>Weekly_Material_Summary!C116</f>
        <v>2700</v>
      </c>
      <c r="E116">
        <f t="shared" si="9"/>
        <v>675</v>
      </c>
      <c r="F116">
        <f t="shared" si="10"/>
        <v>2706</v>
      </c>
      <c r="G116">
        <v>1.02</v>
      </c>
      <c r="H116">
        <f t="shared" si="11"/>
        <v>2760</v>
      </c>
      <c r="I116">
        <f t="shared" si="12"/>
        <v>3429</v>
      </c>
      <c r="J116">
        <f t="shared" si="13"/>
        <v>729</v>
      </c>
      <c r="K116">
        <f t="shared" si="14"/>
        <v>0</v>
      </c>
      <c r="L116">
        <f t="shared" si="15"/>
        <v>729</v>
      </c>
    </row>
    <row r="117" spans="1:12">
      <c r="A117" s="1">
        <f>Weekly_Material_Summary!A117</f>
        <v>46125</v>
      </c>
      <c r="B117" t="str">
        <f>Weekly_Material_Summary!B117</f>
        <v>M004</v>
      </c>
      <c r="C117">
        <f t="shared" si="16"/>
        <v>906.99999999999955</v>
      </c>
      <c r="D117">
        <f>Weekly_Material_Summary!C117</f>
        <v>3876.0000000000005</v>
      </c>
      <c r="E117">
        <f t="shared" si="9"/>
        <v>969</v>
      </c>
      <c r="F117">
        <f t="shared" si="10"/>
        <v>3938</v>
      </c>
      <c r="G117">
        <v>1.01</v>
      </c>
      <c r="H117">
        <f t="shared" si="11"/>
        <v>3977</v>
      </c>
      <c r="I117">
        <f t="shared" si="12"/>
        <v>4884</v>
      </c>
      <c r="J117">
        <f t="shared" si="13"/>
        <v>1007.9999999999995</v>
      </c>
      <c r="K117">
        <f t="shared" si="14"/>
        <v>0</v>
      </c>
      <c r="L117">
        <f t="shared" si="15"/>
        <v>1007.9999999999995</v>
      </c>
    </row>
    <row r="118" spans="1:12">
      <c r="A118" s="1">
        <f>Weekly_Material_Summary!A118</f>
        <v>46125</v>
      </c>
      <c r="B118" t="str">
        <f>Weekly_Material_Summary!B118</f>
        <v>M005</v>
      </c>
      <c r="C118">
        <f t="shared" si="16"/>
        <v>1150</v>
      </c>
      <c r="D118">
        <f>Weekly_Material_Summary!C118</f>
        <v>4316</v>
      </c>
      <c r="E118">
        <f t="shared" si="9"/>
        <v>1079</v>
      </c>
      <c r="F118">
        <f t="shared" si="10"/>
        <v>4245</v>
      </c>
      <c r="G118">
        <v>1.01</v>
      </c>
      <c r="H118">
        <f t="shared" si="11"/>
        <v>4287</v>
      </c>
      <c r="I118">
        <f t="shared" si="12"/>
        <v>5437</v>
      </c>
      <c r="J118">
        <f t="shared" si="13"/>
        <v>1121</v>
      </c>
      <c r="K118">
        <f t="shared" si="14"/>
        <v>0</v>
      </c>
      <c r="L118">
        <f t="shared" si="15"/>
        <v>1121</v>
      </c>
    </row>
    <row r="119" spans="1:12">
      <c r="A119" s="1">
        <f>Weekly_Material_Summary!A119</f>
        <v>46125</v>
      </c>
      <c r="B119" t="str">
        <f>Weekly_Material_Summary!B119</f>
        <v>M006</v>
      </c>
      <c r="C119">
        <f t="shared" si="16"/>
        <v>136.60000000000002</v>
      </c>
      <c r="D119">
        <f>Weekly_Material_Summary!C119</f>
        <v>518.20000000000005</v>
      </c>
      <c r="E119">
        <f t="shared" si="9"/>
        <v>130</v>
      </c>
      <c r="F119">
        <f t="shared" si="10"/>
        <v>512</v>
      </c>
      <c r="G119">
        <v>1</v>
      </c>
      <c r="H119">
        <f t="shared" si="11"/>
        <v>512</v>
      </c>
      <c r="I119">
        <f t="shared" si="12"/>
        <v>648.6</v>
      </c>
      <c r="J119">
        <f t="shared" si="13"/>
        <v>130.39999999999998</v>
      </c>
      <c r="K119">
        <f t="shared" si="14"/>
        <v>0</v>
      </c>
      <c r="L119">
        <f t="shared" si="15"/>
        <v>130.39999999999998</v>
      </c>
    </row>
    <row r="120" spans="1:12">
      <c r="A120" s="1">
        <f>Weekly_Material_Summary!A120</f>
        <v>46125</v>
      </c>
      <c r="B120" t="str">
        <f>Weekly_Material_Summary!B120</f>
        <v>M007</v>
      </c>
      <c r="C120">
        <f t="shared" si="16"/>
        <v>14275</v>
      </c>
      <c r="D120">
        <f>Weekly_Material_Summary!C120</f>
        <v>58200</v>
      </c>
      <c r="E120">
        <f t="shared" si="9"/>
        <v>14550</v>
      </c>
      <c r="F120">
        <f t="shared" si="10"/>
        <v>58475</v>
      </c>
      <c r="G120">
        <v>1.01</v>
      </c>
      <c r="H120">
        <f t="shared" si="11"/>
        <v>59060</v>
      </c>
      <c r="I120">
        <f t="shared" si="12"/>
        <v>73335</v>
      </c>
      <c r="J120">
        <f t="shared" si="13"/>
        <v>15135</v>
      </c>
      <c r="K120">
        <f t="shared" si="14"/>
        <v>0</v>
      </c>
      <c r="L120">
        <f t="shared" si="15"/>
        <v>15135</v>
      </c>
    </row>
    <row r="121" spans="1:12">
      <c r="A121" s="1">
        <f>Weekly_Material_Summary!A121</f>
        <v>46125</v>
      </c>
      <c r="B121" t="str">
        <f>Weekly_Material_Summary!B121</f>
        <v>M008</v>
      </c>
      <c r="C121">
        <f t="shared" si="16"/>
        <v>14275</v>
      </c>
      <c r="D121">
        <f>Weekly_Material_Summary!C121</f>
        <v>58200</v>
      </c>
      <c r="E121">
        <f t="shared" si="9"/>
        <v>14550</v>
      </c>
      <c r="F121">
        <f t="shared" si="10"/>
        <v>58475</v>
      </c>
      <c r="G121">
        <v>1</v>
      </c>
      <c r="H121">
        <f t="shared" si="11"/>
        <v>58475</v>
      </c>
      <c r="I121">
        <f t="shared" si="12"/>
        <v>72750</v>
      </c>
      <c r="J121">
        <f t="shared" si="13"/>
        <v>14550</v>
      </c>
      <c r="K121">
        <f t="shared" si="14"/>
        <v>0</v>
      </c>
      <c r="L121">
        <f t="shared" si="15"/>
        <v>14550</v>
      </c>
    </row>
    <row r="122" spans="1:12">
      <c r="A122" s="1">
        <f>Weekly_Material_Summary!A122</f>
        <v>46132</v>
      </c>
      <c r="B122" t="str">
        <f>Weekly_Material_Summary!B122</f>
        <v>M001</v>
      </c>
      <c r="C122">
        <f t="shared" si="16"/>
        <v>1348</v>
      </c>
      <c r="D122">
        <f>Weekly_Material_Summary!C122</f>
        <v>4935</v>
      </c>
      <c r="E122">
        <f t="shared" si="9"/>
        <v>1234</v>
      </c>
      <c r="F122">
        <f t="shared" si="10"/>
        <v>4821</v>
      </c>
      <c r="G122">
        <v>1.01</v>
      </c>
      <c r="H122">
        <f t="shared" si="11"/>
        <v>4869</v>
      </c>
      <c r="I122">
        <f t="shared" si="12"/>
        <v>6217</v>
      </c>
      <c r="J122">
        <f t="shared" si="13"/>
        <v>1282</v>
      </c>
      <c r="K122">
        <f t="shared" si="14"/>
        <v>0</v>
      </c>
      <c r="L122">
        <f t="shared" si="15"/>
        <v>1282</v>
      </c>
    </row>
    <row r="123" spans="1:12">
      <c r="A123" s="1">
        <f>Weekly_Material_Summary!A123</f>
        <v>46132</v>
      </c>
      <c r="B123" t="str">
        <f>Weekly_Material_Summary!B123</f>
        <v>M002</v>
      </c>
      <c r="C123">
        <f t="shared" si="16"/>
        <v>1047</v>
      </c>
      <c r="D123">
        <f>Weekly_Material_Summary!C123</f>
        <v>3840</v>
      </c>
      <c r="E123">
        <f t="shared" si="9"/>
        <v>960</v>
      </c>
      <c r="F123">
        <f t="shared" si="10"/>
        <v>3753</v>
      </c>
      <c r="G123">
        <v>1.01</v>
      </c>
      <c r="H123">
        <f t="shared" si="11"/>
        <v>3791</v>
      </c>
      <c r="I123">
        <f t="shared" si="12"/>
        <v>4838</v>
      </c>
      <c r="J123">
        <f t="shared" si="13"/>
        <v>998</v>
      </c>
      <c r="K123">
        <f t="shared" si="14"/>
        <v>0</v>
      </c>
      <c r="L123">
        <f t="shared" si="15"/>
        <v>998</v>
      </c>
    </row>
    <row r="124" spans="1:12">
      <c r="A124" s="1">
        <f>Weekly_Material_Summary!A124</f>
        <v>46132</v>
      </c>
      <c r="B124" t="str">
        <f>Weekly_Material_Summary!B124</f>
        <v>M003</v>
      </c>
      <c r="C124">
        <f t="shared" si="16"/>
        <v>729</v>
      </c>
      <c r="D124">
        <f>Weekly_Material_Summary!C124</f>
        <v>2725</v>
      </c>
      <c r="E124">
        <f t="shared" si="9"/>
        <v>681</v>
      </c>
      <c r="F124">
        <f t="shared" si="10"/>
        <v>2677</v>
      </c>
      <c r="G124">
        <v>0.98</v>
      </c>
      <c r="H124">
        <f t="shared" si="11"/>
        <v>2623</v>
      </c>
      <c r="I124">
        <f t="shared" si="12"/>
        <v>3352</v>
      </c>
      <c r="J124">
        <f t="shared" si="13"/>
        <v>627</v>
      </c>
      <c r="K124">
        <f t="shared" si="14"/>
        <v>0</v>
      </c>
      <c r="L124">
        <f t="shared" si="15"/>
        <v>627</v>
      </c>
    </row>
    <row r="125" spans="1:12">
      <c r="A125" s="1">
        <f>Weekly_Material_Summary!A125</f>
        <v>46132</v>
      </c>
      <c r="B125" t="str">
        <f>Weekly_Material_Summary!B125</f>
        <v>M004</v>
      </c>
      <c r="C125">
        <f t="shared" si="16"/>
        <v>1007.9999999999995</v>
      </c>
      <c r="D125">
        <f>Weekly_Material_Summary!C125</f>
        <v>4012.0000000000005</v>
      </c>
      <c r="E125">
        <f t="shared" si="9"/>
        <v>1003</v>
      </c>
      <c r="F125">
        <f t="shared" si="10"/>
        <v>4007</v>
      </c>
      <c r="G125">
        <v>1</v>
      </c>
      <c r="H125">
        <f t="shared" si="11"/>
        <v>4007</v>
      </c>
      <c r="I125">
        <f t="shared" si="12"/>
        <v>5015</v>
      </c>
      <c r="J125">
        <f t="shared" si="13"/>
        <v>1002.9999999999995</v>
      </c>
      <c r="K125">
        <f t="shared" si="14"/>
        <v>0</v>
      </c>
      <c r="L125">
        <f t="shared" si="15"/>
        <v>1002.9999999999995</v>
      </c>
    </row>
    <row r="126" spans="1:12">
      <c r="A126" s="1">
        <f>Weekly_Material_Summary!A126</f>
        <v>46132</v>
      </c>
      <c r="B126" t="str">
        <f>Weekly_Material_Summary!B126</f>
        <v>M005</v>
      </c>
      <c r="C126">
        <f t="shared" si="16"/>
        <v>1121</v>
      </c>
      <c r="D126">
        <f>Weekly_Material_Summary!C126</f>
        <v>4628</v>
      </c>
      <c r="E126">
        <f t="shared" si="9"/>
        <v>1157</v>
      </c>
      <c r="F126">
        <f t="shared" si="10"/>
        <v>4664</v>
      </c>
      <c r="G126">
        <v>1</v>
      </c>
      <c r="H126">
        <f t="shared" si="11"/>
        <v>4664</v>
      </c>
      <c r="I126">
        <f t="shared" si="12"/>
        <v>5785</v>
      </c>
      <c r="J126">
        <f t="shared" si="13"/>
        <v>1157</v>
      </c>
      <c r="K126">
        <f t="shared" si="14"/>
        <v>0</v>
      </c>
      <c r="L126">
        <f t="shared" si="15"/>
        <v>1157</v>
      </c>
    </row>
    <row r="127" spans="1:12">
      <c r="A127" s="1">
        <f>Weekly_Material_Summary!A127</f>
        <v>46132</v>
      </c>
      <c r="B127" t="str">
        <f>Weekly_Material_Summary!B127</f>
        <v>M006</v>
      </c>
      <c r="C127">
        <f t="shared" si="16"/>
        <v>130.39999999999998</v>
      </c>
      <c r="D127">
        <f>Weekly_Material_Summary!C127</f>
        <v>521.79999999999995</v>
      </c>
      <c r="E127">
        <f t="shared" si="9"/>
        <v>130</v>
      </c>
      <c r="F127">
        <f t="shared" si="10"/>
        <v>521</v>
      </c>
      <c r="G127">
        <v>0.98</v>
      </c>
      <c r="H127">
        <f t="shared" si="11"/>
        <v>511</v>
      </c>
      <c r="I127">
        <f t="shared" si="12"/>
        <v>641.4</v>
      </c>
      <c r="J127">
        <f t="shared" si="13"/>
        <v>119.60000000000002</v>
      </c>
      <c r="K127">
        <f t="shared" si="14"/>
        <v>0</v>
      </c>
      <c r="L127">
        <f t="shared" si="15"/>
        <v>119.60000000000002</v>
      </c>
    </row>
    <row r="128" spans="1:12">
      <c r="A128" s="1">
        <f>Weekly_Material_Summary!A128</f>
        <v>46132</v>
      </c>
      <c r="B128" t="str">
        <f>Weekly_Material_Summary!B128</f>
        <v>M007</v>
      </c>
      <c r="C128">
        <f t="shared" si="16"/>
        <v>15135</v>
      </c>
      <c r="D128">
        <f>Weekly_Material_Summary!C128</f>
        <v>58500</v>
      </c>
      <c r="E128">
        <f t="shared" si="9"/>
        <v>14625</v>
      </c>
      <c r="F128">
        <f t="shared" si="10"/>
        <v>57990</v>
      </c>
      <c r="G128">
        <v>0.98</v>
      </c>
      <c r="H128">
        <f t="shared" si="11"/>
        <v>56830</v>
      </c>
      <c r="I128">
        <f t="shared" si="12"/>
        <v>71965</v>
      </c>
      <c r="J128">
        <f t="shared" si="13"/>
        <v>13465</v>
      </c>
      <c r="K128">
        <f t="shared" si="14"/>
        <v>0</v>
      </c>
      <c r="L128">
        <f t="shared" si="15"/>
        <v>13465</v>
      </c>
    </row>
    <row r="129" spans="1:12">
      <c r="A129" s="1">
        <f>Weekly_Material_Summary!A129</f>
        <v>46132</v>
      </c>
      <c r="B129" t="str">
        <f>Weekly_Material_Summary!B129</f>
        <v>M008</v>
      </c>
      <c r="C129">
        <f t="shared" si="16"/>
        <v>14550</v>
      </c>
      <c r="D129">
        <f>Weekly_Material_Summary!C129</f>
        <v>58500</v>
      </c>
      <c r="E129">
        <f t="shared" si="9"/>
        <v>14625</v>
      </c>
      <c r="F129">
        <f t="shared" si="10"/>
        <v>58575</v>
      </c>
      <c r="G129">
        <v>1.01</v>
      </c>
      <c r="H129">
        <f t="shared" si="11"/>
        <v>59161</v>
      </c>
      <c r="I129">
        <f t="shared" si="12"/>
        <v>73711</v>
      </c>
      <c r="J129">
        <f t="shared" si="13"/>
        <v>15211</v>
      </c>
      <c r="K129">
        <f t="shared" si="14"/>
        <v>0</v>
      </c>
      <c r="L129">
        <f t="shared" si="15"/>
        <v>15211</v>
      </c>
    </row>
    <row r="130" spans="1:12">
      <c r="A130" s="1">
        <f>Weekly_Material_Summary!A130</f>
        <v>46139</v>
      </c>
      <c r="B130" t="str">
        <f>Weekly_Material_Summary!B130</f>
        <v>M001</v>
      </c>
      <c r="C130">
        <f t="shared" si="16"/>
        <v>1282</v>
      </c>
      <c r="D130">
        <f>Weekly_Material_Summary!C130</f>
        <v>5040</v>
      </c>
      <c r="E130">
        <f t="shared" si="9"/>
        <v>1260</v>
      </c>
      <c r="F130">
        <f t="shared" si="10"/>
        <v>5018</v>
      </c>
      <c r="G130">
        <v>0.98</v>
      </c>
      <c r="H130">
        <f t="shared" si="11"/>
        <v>4918</v>
      </c>
      <c r="I130">
        <f t="shared" si="12"/>
        <v>6200</v>
      </c>
      <c r="J130">
        <f t="shared" si="13"/>
        <v>1160</v>
      </c>
      <c r="K130">
        <f t="shared" si="14"/>
        <v>0</v>
      </c>
      <c r="L130">
        <f t="shared" si="15"/>
        <v>1160</v>
      </c>
    </row>
    <row r="131" spans="1:12">
      <c r="A131" s="1">
        <f>Weekly_Material_Summary!A131</f>
        <v>46139</v>
      </c>
      <c r="B131" t="str">
        <f>Weekly_Material_Summary!B131</f>
        <v>M002</v>
      </c>
      <c r="C131">
        <f t="shared" si="16"/>
        <v>998</v>
      </c>
      <c r="D131">
        <f>Weekly_Material_Summary!C131</f>
        <v>3870</v>
      </c>
      <c r="E131">
        <f t="shared" ref="E131:E194" si="17">ROUND(D131*0.25,0)</f>
        <v>968</v>
      </c>
      <c r="F131">
        <f t="shared" ref="F131:F194" si="18">MAX(0,ROUND(D131+E131-C131,0))</f>
        <v>3840</v>
      </c>
      <c r="G131">
        <v>1.02</v>
      </c>
      <c r="H131">
        <f t="shared" ref="H131:H194" si="19">ROUND(F131*G131,0)</f>
        <v>3917</v>
      </c>
      <c r="I131">
        <f t="shared" ref="I131:I194" si="20">C131+H131</f>
        <v>4915</v>
      </c>
      <c r="J131">
        <f t="shared" ref="J131:J194" si="21">I131-D131</f>
        <v>1045</v>
      </c>
      <c r="K131">
        <f t="shared" ref="K131:K194" si="22">MAX(0,-J131)</f>
        <v>0</v>
      </c>
      <c r="L131">
        <f t="shared" si="15"/>
        <v>1045</v>
      </c>
    </row>
    <row r="132" spans="1:12">
      <c r="A132" s="1">
        <f>Weekly_Material_Summary!A132</f>
        <v>46139</v>
      </c>
      <c r="B132" t="str">
        <f>Weekly_Material_Summary!B132</f>
        <v>M003</v>
      </c>
      <c r="C132">
        <f t="shared" si="16"/>
        <v>627</v>
      </c>
      <c r="D132">
        <f>Weekly_Material_Summary!C132</f>
        <v>2800</v>
      </c>
      <c r="E132">
        <f t="shared" si="17"/>
        <v>700</v>
      </c>
      <c r="F132">
        <f t="shared" si="18"/>
        <v>2873</v>
      </c>
      <c r="G132">
        <v>1</v>
      </c>
      <c r="H132">
        <f t="shared" si="19"/>
        <v>2873</v>
      </c>
      <c r="I132">
        <f t="shared" si="20"/>
        <v>3500</v>
      </c>
      <c r="J132">
        <f t="shared" si="21"/>
        <v>700</v>
      </c>
      <c r="K132">
        <f t="shared" si="22"/>
        <v>0</v>
      </c>
      <c r="L132">
        <f t="shared" si="15"/>
        <v>700</v>
      </c>
    </row>
    <row r="133" spans="1:12">
      <c r="A133" s="1">
        <f>Weekly_Material_Summary!A133</f>
        <v>46139</v>
      </c>
      <c r="B133" t="str">
        <f>Weekly_Material_Summary!B133</f>
        <v>M004</v>
      </c>
      <c r="C133">
        <f t="shared" si="16"/>
        <v>1002.9999999999995</v>
      </c>
      <c r="D133">
        <f>Weekly_Material_Summary!C133</f>
        <v>4046.0000000000005</v>
      </c>
      <c r="E133">
        <f t="shared" si="17"/>
        <v>1012</v>
      </c>
      <c r="F133">
        <f t="shared" si="18"/>
        <v>4055</v>
      </c>
      <c r="G133">
        <v>1.02</v>
      </c>
      <c r="H133">
        <f t="shared" si="19"/>
        <v>4136</v>
      </c>
      <c r="I133">
        <f t="shared" si="20"/>
        <v>5139</v>
      </c>
      <c r="J133">
        <f t="shared" si="21"/>
        <v>1092.9999999999995</v>
      </c>
      <c r="K133">
        <f t="shared" si="22"/>
        <v>0</v>
      </c>
      <c r="L133">
        <f t="shared" si="15"/>
        <v>1092.9999999999995</v>
      </c>
    </row>
    <row r="134" spans="1:12">
      <c r="A134" s="1">
        <f>Weekly_Material_Summary!A134</f>
        <v>46139</v>
      </c>
      <c r="B134" t="str">
        <f>Weekly_Material_Summary!B134</f>
        <v>M005</v>
      </c>
      <c r="C134">
        <f t="shared" si="16"/>
        <v>1157</v>
      </c>
      <c r="D134">
        <f>Weekly_Material_Summary!C134</f>
        <v>4420</v>
      </c>
      <c r="E134">
        <f t="shared" si="17"/>
        <v>1105</v>
      </c>
      <c r="F134">
        <f t="shared" si="18"/>
        <v>4368</v>
      </c>
      <c r="G134">
        <v>0.99</v>
      </c>
      <c r="H134">
        <f t="shared" si="19"/>
        <v>4324</v>
      </c>
      <c r="I134">
        <f t="shared" si="20"/>
        <v>5481</v>
      </c>
      <c r="J134">
        <f t="shared" si="21"/>
        <v>1061</v>
      </c>
      <c r="K134">
        <f t="shared" si="22"/>
        <v>0</v>
      </c>
      <c r="L134">
        <f t="shared" si="15"/>
        <v>1061</v>
      </c>
    </row>
    <row r="135" spans="1:12">
      <c r="A135" s="1">
        <f>Weekly_Material_Summary!A135</f>
        <v>46139</v>
      </c>
      <c r="B135" t="str">
        <f>Weekly_Material_Summary!B135</f>
        <v>M006</v>
      </c>
      <c r="C135">
        <f t="shared" si="16"/>
        <v>119.60000000000002</v>
      </c>
      <c r="D135">
        <f>Weekly_Material_Summary!C135</f>
        <v>523.5</v>
      </c>
      <c r="E135">
        <f t="shared" si="17"/>
        <v>131</v>
      </c>
      <c r="F135">
        <f t="shared" si="18"/>
        <v>535</v>
      </c>
      <c r="G135">
        <v>1</v>
      </c>
      <c r="H135">
        <f t="shared" si="19"/>
        <v>535</v>
      </c>
      <c r="I135">
        <f t="shared" si="20"/>
        <v>654.6</v>
      </c>
      <c r="J135">
        <f t="shared" si="21"/>
        <v>131.10000000000002</v>
      </c>
      <c r="K135">
        <f t="shared" si="22"/>
        <v>0</v>
      </c>
      <c r="L135">
        <f t="shared" si="15"/>
        <v>131.10000000000002</v>
      </c>
    </row>
    <row r="136" spans="1:12">
      <c r="A136" s="1">
        <f>Weekly_Material_Summary!A136</f>
        <v>46139</v>
      </c>
      <c r="B136" t="str">
        <f>Weekly_Material_Summary!B136</f>
        <v>M007</v>
      </c>
      <c r="C136">
        <f t="shared" si="16"/>
        <v>13465</v>
      </c>
      <c r="D136">
        <f>Weekly_Material_Summary!C136</f>
        <v>58900</v>
      </c>
      <c r="E136">
        <f t="shared" si="17"/>
        <v>14725</v>
      </c>
      <c r="F136">
        <f t="shared" si="18"/>
        <v>60160</v>
      </c>
      <c r="G136">
        <v>0.98</v>
      </c>
      <c r="H136">
        <f t="shared" si="19"/>
        <v>58957</v>
      </c>
      <c r="I136">
        <f t="shared" si="20"/>
        <v>72422</v>
      </c>
      <c r="J136">
        <f t="shared" si="21"/>
        <v>13522</v>
      </c>
      <c r="K136">
        <f t="shared" si="22"/>
        <v>0</v>
      </c>
      <c r="L136">
        <f t="shared" si="15"/>
        <v>13522</v>
      </c>
    </row>
    <row r="137" spans="1:12">
      <c r="A137" s="1">
        <f>Weekly_Material_Summary!A137</f>
        <v>46139</v>
      </c>
      <c r="B137" t="str">
        <f>Weekly_Material_Summary!B137</f>
        <v>M008</v>
      </c>
      <c r="C137">
        <f t="shared" si="16"/>
        <v>15211</v>
      </c>
      <c r="D137">
        <f>Weekly_Material_Summary!C137</f>
        <v>58900</v>
      </c>
      <c r="E137">
        <f t="shared" si="17"/>
        <v>14725</v>
      </c>
      <c r="F137">
        <f t="shared" si="18"/>
        <v>58414</v>
      </c>
      <c r="G137">
        <v>1.02</v>
      </c>
      <c r="H137">
        <f t="shared" si="19"/>
        <v>59582</v>
      </c>
      <c r="I137">
        <f t="shared" si="20"/>
        <v>74793</v>
      </c>
      <c r="J137">
        <f t="shared" si="21"/>
        <v>15893</v>
      </c>
      <c r="K137">
        <f t="shared" si="22"/>
        <v>0</v>
      </c>
      <c r="L137">
        <f t="shared" si="15"/>
        <v>15893</v>
      </c>
    </row>
    <row r="138" spans="1:12">
      <c r="A138" s="1">
        <f>Weekly_Material_Summary!A138</f>
        <v>46146</v>
      </c>
      <c r="B138" t="str">
        <f>Weekly_Material_Summary!B138</f>
        <v>M001</v>
      </c>
      <c r="C138">
        <f t="shared" si="16"/>
        <v>1160</v>
      </c>
      <c r="D138">
        <f>Weekly_Material_Summary!C138</f>
        <v>5285</v>
      </c>
      <c r="E138">
        <f t="shared" si="17"/>
        <v>1321</v>
      </c>
      <c r="F138">
        <f t="shared" si="18"/>
        <v>5446</v>
      </c>
      <c r="G138">
        <v>1.02</v>
      </c>
      <c r="H138">
        <f t="shared" si="19"/>
        <v>5555</v>
      </c>
      <c r="I138">
        <f t="shared" si="20"/>
        <v>6715</v>
      </c>
      <c r="J138">
        <f t="shared" si="21"/>
        <v>1430</v>
      </c>
      <c r="K138">
        <f t="shared" si="22"/>
        <v>0</v>
      </c>
      <c r="L138">
        <f t="shared" ref="L138:L201" si="23">MAX(0,J138)</f>
        <v>1430</v>
      </c>
    </row>
    <row r="139" spans="1:12">
      <c r="A139" s="1">
        <f>Weekly_Material_Summary!A139</f>
        <v>46146</v>
      </c>
      <c r="B139" t="str">
        <f>Weekly_Material_Summary!B139</f>
        <v>M002</v>
      </c>
      <c r="C139">
        <f t="shared" ref="C139:C202" si="24">L131</f>
        <v>1045</v>
      </c>
      <c r="D139">
        <f>Weekly_Material_Summary!C139</f>
        <v>3990</v>
      </c>
      <c r="E139">
        <f t="shared" si="17"/>
        <v>998</v>
      </c>
      <c r="F139">
        <f t="shared" si="18"/>
        <v>3943</v>
      </c>
      <c r="G139">
        <v>0.99</v>
      </c>
      <c r="H139">
        <f t="shared" si="19"/>
        <v>3904</v>
      </c>
      <c r="I139">
        <f t="shared" si="20"/>
        <v>4949</v>
      </c>
      <c r="J139">
        <f t="shared" si="21"/>
        <v>959</v>
      </c>
      <c r="K139">
        <f t="shared" si="22"/>
        <v>0</v>
      </c>
      <c r="L139">
        <f t="shared" si="23"/>
        <v>959</v>
      </c>
    </row>
    <row r="140" spans="1:12">
      <c r="A140" s="1">
        <f>Weekly_Material_Summary!A140</f>
        <v>46146</v>
      </c>
      <c r="B140" t="str">
        <f>Weekly_Material_Summary!B140</f>
        <v>M003</v>
      </c>
      <c r="C140">
        <f t="shared" si="24"/>
        <v>700</v>
      </c>
      <c r="D140">
        <f>Weekly_Material_Summary!C140</f>
        <v>2775</v>
      </c>
      <c r="E140">
        <f t="shared" si="17"/>
        <v>694</v>
      </c>
      <c r="F140">
        <f t="shared" si="18"/>
        <v>2769</v>
      </c>
      <c r="G140">
        <v>1.01</v>
      </c>
      <c r="H140">
        <f t="shared" si="19"/>
        <v>2797</v>
      </c>
      <c r="I140">
        <f t="shared" si="20"/>
        <v>3497</v>
      </c>
      <c r="J140">
        <f t="shared" si="21"/>
        <v>722</v>
      </c>
      <c r="K140">
        <f t="shared" si="22"/>
        <v>0</v>
      </c>
      <c r="L140">
        <f t="shared" si="23"/>
        <v>722</v>
      </c>
    </row>
    <row r="141" spans="1:12">
      <c r="A141" s="1">
        <f>Weekly_Material_Summary!A141</f>
        <v>46146</v>
      </c>
      <c r="B141" t="str">
        <f>Weekly_Material_Summary!B141</f>
        <v>M004</v>
      </c>
      <c r="C141">
        <f t="shared" si="24"/>
        <v>1092.9999999999995</v>
      </c>
      <c r="D141">
        <f>Weekly_Material_Summary!C141</f>
        <v>4284</v>
      </c>
      <c r="E141">
        <f t="shared" si="17"/>
        <v>1071</v>
      </c>
      <c r="F141">
        <f t="shared" si="18"/>
        <v>4262</v>
      </c>
      <c r="G141">
        <v>0.98</v>
      </c>
      <c r="H141">
        <f t="shared" si="19"/>
        <v>4177</v>
      </c>
      <c r="I141">
        <f t="shared" si="20"/>
        <v>5270</v>
      </c>
      <c r="J141">
        <f t="shared" si="21"/>
        <v>986</v>
      </c>
      <c r="K141">
        <f t="shared" si="22"/>
        <v>0</v>
      </c>
      <c r="L141">
        <f t="shared" si="23"/>
        <v>986</v>
      </c>
    </row>
    <row r="142" spans="1:12">
      <c r="A142" s="1">
        <f>Weekly_Material_Summary!A142</f>
        <v>46146</v>
      </c>
      <c r="B142" t="str">
        <f>Weekly_Material_Summary!B142</f>
        <v>M005</v>
      </c>
      <c r="C142">
        <f t="shared" si="24"/>
        <v>1061</v>
      </c>
      <c r="D142">
        <f>Weekly_Material_Summary!C142</f>
        <v>4940</v>
      </c>
      <c r="E142">
        <f t="shared" si="17"/>
        <v>1235</v>
      </c>
      <c r="F142">
        <f t="shared" si="18"/>
        <v>5114</v>
      </c>
      <c r="G142">
        <v>1.01</v>
      </c>
      <c r="H142">
        <f t="shared" si="19"/>
        <v>5165</v>
      </c>
      <c r="I142">
        <f t="shared" si="20"/>
        <v>6226</v>
      </c>
      <c r="J142">
        <f t="shared" si="21"/>
        <v>1286</v>
      </c>
      <c r="K142">
        <f t="shared" si="22"/>
        <v>0</v>
      </c>
      <c r="L142">
        <f t="shared" si="23"/>
        <v>1286</v>
      </c>
    </row>
    <row r="143" spans="1:12">
      <c r="A143" s="1">
        <f>Weekly_Material_Summary!A143</f>
        <v>46146</v>
      </c>
      <c r="B143" t="str">
        <f>Weekly_Material_Summary!B143</f>
        <v>M006</v>
      </c>
      <c r="C143">
        <f t="shared" si="24"/>
        <v>131.10000000000002</v>
      </c>
      <c r="D143">
        <f>Weekly_Material_Summary!C143</f>
        <v>551.4</v>
      </c>
      <c r="E143">
        <f t="shared" si="17"/>
        <v>138</v>
      </c>
      <c r="F143">
        <f t="shared" si="18"/>
        <v>558</v>
      </c>
      <c r="G143">
        <v>1.02</v>
      </c>
      <c r="H143">
        <f t="shared" si="19"/>
        <v>569</v>
      </c>
      <c r="I143">
        <f t="shared" si="20"/>
        <v>700.1</v>
      </c>
      <c r="J143">
        <f t="shared" si="21"/>
        <v>148.70000000000005</v>
      </c>
      <c r="K143">
        <f t="shared" si="22"/>
        <v>0</v>
      </c>
      <c r="L143">
        <f t="shared" si="23"/>
        <v>148.70000000000005</v>
      </c>
    </row>
    <row r="144" spans="1:12">
      <c r="A144" s="1">
        <f>Weekly_Material_Summary!A144</f>
        <v>46146</v>
      </c>
      <c r="B144" t="str">
        <f>Weekly_Material_Summary!B144</f>
        <v>M007</v>
      </c>
      <c r="C144">
        <f t="shared" si="24"/>
        <v>13522</v>
      </c>
      <c r="D144">
        <f>Weekly_Material_Summary!C144</f>
        <v>61600</v>
      </c>
      <c r="E144">
        <f t="shared" si="17"/>
        <v>15400</v>
      </c>
      <c r="F144">
        <f t="shared" si="18"/>
        <v>63478</v>
      </c>
      <c r="G144">
        <v>0.99</v>
      </c>
      <c r="H144">
        <f t="shared" si="19"/>
        <v>62843</v>
      </c>
      <c r="I144">
        <f t="shared" si="20"/>
        <v>76365</v>
      </c>
      <c r="J144">
        <f t="shared" si="21"/>
        <v>14765</v>
      </c>
      <c r="K144">
        <f t="shared" si="22"/>
        <v>0</v>
      </c>
      <c r="L144">
        <f t="shared" si="23"/>
        <v>14765</v>
      </c>
    </row>
    <row r="145" spans="1:12">
      <c r="A145" s="1">
        <f>Weekly_Material_Summary!A145</f>
        <v>46146</v>
      </c>
      <c r="B145" t="str">
        <f>Weekly_Material_Summary!B145</f>
        <v>M008</v>
      </c>
      <c r="C145">
        <f t="shared" si="24"/>
        <v>15893</v>
      </c>
      <c r="D145">
        <f>Weekly_Material_Summary!C145</f>
        <v>61600</v>
      </c>
      <c r="E145">
        <f t="shared" si="17"/>
        <v>15400</v>
      </c>
      <c r="F145">
        <f t="shared" si="18"/>
        <v>61107</v>
      </c>
      <c r="G145">
        <v>0.99</v>
      </c>
      <c r="H145">
        <f t="shared" si="19"/>
        <v>60496</v>
      </c>
      <c r="I145">
        <f t="shared" si="20"/>
        <v>76389</v>
      </c>
      <c r="J145">
        <f t="shared" si="21"/>
        <v>14789</v>
      </c>
      <c r="K145">
        <f t="shared" si="22"/>
        <v>0</v>
      </c>
      <c r="L145">
        <f t="shared" si="23"/>
        <v>14789</v>
      </c>
    </row>
    <row r="146" spans="1:12">
      <c r="A146" s="1">
        <f>Weekly_Material_Summary!A146</f>
        <v>46153</v>
      </c>
      <c r="B146" t="str">
        <f>Weekly_Material_Summary!B146</f>
        <v>M001</v>
      </c>
      <c r="C146">
        <f t="shared" si="24"/>
        <v>1430</v>
      </c>
      <c r="D146">
        <f>Weekly_Material_Summary!C146</f>
        <v>5460</v>
      </c>
      <c r="E146">
        <f t="shared" si="17"/>
        <v>1365</v>
      </c>
      <c r="F146">
        <f t="shared" si="18"/>
        <v>5395</v>
      </c>
      <c r="G146">
        <v>0.98</v>
      </c>
      <c r="H146">
        <f t="shared" si="19"/>
        <v>5287</v>
      </c>
      <c r="I146">
        <f t="shared" si="20"/>
        <v>6717</v>
      </c>
      <c r="J146">
        <f t="shared" si="21"/>
        <v>1257</v>
      </c>
      <c r="K146">
        <f t="shared" si="22"/>
        <v>0</v>
      </c>
      <c r="L146">
        <f t="shared" si="23"/>
        <v>1257</v>
      </c>
    </row>
    <row r="147" spans="1:12">
      <c r="A147" s="1">
        <f>Weekly_Material_Summary!A147</f>
        <v>46153</v>
      </c>
      <c r="B147" t="str">
        <f>Weekly_Material_Summary!B147</f>
        <v>M002</v>
      </c>
      <c r="C147">
        <f t="shared" si="24"/>
        <v>959</v>
      </c>
      <c r="D147">
        <f>Weekly_Material_Summary!C147</f>
        <v>3780</v>
      </c>
      <c r="E147">
        <f t="shared" si="17"/>
        <v>945</v>
      </c>
      <c r="F147">
        <f t="shared" si="18"/>
        <v>3766</v>
      </c>
      <c r="G147">
        <v>1.02</v>
      </c>
      <c r="H147">
        <f t="shared" si="19"/>
        <v>3841</v>
      </c>
      <c r="I147">
        <f t="shared" si="20"/>
        <v>4800</v>
      </c>
      <c r="J147">
        <f t="shared" si="21"/>
        <v>1020</v>
      </c>
      <c r="K147">
        <f t="shared" si="22"/>
        <v>0</v>
      </c>
      <c r="L147">
        <f t="shared" si="23"/>
        <v>1020</v>
      </c>
    </row>
    <row r="148" spans="1:12">
      <c r="A148" s="1">
        <f>Weekly_Material_Summary!A148</f>
        <v>46153</v>
      </c>
      <c r="B148" t="str">
        <f>Weekly_Material_Summary!B148</f>
        <v>M003</v>
      </c>
      <c r="C148">
        <f t="shared" si="24"/>
        <v>722</v>
      </c>
      <c r="D148">
        <f>Weekly_Material_Summary!C148</f>
        <v>2975</v>
      </c>
      <c r="E148">
        <f t="shared" si="17"/>
        <v>744</v>
      </c>
      <c r="F148">
        <f t="shared" si="18"/>
        <v>2997</v>
      </c>
      <c r="G148">
        <v>1</v>
      </c>
      <c r="H148">
        <f t="shared" si="19"/>
        <v>2997</v>
      </c>
      <c r="I148">
        <f t="shared" si="20"/>
        <v>3719</v>
      </c>
      <c r="J148">
        <f t="shared" si="21"/>
        <v>744</v>
      </c>
      <c r="K148">
        <f t="shared" si="22"/>
        <v>0</v>
      </c>
      <c r="L148">
        <f t="shared" si="23"/>
        <v>744</v>
      </c>
    </row>
    <row r="149" spans="1:12">
      <c r="A149" s="1">
        <f>Weekly_Material_Summary!A149</f>
        <v>46153</v>
      </c>
      <c r="B149" t="str">
        <f>Weekly_Material_Summary!B149</f>
        <v>M004</v>
      </c>
      <c r="C149">
        <f t="shared" si="24"/>
        <v>986</v>
      </c>
      <c r="D149">
        <f>Weekly_Material_Summary!C149</f>
        <v>3876.0000000000005</v>
      </c>
      <c r="E149">
        <f t="shared" si="17"/>
        <v>969</v>
      </c>
      <c r="F149">
        <f t="shared" si="18"/>
        <v>3859</v>
      </c>
      <c r="G149">
        <v>1.01</v>
      </c>
      <c r="H149">
        <f t="shared" si="19"/>
        <v>3898</v>
      </c>
      <c r="I149">
        <f t="shared" si="20"/>
        <v>4884</v>
      </c>
      <c r="J149">
        <f t="shared" si="21"/>
        <v>1007.9999999999995</v>
      </c>
      <c r="K149">
        <f t="shared" si="22"/>
        <v>0</v>
      </c>
      <c r="L149">
        <f t="shared" si="23"/>
        <v>1007.9999999999995</v>
      </c>
    </row>
    <row r="150" spans="1:12">
      <c r="A150" s="1">
        <f>Weekly_Material_Summary!A150</f>
        <v>46153</v>
      </c>
      <c r="B150" t="str">
        <f>Weekly_Material_Summary!B150</f>
        <v>M005</v>
      </c>
      <c r="C150">
        <f t="shared" si="24"/>
        <v>1286</v>
      </c>
      <c r="D150">
        <f>Weekly_Material_Summary!C150</f>
        <v>4680</v>
      </c>
      <c r="E150">
        <f t="shared" si="17"/>
        <v>1170</v>
      </c>
      <c r="F150">
        <f t="shared" si="18"/>
        <v>4564</v>
      </c>
      <c r="G150">
        <v>1</v>
      </c>
      <c r="H150">
        <f t="shared" si="19"/>
        <v>4564</v>
      </c>
      <c r="I150">
        <f t="shared" si="20"/>
        <v>5850</v>
      </c>
      <c r="J150">
        <f t="shared" si="21"/>
        <v>1170</v>
      </c>
      <c r="K150">
        <f t="shared" si="22"/>
        <v>0</v>
      </c>
      <c r="L150">
        <f t="shared" si="23"/>
        <v>1170</v>
      </c>
    </row>
    <row r="151" spans="1:12">
      <c r="A151" s="1">
        <f>Weekly_Material_Summary!A151</f>
        <v>46153</v>
      </c>
      <c r="B151" t="str">
        <f>Weekly_Material_Summary!B151</f>
        <v>M006</v>
      </c>
      <c r="C151">
        <f t="shared" si="24"/>
        <v>148.70000000000005</v>
      </c>
      <c r="D151">
        <f>Weekly_Material_Summary!C151</f>
        <v>538.80000000000007</v>
      </c>
      <c r="E151">
        <f t="shared" si="17"/>
        <v>135</v>
      </c>
      <c r="F151">
        <f t="shared" si="18"/>
        <v>525</v>
      </c>
      <c r="G151">
        <v>1</v>
      </c>
      <c r="H151">
        <f t="shared" si="19"/>
        <v>525</v>
      </c>
      <c r="I151">
        <f t="shared" si="20"/>
        <v>673.7</v>
      </c>
      <c r="J151">
        <f t="shared" si="21"/>
        <v>134.89999999999998</v>
      </c>
      <c r="K151">
        <f t="shared" si="22"/>
        <v>0</v>
      </c>
      <c r="L151">
        <f t="shared" si="23"/>
        <v>134.89999999999998</v>
      </c>
    </row>
    <row r="152" spans="1:12">
      <c r="A152" s="1">
        <f>Weekly_Material_Summary!A152</f>
        <v>46153</v>
      </c>
      <c r="B152" t="str">
        <f>Weekly_Material_Summary!B152</f>
        <v>M007</v>
      </c>
      <c r="C152">
        <f t="shared" si="24"/>
        <v>14765</v>
      </c>
      <c r="D152">
        <f>Weekly_Material_Summary!C152</f>
        <v>60500</v>
      </c>
      <c r="E152">
        <f t="shared" si="17"/>
        <v>15125</v>
      </c>
      <c r="F152">
        <f t="shared" si="18"/>
        <v>60860</v>
      </c>
      <c r="G152">
        <v>1.02</v>
      </c>
      <c r="H152">
        <f t="shared" si="19"/>
        <v>62077</v>
      </c>
      <c r="I152">
        <f t="shared" si="20"/>
        <v>76842</v>
      </c>
      <c r="J152">
        <f t="shared" si="21"/>
        <v>16342</v>
      </c>
      <c r="K152">
        <f t="shared" si="22"/>
        <v>0</v>
      </c>
      <c r="L152">
        <f t="shared" si="23"/>
        <v>16342</v>
      </c>
    </row>
    <row r="153" spans="1:12">
      <c r="A153" s="1">
        <f>Weekly_Material_Summary!A153</f>
        <v>46153</v>
      </c>
      <c r="B153" t="str">
        <f>Weekly_Material_Summary!B153</f>
        <v>M008</v>
      </c>
      <c r="C153">
        <f t="shared" si="24"/>
        <v>14789</v>
      </c>
      <c r="D153">
        <f>Weekly_Material_Summary!C153</f>
        <v>60500</v>
      </c>
      <c r="E153">
        <f t="shared" si="17"/>
        <v>15125</v>
      </c>
      <c r="F153">
        <f t="shared" si="18"/>
        <v>60836</v>
      </c>
      <c r="G153">
        <v>1.01</v>
      </c>
      <c r="H153">
        <f t="shared" si="19"/>
        <v>61444</v>
      </c>
      <c r="I153">
        <f t="shared" si="20"/>
        <v>76233</v>
      </c>
      <c r="J153">
        <f t="shared" si="21"/>
        <v>15733</v>
      </c>
      <c r="K153">
        <f t="shared" si="22"/>
        <v>0</v>
      </c>
      <c r="L153">
        <f t="shared" si="23"/>
        <v>15733</v>
      </c>
    </row>
    <row r="154" spans="1:12">
      <c r="A154" s="1">
        <f>Weekly_Material_Summary!A154</f>
        <v>46160</v>
      </c>
      <c r="B154" t="str">
        <f>Weekly_Material_Summary!B154</f>
        <v>M001</v>
      </c>
      <c r="C154">
        <f t="shared" si="24"/>
        <v>1257</v>
      </c>
      <c r="D154">
        <f>Weekly_Material_Summary!C154</f>
        <v>5110</v>
      </c>
      <c r="E154">
        <f t="shared" si="17"/>
        <v>1278</v>
      </c>
      <c r="F154">
        <f t="shared" si="18"/>
        <v>5131</v>
      </c>
      <c r="G154">
        <v>0.99</v>
      </c>
      <c r="H154">
        <f t="shared" si="19"/>
        <v>5080</v>
      </c>
      <c r="I154">
        <f t="shared" si="20"/>
        <v>6337</v>
      </c>
      <c r="J154">
        <f t="shared" si="21"/>
        <v>1227</v>
      </c>
      <c r="K154">
        <f t="shared" si="22"/>
        <v>0</v>
      </c>
      <c r="L154">
        <f t="shared" si="23"/>
        <v>1227</v>
      </c>
    </row>
    <row r="155" spans="1:12">
      <c r="A155" s="1">
        <f>Weekly_Material_Summary!A155</f>
        <v>46160</v>
      </c>
      <c r="B155" t="str">
        <f>Weekly_Material_Summary!B155</f>
        <v>M002</v>
      </c>
      <c r="C155">
        <f t="shared" si="24"/>
        <v>1020</v>
      </c>
      <c r="D155">
        <f>Weekly_Material_Summary!C155</f>
        <v>4020</v>
      </c>
      <c r="E155">
        <f t="shared" si="17"/>
        <v>1005</v>
      </c>
      <c r="F155">
        <f t="shared" si="18"/>
        <v>4005</v>
      </c>
      <c r="G155">
        <v>1</v>
      </c>
      <c r="H155">
        <f t="shared" si="19"/>
        <v>4005</v>
      </c>
      <c r="I155">
        <f t="shared" si="20"/>
        <v>5025</v>
      </c>
      <c r="J155">
        <f t="shared" si="21"/>
        <v>1005</v>
      </c>
      <c r="K155">
        <f t="shared" si="22"/>
        <v>0</v>
      </c>
      <c r="L155">
        <f t="shared" si="23"/>
        <v>1005</v>
      </c>
    </row>
    <row r="156" spans="1:12">
      <c r="A156" s="1">
        <f>Weekly_Material_Summary!A156</f>
        <v>46160</v>
      </c>
      <c r="B156" t="str">
        <f>Weekly_Material_Summary!B156</f>
        <v>M003</v>
      </c>
      <c r="C156">
        <f t="shared" si="24"/>
        <v>744</v>
      </c>
      <c r="D156">
        <f>Weekly_Material_Summary!C156</f>
        <v>2950</v>
      </c>
      <c r="E156">
        <f t="shared" si="17"/>
        <v>738</v>
      </c>
      <c r="F156">
        <f t="shared" si="18"/>
        <v>2944</v>
      </c>
      <c r="G156">
        <v>1.01</v>
      </c>
      <c r="H156">
        <f t="shared" si="19"/>
        <v>2973</v>
      </c>
      <c r="I156">
        <f t="shared" si="20"/>
        <v>3717</v>
      </c>
      <c r="J156">
        <f t="shared" si="21"/>
        <v>767</v>
      </c>
      <c r="K156">
        <f t="shared" si="22"/>
        <v>0</v>
      </c>
      <c r="L156">
        <f t="shared" si="23"/>
        <v>767</v>
      </c>
    </row>
    <row r="157" spans="1:12">
      <c r="A157" s="1">
        <f>Weekly_Material_Summary!A157</f>
        <v>46160</v>
      </c>
      <c r="B157" t="str">
        <f>Weekly_Material_Summary!B157</f>
        <v>M004</v>
      </c>
      <c r="C157">
        <f t="shared" si="24"/>
        <v>1007.9999999999995</v>
      </c>
      <c r="D157">
        <f>Weekly_Material_Summary!C157</f>
        <v>4114</v>
      </c>
      <c r="E157">
        <f t="shared" si="17"/>
        <v>1029</v>
      </c>
      <c r="F157">
        <f t="shared" si="18"/>
        <v>4135</v>
      </c>
      <c r="G157">
        <v>0.98</v>
      </c>
      <c r="H157">
        <f t="shared" si="19"/>
        <v>4052</v>
      </c>
      <c r="I157">
        <f t="shared" si="20"/>
        <v>5060</v>
      </c>
      <c r="J157">
        <f t="shared" si="21"/>
        <v>946</v>
      </c>
      <c r="K157">
        <f t="shared" si="22"/>
        <v>0</v>
      </c>
      <c r="L157">
        <f t="shared" si="23"/>
        <v>946</v>
      </c>
    </row>
    <row r="158" spans="1:12">
      <c r="A158" s="1">
        <f>Weekly_Material_Summary!A158</f>
        <v>46160</v>
      </c>
      <c r="B158" t="str">
        <f>Weekly_Material_Summary!B158</f>
        <v>M005</v>
      </c>
      <c r="C158">
        <f t="shared" si="24"/>
        <v>1170</v>
      </c>
      <c r="D158">
        <f>Weekly_Material_Summary!C158</f>
        <v>4628</v>
      </c>
      <c r="E158">
        <f t="shared" si="17"/>
        <v>1157</v>
      </c>
      <c r="F158">
        <f t="shared" si="18"/>
        <v>4615</v>
      </c>
      <c r="G158">
        <v>1.01</v>
      </c>
      <c r="H158">
        <f t="shared" si="19"/>
        <v>4661</v>
      </c>
      <c r="I158">
        <f t="shared" si="20"/>
        <v>5831</v>
      </c>
      <c r="J158">
        <f t="shared" si="21"/>
        <v>1203</v>
      </c>
      <c r="K158">
        <f t="shared" si="22"/>
        <v>0</v>
      </c>
      <c r="L158">
        <f t="shared" si="23"/>
        <v>1203</v>
      </c>
    </row>
    <row r="159" spans="1:12">
      <c r="A159" s="1">
        <f>Weekly_Material_Summary!A159</f>
        <v>46160</v>
      </c>
      <c r="B159" t="str">
        <f>Weekly_Material_Summary!B159</f>
        <v>M006</v>
      </c>
      <c r="C159">
        <f t="shared" si="24"/>
        <v>134.89999999999998</v>
      </c>
      <c r="D159">
        <f>Weekly_Material_Summary!C159</f>
        <v>539.69999999999993</v>
      </c>
      <c r="E159">
        <f t="shared" si="17"/>
        <v>135</v>
      </c>
      <c r="F159">
        <f t="shared" si="18"/>
        <v>540</v>
      </c>
      <c r="G159">
        <v>1</v>
      </c>
      <c r="H159">
        <f t="shared" si="19"/>
        <v>540</v>
      </c>
      <c r="I159">
        <f t="shared" si="20"/>
        <v>674.9</v>
      </c>
      <c r="J159">
        <f t="shared" si="21"/>
        <v>135.20000000000005</v>
      </c>
      <c r="K159">
        <f t="shared" si="22"/>
        <v>0</v>
      </c>
      <c r="L159">
        <f t="shared" si="23"/>
        <v>135.20000000000005</v>
      </c>
    </row>
    <row r="160" spans="1:12">
      <c r="A160" s="1">
        <f>Weekly_Material_Summary!A160</f>
        <v>46160</v>
      </c>
      <c r="B160" t="str">
        <f>Weekly_Material_Summary!B160</f>
        <v>M007</v>
      </c>
      <c r="C160">
        <f t="shared" si="24"/>
        <v>16342</v>
      </c>
      <c r="D160">
        <f>Weekly_Material_Summary!C160</f>
        <v>60800</v>
      </c>
      <c r="E160">
        <f t="shared" si="17"/>
        <v>15200</v>
      </c>
      <c r="F160">
        <f t="shared" si="18"/>
        <v>59658</v>
      </c>
      <c r="G160">
        <v>0.98</v>
      </c>
      <c r="H160">
        <f t="shared" si="19"/>
        <v>58465</v>
      </c>
      <c r="I160">
        <f t="shared" si="20"/>
        <v>74807</v>
      </c>
      <c r="J160">
        <f t="shared" si="21"/>
        <v>14007</v>
      </c>
      <c r="K160">
        <f t="shared" si="22"/>
        <v>0</v>
      </c>
      <c r="L160">
        <f t="shared" si="23"/>
        <v>14007</v>
      </c>
    </row>
    <row r="161" spans="1:12">
      <c r="A161" s="1">
        <f>Weekly_Material_Summary!A161</f>
        <v>46160</v>
      </c>
      <c r="B161" t="str">
        <f>Weekly_Material_Summary!B161</f>
        <v>M008</v>
      </c>
      <c r="C161">
        <f t="shared" si="24"/>
        <v>15733</v>
      </c>
      <c r="D161">
        <f>Weekly_Material_Summary!C161</f>
        <v>60800</v>
      </c>
      <c r="E161">
        <f t="shared" si="17"/>
        <v>15200</v>
      </c>
      <c r="F161">
        <f t="shared" si="18"/>
        <v>60267</v>
      </c>
      <c r="G161">
        <v>0.99</v>
      </c>
      <c r="H161">
        <f t="shared" si="19"/>
        <v>59664</v>
      </c>
      <c r="I161">
        <f t="shared" si="20"/>
        <v>75397</v>
      </c>
      <c r="J161">
        <f t="shared" si="21"/>
        <v>14597</v>
      </c>
      <c r="K161">
        <f t="shared" si="22"/>
        <v>0</v>
      </c>
      <c r="L161">
        <f t="shared" si="23"/>
        <v>14597</v>
      </c>
    </row>
    <row r="162" spans="1:12">
      <c r="A162" s="1">
        <f>Weekly_Material_Summary!A162</f>
        <v>46167</v>
      </c>
      <c r="B162" t="str">
        <f>Weekly_Material_Summary!B162</f>
        <v>M001</v>
      </c>
      <c r="C162">
        <f t="shared" si="24"/>
        <v>1227</v>
      </c>
      <c r="D162">
        <f>Weekly_Material_Summary!C162</f>
        <v>5250</v>
      </c>
      <c r="E162">
        <f t="shared" si="17"/>
        <v>1313</v>
      </c>
      <c r="F162">
        <f t="shared" si="18"/>
        <v>5336</v>
      </c>
      <c r="G162">
        <v>0.98</v>
      </c>
      <c r="H162">
        <f t="shared" si="19"/>
        <v>5229</v>
      </c>
      <c r="I162">
        <f t="shared" si="20"/>
        <v>6456</v>
      </c>
      <c r="J162">
        <f t="shared" si="21"/>
        <v>1206</v>
      </c>
      <c r="K162">
        <f t="shared" si="22"/>
        <v>0</v>
      </c>
      <c r="L162">
        <f t="shared" si="23"/>
        <v>1206</v>
      </c>
    </row>
    <row r="163" spans="1:12">
      <c r="A163" s="1">
        <f>Weekly_Material_Summary!A163</f>
        <v>46167</v>
      </c>
      <c r="B163" t="str">
        <f>Weekly_Material_Summary!B163</f>
        <v>M002</v>
      </c>
      <c r="C163">
        <f t="shared" si="24"/>
        <v>1005</v>
      </c>
      <c r="D163">
        <f>Weekly_Material_Summary!C163</f>
        <v>3840</v>
      </c>
      <c r="E163">
        <f t="shared" si="17"/>
        <v>960</v>
      </c>
      <c r="F163">
        <f t="shared" si="18"/>
        <v>3795</v>
      </c>
      <c r="G163">
        <v>1.01</v>
      </c>
      <c r="H163">
        <f t="shared" si="19"/>
        <v>3833</v>
      </c>
      <c r="I163">
        <f t="shared" si="20"/>
        <v>4838</v>
      </c>
      <c r="J163">
        <f t="shared" si="21"/>
        <v>998</v>
      </c>
      <c r="K163">
        <f t="shared" si="22"/>
        <v>0</v>
      </c>
      <c r="L163">
        <f t="shared" si="23"/>
        <v>998</v>
      </c>
    </row>
    <row r="164" spans="1:12">
      <c r="A164" s="1">
        <f>Weekly_Material_Summary!A164</f>
        <v>46167</v>
      </c>
      <c r="B164" t="str">
        <f>Weekly_Material_Summary!B164</f>
        <v>M003</v>
      </c>
      <c r="C164">
        <f t="shared" si="24"/>
        <v>767</v>
      </c>
      <c r="D164">
        <f>Weekly_Material_Summary!C164</f>
        <v>2975</v>
      </c>
      <c r="E164">
        <f t="shared" si="17"/>
        <v>744</v>
      </c>
      <c r="F164">
        <f t="shared" si="18"/>
        <v>2952</v>
      </c>
      <c r="G164">
        <v>1</v>
      </c>
      <c r="H164">
        <f t="shared" si="19"/>
        <v>2952</v>
      </c>
      <c r="I164">
        <f t="shared" si="20"/>
        <v>3719</v>
      </c>
      <c r="J164">
        <f t="shared" si="21"/>
        <v>744</v>
      </c>
      <c r="K164">
        <f t="shared" si="22"/>
        <v>0</v>
      </c>
      <c r="L164">
        <f t="shared" si="23"/>
        <v>744</v>
      </c>
    </row>
    <row r="165" spans="1:12">
      <c r="A165" s="1">
        <f>Weekly_Material_Summary!A165</f>
        <v>46167</v>
      </c>
      <c r="B165" t="str">
        <f>Weekly_Material_Summary!B165</f>
        <v>M004</v>
      </c>
      <c r="C165">
        <f t="shared" si="24"/>
        <v>946</v>
      </c>
      <c r="D165">
        <f>Weekly_Material_Summary!C165</f>
        <v>4182</v>
      </c>
      <c r="E165">
        <f t="shared" si="17"/>
        <v>1046</v>
      </c>
      <c r="F165">
        <f t="shared" si="18"/>
        <v>4282</v>
      </c>
      <c r="G165">
        <v>1.02</v>
      </c>
      <c r="H165">
        <f t="shared" si="19"/>
        <v>4368</v>
      </c>
      <c r="I165">
        <f t="shared" si="20"/>
        <v>5314</v>
      </c>
      <c r="J165">
        <f t="shared" si="21"/>
        <v>1132</v>
      </c>
      <c r="K165">
        <f t="shared" si="22"/>
        <v>0</v>
      </c>
      <c r="L165">
        <f t="shared" si="23"/>
        <v>1132</v>
      </c>
    </row>
    <row r="166" spans="1:12">
      <c r="A166" s="1">
        <f>Weekly_Material_Summary!A166</f>
        <v>46167</v>
      </c>
      <c r="B166" t="str">
        <f>Weekly_Material_Summary!B166</f>
        <v>M005</v>
      </c>
      <c r="C166">
        <f t="shared" si="24"/>
        <v>1203</v>
      </c>
      <c r="D166">
        <f>Weekly_Material_Summary!C166</f>
        <v>4732</v>
      </c>
      <c r="E166">
        <f t="shared" si="17"/>
        <v>1183</v>
      </c>
      <c r="F166">
        <f t="shared" si="18"/>
        <v>4712</v>
      </c>
      <c r="G166">
        <v>0.98</v>
      </c>
      <c r="H166">
        <f t="shared" si="19"/>
        <v>4618</v>
      </c>
      <c r="I166">
        <f t="shared" si="20"/>
        <v>5821</v>
      </c>
      <c r="J166">
        <f t="shared" si="21"/>
        <v>1089</v>
      </c>
      <c r="K166">
        <f t="shared" si="22"/>
        <v>0</v>
      </c>
      <c r="L166">
        <f t="shared" si="23"/>
        <v>1089</v>
      </c>
    </row>
    <row r="167" spans="1:12">
      <c r="A167" s="1">
        <f>Weekly_Material_Summary!A167</f>
        <v>46167</v>
      </c>
      <c r="B167" t="str">
        <f>Weekly_Material_Summary!B167</f>
        <v>M006</v>
      </c>
      <c r="C167">
        <f t="shared" si="24"/>
        <v>135.20000000000005</v>
      </c>
      <c r="D167">
        <f>Weekly_Material_Summary!C167</f>
        <v>543.70000000000005</v>
      </c>
      <c r="E167">
        <f t="shared" si="17"/>
        <v>136</v>
      </c>
      <c r="F167">
        <f t="shared" si="18"/>
        <v>545</v>
      </c>
      <c r="G167">
        <v>1.01</v>
      </c>
      <c r="H167">
        <f t="shared" si="19"/>
        <v>550</v>
      </c>
      <c r="I167">
        <f t="shared" si="20"/>
        <v>685.2</v>
      </c>
      <c r="J167">
        <f t="shared" si="21"/>
        <v>141.5</v>
      </c>
      <c r="K167">
        <f t="shared" si="22"/>
        <v>0</v>
      </c>
      <c r="L167">
        <f t="shared" si="23"/>
        <v>141.5</v>
      </c>
    </row>
    <row r="168" spans="1:12">
      <c r="A168" s="1">
        <f>Weekly_Material_Summary!A168</f>
        <v>46167</v>
      </c>
      <c r="B168" t="str">
        <f>Weekly_Material_Summary!B168</f>
        <v>M007</v>
      </c>
      <c r="C168">
        <f t="shared" si="24"/>
        <v>14007</v>
      </c>
      <c r="D168">
        <f>Weekly_Material_Summary!C168</f>
        <v>61100</v>
      </c>
      <c r="E168">
        <f t="shared" si="17"/>
        <v>15275</v>
      </c>
      <c r="F168">
        <f t="shared" si="18"/>
        <v>62368</v>
      </c>
      <c r="G168">
        <v>0.98</v>
      </c>
      <c r="H168">
        <f t="shared" si="19"/>
        <v>61121</v>
      </c>
      <c r="I168">
        <f t="shared" si="20"/>
        <v>75128</v>
      </c>
      <c r="J168">
        <f t="shared" si="21"/>
        <v>14028</v>
      </c>
      <c r="K168">
        <f t="shared" si="22"/>
        <v>0</v>
      </c>
      <c r="L168">
        <f t="shared" si="23"/>
        <v>14028</v>
      </c>
    </row>
    <row r="169" spans="1:12">
      <c r="A169" s="1">
        <f>Weekly_Material_Summary!A169</f>
        <v>46167</v>
      </c>
      <c r="B169" t="str">
        <f>Weekly_Material_Summary!B169</f>
        <v>M008</v>
      </c>
      <c r="C169">
        <f t="shared" si="24"/>
        <v>14597</v>
      </c>
      <c r="D169">
        <f>Weekly_Material_Summary!C169</f>
        <v>61100</v>
      </c>
      <c r="E169">
        <f t="shared" si="17"/>
        <v>15275</v>
      </c>
      <c r="F169">
        <f t="shared" si="18"/>
        <v>61778</v>
      </c>
      <c r="G169">
        <v>0.99</v>
      </c>
      <c r="H169">
        <f t="shared" si="19"/>
        <v>61160</v>
      </c>
      <c r="I169">
        <f t="shared" si="20"/>
        <v>75757</v>
      </c>
      <c r="J169">
        <f t="shared" si="21"/>
        <v>14657</v>
      </c>
      <c r="K169">
        <f t="shared" si="22"/>
        <v>0</v>
      </c>
      <c r="L169">
        <f t="shared" si="23"/>
        <v>14657</v>
      </c>
    </row>
    <row r="170" spans="1:12">
      <c r="A170" s="1">
        <f>Weekly_Material_Summary!A170</f>
        <v>46174</v>
      </c>
      <c r="B170" t="str">
        <f>Weekly_Material_Summary!B170</f>
        <v>M001</v>
      </c>
      <c r="C170">
        <f t="shared" si="24"/>
        <v>1206</v>
      </c>
      <c r="D170">
        <f>Weekly_Material_Summary!C170</f>
        <v>5110</v>
      </c>
      <c r="E170">
        <f t="shared" si="17"/>
        <v>1278</v>
      </c>
      <c r="F170">
        <f t="shared" si="18"/>
        <v>5182</v>
      </c>
      <c r="G170">
        <v>0.98</v>
      </c>
      <c r="H170">
        <f t="shared" si="19"/>
        <v>5078</v>
      </c>
      <c r="I170">
        <f t="shared" si="20"/>
        <v>6284</v>
      </c>
      <c r="J170">
        <f t="shared" si="21"/>
        <v>1174</v>
      </c>
      <c r="K170">
        <f t="shared" si="22"/>
        <v>0</v>
      </c>
      <c r="L170">
        <f t="shared" si="23"/>
        <v>1174</v>
      </c>
    </row>
    <row r="171" spans="1:12">
      <c r="A171" s="1">
        <f>Weekly_Material_Summary!A171</f>
        <v>46174</v>
      </c>
      <c r="B171" t="str">
        <f>Weekly_Material_Summary!B171</f>
        <v>M002</v>
      </c>
      <c r="C171">
        <f t="shared" si="24"/>
        <v>998</v>
      </c>
      <c r="D171">
        <f>Weekly_Material_Summary!C171</f>
        <v>3630</v>
      </c>
      <c r="E171">
        <f t="shared" si="17"/>
        <v>908</v>
      </c>
      <c r="F171">
        <f t="shared" si="18"/>
        <v>3540</v>
      </c>
      <c r="G171">
        <v>1.02</v>
      </c>
      <c r="H171">
        <f t="shared" si="19"/>
        <v>3611</v>
      </c>
      <c r="I171">
        <f t="shared" si="20"/>
        <v>4609</v>
      </c>
      <c r="J171">
        <f t="shared" si="21"/>
        <v>979</v>
      </c>
      <c r="K171">
        <f t="shared" si="22"/>
        <v>0</v>
      </c>
      <c r="L171">
        <f t="shared" si="23"/>
        <v>979</v>
      </c>
    </row>
    <row r="172" spans="1:12">
      <c r="A172" s="1">
        <f>Weekly_Material_Summary!A172</f>
        <v>46174</v>
      </c>
      <c r="B172" t="str">
        <f>Weekly_Material_Summary!B172</f>
        <v>M003</v>
      </c>
      <c r="C172">
        <f t="shared" si="24"/>
        <v>744</v>
      </c>
      <c r="D172">
        <f>Weekly_Material_Summary!C172</f>
        <v>2750</v>
      </c>
      <c r="E172">
        <f t="shared" si="17"/>
        <v>688</v>
      </c>
      <c r="F172">
        <f t="shared" si="18"/>
        <v>2694</v>
      </c>
      <c r="G172">
        <v>1.01</v>
      </c>
      <c r="H172">
        <f t="shared" si="19"/>
        <v>2721</v>
      </c>
      <c r="I172">
        <f t="shared" si="20"/>
        <v>3465</v>
      </c>
      <c r="J172">
        <f t="shared" si="21"/>
        <v>715</v>
      </c>
      <c r="K172">
        <f t="shared" si="22"/>
        <v>0</v>
      </c>
      <c r="L172">
        <f t="shared" si="23"/>
        <v>715</v>
      </c>
    </row>
    <row r="173" spans="1:12">
      <c r="A173" s="1">
        <f>Weekly_Material_Summary!A173</f>
        <v>46174</v>
      </c>
      <c r="B173" t="str">
        <f>Weekly_Material_Summary!B173</f>
        <v>M004</v>
      </c>
      <c r="C173">
        <f t="shared" si="24"/>
        <v>1132</v>
      </c>
      <c r="D173">
        <f>Weekly_Material_Summary!C173</f>
        <v>4182</v>
      </c>
      <c r="E173">
        <f t="shared" si="17"/>
        <v>1046</v>
      </c>
      <c r="F173">
        <f t="shared" si="18"/>
        <v>4096</v>
      </c>
      <c r="G173">
        <v>0.99</v>
      </c>
      <c r="H173">
        <f t="shared" si="19"/>
        <v>4055</v>
      </c>
      <c r="I173">
        <f t="shared" si="20"/>
        <v>5187</v>
      </c>
      <c r="J173">
        <f t="shared" si="21"/>
        <v>1005</v>
      </c>
      <c r="K173">
        <f t="shared" si="22"/>
        <v>0</v>
      </c>
      <c r="L173">
        <f t="shared" si="23"/>
        <v>1005</v>
      </c>
    </row>
    <row r="174" spans="1:12">
      <c r="A174" s="1">
        <f>Weekly_Material_Summary!A174</f>
        <v>46174</v>
      </c>
      <c r="B174" t="str">
        <f>Weekly_Material_Summary!B174</f>
        <v>M005</v>
      </c>
      <c r="C174">
        <f t="shared" si="24"/>
        <v>1089</v>
      </c>
      <c r="D174">
        <f>Weekly_Material_Summary!C174</f>
        <v>4576</v>
      </c>
      <c r="E174">
        <f t="shared" si="17"/>
        <v>1144</v>
      </c>
      <c r="F174">
        <f t="shared" si="18"/>
        <v>4631</v>
      </c>
      <c r="G174">
        <v>1.01</v>
      </c>
      <c r="H174">
        <f t="shared" si="19"/>
        <v>4677</v>
      </c>
      <c r="I174">
        <f t="shared" si="20"/>
        <v>5766</v>
      </c>
      <c r="J174">
        <f t="shared" si="21"/>
        <v>1190</v>
      </c>
      <c r="K174">
        <f t="shared" si="22"/>
        <v>0</v>
      </c>
      <c r="L174">
        <f t="shared" si="23"/>
        <v>1190</v>
      </c>
    </row>
    <row r="175" spans="1:12">
      <c r="A175" s="1">
        <f>Weekly_Material_Summary!A175</f>
        <v>46174</v>
      </c>
      <c r="B175" t="str">
        <f>Weekly_Material_Summary!B175</f>
        <v>M006</v>
      </c>
      <c r="C175">
        <f t="shared" si="24"/>
        <v>141.5</v>
      </c>
      <c r="D175">
        <f>Weekly_Material_Summary!C175</f>
        <v>525.1</v>
      </c>
      <c r="E175">
        <f t="shared" si="17"/>
        <v>131</v>
      </c>
      <c r="F175">
        <f t="shared" si="18"/>
        <v>515</v>
      </c>
      <c r="G175">
        <v>1</v>
      </c>
      <c r="H175">
        <f t="shared" si="19"/>
        <v>515</v>
      </c>
      <c r="I175">
        <f t="shared" si="20"/>
        <v>656.5</v>
      </c>
      <c r="J175">
        <f t="shared" si="21"/>
        <v>131.39999999999998</v>
      </c>
      <c r="K175">
        <f t="shared" si="22"/>
        <v>0</v>
      </c>
      <c r="L175">
        <f t="shared" si="23"/>
        <v>131.39999999999998</v>
      </c>
    </row>
    <row r="176" spans="1:12">
      <c r="A176" s="1">
        <f>Weekly_Material_Summary!A176</f>
        <v>46174</v>
      </c>
      <c r="B176" t="str">
        <f>Weekly_Material_Summary!B176</f>
        <v>M007</v>
      </c>
      <c r="C176">
        <f t="shared" si="24"/>
        <v>14028</v>
      </c>
      <c r="D176">
        <f>Weekly_Material_Summary!C176</f>
        <v>58800</v>
      </c>
      <c r="E176">
        <f t="shared" si="17"/>
        <v>14700</v>
      </c>
      <c r="F176">
        <f t="shared" si="18"/>
        <v>59472</v>
      </c>
      <c r="G176">
        <v>1</v>
      </c>
      <c r="H176">
        <f t="shared" si="19"/>
        <v>59472</v>
      </c>
      <c r="I176">
        <f t="shared" si="20"/>
        <v>73500</v>
      </c>
      <c r="J176">
        <f t="shared" si="21"/>
        <v>14700</v>
      </c>
      <c r="K176">
        <f t="shared" si="22"/>
        <v>0</v>
      </c>
      <c r="L176">
        <f t="shared" si="23"/>
        <v>14700</v>
      </c>
    </row>
    <row r="177" spans="1:12">
      <c r="A177" s="1">
        <f>Weekly_Material_Summary!A177</f>
        <v>46174</v>
      </c>
      <c r="B177" t="str">
        <f>Weekly_Material_Summary!B177</f>
        <v>M008</v>
      </c>
      <c r="C177">
        <f t="shared" si="24"/>
        <v>14657</v>
      </c>
      <c r="D177">
        <f>Weekly_Material_Summary!C177</f>
        <v>58800</v>
      </c>
      <c r="E177">
        <f t="shared" si="17"/>
        <v>14700</v>
      </c>
      <c r="F177">
        <f t="shared" si="18"/>
        <v>58843</v>
      </c>
      <c r="G177">
        <v>1.02</v>
      </c>
      <c r="H177">
        <f t="shared" si="19"/>
        <v>60020</v>
      </c>
      <c r="I177">
        <f t="shared" si="20"/>
        <v>74677</v>
      </c>
      <c r="J177">
        <f t="shared" si="21"/>
        <v>15877</v>
      </c>
      <c r="K177">
        <f t="shared" si="22"/>
        <v>0</v>
      </c>
      <c r="L177">
        <f t="shared" si="23"/>
        <v>15877</v>
      </c>
    </row>
    <row r="178" spans="1:12">
      <c r="A178" s="1">
        <f>Weekly_Material_Summary!A178</f>
        <v>46181</v>
      </c>
      <c r="B178" t="str">
        <f>Weekly_Material_Summary!B178</f>
        <v>M001</v>
      </c>
      <c r="C178">
        <f t="shared" si="24"/>
        <v>1174</v>
      </c>
      <c r="D178">
        <f>Weekly_Material_Summary!C178</f>
        <v>5285</v>
      </c>
      <c r="E178">
        <f t="shared" si="17"/>
        <v>1321</v>
      </c>
      <c r="F178">
        <f t="shared" si="18"/>
        <v>5432</v>
      </c>
      <c r="G178">
        <v>1.01</v>
      </c>
      <c r="H178">
        <f t="shared" si="19"/>
        <v>5486</v>
      </c>
      <c r="I178">
        <f t="shared" si="20"/>
        <v>6660</v>
      </c>
      <c r="J178">
        <f t="shared" si="21"/>
        <v>1375</v>
      </c>
      <c r="K178">
        <f t="shared" si="22"/>
        <v>0</v>
      </c>
      <c r="L178">
        <f t="shared" si="23"/>
        <v>1375</v>
      </c>
    </row>
    <row r="179" spans="1:12">
      <c r="A179" s="1">
        <f>Weekly_Material_Summary!A179</f>
        <v>46181</v>
      </c>
      <c r="B179" t="str">
        <f>Weekly_Material_Summary!B179</f>
        <v>M002</v>
      </c>
      <c r="C179">
        <f t="shared" si="24"/>
        <v>979</v>
      </c>
      <c r="D179">
        <f>Weekly_Material_Summary!C179</f>
        <v>3990</v>
      </c>
      <c r="E179">
        <f t="shared" si="17"/>
        <v>998</v>
      </c>
      <c r="F179">
        <f t="shared" si="18"/>
        <v>4009</v>
      </c>
      <c r="G179">
        <v>0.98</v>
      </c>
      <c r="H179">
        <f t="shared" si="19"/>
        <v>3929</v>
      </c>
      <c r="I179">
        <f t="shared" si="20"/>
        <v>4908</v>
      </c>
      <c r="J179">
        <f t="shared" si="21"/>
        <v>918</v>
      </c>
      <c r="K179">
        <f t="shared" si="22"/>
        <v>0</v>
      </c>
      <c r="L179">
        <f t="shared" si="23"/>
        <v>918</v>
      </c>
    </row>
    <row r="180" spans="1:12">
      <c r="A180" s="1">
        <f>Weekly_Material_Summary!A180</f>
        <v>46181</v>
      </c>
      <c r="B180" t="str">
        <f>Weekly_Material_Summary!B180</f>
        <v>M003</v>
      </c>
      <c r="C180">
        <f t="shared" si="24"/>
        <v>715</v>
      </c>
      <c r="D180">
        <f>Weekly_Material_Summary!C180</f>
        <v>2725</v>
      </c>
      <c r="E180">
        <f t="shared" si="17"/>
        <v>681</v>
      </c>
      <c r="F180">
        <f t="shared" si="18"/>
        <v>2691</v>
      </c>
      <c r="G180">
        <v>1.01</v>
      </c>
      <c r="H180">
        <f t="shared" si="19"/>
        <v>2718</v>
      </c>
      <c r="I180">
        <f t="shared" si="20"/>
        <v>3433</v>
      </c>
      <c r="J180">
        <f t="shared" si="21"/>
        <v>708</v>
      </c>
      <c r="K180">
        <f t="shared" si="22"/>
        <v>0</v>
      </c>
      <c r="L180">
        <f t="shared" si="23"/>
        <v>708</v>
      </c>
    </row>
    <row r="181" spans="1:12">
      <c r="A181" s="1">
        <f>Weekly_Material_Summary!A181</f>
        <v>46181</v>
      </c>
      <c r="B181" t="str">
        <f>Weekly_Material_Summary!B181</f>
        <v>M004</v>
      </c>
      <c r="C181">
        <f t="shared" si="24"/>
        <v>1005</v>
      </c>
      <c r="D181">
        <f>Weekly_Material_Summary!C181</f>
        <v>4386</v>
      </c>
      <c r="E181">
        <f t="shared" si="17"/>
        <v>1097</v>
      </c>
      <c r="F181">
        <f t="shared" si="18"/>
        <v>4478</v>
      </c>
      <c r="G181">
        <v>1.02</v>
      </c>
      <c r="H181">
        <f t="shared" si="19"/>
        <v>4568</v>
      </c>
      <c r="I181">
        <f t="shared" si="20"/>
        <v>5573</v>
      </c>
      <c r="J181">
        <f t="shared" si="21"/>
        <v>1187</v>
      </c>
      <c r="K181">
        <f t="shared" si="22"/>
        <v>0</v>
      </c>
      <c r="L181">
        <f t="shared" si="23"/>
        <v>1187</v>
      </c>
    </row>
    <row r="182" spans="1:12">
      <c r="A182" s="1">
        <f>Weekly_Material_Summary!A182</f>
        <v>46181</v>
      </c>
      <c r="B182" t="str">
        <f>Weekly_Material_Summary!B182</f>
        <v>M005</v>
      </c>
      <c r="C182">
        <f t="shared" si="24"/>
        <v>1190</v>
      </c>
      <c r="D182">
        <f>Weekly_Material_Summary!C182</f>
        <v>4784</v>
      </c>
      <c r="E182">
        <f t="shared" si="17"/>
        <v>1196</v>
      </c>
      <c r="F182">
        <f t="shared" si="18"/>
        <v>4790</v>
      </c>
      <c r="G182">
        <v>0.99</v>
      </c>
      <c r="H182">
        <f t="shared" si="19"/>
        <v>4742</v>
      </c>
      <c r="I182">
        <f t="shared" si="20"/>
        <v>5932</v>
      </c>
      <c r="J182">
        <f t="shared" si="21"/>
        <v>1148</v>
      </c>
      <c r="K182">
        <f t="shared" si="22"/>
        <v>0</v>
      </c>
      <c r="L182">
        <f t="shared" si="23"/>
        <v>1148</v>
      </c>
    </row>
    <row r="183" spans="1:12">
      <c r="A183" s="1">
        <f>Weekly_Material_Summary!A183</f>
        <v>46181</v>
      </c>
      <c r="B183" t="str">
        <f>Weekly_Material_Summary!B183</f>
        <v>M006</v>
      </c>
      <c r="C183">
        <f t="shared" si="24"/>
        <v>131.39999999999998</v>
      </c>
      <c r="D183">
        <f>Weekly_Material_Summary!C183</f>
        <v>549.29999999999995</v>
      </c>
      <c r="E183">
        <f t="shared" si="17"/>
        <v>137</v>
      </c>
      <c r="F183">
        <f t="shared" si="18"/>
        <v>555</v>
      </c>
      <c r="G183">
        <v>0.99</v>
      </c>
      <c r="H183">
        <f t="shared" si="19"/>
        <v>549</v>
      </c>
      <c r="I183">
        <f t="shared" si="20"/>
        <v>680.4</v>
      </c>
      <c r="J183">
        <f t="shared" si="21"/>
        <v>131.10000000000002</v>
      </c>
      <c r="K183">
        <f t="shared" si="22"/>
        <v>0</v>
      </c>
      <c r="L183">
        <f t="shared" si="23"/>
        <v>131.10000000000002</v>
      </c>
    </row>
    <row r="184" spans="1:12">
      <c r="A184" s="1">
        <f>Weekly_Material_Summary!A184</f>
        <v>46181</v>
      </c>
      <c r="B184" t="str">
        <f>Weekly_Material_Summary!B184</f>
        <v>M007</v>
      </c>
      <c r="C184">
        <f t="shared" si="24"/>
        <v>14700</v>
      </c>
      <c r="D184">
        <f>Weekly_Material_Summary!C184</f>
        <v>61400</v>
      </c>
      <c r="E184">
        <f t="shared" si="17"/>
        <v>15350</v>
      </c>
      <c r="F184">
        <f t="shared" si="18"/>
        <v>62050</v>
      </c>
      <c r="G184">
        <v>0.98</v>
      </c>
      <c r="H184">
        <f t="shared" si="19"/>
        <v>60809</v>
      </c>
      <c r="I184">
        <f t="shared" si="20"/>
        <v>75509</v>
      </c>
      <c r="J184">
        <f t="shared" si="21"/>
        <v>14109</v>
      </c>
      <c r="K184">
        <f t="shared" si="22"/>
        <v>0</v>
      </c>
      <c r="L184">
        <f t="shared" si="23"/>
        <v>14109</v>
      </c>
    </row>
    <row r="185" spans="1:12">
      <c r="A185" s="1">
        <f>Weekly_Material_Summary!A185</f>
        <v>46181</v>
      </c>
      <c r="B185" t="str">
        <f>Weekly_Material_Summary!B185</f>
        <v>M008</v>
      </c>
      <c r="C185">
        <f t="shared" si="24"/>
        <v>15877</v>
      </c>
      <c r="D185">
        <f>Weekly_Material_Summary!C185</f>
        <v>61400</v>
      </c>
      <c r="E185">
        <f t="shared" si="17"/>
        <v>15350</v>
      </c>
      <c r="F185">
        <f t="shared" si="18"/>
        <v>60873</v>
      </c>
      <c r="G185">
        <v>1.02</v>
      </c>
      <c r="H185">
        <f t="shared" si="19"/>
        <v>62090</v>
      </c>
      <c r="I185">
        <f t="shared" si="20"/>
        <v>77967</v>
      </c>
      <c r="J185">
        <f t="shared" si="21"/>
        <v>16567</v>
      </c>
      <c r="K185">
        <f t="shared" si="22"/>
        <v>0</v>
      </c>
      <c r="L185">
        <f t="shared" si="23"/>
        <v>16567</v>
      </c>
    </row>
    <row r="186" spans="1:12">
      <c r="A186" s="1">
        <f>Weekly_Material_Summary!A186</f>
        <v>46188</v>
      </c>
      <c r="B186" t="str">
        <f>Weekly_Material_Summary!B186</f>
        <v>M001</v>
      </c>
      <c r="C186">
        <f t="shared" si="24"/>
        <v>1375</v>
      </c>
      <c r="D186">
        <f>Weekly_Material_Summary!C186</f>
        <v>5320</v>
      </c>
      <c r="E186">
        <f t="shared" si="17"/>
        <v>1330</v>
      </c>
      <c r="F186">
        <f t="shared" si="18"/>
        <v>5275</v>
      </c>
      <c r="G186">
        <v>0.98</v>
      </c>
      <c r="H186">
        <f t="shared" si="19"/>
        <v>5170</v>
      </c>
      <c r="I186">
        <f t="shared" si="20"/>
        <v>6545</v>
      </c>
      <c r="J186">
        <f t="shared" si="21"/>
        <v>1225</v>
      </c>
      <c r="K186">
        <f t="shared" si="22"/>
        <v>0</v>
      </c>
      <c r="L186">
        <f t="shared" si="23"/>
        <v>1225</v>
      </c>
    </row>
    <row r="187" spans="1:12">
      <c r="A187" s="1">
        <f>Weekly_Material_Summary!A187</f>
        <v>46188</v>
      </c>
      <c r="B187" t="str">
        <f>Weekly_Material_Summary!B187</f>
        <v>M002</v>
      </c>
      <c r="C187">
        <f t="shared" si="24"/>
        <v>918</v>
      </c>
      <c r="D187">
        <f>Weekly_Material_Summary!C187</f>
        <v>3780</v>
      </c>
      <c r="E187">
        <f t="shared" si="17"/>
        <v>945</v>
      </c>
      <c r="F187">
        <f t="shared" si="18"/>
        <v>3807</v>
      </c>
      <c r="G187">
        <v>1</v>
      </c>
      <c r="H187">
        <f t="shared" si="19"/>
        <v>3807</v>
      </c>
      <c r="I187">
        <f t="shared" si="20"/>
        <v>4725</v>
      </c>
      <c r="J187">
        <f t="shared" si="21"/>
        <v>945</v>
      </c>
      <c r="K187">
        <f t="shared" si="22"/>
        <v>0</v>
      </c>
      <c r="L187">
        <f t="shared" si="23"/>
        <v>945</v>
      </c>
    </row>
    <row r="188" spans="1:12">
      <c r="A188" s="1">
        <f>Weekly_Material_Summary!A188</f>
        <v>46188</v>
      </c>
      <c r="B188" t="str">
        <f>Weekly_Material_Summary!B188</f>
        <v>M003</v>
      </c>
      <c r="C188">
        <f t="shared" si="24"/>
        <v>708</v>
      </c>
      <c r="D188">
        <f>Weekly_Material_Summary!C188</f>
        <v>2700</v>
      </c>
      <c r="E188">
        <f t="shared" si="17"/>
        <v>675</v>
      </c>
      <c r="F188">
        <f t="shared" si="18"/>
        <v>2667</v>
      </c>
      <c r="G188">
        <v>0.98</v>
      </c>
      <c r="H188">
        <f t="shared" si="19"/>
        <v>2614</v>
      </c>
      <c r="I188">
        <f t="shared" si="20"/>
        <v>3322</v>
      </c>
      <c r="J188">
        <f t="shared" si="21"/>
        <v>622</v>
      </c>
      <c r="K188">
        <f t="shared" si="22"/>
        <v>0</v>
      </c>
      <c r="L188">
        <f t="shared" si="23"/>
        <v>622</v>
      </c>
    </row>
    <row r="189" spans="1:12">
      <c r="A189" s="1">
        <f>Weekly_Material_Summary!A189</f>
        <v>46188</v>
      </c>
      <c r="B189" t="str">
        <f>Weekly_Material_Summary!B189</f>
        <v>M004</v>
      </c>
      <c r="C189">
        <f t="shared" si="24"/>
        <v>1187</v>
      </c>
      <c r="D189">
        <f>Weekly_Material_Summary!C189</f>
        <v>4250</v>
      </c>
      <c r="E189">
        <f t="shared" si="17"/>
        <v>1063</v>
      </c>
      <c r="F189">
        <f t="shared" si="18"/>
        <v>4126</v>
      </c>
      <c r="G189">
        <v>1.02</v>
      </c>
      <c r="H189">
        <f t="shared" si="19"/>
        <v>4209</v>
      </c>
      <c r="I189">
        <f t="shared" si="20"/>
        <v>5396</v>
      </c>
      <c r="J189">
        <f t="shared" si="21"/>
        <v>1146</v>
      </c>
      <c r="K189">
        <f t="shared" si="22"/>
        <v>0</v>
      </c>
      <c r="L189">
        <f t="shared" si="23"/>
        <v>1146</v>
      </c>
    </row>
    <row r="190" spans="1:12">
      <c r="A190" s="1">
        <f>Weekly_Material_Summary!A190</f>
        <v>46188</v>
      </c>
      <c r="B190" t="str">
        <f>Weekly_Material_Summary!B190</f>
        <v>M005</v>
      </c>
      <c r="C190">
        <f t="shared" si="24"/>
        <v>1148</v>
      </c>
      <c r="D190">
        <f>Weekly_Material_Summary!C190</f>
        <v>4628</v>
      </c>
      <c r="E190">
        <f t="shared" si="17"/>
        <v>1157</v>
      </c>
      <c r="F190">
        <f t="shared" si="18"/>
        <v>4637</v>
      </c>
      <c r="G190">
        <v>1</v>
      </c>
      <c r="H190">
        <f t="shared" si="19"/>
        <v>4637</v>
      </c>
      <c r="I190">
        <f t="shared" si="20"/>
        <v>5785</v>
      </c>
      <c r="J190">
        <f t="shared" si="21"/>
        <v>1157</v>
      </c>
      <c r="K190">
        <f t="shared" si="22"/>
        <v>0</v>
      </c>
      <c r="L190">
        <f t="shared" si="23"/>
        <v>1157</v>
      </c>
    </row>
    <row r="191" spans="1:12">
      <c r="A191" s="1">
        <f>Weekly_Material_Summary!A191</f>
        <v>46188</v>
      </c>
      <c r="B191" t="str">
        <f>Weekly_Material_Summary!B191</f>
        <v>M006</v>
      </c>
      <c r="C191">
        <f t="shared" si="24"/>
        <v>131.10000000000002</v>
      </c>
      <c r="D191">
        <f>Weekly_Material_Summary!C191</f>
        <v>536.9</v>
      </c>
      <c r="E191">
        <f t="shared" si="17"/>
        <v>134</v>
      </c>
      <c r="F191">
        <f t="shared" si="18"/>
        <v>540</v>
      </c>
      <c r="G191">
        <v>0.99</v>
      </c>
      <c r="H191">
        <f t="shared" si="19"/>
        <v>535</v>
      </c>
      <c r="I191">
        <f t="shared" si="20"/>
        <v>666.1</v>
      </c>
      <c r="J191">
        <f t="shared" si="21"/>
        <v>129.20000000000005</v>
      </c>
      <c r="K191">
        <f t="shared" si="22"/>
        <v>0</v>
      </c>
      <c r="L191">
        <f t="shared" si="23"/>
        <v>129.20000000000005</v>
      </c>
    </row>
    <row r="192" spans="1:12">
      <c r="A192" s="1">
        <f>Weekly_Material_Summary!A192</f>
        <v>46188</v>
      </c>
      <c r="B192" t="str">
        <f>Weekly_Material_Summary!B192</f>
        <v>M007</v>
      </c>
      <c r="C192">
        <f t="shared" si="24"/>
        <v>14109</v>
      </c>
      <c r="D192">
        <f>Weekly_Material_Summary!C192</f>
        <v>60000</v>
      </c>
      <c r="E192">
        <f t="shared" si="17"/>
        <v>15000</v>
      </c>
      <c r="F192">
        <f t="shared" si="18"/>
        <v>60891</v>
      </c>
      <c r="G192">
        <v>0.98</v>
      </c>
      <c r="H192">
        <f t="shared" si="19"/>
        <v>59673</v>
      </c>
      <c r="I192">
        <f t="shared" si="20"/>
        <v>73782</v>
      </c>
      <c r="J192">
        <f t="shared" si="21"/>
        <v>13782</v>
      </c>
      <c r="K192">
        <f t="shared" si="22"/>
        <v>0</v>
      </c>
      <c r="L192">
        <f t="shared" si="23"/>
        <v>13782</v>
      </c>
    </row>
    <row r="193" spans="1:12">
      <c r="A193" s="1">
        <f>Weekly_Material_Summary!A193</f>
        <v>46188</v>
      </c>
      <c r="B193" t="str">
        <f>Weekly_Material_Summary!B193</f>
        <v>M008</v>
      </c>
      <c r="C193">
        <f t="shared" si="24"/>
        <v>16567</v>
      </c>
      <c r="D193">
        <f>Weekly_Material_Summary!C193</f>
        <v>60000</v>
      </c>
      <c r="E193">
        <f t="shared" si="17"/>
        <v>15000</v>
      </c>
      <c r="F193">
        <f t="shared" si="18"/>
        <v>58433</v>
      </c>
      <c r="G193">
        <v>0.99</v>
      </c>
      <c r="H193">
        <f t="shared" si="19"/>
        <v>57849</v>
      </c>
      <c r="I193">
        <f t="shared" si="20"/>
        <v>74416</v>
      </c>
      <c r="J193">
        <f t="shared" si="21"/>
        <v>14416</v>
      </c>
      <c r="K193">
        <f t="shared" si="22"/>
        <v>0</v>
      </c>
      <c r="L193">
        <f t="shared" si="23"/>
        <v>14416</v>
      </c>
    </row>
    <row r="194" spans="1:12">
      <c r="A194" s="1">
        <f>Weekly_Material_Summary!A194</f>
        <v>46195</v>
      </c>
      <c r="B194" t="str">
        <f>Weekly_Material_Summary!B194</f>
        <v>M001</v>
      </c>
      <c r="C194">
        <f t="shared" si="24"/>
        <v>1225</v>
      </c>
      <c r="D194">
        <f>Weekly_Material_Summary!C194</f>
        <v>5495</v>
      </c>
      <c r="E194">
        <f t="shared" si="17"/>
        <v>1374</v>
      </c>
      <c r="F194">
        <f t="shared" si="18"/>
        <v>5644</v>
      </c>
      <c r="G194">
        <v>1</v>
      </c>
      <c r="H194">
        <f t="shared" si="19"/>
        <v>5644</v>
      </c>
      <c r="I194">
        <f t="shared" si="20"/>
        <v>6869</v>
      </c>
      <c r="J194">
        <f t="shared" si="21"/>
        <v>1374</v>
      </c>
      <c r="K194">
        <f t="shared" si="22"/>
        <v>0</v>
      </c>
      <c r="L194">
        <f t="shared" si="23"/>
        <v>1374</v>
      </c>
    </row>
    <row r="195" spans="1:12">
      <c r="A195" s="1">
        <f>Weekly_Material_Summary!A195</f>
        <v>46195</v>
      </c>
      <c r="B195" t="str">
        <f>Weekly_Material_Summary!B195</f>
        <v>M002</v>
      </c>
      <c r="C195">
        <f t="shared" si="24"/>
        <v>945</v>
      </c>
      <c r="D195">
        <f>Weekly_Material_Summary!C195</f>
        <v>4140</v>
      </c>
      <c r="E195">
        <f t="shared" ref="E195:E258" si="25">ROUND(D195*0.25,0)</f>
        <v>1035</v>
      </c>
      <c r="F195">
        <f t="shared" ref="F195:F258" si="26">MAX(0,ROUND(D195+E195-C195,0))</f>
        <v>4230</v>
      </c>
      <c r="G195">
        <v>1</v>
      </c>
      <c r="H195">
        <f t="shared" ref="H195:H258" si="27">ROUND(F195*G195,0)</f>
        <v>4230</v>
      </c>
      <c r="I195">
        <f t="shared" ref="I195:I258" si="28">C195+H195</f>
        <v>5175</v>
      </c>
      <c r="J195">
        <f t="shared" ref="J195:J258" si="29">I195-D195</f>
        <v>1035</v>
      </c>
      <c r="K195">
        <f t="shared" ref="K195:K258" si="30">MAX(0,-J195)</f>
        <v>0</v>
      </c>
      <c r="L195">
        <f t="shared" si="23"/>
        <v>1035</v>
      </c>
    </row>
    <row r="196" spans="1:12">
      <c r="A196" s="1">
        <f>Weekly_Material_Summary!A196</f>
        <v>46195</v>
      </c>
      <c r="B196" t="str">
        <f>Weekly_Material_Summary!B196</f>
        <v>M003</v>
      </c>
      <c r="C196">
        <f t="shared" si="24"/>
        <v>622</v>
      </c>
      <c r="D196">
        <f>Weekly_Material_Summary!C196</f>
        <v>2925</v>
      </c>
      <c r="E196">
        <f t="shared" si="25"/>
        <v>731</v>
      </c>
      <c r="F196">
        <f t="shared" si="26"/>
        <v>3034</v>
      </c>
      <c r="G196">
        <v>0.99</v>
      </c>
      <c r="H196">
        <f t="shared" si="27"/>
        <v>3004</v>
      </c>
      <c r="I196">
        <f t="shared" si="28"/>
        <v>3626</v>
      </c>
      <c r="J196">
        <f t="shared" si="29"/>
        <v>701</v>
      </c>
      <c r="K196">
        <f t="shared" si="30"/>
        <v>0</v>
      </c>
      <c r="L196">
        <f t="shared" si="23"/>
        <v>701</v>
      </c>
    </row>
    <row r="197" spans="1:12">
      <c r="A197" s="1">
        <f>Weekly_Material_Summary!A197</f>
        <v>46195</v>
      </c>
      <c r="B197" t="str">
        <f>Weekly_Material_Summary!B197</f>
        <v>M004</v>
      </c>
      <c r="C197">
        <f t="shared" si="24"/>
        <v>1146</v>
      </c>
      <c r="D197">
        <f>Weekly_Material_Summary!C197</f>
        <v>4318</v>
      </c>
      <c r="E197">
        <f t="shared" si="25"/>
        <v>1080</v>
      </c>
      <c r="F197">
        <f t="shared" si="26"/>
        <v>4252</v>
      </c>
      <c r="G197">
        <v>0.98</v>
      </c>
      <c r="H197">
        <f t="shared" si="27"/>
        <v>4167</v>
      </c>
      <c r="I197">
        <f t="shared" si="28"/>
        <v>5313</v>
      </c>
      <c r="J197">
        <f t="shared" si="29"/>
        <v>995</v>
      </c>
      <c r="K197">
        <f t="shared" si="30"/>
        <v>0</v>
      </c>
      <c r="L197">
        <f t="shared" si="23"/>
        <v>995</v>
      </c>
    </row>
    <row r="198" spans="1:12">
      <c r="A198" s="1">
        <f>Weekly_Material_Summary!A198</f>
        <v>46195</v>
      </c>
      <c r="B198" t="str">
        <f>Weekly_Material_Summary!B198</f>
        <v>M005</v>
      </c>
      <c r="C198">
        <f t="shared" si="24"/>
        <v>1157</v>
      </c>
      <c r="D198">
        <f>Weekly_Material_Summary!C198</f>
        <v>4628</v>
      </c>
      <c r="E198">
        <f t="shared" si="25"/>
        <v>1157</v>
      </c>
      <c r="F198">
        <f t="shared" si="26"/>
        <v>4628</v>
      </c>
      <c r="G198">
        <v>1</v>
      </c>
      <c r="H198">
        <f t="shared" si="27"/>
        <v>4628</v>
      </c>
      <c r="I198">
        <f t="shared" si="28"/>
        <v>5785</v>
      </c>
      <c r="J198">
        <f t="shared" si="29"/>
        <v>1157</v>
      </c>
      <c r="K198">
        <f t="shared" si="30"/>
        <v>0</v>
      </c>
      <c r="L198">
        <f t="shared" si="23"/>
        <v>1157</v>
      </c>
    </row>
    <row r="199" spans="1:12">
      <c r="A199" s="1">
        <f>Weekly_Material_Summary!A199</f>
        <v>46195</v>
      </c>
      <c r="B199" t="str">
        <f>Weekly_Material_Summary!B199</f>
        <v>M006</v>
      </c>
      <c r="C199">
        <f t="shared" si="24"/>
        <v>129.20000000000005</v>
      </c>
      <c r="D199">
        <f>Weekly_Material_Summary!C199</f>
        <v>558.69999999999993</v>
      </c>
      <c r="E199">
        <f t="shared" si="25"/>
        <v>140</v>
      </c>
      <c r="F199">
        <f t="shared" si="26"/>
        <v>570</v>
      </c>
      <c r="G199">
        <v>0.99</v>
      </c>
      <c r="H199">
        <f t="shared" si="27"/>
        <v>564</v>
      </c>
      <c r="I199">
        <f t="shared" si="28"/>
        <v>693.2</v>
      </c>
      <c r="J199">
        <f t="shared" si="29"/>
        <v>134.50000000000011</v>
      </c>
      <c r="K199">
        <f t="shared" si="30"/>
        <v>0</v>
      </c>
      <c r="L199">
        <f t="shared" si="23"/>
        <v>134.50000000000011</v>
      </c>
    </row>
    <row r="200" spans="1:12">
      <c r="A200" s="1">
        <f>Weekly_Material_Summary!A200</f>
        <v>46195</v>
      </c>
      <c r="B200" t="str">
        <f>Weekly_Material_Summary!B200</f>
        <v>M007</v>
      </c>
      <c r="C200">
        <f t="shared" si="24"/>
        <v>13782</v>
      </c>
      <c r="D200">
        <f>Weekly_Material_Summary!C200</f>
        <v>62800</v>
      </c>
      <c r="E200">
        <f t="shared" si="25"/>
        <v>15700</v>
      </c>
      <c r="F200">
        <f t="shared" si="26"/>
        <v>64718</v>
      </c>
      <c r="G200">
        <v>1.01</v>
      </c>
      <c r="H200">
        <f t="shared" si="27"/>
        <v>65365</v>
      </c>
      <c r="I200">
        <f t="shared" si="28"/>
        <v>79147</v>
      </c>
      <c r="J200">
        <f t="shared" si="29"/>
        <v>16347</v>
      </c>
      <c r="K200">
        <f t="shared" si="30"/>
        <v>0</v>
      </c>
      <c r="L200">
        <f t="shared" si="23"/>
        <v>16347</v>
      </c>
    </row>
    <row r="201" spans="1:12">
      <c r="A201" s="1">
        <f>Weekly_Material_Summary!A201</f>
        <v>46195</v>
      </c>
      <c r="B201" t="str">
        <f>Weekly_Material_Summary!B201</f>
        <v>M008</v>
      </c>
      <c r="C201">
        <f t="shared" si="24"/>
        <v>14416</v>
      </c>
      <c r="D201">
        <f>Weekly_Material_Summary!C201</f>
        <v>62800</v>
      </c>
      <c r="E201">
        <f t="shared" si="25"/>
        <v>15700</v>
      </c>
      <c r="F201">
        <f t="shared" si="26"/>
        <v>64084</v>
      </c>
      <c r="G201">
        <v>0.98</v>
      </c>
      <c r="H201">
        <f t="shared" si="27"/>
        <v>62802</v>
      </c>
      <c r="I201">
        <f t="shared" si="28"/>
        <v>77218</v>
      </c>
      <c r="J201">
        <f t="shared" si="29"/>
        <v>14418</v>
      </c>
      <c r="K201">
        <f t="shared" si="30"/>
        <v>0</v>
      </c>
      <c r="L201">
        <f t="shared" si="23"/>
        <v>14418</v>
      </c>
    </row>
    <row r="202" spans="1:12">
      <c r="A202" s="1">
        <f>Weekly_Material_Summary!A202</f>
        <v>46202</v>
      </c>
      <c r="B202" t="str">
        <f>Weekly_Material_Summary!B202</f>
        <v>M001</v>
      </c>
      <c r="C202">
        <f t="shared" si="24"/>
        <v>1374</v>
      </c>
      <c r="D202">
        <f>Weekly_Material_Summary!C202</f>
        <v>5355</v>
      </c>
      <c r="E202">
        <f t="shared" si="25"/>
        <v>1339</v>
      </c>
      <c r="F202">
        <f t="shared" si="26"/>
        <v>5320</v>
      </c>
      <c r="G202">
        <v>0.98</v>
      </c>
      <c r="H202">
        <f t="shared" si="27"/>
        <v>5214</v>
      </c>
      <c r="I202">
        <f t="shared" si="28"/>
        <v>6588</v>
      </c>
      <c r="J202">
        <f t="shared" si="29"/>
        <v>1233</v>
      </c>
      <c r="K202">
        <f t="shared" si="30"/>
        <v>0</v>
      </c>
      <c r="L202">
        <f t="shared" ref="L202:L265" si="31">MAX(0,J202)</f>
        <v>1233</v>
      </c>
    </row>
    <row r="203" spans="1:12">
      <c r="A203" s="1">
        <f>Weekly_Material_Summary!A203</f>
        <v>46202</v>
      </c>
      <c r="B203" t="str">
        <f>Weekly_Material_Summary!B203</f>
        <v>M002</v>
      </c>
      <c r="C203">
        <f t="shared" ref="C203:C266" si="32">L195</f>
        <v>1035</v>
      </c>
      <c r="D203">
        <f>Weekly_Material_Summary!C203</f>
        <v>4020</v>
      </c>
      <c r="E203">
        <f t="shared" si="25"/>
        <v>1005</v>
      </c>
      <c r="F203">
        <f t="shared" si="26"/>
        <v>3990</v>
      </c>
      <c r="G203">
        <v>1</v>
      </c>
      <c r="H203">
        <f t="shared" si="27"/>
        <v>3990</v>
      </c>
      <c r="I203">
        <f t="shared" si="28"/>
        <v>5025</v>
      </c>
      <c r="J203">
        <f t="shared" si="29"/>
        <v>1005</v>
      </c>
      <c r="K203">
        <f t="shared" si="30"/>
        <v>0</v>
      </c>
      <c r="L203">
        <f t="shared" si="31"/>
        <v>1005</v>
      </c>
    </row>
    <row r="204" spans="1:12">
      <c r="A204" s="1">
        <f>Weekly_Material_Summary!A204</f>
        <v>46202</v>
      </c>
      <c r="B204" t="str">
        <f>Weekly_Material_Summary!B204</f>
        <v>M003</v>
      </c>
      <c r="C204">
        <f t="shared" si="32"/>
        <v>701</v>
      </c>
      <c r="D204">
        <f>Weekly_Material_Summary!C204</f>
        <v>2925</v>
      </c>
      <c r="E204">
        <f t="shared" si="25"/>
        <v>731</v>
      </c>
      <c r="F204">
        <f t="shared" si="26"/>
        <v>2955</v>
      </c>
      <c r="G204">
        <v>1</v>
      </c>
      <c r="H204">
        <f t="shared" si="27"/>
        <v>2955</v>
      </c>
      <c r="I204">
        <f t="shared" si="28"/>
        <v>3656</v>
      </c>
      <c r="J204">
        <f t="shared" si="29"/>
        <v>731</v>
      </c>
      <c r="K204">
        <f t="shared" si="30"/>
        <v>0</v>
      </c>
      <c r="L204">
        <f t="shared" si="31"/>
        <v>731</v>
      </c>
    </row>
    <row r="205" spans="1:12">
      <c r="A205" s="1">
        <f>Weekly_Material_Summary!A205</f>
        <v>46202</v>
      </c>
      <c r="B205" t="str">
        <f>Weekly_Material_Summary!B205</f>
        <v>M004</v>
      </c>
      <c r="C205">
        <f t="shared" si="32"/>
        <v>995</v>
      </c>
      <c r="D205">
        <f>Weekly_Material_Summary!C205</f>
        <v>4080.0000000000005</v>
      </c>
      <c r="E205">
        <f t="shared" si="25"/>
        <v>1020</v>
      </c>
      <c r="F205">
        <f t="shared" si="26"/>
        <v>4105</v>
      </c>
      <c r="G205">
        <v>0.98</v>
      </c>
      <c r="H205">
        <f t="shared" si="27"/>
        <v>4023</v>
      </c>
      <c r="I205">
        <f t="shared" si="28"/>
        <v>5018</v>
      </c>
      <c r="J205">
        <f t="shared" si="29"/>
        <v>937.99999999999955</v>
      </c>
      <c r="K205">
        <f t="shared" si="30"/>
        <v>0</v>
      </c>
      <c r="L205">
        <f t="shared" si="31"/>
        <v>937.99999999999955</v>
      </c>
    </row>
    <row r="206" spans="1:12">
      <c r="A206" s="1">
        <f>Weekly_Material_Summary!A206</f>
        <v>46202</v>
      </c>
      <c r="B206" t="str">
        <f>Weekly_Material_Summary!B206</f>
        <v>M005</v>
      </c>
      <c r="C206">
        <f t="shared" si="32"/>
        <v>1157</v>
      </c>
      <c r="D206">
        <f>Weekly_Material_Summary!C206</f>
        <v>4888</v>
      </c>
      <c r="E206">
        <f t="shared" si="25"/>
        <v>1222</v>
      </c>
      <c r="F206">
        <f t="shared" si="26"/>
        <v>4953</v>
      </c>
      <c r="G206">
        <v>1.01</v>
      </c>
      <c r="H206">
        <f t="shared" si="27"/>
        <v>5003</v>
      </c>
      <c r="I206">
        <f t="shared" si="28"/>
        <v>6160</v>
      </c>
      <c r="J206">
        <f t="shared" si="29"/>
        <v>1272</v>
      </c>
      <c r="K206">
        <f t="shared" si="30"/>
        <v>0</v>
      </c>
      <c r="L206">
        <f t="shared" si="31"/>
        <v>1272</v>
      </c>
    </row>
    <row r="207" spans="1:12">
      <c r="A207" s="1">
        <f>Weekly_Material_Summary!A207</f>
        <v>46202</v>
      </c>
      <c r="B207" t="str">
        <f>Weekly_Material_Summary!B207</f>
        <v>M006</v>
      </c>
      <c r="C207">
        <f t="shared" si="32"/>
        <v>134.50000000000011</v>
      </c>
      <c r="D207">
        <f>Weekly_Material_Summary!C207</f>
        <v>551.19999999999993</v>
      </c>
      <c r="E207">
        <f t="shared" si="25"/>
        <v>138</v>
      </c>
      <c r="F207">
        <f t="shared" si="26"/>
        <v>555</v>
      </c>
      <c r="G207">
        <v>1.02</v>
      </c>
      <c r="H207">
        <f t="shared" si="27"/>
        <v>566</v>
      </c>
      <c r="I207">
        <f t="shared" si="28"/>
        <v>700.50000000000011</v>
      </c>
      <c r="J207">
        <f t="shared" si="29"/>
        <v>149.30000000000018</v>
      </c>
      <c r="K207">
        <f t="shared" si="30"/>
        <v>0</v>
      </c>
      <c r="L207">
        <f t="shared" si="31"/>
        <v>149.30000000000018</v>
      </c>
    </row>
    <row r="208" spans="1:12">
      <c r="A208" s="1">
        <f>Weekly_Material_Summary!A208</f>
        <v>46202</v>
      </c>
      <c r="B208" t="str">
        <f>Weekly_Material_Summary!B208</f>
        <v>M007</v>
      </c>
      <c r="C208">
        <f t="shared" si="32"/>
        <v>16347</v>
      </c>
      <c r="D208">
        <f>Weekly_Material_Summary!C208</f>
        <v>61800</v>
      </c>
      <c r="E208">
        <f t="shared" si="25"/>
        <v>15450</v>
      </c>
      <c r="F208">
        <f t="shared" si="26"/>
        <v>60903</v>
      </c>
      <c r="G208">
        <v>1.01</v>
      </c>
      <c r="H208">
        <f t="shared" si="27"/>
        <v>61512</v>
      </c>
      <c r="I208">
        <f t="shared" si="28"/>
        <v>77859</v>
      </c>
      <c r="J208">
        <f t="shared" si="29"/>
        <v>16059</v>
      </c>
      <c r="K208">
        <f t="shared" si="30"/>
        <v>0</v>
      </c>
      <c r="L208">
        <f t="shared" si="31"/>
        <v>16059</v>
      </c>
    </row>
    <row r="209" spans="1:12">
      <c r="A209" s="1">
        <f>Weekly_Material_Summary!A209</f>
        <v>46202</v>
      </c>
      <c r="B209" t="str">
        <f>Weekly_Material_Summary!B209</f>
        <v>M008</v>
      </c>
      <c r="C209">
        <f t="shared" si="32"/>
        <v>14418</v>
      </c>
      <c r="D209">
        <f>Weekly_Material_Summary!C209</f>
        <v>61800</v>
      </c>
      <c r="E209">
        <f t="shared" si="25"/>
        <v>15450</v>
      </c>
      <c r="F209">
        <f t="shared" si="26"/>
        <v>62832</v>
      </c>
      <c r="G209">
        <v>0.99</v>
      </c>
      <c r="H209">
        <f t="shared" si="27"/>
        <v>62204</v>
      </c>
      <c r="I209">
        <f t="shared" si="28"/>
        <v>76622</v>
      </c>
      <c r="J209">
        <f t="shared" si="29"/>
        <v>14822</v>
      </c>
      <c r="K209">
        <f t="shared" si="30"/>
        <v>0</v>
      </c>
      <c r="L209">
        <f t="shared" si="31"/>
        <v>14822</v>
      </c>
    </row>
    <row r="210" spans="1:12">
      <c r="A210" s="1">
        <f>Weekly_Material_Summary!A210</f>
        <v>46209</v>
      </c>
      <c r="B210" t="str">
        <f>Weekly_Material_Summary!B210</f>
        <v>M001</v>
      </c>
      <c r="C210">
        <f t="shared" si="32"/>
        <v>1233</v>
      </c>
      <c r="D210">
        <f>Weekly_Material_Summary!C210</f>
        <v>5530</v>
      </c>
      <c r="E210">
        <f t="shared" si="25"/>
        <v>1383</v>
      </c>
      <c r="F210">
        <f t="shared" si="26"/>
        <v>5680</v>
      </c>
      <c r="G210">
        <v>1.02</v>
      </c>
      <c r="H210">
        <f t="shared" si="27"/>
        <v>5794</v>
      </c>
      <c r="I210">
        <f t="shared" si="28"/>
        <v>7027</v>
      </c>
      <c r="J210">
        <f t="shared" si="29"/>
        <v>1497</v>
      </c>
      <c r="K210">
        <f t="shared" si="30"/>
        <v>0</v>
      </c>
      <c r="L210">
        <f t="shared" si="31"/>
        <v>1497</v>
      </c>
    </row>
    <row r="211" spans="1:12">
      <c r="A211" s="1">
        <f>Weekly_Material_Summary!A211</f>
        <v>46209</v>
      </c>
      <c r="B211" t="str">
        <f>Weekly_Material_Summary!B211</f>
        <v>M002</v>
      </c>
      <c r="C211">
        <f t="shared" si="32"/>
        <v>1005</v>
      </c>
      <c r="D211">
        <f>Weekly_Material_Summary!C211</f>
        <v>4290</v>
      </c>
      <c r="E211">
        <f t="shared" si="25"/>
        <v>1073</v>
      </c>
      <c r="F211">
        <f t="shared" si="26"/>
        <v>4358</v>
      </c>
      <c r="G211">
        <v>1.01</v>
      </c>
      <c r="H211">
        <f t="shared" si="27"/>
        <v>4402</v>
      </c>
      <c r="I211">
        <f t="shared" si="28"/>
        <v>5407</v>
      </c>
      <c r="J211">
        <f t="shared" si="29"/>
        <v>1117</v>
      </c>
      <c r="K211">
        <f t="shared" si="30"/>
        <v>0</v>
      </c>
      <c r="L211">
        <f t="shared" si="31"/>
        <v>1117</v>
      </c>
    </row>
    <row r="212" spans="1:12">
      <c r="A212" s="1">
        <f>Weekly_Material_Summary!A212</f>
        <v>46209</v>
      </c>
      <c r="B212" t="str">
        <f>Weekly_Material_Summary!B212</f>
        <v>M003</v>
      </c>
      <c r="C212">
        <f t="shared" si="32"/>
        <v>731</v>
      </c>
      <c r="D212">
        <f>Weekly_Material_Summary!C212</f>
        <v>2900</v>
      </c>
      <c r="E212">
        <f t="shared" si="25"/>
        <v>725</v>
      </c>
      <c r="F212">
        <f t="shared" si="26"/>
        <v>2894</v>
      </c>
      <c r="G212">
        <v>1</v>
      </c>
      <c r="H212">
        <f t="shared" si="27"/>
        <v>2894</v>
      </c>
      <c r="I212">
        <f t="shared" si="28"/>
        <v>3625</v>
      </c>
      <c r="J212">
        <f t="shared" si="29"/>
        <v>725</v>
      </c>
      <c r="K212">
        <f t="shared" si="30"/>
        <v>0</v>
      </c>
      <c r="L212">
        <f t="shared" si="31"/>
        <v>725</v>
      </c>
    </row>
    <row r="213" spans="1:12">
      <c r="A213" s="1">
        <f>Weekly_Material_Summary!A213</f>
        <v>46209</v>
      </c>
      <c r="B213" t="str">
        <f>Weekly_Material_Summary!B213</f>
        <v>M004</v>
      </c>
      <c r="C213">
        <f t="shared" si="32"/>
        <v>937.99999999999955</v>
      </c>
      <c r="D213">
        <f>Weekly_Material_Summary!C213</f>
        <v>4250</v>
      </c>
      <c r="E213">
        <f t="shared" si="25"/>
        <v>1063</v>
      </c>
      <c r="F213">
        <f t="shared" si="26"/>
        <v>4375</v>
      </c>
      <c r="G213">
        <v>0.99</v>
      </c>
      <c r="H213">
        <f t="shared" si="27"/>
        <v>4331</v>
      </c>
      <c r="I213">
        <f t="shared" si="28"/>
        <v>5269</v>
      </c>
      <c r="J213">
        <f t="shared" si="29"/>
        <v>1019</v>
      </c>
      <c r="K213">
        <f t="shared" si="30"/>
        <v>0</v>
      </c>
      <c r="L213">
        <f t="shared" si="31"/>
        <v>1019</v>
      </c>
    </row>
    <row r="214" spans="1:12">
      <c r="A214" s="1">
        <f>Weekly_Material_Summary!A214</f>
        <v>46209</v>
      </c>
      <c r="B214" t="str">
        <f>Weekly_Material_Summary!B214</f>
        <v>M005</v>
      </c>
      <c r="C214">
        <f t="shared" si="32"/>
        <v>1272</v>
      </c>
      <c r="D214">
        <f>Weekly_Material_Summary!C214</f>
        <v>5252</v>
      </c>
      <c r="E214">
        <f t="shared" si="25"/>
        <v>1313</v>
      </c>
      <c r="F214">
        <f t="shared" si="26"/>
        <v>5293</v>
      </c>
      <c r="G214">
        <v>0.98</v>
      </c>
      <c r="H214">
        <f t="shared" si="27"/>
        <v>5187</v>
      </c>
      <c r="I214">
        <f t="shared" si="28"/>
        <v>6459</v>
      </c>
      <c r="J214">
        <f t="shared" si="29"/>
        <v>1207</v>
      </c>
      <c r="K214">
        <f t="shared" si="30"/>
        <v>0</v>
      </c>
      <c r="L214">
        <f t="shared" si="31"/>
        <v>1207</v>
      </c>
    </row>
    <row r="215" spans="1:12">
      <c r="A215" s="1">
        <f>Weekly_Material_Summary!A215</f>
        <v>46209</v>
      </c>
      <c r="B215" t="str">
        <f>Weekly_Material_Summary!B215</f>
        <v>M006</v>
      </c>
      <c r="C215">
        <f t="shared" si="32"/>
        <v>149.30000000000018</v>
      </c>
      <c r="D215">
        <f>Weekly_Material_Summary!C215</f>
        <v>575.70000000000005</v>
      </c>
      <c r="E215">
        <f t="shared" si="25"/>
        <v>144</v>
      </c>
      <c r="F215">
        <f t="shared" si="26"/>
        <v>570</v>
      </c>
      <c r="G215">
        <v>0.99</v>
      </c>
      <c r="H215">
        <f t="shared" si="27"/>
        <v>564</v>
      </c>
      <c r="I215">
        <f t="shared" si="28"/>
        <v>713.30000000000018</v>
      </c>
      <c r="J215">
        <f t="shared" si="29"/>
        <v>137.60000000000014</v>
      </c>
      <c r="K215">
        <f t="shared" si="30"/>
        <v>0</v>
      </c>
      <c r="L215">
        <f t="shared" si="31"/>
        <v>137.60000000000014</v>
      </c>
    </row>
    <row r="216" spans="1:12">
      <c r="A216" s="1">
        <f>Weekly_Material_Summary!A216</f>
        <v>46209</v>
      </c>
      <c r="B216" t="str">
        <f>Weekly_Material_Summary!B216</f>
        <v>M007</v>
      </c>
      <c r="C216">
        <f t="shared" si="32"/>
        <v>16059</v>
      </c>
      <c r="D216">
        <f>Weekly_Material_Summary!C216</f>
        <v>64300</v>
      </c>
      <c r="E216">
        <f t="shared" si="25"/>
        <v>16075</v>
      </c>
      <c r="F216">
        <f t="shared" si="26"/>
        <v>64316</v>
      </c>
      <c r="G216">
        <v>0.99</v>
      </c>
      <c r="H216">
        <f t="shared" si="27"/>
        <v>63673</v>
      </c>
      <c r="I216">
        <f t="shared" si="28"/>
        <v>79732</v>
      </c>
      <c r="J216">
        <f t="shared" si="29"/>
        <v>15432</v>
      </c>
      <c r="K216">
        <f t="shared" si="30"/>
        <v>0</v>
      </c>
      <c r="L216">
        <f t="shared" si="31"/>
        <v>15432</v>
      </c>
    </row>
    <row r="217" spans="1:12">
      <c r="A217" s="1">
        <f>Weekly_Material_Summary!A217</f>
        <v>46209</v>
      </c>
      <c r="B217" t="str">
        <f>Weekly_Material_Summary!B217</f>
        <v>M008</v>
      </c>
      <c r="C217">
        <f t="shared" si="32"/>
        <v>14822</v>
      </c>
      <c r="D217">
        <f>Weekly_Material_Summary!C217</f>
        <v>64300</v>
      </c>
      <c r="E217">
        <f t="shared" si="25"/>
        <v>16075</v>
      </c>
      <c r="F217">
        <f t="shared" si="26"/>
        <v>65553</v>
      </c>
      <c r="G217">
        <v>0.99</v>
      </c>
      <c r="H217">
        <f t="shared" si="27"/>
        <v>64897</v>
      </c>
      <c r="I217">
        <f t="shared" si="28"/>
        <v>79719</v>
      </c>
      <c r="J217">
        <f t="shared" si="29"/>
        <v>15419</v>
      </c>
      <c r="K217">
        <f t="shared" si="30"/>
        <v>0</v>
      </c>
      <c r="L217">
        <f t="shared" si="31"/>
        <v>15419</v>
      </c>
    </row>
    <row r="218" spans="1:12">
      <c r="A218" s="1">
        <f>Weekly_Material_Summary!A218</f>
        <v>46216</v>
      </c>
      <c r="B218" t="str">
        <f>Weekly_Material_Summary!B218</f>
        <v>M001</v>
      </c>
      <c r="C218">
        <f t="shared" si="32"/>
        <v>1497</v>
      </c>
      <c r="D218">
        <f>Weekly_Material_Summary!C218</f>
        <v>5495</v>
      </c>
      <c r="E218">
        <f t="shared" si="25"/>
        <v>1374</v>
      </c>
      <c r="F218">
        <f t="shared" si="26"/>
        <v>5372</v>
      </c>
      <c r="G218">
        <v>0.98</v>
      </c>
      <c r="H218">
        <f t="shared" si="27"/>
        <v>5265</v>
      </c>
      <c r="I218">
        <f t="shared" si="28"/>
        <v>6762</v>
      </c>
      <c r="J218">
        <f t="shared" si="29"/>
        <v>1267</v>
      </c>
      <c r="K218">
        <f t="shared" si="30"/>
        <v>0</v>
      </c>
      <c r="L218">
        <f t="shared" si="31"/>
        <v>1267</v>
      </c>
    </row>
    <row r="219" spans="1:12">
      <c r="A219" s="1">
        <f>Weekly_Material_Summary!A219</f>
        <v>46216</v>
      </c>
      <c r="B219" t="str">
        <f>Weekly_Material_Summary!B219</f>
        <v>M002</v>
      </c>
      <c r="C219">
        <f t="shared" si="32"/>
        <v>1117</v>
      </c>
      <c r="D219">
        <f>Weekly_Material_Summary!C219</f>
        <v>4230</v>
      </c>
      <c r="E219">
        <f t="shared" si="25"/>
        <v>1058</v>
      </c>
      <c r="F219">
        <f t="shared" si="26"/>
        <v>4171</v>
      </c>
      <c r="G219">
        <v>0.98</v>
      </c>
      <c r="H219">
        <f t="shared" si="27"/>
        <v>4088</v>
      </c>
      <c r="I219">
        <f t="shared" si="28"/>
        <v>5205</v>
      </c>
      <c r="J219">
        <f t="shared" si="29"/>
        <v>975</v>
      </c>
      <c r="K219">
        <f t="shared" si="30"/>
        <v>0</v>
      </c>
      <c r="L219">
        <f t="shared" si="31"/>
        <v>975</v>
      </c>
    </row>
    <row r="220" spans="1:12">
      <c r="A220" s="1">
        <f>Weekly_Material_Summary!A220</f>
        <v>46216</v>
      </c>
      <c r="B220" t="str">
        <f>Weekly_Material_Summary!B220</f>
        <v>M003</v>
      </c>
      <c r="C220">
        <f t="shared" si="32"/>
        <v>725</v>
      </c>
      <c r="D220">
        <f>Weekly_Material_Summary!C220</f>
        <v>3025</v>
      </c>
      <c r="E220">
        <f t="shared" si="25"/>
        <v>756</v>
      </c>
      <c r="F220">
        <f t="shared" si="26"/>
        <v>3056</v>
      </c>
      <c r="G220">
        <v>0.98</v>
      </c>
      <c r="H220">
        <f t="shared" si="27"/>
        <v>2995</v>
      </c>
      <c r="I220">
        <f t="shared" si="28"/>
        <v>3720</v>
      </c>
      <c r="J220">
        <f t="shared" si="29"/>
        <v>695</v>
      </c>
      <c r="K220">
        <f t="shared" si="30"/>
        <v>0</v>
      </c>
      <c r="L220">
        <f t="shared" si="31"/>
        <v>695</v>
      </c>
    </row>
    <row r="221" spans="1:12">
      <c r="A221" s="1">
        <f>Weekly_Material_Summary!A221</f>
        <v>46216</v>
      </c>
      <c r="B221" t="str">
        <f>Weekly_Material_Summary!B221</f>
        <v>M004</v>
      </c>
      <c r="C221">
        <f t="shared" si="32"/>
        <v>1019</v>
      </c>
      <c r="D221">
        <f>Weekly_Material_Summary!C221</f>
        <v>4114</v>
      </c>
      <c r="E221">
        <f t="shared" si="25"/>
        <v>1029</v>
      </c>
      <c r="F221">
        <f t="shared" si="26"/>
        <v>4124</v>
      </c>
      <c r="G221">
        <v>1</v>
      </c>
      <c r="H221">
        <f t="shared" si="27"/>
        <v>4124</v>
      </c>
      <c r="I221">
        <f t="shared" si="28"/>
        <v>5143</v>
      </c>
      <c r="J221">
        <f t="shared" si="29"/>
        <v>1029</v>
      </c>
      <c r="K221">
        <f t="shared" si="30"/>
        <v>0</v>
      </c>
      <c r="L221">
        <f t="shared" si="31"/>
        <v>1029</v>
      </c>
    </row>
    <row r="222" spans="1:12">
      <c r="A222" s="1">
        <f>Weekly_Material_Summary!A222</f>
        <v>46216</v>
      </c>
      <c r="B222" t="str">
        <f>Weekly_Material_Summary!B222</f>
        <v>M005</v>
      </c>
      <c r="C222">
        <f t="shared" si="32"/>
        <v>1207</v>
      </c>
      <c r="D222">
        <f>Weekly_Material_Summary!C222</f>
        <v>5096</v>
      </c>
      <c r="E222">
        <f t="shared" si="25"/>
        <v>1274</v>
      </c>
      <c r="F222">
        <f t="shared" si="26"/>
        <v>5163</v>
      </c>
      <c r="G222">
        <v>1.02</v>
      </c>
      <c r="H222">
        <f t="shared" si="27"/>
        <v>5266</v>
      </c>
      <c r="I222">
        <f t="shared" si="28"/>
        <v>6473</v>
      </c>
      <c r="J222">
        <f t="shared" si="29"/>
        <v>1377</v>
      </c>
      <c r="K222">
        <f t="shared" si="30"/>
        <v>0</v>
      </c>
      <c r="L222">
        <f t="shared" si="31"/>
        <v>1377</v>
      </c>
    </row>
    <row r="223" spans="1:12">
      <c r="A223" s="1">
        <f>Weekly_Material_Summary!A223</f>
        <v>46216</v>
      </c>
      <c r="B223" t="str">
        <f>Weekly_Material_Summary!B223</f>
        <v>M006</v>
      </c>
      <c r="C223">
        <f t="shared" si="32"/>
        <v>137.60000000000014</v>
      </c>
      <c r="D223">
        <f>Weekly_Material_Summary!C223</f>
        <v>568.9</v>
      </c>
      <c r="E223">
        <f t="shared" si="25"/>
        <v>142</v>
      </c>
      <c r="F223">
        <f t="shared" si="26"/>
        <v>573</v>
      </c>
      <c r="G223">
        <v>0.98</v>
      </c>
      <c r="H223">
        <f t="shared" si="27"/>
        <v>562</v>
      </c>
      <c r="I223">
        <f t="shared" si="28"/>
        <v>699.60000000000014</v>
      </c>
      <c r="J223">
        <f t="shared" si="29"/>
        <v>130.70000000000016</v>
      </c>
      <c r="K223">
        <f t="shared" si="30"/>
        <v>0</v>
      </c>
      <c r="L223">
        <f t="shared" si="31"/>
        <v>130.70000000000016</v>
      </c>
    </row>
    <row r="224" spans="1:12">
      <c r="A224" s="1">
        <f>Weekly_Material_Summary!A224</f>
        <v>46216</v>
      </c>
      <c r="B224" t="str">
        <f>Weekly_Material_Summary!B224</f>
        <v>M007</v>
      </c>
      <c r="C224">
        <f t="shared" si="32"/>
        <v>15432</v>
      </c>
      <c r="D224">
        <f>Weekly_Material_Summary!C224</f>
        <v>63800</v>
      </c>
      <c r="E224">
        <f t="shared" si="25"/>
        <v>15950</v>
      </c>
      <c r="F224">
        <f t="shared" si="26"/>
        <v>64318</v>
      </c>
      <c r="G224">
        <v>1.02</v>
      </c>
      <c r="H224">
        <f t="shared" si="27"/>
        <v>65604</v>
      </c>
      <c r="I224">
        <f t="shared" si="28"/>
        <v>81036</v>
      </c>
      <c r="J224">
        <f t="shared" si="29"/>
        <v>17236</v>
      </c>
      <c r="K224">
        <f t="shared" si="30"/>
        <v>0</v>
      </c>
      <c r="L224">
        <f t="shared" si="31"/>
        <v>17236</v>
      </c>
    </row>
    <row r="225" spans="1:12">
      <c r="A225" s="1">
        <f>Weekly_Material_Summary!A225</f>
        <v>46216</v>
      </c>
      <c r="B225" t="str">
        <f>Weekly_Material_Summary!B225</f>
        <v>M008</v>
      </c>
      <c r="C225">
        <f t="shared" si="32"/>
        <v>15419</v>
      </c>
      <c r="D225">
        <f>Weekly_Material_Summary!C225</f>
        <v>63800</v>
      </c>
      <c r="E225">
        <f t="shared" si="25"/>
        <v>15950</v>
      </c>
      <c r="F225">
        <f t="shared" si="26"/>
        <v>64331</v>
      </c>
      <c r="G225">
        <v>1.01</v>
      </c>
      <c r="H225">
        <f t="shared" si="27"/>
        <v>64974</v>
      </c>
      <c r="I225">
        <f t="shared" si="28"/>
        <v>80393</v>
      </c>
      <c r="J225">
        <f t="shared" si="29"/>
        <v>16593</v>
      </c>
      <c r="K225">
        <f t="shared" si="30"/>
        <v>0</v>
      </c>
      <c r="L225">
        <f t="shared" si="31"/>
        <v>16593</v>
      </c>
    </row>
    <row r="226" spans="1:12">
      <c r="A226" s="1">
        <f>Weekly_Material_Summary!A226</f>
        <v>46223</v>
      </c>
      <c r="B226" t="str">
        <f>Weekly_Material_Summary!B226</f>
        <v>M001</v>
      </c>
      <c r="C226">
        <f t="shared" si="32"/>
        <v>1267</v>
      </c>
      <c r="D226">
        <f>Weekly_Material_Summary!C226</f>
        <v>5600</v>
      </c>
      <c r="E226">
        <f t="shared" si="25"/>
        <v>1400</v>
      </c>
      <c r="F226">
        <f t="shared" si="26"/>
        <v>5733</v>
      </c>
      <c r="G226">
        <v>0.98</v>
      </c>
      <c r="H226">
        <f t="shared" si="27"/>
        <v>5618</v>
      </c>
      <c r="I226">
        <f t="shared" si="28"/>
        <v>6885</v>
      </c>
      <c r="J226">
        <f t="shared" si="29"/>
        <v>1285</v>
      </c>
      <c r="K226">
        <f t="shared" si="30"/>
        <v>0</v>
      </c>
      <c r="L226">
        <f t="shared" si="31"/>
        <v>1285</v>
      </c>
    </row>
    <row r="227" spans="1:12">
      <c r="A227" s="1">
        <f>Weekly_Material_Summary!A227</f>
        <v>46223</v>
      </c>
      <c r="B227" t="str">
        <f>Weekly_Material_Summary!B227</f>
        <v>M002</v>
      </c>
      <c r="C227">
        <f t="shared" si="32"/>
        <v>975</v>
      </c>
      <c r="D227">
        <f>Weekly_Material_Summary!C227</f>
        <v>4110</v>
      </c>
      <c r="E227">
        <f t="shared" si="25"/>
        <v>1028</v>
      </c>
      <c r="F227">
        <f t="shared" si="26"/>
        <v>4163</v>
      </c>
      <c r="G227">
        <v>1</v>
      </c>
      <c r="H227">
        <f t="shared" si="27"/>
        <v>4163</v>
      </c>
      <c r="I227">
        <f t="shared" si="28"/>
        <v>5138</v>
      </c>
      <c r="J227">
        <f t="shared" si="29"/>
        <v>1028</v>
      </c>
      <c r="K227">
        <f t="shared" si="30"/>
        <v>0</v>
      </c>
      <c r="L227">
        <f t="shared" si="31"/>
        <v>1028</v>
      </c>
    </row>
    <row r="228" spans="1:12">
      <c r="A228" s="1">
        <f>Weekly_Material_Summary!A228</f>
        <v>46223</v>
      </c>
      <c r="B228" t="str">
        <f>Weekly_Material_Summary!B228</f>
        <v>M003</v>
      </c>
      <c r="C228">
        <f t="shared" si="32"/>
        <v>695</v>
      </c>
      <c r="D228">
        <f>Weekly_Material_Summary!C228</f>
        <v>2750</v>
      </c>
      <c r="E228">
        <f t="shared" si="25"/>
        <v>688</v>
      </c>
      <c r="F228">
        <f t="shared" si="26"/>
        <v>2743</v>
      </c>
      <c r="G228">
        <v>1</v>
      </c>
      <c r="H228">
        <f t="shared" si="27"/>
        <v>2743</v>
      </c>
      <c r="I228">
        <f t="shared" si="28"/>
        <v>3438</v>
      </c>
      <c r="J228">
        <f t="shared" si="29"/>
        <v>688</v>
      </c>
      <c r="K228">
        <f t="shared" si="30"/>
        <v>0</v>
      </c>
      <c r="L228">
        <f t="shared" si="31"/>
        <v>688</v>
      </c>
    </row>
    <row r="229" spans="1:12">
      <c r="A229" s="1">
        <f>Weekly_Material_Summary!A229</f>
        <v>46223</v>
      </c>
      <c r="B229" t="str">
        <f>Weekly_Material_Summary!B229</f>
        <v>M004</v>
      </c>
      <c r="C229">
        <f t="shared" si="32"/>
        <v>1029</v>
      </c>
      <c r="D229">
        <f>Weekly_Material_Summary!C229</f>
        <v>4352</v>
      </c>
      <c r="E229">
        <f t="shared" si="25"/>
        <v>1088</v>
      </c>
      <c r="F229">
        <f t="shared" si="26"/>
        <v>4411</v>
      </c>
      <c r="G229">
        <v>1.01</v>
      </c>
      <c r="H229">
        <f t="shared" si="27"/>
        <v>4455</v>
      </c>
      <c r="I229">
        <f t="shared" si="28"/>
        <v>5484</v>
      </c>
      <c r="J229">
        <f t="shared" si="29"/>
        <v>1132</v>
      </c>
      <c r="K229">
        <f t="shared" si="30"/>
        <v>0</v>
      </c>
      <c r="L229">
        <f t="shared" si="31"/>
        <v>1132</v>
      </c>
    </row>
    <row r="230" spans="1:12">
      <c r="A230" s="1">
        <f>Weekly_Material_Summary!A230</f>
        <v>46223</v>
      </c>
      <c r="B230" t="str">
        <f>Weekly_Material_Summary!B230</f>
        <v>M005</v>
      </c>
      <c r="C230">
        <f t="shared" si="32"/>
        <v>1377</v>
      </c>
      <c r="D230">
        <f>Weekly_Material_Summary!C230</f>
        <v>5044</v>
      </c>
      <c r="E230">
        <f t="shared" si="25"/>
        <v>1261</v>
      </c>
      <c r="F230">
        <f t="shared" si="26"/>
        <v>4928</v>
      </c>
      <c r="G230">
        <v>1</v>
      </c>
      <c r="H230">
        <f t="shared" si="27"/>
        <v>4928</v>
      </c>
      <c r="I230">
        <f t="shared" si="28"/>
        <v>6305</v>
      </c>
      <c r="J230">
        <f t="shared" si="29"/>
        <v>1261</v>
      </c>
      <c r="K230">
        <f t="shared" si="30"/>
        <v>0</v>
      </c>
      <c r="L230">
        <f t="shared" si="31"/>
        <v>1261</v>
      </c>
    </row>
    <row r="231" spans="1:12">
      <c r="A231" s="1">
        <f>Weekly_Material_Summary!A231</f>
        <v>46223</v>
      </c>
      <c r="B231" t="str">
        <f>Weekly_Material_Summary!B231</f>
        <v>M006</v>
      </c>
      <c r="C231">
        <f t="shared" si="32"/>
        <v>130.70000000000016</v>
      </c>
      <c r="D231">
        <f>Weekly_Material_Summary!C231</f>
        <v>567.20000000000005</v>
      </c>
      <c r="E231">
        <f t="shared" si="25"/>
        <v>142</v>
      </c>
      <c r="F231">
        <f t="shared" si="26"/>
        <v>579</v>
      </c>
      <c r="G231">
        <v>1</v>
      </c>
      <c r="H231">
        <f t="shared" si="27"/>
        <v>579</v>
      </c>
      <c r="I231">
        <f t="shared" si="28"/>
        <v>709.70000000000016</v>
      </c>
      <c r="J231">
        <f t="shared" si="29"/>
        <v>142.50000000000011</v>
      </c>
      <c r="K231">
        <f t="shared" si="30"/>
        <v>0</v>
      </c>
      <c r="L231">
        <f t="shared" si="31"/>
        <v>142.50000000000011</v>
      </c>
    </row>
    <row r="232" spans="1:12">
      <c r="A232" s="1">
        <f>Weekly_Material_Summary!A232</f>
        <v>46223</v>
      </c>
      <c r="B232" t="str">
        <f>Weekly_Material_Summary!B232</f>
        <v>M007</v>
      </c>
      <c r="C232">
        <f t="shared" si="32"/>
        <v>17236</v>
      </c>
      <c r="D232">
        <f>Weekly_Material_Summary!C232</f>
        <v>63200</v>
      </c>
      <c r="E232">
        <f t="shared" si="25"/>
        <v>15800</v>
      </c>
      <c r="F232">
        <f t="shared" si="26"/>
        <v>61764</v>
      </c>
      <c r="G232">
        <v>1.01</v>
      </c>
      <c r="H232">
        <f t="shared" si="27"/>
        <v>62382</v>
      </c>
      <c r="I232">
        <f t="shared" si="28"/>
        <v>79618</v>
      </c>
      <c r="J232">
        <f t="shared" si="29"/>
        <v>16418</v>
      </c>
      <c r="K232">
        <f t="shared" si="30"/>
        <v>0</v>
      </c>
      <c r="L232">
        <f t="shared" si="31"/>
        <v>16418</v>
      </c>
    </row>
    <row r="233" spans="1:12">
      <c r="A233" s="1">
        <f>Weekly_Material_Summary!A233</f>
        <v>46223</v>
      </c>
      <c r="B233" t="str">
        <f>Weekly_Material_Summary!B233</f>
        <v>M008</v>
      </c>
      <c r="C233">
        <f t="shared" si="32"/>
        <v>16593</v>
      </c>
      <c r="D233">
        <f>Weekly_Material_Summary!C233</f>
        <v>63200</v>
      </c>
      <c r="E233">
        <f t="shared" si="25"/>
        <v>15800</v>
      </c>
      <c r="F233">
        <f t="shared" si="26"/>
        <v>62407</v>
      </c>
      <c r="G233">
        <v>1</v>
      </c>
      <c r="H233">
        <f t="shared" si="27"/>
        <v>62407</v>
      </c>
      <c r="I233">
        <f t="shared" si="28"/>
        <v>79000</v>
      </c>
      <c r="J233">
        <f t="shared" si="29"/>
        <v>15800</v>
      </c>
      <c r="K233">
        <f t="shared" si="30"/>
        <v>0</v>
      </c>
      <c r="L233">
        <f t="shared" si="31"/>
        <v>15800</v>
      </c>
    </row>
    <row r="234" spans="1:12">
      <c r="A234" s="1">
        <f>Weekly_Material_Summary!A234</f>
        <v>46230</v>
      </c>
      <c r="B234" t="str">
        <f>Weekly_Material_Summary!B234</f>
        <v>M001</v>
      </c>
      <c r="C234">
        <f t="shared" si="32"/>
        <v>1285</v>
      </c>
      <c r="D234">
        <f>Weekly_Material_Summary!C234</f>
        <v>5495</v>
      </c>
      <c r="E234">
        <f t="shared" si="25"/>
        <v>1374</v>
      </c>
      <c r="F234">
        <f t="shared" si="26"/>
        <v>5584</v>
      </c>
      <c r="G234">
        <v>1</v>
      </c>
      <c r="H234">
        <f t="shared" si="27"/>
        <v>5584</v>
      </c>
      <c r="I234">
        <f t="shared" si="28"/>
        <v>6869</v>
      </c>
      <c r="J234">
        <f t="shared" si="29"/>
        <v>1374</v>
      </c>
      <c r="K234">
        <f t="shared" si="30"/>
        <v>0</v>
      </c>
      <c r="L234">
        <f t="shared" si="31"/>
        <v>1374</v>
      </c>
    </row>
    <row r="235" spans="1:12">
      <c r="A235" s="1">
        <f>Weekly_Material_Summary!A235</f>
        <v>46230</v>
      </c>
      <c r="B235" t="str">
        <f>Weekly_Material_Summary!B235</f>
        <v>M002</v>
      </c>
      <c r="C235">
        <f t="shared" si="32"/>
        <v>1028</v>
      </c>
      <c r="D235">
        <f>Weekly_Material_Summary!C235</f>
        <v>4260</v>
      </c>
      <c r="E235">
        <f t="shared" si="25"/>
        <v>1065</v>
      </c>
      <c r="F235">
        <f t="shared" si="26"/>
        <v>4297</v>
      </c>
      <c r="G235">
        <v>1</v>
      </c>
      <c r="H235">
        <f t="shared" si="27"/>
        <v>4297</v>
      </c>
      <c r="I235">
        <f t="shared" si="28"/>
        <v>5325</v>
      </c>
      <c r="J235">
        <f t="shared" si="29"/>
        <v>1065</v>
      </c>
      <c r="K235">
        <f t="shared" si="30"/>
        <v>0</v>
      </c>
      <c r="L235">
        <f t="shared" si="31"/>
        <v>1065</v>
      </c>
    </row>
    <row r="236" spans="1:12">
      <c r="A236" s="1">
        <f>Weekly_Material_Summary!A236</f>
        <v>46230</v>
      </c>
      <c r="B236" t="str">
        <f>Weekly_Material_Summary!B236</f>
        <v>M003</v>
      </c>
      <c r="C236">
        <f t="shared" si="32"/>
        <v>688</v>
      </c>
      <c r="D236">
        <f>Weekly_Material_Summary!C236</f>
        <v>3100</v>
      </c>
      <c r="E236">
        <f t="shared" si="25"/>
        <v>775</v>
      </c>
      <c r="F236">
        <f t="shared" si="26"/>
        <v>3187</v>
      </c>
      <c r="G236">
        <v>1.02</v>
      </c>
      <c r="H236">
        <f t="shared" si="27"/>
        <v>3251</v>
      </c>
      <c r="I236">
        <f t="shared" si="28"/>
        <v>3939</v>
      </c>
      <c r="J236">
        <f t="shared" si="29"/>
        <v>839</v>
      </c>
      <c r="K236">
        <f t="shared" si="30"/>
        <v>0</v>
      </c>
      <c r="L236">
        <f t="shared" si="31"/>
        <v>839</v>
      </c>
    </row>
    <row r="237" spans="1:12">
      <c r="A237" s="1">
        <f>Weekly_Material_Summary!A237</f>
        <v>46230</v>
      </c>
      <c r="B237" t="str">
        <f>Weekly_Material_Summary!B237</f>
        <v>M004</v>
      </c>
      <c r="C237">
        <f t="shared" si="32"/>
        <v>1132</v>
      </c>
      <c r="D237">
        <f>Weekly_Material_Summary!C237</f>
        <v>4046.0000000000005</v>
      </c>
      <c r="E237">
        <f t="shared" si="25"/>
        <v>1012</v>
      </c>
      <c r="F237">
        <f t="shared" si="26"/>
        <v>3926</v>
      </c>
      <c r="G237">
        <v>1</v>
      </c>
      <c r="H237">
        <f t="shared" si="27"/>
        <v>3926</v>
      </c>
      <c r="I237">
        <f t="shared" si="28"/>
        <v>5058</v>
      </c>
      <c r="J237">
        <f t="shared" si="29"/>
        <v>1011.9999999999995</v>
      </c>
      <c r="K237">
        <f t="shared" si="30"/>
        <v>0</v>
      </c>
      <c r="L237">
        <f t="shared" si="31"/>
        <v>1011.9999999999995</v>
      </c>
    </row>
    <row r="238" spans="1:12">
      <c r="A238" s="1">
        <f>Weekly_Material_Summary!A238</f>
        <v>46230</v>
      </c>
      <c r="B238" t="str">
        <f>Weekly_Material_Summary!B238</f>
        <v>M005</v>
      </c>
      <c r="C238">
        <f t="shared" si="32"/>
        <v>1261</v>
      </c>
      <c r="D238">
        <f>Weekly_Material_Summary!C238</f>
        <v>4836</v>
      </c>
      <c r="E238">
        <f t="shared" si="25"/>
        <v>1209</v>
      </c>
      <c r="F238">
        <f t="shared" si="26"/>
        <v>4784</v>
      </c>
      <c r="G238">
        <v>0.99</v>
      </c>
      <c r="H238">
        <f t="shared" si="27"/>
        <v>4736</v>
      </c>
      <c r="I238">
        <f t="shared" si="28"/>
        <v>5997</v>
      </c>
      <c r="J238">
        <f t="shared" si="29"/>
        <v>1161</v>
      </c>
      <c r="K238">
        <f t="shared" si="30"/>
        <v>0</v>
      </c>
      <c r="L238">
        <f t="shared" si="31"/>
        <v>1161</v>
      </c>
    </row>
    <row r="239" spans="1:12">
      <c r="A239" s="1">
        <f>Weekly_Material_Summary!A239</f>
        <v>46230</v>
      </c>
      <c r="B239" t="str">
        <f>Weekly_Material_Summary!B239</f>
        <v>M006</v>
      </c>
      <c r="C239">
        <f t="shared" si="32"/>
        <v>142.50000000000011</v>
      </c>
      <c r="D239">
        <f>Weekly_Material_Summary!C239</f>
        <v>563.70000000000005</v>
      </c>
      <c r="E239">
        <f t="shared" si="25"/>
        <v>141</v>
      </c>
      <c r="F239">
        <f t="shared" si="26"/>
        <v>562</v>
      </c>
      <c r="G239">
        <v>1.01</v>
      </c>
      <c r="H239">
        <f t="shared" si="27"/>
        <v>568</v>
      </c>
      <c r="I239">
        <f t="shared" si="28"/>
        <v>710.50000000000011</v>
      </c>
      <c r="J239">
        <f t="shared" si="29"/>
        <v>146.80000000000007</v>
      </c>
      <c r="K239">
        <f t="shared" si="30"/>
        <v>0</v>
      </c>
      <c r="L239">
        <f t="shared" si="31"/>
        <v>146.80000000000007</v>
      </c>
    </row>
    <row r="240" spans="1:12">
      <c r="A240" s="1">
        <f>Weekly_Material_Summary!A240</f>
        <v>46230</v>
      </c>
      <c r="B240" t="str">
        <f>Weekly_Material_Summary!B240</f>
        <v>M007</v>
      </c>
      <c r="C240">
        <f t="shared" si="32"/>
        <v>16418</v>
      </c>
      <c r="D240">
        <f>Weekly_Material_Summary!C240</f>
        <v>63500</v>
      </c>
      <c r="E240">
        <f t="shared" si="25"/>
        <v>15875</v>
      </c>
      <c r="F240">
        <f t="shared" si="26"/>
        <v>62957</v>
      </c>
      <c r="G240">
        <v>1.02</v>
      </c>
      <c r="H240">
        <f t="shared" si="27"/>
        <v>64216</v>
      </c>
      <c r="I240">
        <f t="shared" si="28"/>
        <v>80634</v>
      </c>
      <c r="J240">
        <f t="shared" si="29"/>
        <v>17134</v>
      </c>
      <c r="K240">
        <f t="shared" si="30"/>
        <v>0</v>
      </c>
      <c r="L240">
        <f t="shared" si="31"/>
        <v>17134</v>
      </c>
    </row>
    <row r="241" spans="1:12">
      <c r="A241" s="1">
        <f>Weekly_Material_Summary!A241</f>
        <v>46230</v>
      </c>
      <c r="B241" t="str">
        <f>Weekly_Material_Summary!B241</f>
        <v>M008</v>
      </c>
      <c r="C241">
        <f t="shared" si="32"/>
        <v>15800</v>
      </c>
      <c r="D241">
        <f>Weekly_Material_Summary!C241</f>
        <v>63500</v>
      </c>
      <c r="E241">
        <f t="shared" si="25"/>
        <v>15875</v>
      </c>
      <c r="F241">
        <f t="shared" si="26"/>
        <v>63575</v>
      </c>
      <c r="G241">
        <v>0.98</v>
      </c>
      <c r="H241">
        <f t="shared" si="27"/>
        <v>62304</v>
      </c>
      <c r="I241">
        <f t="shared" si="28"/>
        <v>78104</v>
      </c>
      <c r="J241">
        <f t="shared" si="29"/>
        <v>14604</v>
      </c>
      <c r="K241">
        <f t="shared" si="30"/>
        <v>0</v>
      </c>
      <c r="L241">
        <f t="shared" si="31"/>
        <v>14604</v>
      </c>
    </row>
    <row r="242" spans="1:12">
      <c r="A242" s="1">
        <f>Weekly_Material_Summary!A242</f>
        <v>46237</v>
      </c>
      <c r="B242" t="str">
        <f>Weekly_Material_Summary!B242</f>
        <v>M001</v>
      </c>
      <c r="C242">
        <f t="shared" si="32"/>
        <v>1374</v>
      </c>
      <c r="D242">
        <f>Weekly_Material_Summary!C242</f>
        <v>5600</v>
      </c>
      <c r="E242">
        <f t="shared" si="25"/>
        <v>1400</v>
      </c>
      <c r="F242">
        <f t="shared" si="26"/>
        <v>5626</v>
      </c>
      <c r="G242">
        <v>0.99</v>
      </c>
      <c r="H242">
        <f t="shared" si="27"/>
        <v>5570</v>
      </c>
      <c r="I242">
        <f t="shared" si="28"/>
        <v>6944</v>
      </c>
      <c r="J242">
        <f t="shared" si="29"/>
        <v>1344</v>
      </c>
      <c r="K242">
        <f t="shared" si="30"/>
        <v>0</v>
      </c>
      <c r="L242">
        <f t="shared" si="31"/>
        <v>1344</v>
      </c>
    </row>
    <row r="243" spans="1:12">
      <c r="A243" s="1">
        <f>Weekly_Material_Summary!A243</f>
        <v>46237</v>
      </c>
      <c r="B243" t="str">
        <f>Weekly_Material_Summary!B243</f>
        <v>M002</v>
      </c>
      <c r="C243">
        <f t="shared" si="32"/>
        <v>1065</v>
      </c>
      <c r="D243">
        <f>Weekly_Material_Summary!C243</f>
        <v>3960</v>
      </c>
      <c r="E243">
        <f t="shared" si="25"/>
        <v>990</v>
      </c>
      <c r="F243">
        <f t="shared" si="26"/>
        <v>3885</v>
      </c>
      <c r="G243">
        <v>0.99</v>
      </c>
      <c r="H243">
        <f t="shared" si="27"/>
        <v>3846</v>
      </c>
      <c r="I243">
        <f t="shared" si="28"/>
        <v>4911</v>
      </c>
      <c r="J243">
        <f t="shared" si="29"/>
        <v>951</v>
      </c>
      <c r="K243">
        <f t="shared" si="30"/>
        <v>0</v>
      </c>
      <c r="L243">
        <f t="shared" si="31"/>
        <v>951</v>
      </c>
    </row>
    <row r="244" spans="1:12">
      <c r="A244" s="1">
        <f>Weekly_Material_Summary!A244</f>
        <v>46237</v>
      </c>
      <c r="B244" t="str">
        <f>Weekly_Material_Summary!B244</f>
        <v>M003</v>
      </c>
      <c r="C244">
        <f t="shared" si="32"/>
        <v>839</v>
      </c>
      <c r="D244">
        <f>Weekly_Material_Summary!C244</f>
        <v>2975</v>
      </c>
      <c r="E244">
        <f t="shared" si="25"/>
        <v>744</v>
      </c>
      <c r="F244">
        <f t="shared" si="26"/>
        <v>2880</v>
      </c>
      <c r="G244">
        <v>0.99</v>
      </c>
      <c r="H244">
        <f t="shared" si="27"/>
        <v>2851</v>
      </c>
      <c r="I244">
        <f t="shared" si="28"/>
        <v>3690</v>
      </c>
      <c r="J244">
        <f t="shared" si="29"/>
        <v>715</v>
      </c>
      <c r="K244">
        <f t="shared" si="30"/>
        <v>0</v>
      </c>
      <c r="L244">
        <f t="shared" si="31"/>
        <v>715</v>
      </c>
    </row>
    <row r="245" spans="1:12">
      <c r="A245" s="1">
        <f>Weekly_Material_Summary!A245</f>
        <v>46237</v>
      </c>
      <c r="B245" t="str">
        <f>Weekly_Material_Summary!B245</f>
        <v>M004</v>
      </c>
      <c r="C245">
        <f t="shared" si="32"/>
        <v>1011.9999999999995</v>
      </c>
      <c r="D245">
        <f>Weekly_Material_Summary!C245</f>
        <v>4284</v>
      </c>
      <c r="E245">
        <f t="shared" si="25"/>
        <v>1071</v>
      </c>
      <c r="F245">
        <f t="shared" si="26"/>
        <v>4343</v>
      </c>
      <c r="G245">
        <v>1.02</v>
      </c>
      <c r="H245">
        <f t="shared" si="27"/>
        <v>4430</v>
      </c>
      <c r="I245">
        <f t="shared" si="28"/>
        <v>5442</v>
      </c>
      <c r="J245">
        <f t="shared" si="29"/>
        <v>1158</v>
      </c>
      <c r="K245">
        <f t="shared" si="30"/>
        <v>0</v>
      </c>
      <c r="L245">
        <f t="shared" si="31"/>
        <v>1158</v>
      </c>
    </row>
    <row r="246" spans="1:12">
      <c r="A246" s="1">
        <f>Weekly_Material_Summary!A246</f>
        <v>46237</v>
      </c>
      <c r="B246" t="str">
        <f>Weekly_Material_Summary!B246</f>
        <v>M005</v>
      </c>
      <c r="C246">
        <f t="shared" si="32"/>
        <v>1161</v>
      </c>
      <c r="D246">
        <f>Weekly_Material_Summary!C246</f>
        <v>5044</v>
      </c>
      <c r="E246">
        <f t="shared" si="25"/>
        <v>1261</v>
      </c>
      <c r="F246">
        <f t="shared" si="26"/>
        <v>5144</v>
      </c>
      <c r="G246">
        <v>0.98</v>
      </c>
      <c r="H246">
        <f t="shared" si="27"/>
        <v>5041</v>
      </c>
      <c r="I246">
        <f t="shared" si="28"/>
        <v>6202</v>
      </c>
      <c r="J246">
        <f t="shared" si="29"/>
        <v>1158</v>
      </c>
      <c r="K246">
        <f t="shared" si="30"/>
        <v>0</v>
      </c>
      <c r="L246">
        <f t="shared" si="31"/>
        <v>1158</v>
      </c>
    </row>
    <row r="247" spans="1:12">
      <c r="A247" s="1">
        <f>Weekly_Material_Summary!A247</f>
        <v>46237</v>
      </c>
      <c r="B247" t="str">
        <f>Weekly_Material_Summary!B247</f>
        <v>M006</v>
      </c>
      <c r="C247">
        <f t="shared" si="32"/>
        <v>146.80000000000007</v>
      </c>
      <c r="D247">
        <f>Weekly_Material_Summary!C247</f>
        <v>566.79999999999995</v>
      </c>
      <c r="E247">
        <f t="shared" si="25"/>
        <v>142</v>
      </c>
      <c r="F247">
        <f t="shared" si="26"/>
        <v>562</v>
      </c>
      <c r="G247">
        <v>0.98</v>
      </c>
      <c r="H247">
        <f t="shared" si="27"/>
        <v>551</v>
      </c>
      <c r="I247">
        <f t="shared" si="28"/>
        <v>697.80000000000007</v>
      </c>
      <c r="J247">
        <f t="shared" si="29"/>
        <v>131.00000000000011</v>
      </c>
      <c r="K247">
        <f t="shared" si="30"/>
        <v>0</v>
      </c>
      <c r="L247">
        <f t="shared" si="31"/>
        <v>131.00000000000011</v>
      </c>
    </row>
    <row r="248" spans="1:12">
      <c r="A248" s="1">
        <f>Weekly_Material_Summary!A248</f>
        <v>46237</v>
      </c>
      <c r="B248" t="str">
        <f>Weekly_Material_Summary!B248</f>
        <v>M007</v>
      </c>
      <c r="C248">
        <f t="shared" si="32"/>
        <v>17134</v>
      </c>
      <c r="D248">
        <f>Weekly_Material_Summary!C248</f>
        <v>63400</v>
      </c>
      <c r="E248">
        <f t="shared" si="25"/>
        <v>15850</v>
      </c>
      <c r="F248">
        <f t="shared" si="26"/>
        <v>62116</v>
      </c>
      <c r="G248">
        <v>1.02</v>
      </c>
      <c r="H248">
        <f t="shared" si="27"/>
        <v>63358</v>
      </c>
      <c r="I248">
        <f t="shared" si="28"/>
        <v>80492</v>
      </c>
      <c r="J248">
        <f t="shared" si="29"/>
        <v>17092</v>
      </c>
      <c r="K248">
        <f t="shared" si="30"/>
        <v>0</v>
      </c>
      <c r="L248">
        <f t="shared" si="31"/>
        <v>17092</v>
      </c>
    </row>
    <row r="249" spans="1:12">
      <c r="A249" s="1">
        <f>Weekly_Material_Summary!A249</f>
        <v>46237</v>
      </c>
      <c r="B249" t="str">
        <f>Weekly_Material_Summary!B249</f>
        <v>M008</v>
      </c>
      <c r="C249">
        <f t="shared" si="32"/>
        <v>14604</v>
      </c>
      <c r="D249">
        <f>Weekly_Material_Summary!C249</f>
        <v>63400</v>
      </c>
      <c r="E249">
        <f t="shared" si="25"/>
        <v>15850</v>
      </c>
      <c r="F249">
        <f t="shared" si="26"/>
        <v>64646</v>
      </c>
      <c r="G249">
        <v>0.98</v>
      </c>
      <c r="H249">
        <f t="shared" si="27"/>
        <v>63353</v>
      </c>
      <c r="I249">
        <f t="shared" si="28"/>
        <v>77957</v>
      </c>
      <c r="J249">
        <f t="shared" si="29"/>
        <v>14557</v>
      </c>
      <c r="K249">
        <f t="shared" si="30"/>
        <v>0</v>
      </c>
      <c r="L249">
        <f t="shared" si="31"/>
        <v>14557</v>
      </c>
    </row>
    <row r="250" spans="1:12">
      <c r="A250" s="1">
        <f>Weekly_Material_Summary!A250</f>
        <v>46244</v>
      </c>
      <c r="B250" t="str">
        <f>Weekly_Material_Summary!B250</f>
        <v>M001</v>
      </c>
      <c r="C250">
        <f t="shared" si="32"/>
        <v>1344</v>
      </c>
      <c r="D250">
        <f>Weekly_Material_Summary!C250</f>
        <v>5390</v>
      </c>
      <c r="E250">
        <f t="shared" si="25"/>
        <v>1348</v>
      </c>
      <c r="F250">
        <f t="shared" si="26"/>
        <v>5394</v>
      </c>
      <c r="G250">
        <v>1</v>
      </c>
      <c r="H250">
        <f t="shared" si="27"/>
        <v>5394</v>
      </c>
      <c r="I250">
        <f t="shared" si="28"/>
        <v>6738</v>
      </c>
      <c r="J250">
        <f t="shared" si="29"/>
        <v>1348</v>
      </c>
      <c r="K250">
        <f t="shared" si="30"/>
        <v>0</v>
      </c>
      <c r="L250">
        <f t="shared" si="31"/>
        <v>1348</v>
      </c>
    </row>
    <row r="251" spans="1:12">
      <c r="A251" s="1">
        <f>Weekly_Material_Summary!A251</f>
        <v>46244</v>
      </c>
      <c r="B251" t="str">
        <f>Weekly_Material_Summary!B251</f>
        <v>M002</v>
      </c>
      <c r="C251">
        <f t="shared" si="32"/>
        <v>951</v>
      </c>
      <c r="D251">
        <f>Weekly_Material_Summary!C251</f>
        <v>4050</v>
      </c>
      <c r="E251">
        <f t="shared" si="25"/>
        <v>1013</v>
      </c>
      <c r="F251">
        <f t="shared" si="26"/>
        <v>4112</v>
      </c>
      <c r="G251">
        <v>0.99</v>
      </c>
      <c r="H251">
        <f t="shared" si="27"/>
        <v>4071</v>
      </c>
      <c r="I251">
        <f t="shared" si="28"/>
        <v>5022</v>
      </c>
      <c r="J251">
        <f t="shared" si="29"/>
        <v>972</v>
      </c>
      <c r="K251">
        <f t="shared" si="30"/>
        <v>0</v>
      </c>
      <c r="L251">
        <f t="shared" si="31"/>
        <v>972</v>
      </c>
    </row>
    <row r="252" spans="1:12">
      <c r="A252" s="1">
        <f>Weekly_Material_Summary!A252</f>
        <v>46244</v>
      </c>
      <c r="B252" t="str">
        <f>Weekly_Material_Summary!B252</f>
        <v>M003</v>
      </c>
      <c r="C252">
        <f t="shared" si="32"/>
        <v>715</v>
      </c>
      <c r="D252">
        <f>Weekly_Material_Summary!C252</f>
        <v>2775</v>
      </c>
      <c r="E252">
        <f t="shared" si="25"/>
        <v>694</v>
      </c>
      <c r="F252">
        <f t="shared" si="26"/>
        <v>2754</v>
      </c>
      <c r="G252">
        <v>1</v>
      </c>
      <c r="H252">
        <f t="shared" si="27"/>
        <v>2754</v>
      </c>
      <c r="I252">
        <f t="shared" si="28"/>
        <v>3469</v>
      </c>
      <c r="J252">
        <f t="shared" si="29"/>
        <v>694</v>
      </c>
      <c r="K252">
        <f t="shared" si="30"/>
        <v>0</v>
      </c>
      <c r="L252">
        <f t="shared" si="31"/>
        <v>694</v>
      </c>
    </row>
    <row r="253" spans="1:12">
      <c r="A253" s="1">
        <f>Weekly_Material_Summary!A253</f>
        <v>46244</v>
      </c>
      <c r="B253" t="str">
        <f>Weekly_Material_Summary!B253</f>
        <v>M004</v>
      </c>
      <c r="C253">
        <f t="shared" si="32"/>
        <v>1158</v>
      </c>
      <c r="D253">
        <f>Weekly_Material_Summary!C253</f>
        <v>4488</v>
      </c>
      <c r="E253">
        <f t="shared" si="25"/>
        <v>1122</v>
      </c>
      <c r="F253">
        <f t="shared" si="26"/>
        <v>4452</v>
      </c>
      <c r="G253">
        <v>1.02</v>
      </c>
      <c r="H253">
        <f t="shared" si="27"/>
        <v>4541</v>
      </c>
      <c r="I253">
        <f t="shared" si="28"/>
        <v>5699</v>
      </c>
      <c r="J253">
        <f t="shared" si="29"/>
        <v>1211</v>
      </c>
      <c r="K253">
        <f t="shared" si="30"/>
        <v>0</v>
      </c>
      <c r="L253">
        <f t="shared" si="31"/>
        <v>1211</v>
      </c>
    </row>
    <row r="254" spans="1:12">
      <c r="A254" s="1">
        <f>Weekly_Material_Summary!A254</f>
        <v>46244</v>
      </c>
      <c r="B254" t="str">
        <f>Weekly_Material_Summary!B254</f>
        <v>M005</v>
      </c>
      <c r="C254">
        <f t="shared" si="32"/>
        <v>1158</v>
      </c>
      <c r="D254">
        <f>Weekly_Material_Summary!C254</f>
        <v>5304</v>
      </c>
      <c r="E254">
        <f t="shared" si="25"/>
        <v>1326</v>
      </c>
      <c r="F254">
        <f t="shared" si="26"/>
        <v>5472</v>
      </c>
      <c r="G254">
        <v>0.99</v>
      </c>
      <c r="H254">
        <f t="shared" si="27"/>
        <v>5417</v>
      </c>
      <c r="I254">
        <f t="shared" si="28"/>
        <v>6575</v>
      </c>
      <c r="J254">
        <f t="shared" si="29"/>
        <v>1271</v>
      </c>
      <c r="K254">
        <f t="shared" si="30"/>
        <v>0</v>
      </c>
      <c r="L254">
        <f t="shared" si="31"/>
        <v>1271</v>
      </c>
    </row>
    <row r="255" spans="1:12">
      <c r="A255" s="1">
        <f>Weekly_Material_Summary!A255</f>
        <v>46244</v>
      </c>
      <c r="B255" t="str">
        <f>Weekly_Material_Summary!B255</f>
        <v>M006</v>
      </c>
      <c r="C255">
        <f t="shared" si="32"/>
        <v>131.00000000000011</v>
      </c>
      <c r="D255">
        <f>Weekly_Material_Summary!C255</f>
        <v>569.80000000000007</v>
      </c>
      <c r="E255">
        <f t="shared" si="25"/>
        <v>142</v>
      </c>
      <c r="F255">
        <f t="shared" si="26"/>
        <v>581</v>
      </c>
      <c r="G255">
        <v>1.01</v>
      </c>
      <c r="H255">
        <f t="shared" si="27"/>
        <v>587</v>
      </c>
      <c r="I255">
        <f t="shared" si="28"/>
        <v>718.00000000000011</v>
      </c>
      <c r="J255">
        <f t="shared" si="29"/>
        <v>148.20000000000005</v>
      </c>
      <c r="K255">
        <f t="shared" si="30"/>
        <v>0</v>
      </c>
      <c r="L255">
        <f t="shared" si="31"/>
        <v>148.20000000000005</v>
      </c>
    </row>
    <row r="256" spans="1:12">
      <c r="A256" s="1">
        <f>Weekly_Material_Summary!A256</f>
        <v>46244</v>
      </c>
      <c r="B256" t="str">
        <f>Weekly_Material_Summary!B256</f>
        <v>M007</v>
      </c>
      <c r="C256">
        <f t="shared" si="32"/>
        <v>17092</v>
      </c>
      <c r="D256">
        <f>Weekly_Material_Summary!C256</f>
        <v>63400</v>
      </c>
      <c r="E256">
        <f t="shared" si="25"/>
        <v>15850</v>
      </c>
      <c r="F256">
        <f t="shared" si="26"/>
        <v>62158</v>
      </c>
      <c r="G256">
        <v>0.99</v>
      </c>
      <c r="H256">
        <f t="shared" si="27"/>
        <v>61536</v>
      </c>
      <c r="I256">
        <f t="shared" si="28"/>
        <v>78628</v>
      </c>
      <c r="J256">
        <f t="shared" si="29"/>
        <v>15228</v>
      </c>
      <c r="K256">
        <f t="shared" si="30"/>
        <v>0</v>
      </c>
      <c r="L256">
        <f t="shared" si="31"/>
        <v>15228</v>
      </c>
    </row>
    <row r="257" spans="1:12">
      <c r="A257" s="1">
        <f>Weekly_Material_Summary!A257</f>
        <v>46244</v>
      </c>
      <c r="B257" t="str">
        <f>Weekly_Material_Summary!B257</f>
        <v>M008</v>
      </c>
      <c r="C257">
        <f t="shared" si="32"/>
        <v>14557</v>
      </c>
      <c r="D257">
        <f>Weekly_Material_Summary!C257</f>
        <v>63400</v>
      </c>
      <c r="E257">
        <f t="shared" si="25"/>
        <v>15850</v>
      </c>
      <c r="F257">
        <f t="shared" si="26"/>
        <v>64693</v>
      </c>
      <c r="G257">
        <v>1</v>
      </c>
      <c r="H257">
        <f t="shared" si="27"/>
        <v>64693</v>
      </c>
      <c r="I257">
        <f t="shared" si="28"/>
        <v>79250</v>
      </c>
      <c r="J257">
        <f t="shared" si="29"/>
        <v>15850</v>
      </c>
      <c r="K257">
        <f t="shared" si="30"/>
        <v>0</v>
      </c>
      <c r="L257">
        <f t="shared" si="31"/>
        <v>15850</v>
      </c>
    </row>
    <row r="258" spans="1:12">
      <c r="A258" s="1">
        <f>Weekly_Material_Summary!A258</f>
        <v>46251</v>
      </c>
      <c r="B258" t="str">
        <f>Weekly_Material_Summary!B258</f>
        <v>M001</v>
      </c>
      <c r="C258">
        <f t="shared" si="32"/>
        <v>1348</v>
      </c>
      <c r="D258">
        <f>Weekly_Material_Summary!C258</f>
        <v>5810</v>
      </c>
      <c r="E258">
        <f t="shared" si="25"/>
        <v>1453</v>
      </c>
      <c r="F258">
        <f t="shared" si="26"/>
        <v>5915</v>
      </c>
      <c r="G258">
        <v>1.02</v>
      </c>
      <c r="H258">
        <f t="shared" si="27"/>
        <v>6033</v>
      </c>
      <c r="I258">
        <f t="shared" si="28"/>
        <v>7381</v>
      </c>
      <c r="J258">
        <f t="shared" si="29"/>
        <v>1571</v>
      </c>
      <c r="K258">
        <f t="shared" si="30"/>
        <v>0</v>
      </c>
      <c r="L258">
        <f t="shared" si="31"/>
        <v>1571</v>
      </c>
    </row>
    <row r="259" spans="1:12">
      <c r="A259" s="1">
        <f>Weekly_Material_Summary!A259</f>
        <v>46251</v>
      </c>
      <c r="B259" t="str">
        <f>Weekly_Material_Summary!B259</f>
        <v>M002</v>
      </c>
      <c r="C259">
        <f t="shared" si="32"/>
        <v>972</v>
      </c>
      <c r="D259">
        <f>Weekly_Material_Summary!C259</f>
        <v>3990</v>
      </c>
      <c r="E259">
        <f t="shared" ref="E259:E322" si="33">ROUND(D259*0.25,0)</f>
        <v>998</v>
      </c>
      <c r="F259">
        <f t="shared" ref="F259:F322" si="34">MAX(0,ROUND(D259+E259-C259,0))</f>
        <v>4016</v>
      </c>
      <c r="G259">
        <v>1</v>
      </c>
      <c r="H259">
        <f t="shared" ref="H259:H322" si="35">ROUND(F259*G259,0)</f>
        <v>4016</v>
      </c>
      <c r="I259">
        <f t="shared" ref="I259:I322" si="36">C259+H259</f>
        <v>4988</v>
      </c>
      <c r="J259">
        <f t="shared" ref="J259:J322" si="37">I259-D259</f>
        <v>998</v>
      </c>
      <c r="K259">
        <f t="shared" ref="K259:K322" si="38">MAX(0,-J259)</f>
        <v>0</v>
      </c>
      <c r="L259">
        <f t="shared" si="31"/>
        <v>998</v>
      </c>
    </row>
    <row r="260" spans="1:12">
      <c r="A260" s="1">
        <f>Weekly_Material_Summary!A260</f>
        <v>46251</v>
      </c>
      <c r="B260" t="str">
        <f>Weekly_Material_Summary!B260</f>
        <v>M003</v>
      </c>
      <c r="C260">
        <f t="shared" si="32"/>
        <v>694</v>
      </c>
      <c r="D260">
        <f>Weekly_Material_Summary!C260</f>
        <v>2925</v>
      </c>
      <c r="E260">
        <f t="shared" si="33"/>
        <v>731</v>
      </c>
      <c r="F260">
        <f t="shared" si="34"/>
        <v>2962</v>
      </c>
      <c r="G260">
        <v>0.99</v>
      </c>
      <c r="H260">
        <f t="shared" si="35"/>
        <v>2932</v>
      </c>
      <c r="I260">
        <f t="shared" si="36"/>
        <v>3626</v>
      </c>
      <c r="J260">
        <f t="shared" si="37"/>
        <v>701</v>
      </c>
      <c r="K260">
        <f t="shared" si="38"/>
        <v>0</v>
      </c>
      <c r="L260">
        <f t="shared" si="31"/>
        <v>701</v>
      </c>
    </row>
    <row r="261" spans="1:12">
      <c r="A261" s="1">
        <f>Weekly_Material_Summary!A261</f>
        <v>46251</v>
      </c>
      <c r="B261" t="str">
        <f>Weekly_Material_Summary!B261</f>
        <v>M004</v>
      </c>
      <c r="C261">
        <f t="shared" si="32"/>
        <v>1211</v>
      </c>
      <c r="D261">
        <f>Weekly_Material_Summary!C261</f>
        <v>4318</v>
      </c>
      <c r="E261">
        <f t="shared" si="33"/>
        <v>1080</v>
      </c>
      <c r="F261">
        <f t="shared" si="34"/>
        <v>4187</v>
      </c>
      <c r="G261">
        <v>1.02</v>
      </c>
      <c r="H261">
        <f t="shared" si="35"/>
        <v>4271</v>
      </c>
      <c r="I261">
        <f t="shared" si="36"/>
        <v>5482</v>
      </c>
      <c r="J261">
        <f t="shared" si="37"/>
        <v>1164</v>
      </c>
      <c r="K261">
        <f t="shared" si="38"/>
        <v>0</v>
      </c>
      <c r="L261">
        <f t="shared" si="31"/>
        <v>1164</v>
      </c>
    </row>
    <row r="262" spans="1:12">
      <c r="A262" s="1">
        <f>Weekly_Material_Summary!A262</f>
        <v>46251</v>
      </c>
      <c r="B262" t="str">
        <f>Weekly_Material_Summary!B262</f>
        <v>M005</v>
      </c>
      <c r="C262">
        <f t="shared" si="32"/>
        <v>1271</v>
      </c>
      <c r="D262">
        <f>Weekly_Material_Summary!C262</f>
        <v>4836</v>
      </c>
      <c r="E262">
        <f t="shared" si="33"/>
        <v>1209</v>
      </c>
      <c r="F262">
        <f t="shared" si="34"/>
        <v>4774</v>
      </c>
      <c r="G262">
        <v>0.99</v>
      </c>
      <c r="H262">
        <f t="shared" si="35"/>
        <v>4726</v>
      </c>
      <c r="I262">
        <f t="shared" si="36"/>
        <v>5997</v>
      </c>
      <c r="J262">
        <f t="shared" si="37"/>
        <v>1161</v>
      </c>
      <c r="K262">
        <f t="shared" si="38"/>
        <v>0</v>
      </c>
      <c r="L262">
        <f t="shared" si="31"/>
        <v>1161</v>
      </c>
    </row>
    <row r="263" spans="1:12">
      <c r="A263" s="1">
        <f>Weekly_Material_Summary!A263</f>
        <v>46251</v>
      </c>
      <c r="B263" t="str">
        <f>Weekly_Material_Summary!B263</f>
        <v>M006</v>
      </c>
      <c r="C263">
        <f t="shared" si="32"/>
        <v>148.20000000000005</v>
      </c>
      <c r="D263">
        <f>Weekly_Material_Summary!C263</f>
        <v>568.5</v>
      </c>
      <c r="E263">
        <f t="shared" si="33"/>
        <v>142</v>
      </c>
      <c r="F263">
        <f t="shared" si="34"/>
        <v>562</v>
      </c>
      <c r="G263">
        <v>0.99</v>
      </c>
      <c r="H263">
        <f t="shared" si="35"/>
        <v>556</v>
      </c>
      <c r="I263">
        <f t="shared" si="36"/>
        <v>704.2</v>
      </c>
      <c r="J263">
        <f t="shared" si="37"/>
        <v>135.70000000000005</v>
      </c>
      <c r="K263">
        <f t="shared" si="38"/>
        <v>0</v>
      </c>
      <c r="L263">
        <f t="shared" si="31"/>
        <v>135.70000000000005</v>
      </c>
    </row>
    <row r="264" spans="1:12">
      <c r="A264" s="1">
        <f>Weekly_Material_Summary!A264</f>
        <v>46251</v>
      </c>
      <c r="B264" t="str">
        <f>Weekly_Material_Summary!B264</f>
        <v>M007</v>
      </c>
      <c r="C264">
        <f t="shared" si="32"/>
        <v>15228</v>
      </c>
      <c r="D264">
        <f>Weekly_Material_Summary!C264</f>
        <v>63600</v>
      </c>
      <c r="E264">
        <f t="shared" si="33"/>
        <v>15900</v>
      </c>
      <c r="F264">
        <f t="shared" si="34"/>
        <v>64272</v>
      </c>
      <c r="G264">
        <v>0.98</v>
      </c>
      <c r="H264">
        <f t="shared" si="35"/>
        <v>62987</v>
      </c>
      <c r="I264">
        <f t="shared" si="36"/>
        <v>78215</v>
      </c>
      <c r="J264">
        <f t="shared" si="37"/>
        <v>14615</v>
      </c>
      <c r="K264">
        <f t="shared" si="38"/>
        <v>0</v>
      </c>
      <c r="L264">
        <f t="shared" si="31"/>
        <v>14615</v>
      </c>
    </row>
    <row r="265" spans="1:12">
      <c r="A265" s="1">
        <f>Weekly_Material_Summary!A265</f>
        <v>46251</v>
      </c>
      <c r="B265" t="str">
        <f>Weekly_Material_Summary!B265</f>
        <v>M008</v>
      </c>
      <c r="C265">
        <f t="shared" si="32"/>
        <v>15850</v>
      </c>
      <c r="D265">
        <f>Weekly_Material_Summary!C265</f>
        <v>63600</v>
      </c>
      <c r="E265">
        <f t="shared" si="33"/>
        <v>15900</v>
      </c>
      <c r="F265">
        <f t="shared" si="34"/>
        <v>63650</v>
      </c>
      <c r="G265">
        <v>1.01</v>
      </c>
      <c r="H265">
        <f t="shared" si="35"/>
        <v>64287</v>
      </c>
      <c r="I265">
        <f t="shared" si="36"/>
        <v>80137</v>
      </c>
      <c r="J265">
        <f t="shared" si="37"/>
        <v>16537</v>
      </c>
      <c r="K265">
        <f t="shared" si="38"/>
        <v>0</v>
      </c>
      <c r="L265">
        <f t="shared" si="31"/>
        <v>16537</v>
      </c>
    </row>
    <row r="266" spans="1:12">
      <c r="A266" s="1">
        <f>Weekly_Material_Summary!A266</f>
        <v>46258</v>
      </c>
      <c r="B266" t="str">
        <f>Weekly_Material_Summary!B266</f>
        <v>M001</v>
      </c>
      <c r="C266">
        <f t="shared" si="32"/>
        <v>1571</v>
      </c>
      <c r="D266">
        <f>Weekly_Material_Summary!C266</f>
        <v>5390</v>
      </c>
      <c r="E266">
        <f t="shared" si="33"/>
        <v>1348</v>
      </c>
      <c r="F266">
        <f t="shared" si="34"/>
        <v>5167</v>
      </c>
      <c r="G266">
        <v>0.99</v>
      </c>
      <c r="H266">
        <f t="shared" si="35"/>
        <v>5115</v>
      </c>
      <c r="I266">
        <f t="shared" si="36"/>
        <v>6686</v>
      </c>
      <c r="J266">
        <f t="shared" si="37"/>
        <v>1296</v>
      </c>
      <c r="K266">
        <f t="shared" si="38"/>
        <v>0</v>
      </c>
      <c r="L266">
        <f t="shared" ref="L266:L329" si="39">MAX(0,J266)</f>
        <v>1296</v>
      </c>
    </row>
    <row r="267" spans="1:12">
      <c r="A267" s="1">
        <f>Weekly_Material_Summary!A267</f>
        <v>46258</v>
      </c>
      <c r="B267" t="str">
        <f>Weekly_Material_Summary!B267</f>
        <v>M002</v>
      </c>
      <c r="C267">
        <f t="shared" ref="C267:C330" si="40">L259</f>
        <v>998</v>
      </c>
      <c r="D267">
        <f>Weekly_Material_Summary!C267</f>
        <v>3930</v>
      </c>
      <c r="E267">
        <f t="shared" si="33"/>
        <v>983</v>
      </c>
      <c r="F267">
        <f t="shared" si="34"/>
        <v>3915</v>
      </c>
      <c r="G267">
        <v>0.99</v>
      </c>
      <c r="H267">
        <f t="shared" si="35"/>
        <v>3876</v>
      </c>
      <c r="I267">
        <f t="shared" si="36"/>
        <v>4874</v>
      </c>
      <c r="J267">
        <f t="shared" si="37"/>
        <v>944</v>
      </c>
      <c r="K267">
        <f t="shared" si="38"/>
        <v>0</v>
      </c>
      <c r="L267">
        <f t="shared" si="39"/>
        <v>944</v>
      </c>
    </row>
    <row r="268" spans="1:12">
      <c r="A268" s="1">
        <f>Weekly_Material_Summary!A268</f>
        <v>46258</v>
      </c>
      <c r="B268" t="str">
        <f>Weekly_Material_Summary!B268</f>
        <v>M003</v>
      </c>
      <c r="C268">
        <f t="shared" si="40"/>
        <v>701</v>
      </c>
      <c r="D268">
        <f>Weekly_Material_Summary!C268</f>
        <v>2975</v>
      </c>
      <c r="E268">
        <f t="shared" si="33"/>
        <v>744</v>
      </c>
      <c r="F268">
        <f t="shared" si="34"/>
        <v>3018</v>
      </c>
      <c r="G268">
        <v>0.98</v>
      </c>
      <c r="H268">
        <f t="shared" si="35"/>
        <v>2958</v>
      </c>
      <c r="I268">
        <f t="shared" si="36"/>
        <v>3659</v>
      </c>
      <c r="J268">
        <f t="shared" si="37"/>
        <v>684</v>
      </c>
      <c r="K268">
        <f t="shared" si="38"/>
        <v>0</v>
      </c>
      <c r="L268">
        <f t="shared" si="39"/>
        <v>684</v>
      </c>
    </row>
    <row r="269" spans="1:12">
      <c r="A269" s="1">
        <f>Weekly_Material_Summary!A269</f>
        <v>46258</v>
      </c>
      <c r="B269" t="str">
        <f>Weekly_Material_Summary!B269</f>
        <v>M004</v>
      </c>
      <c r="C269">
        <f t="shared" si="40"/>
        <v>1164</v>
      </c>
      <c r="D269">
        <f>Weekly_Material_Summary!C269</f>
        <v>4386</v>
      </c>
      <c r="E269">
        <f t="shared" si="33"/>
        <v>1097</v>
      </c>
      <c r="F269">
        <f t="shared" si="34"/>
        <v>4319</v>
      </c>
      <c r="G269">
        <v>1.02</v>
      </c>
      <c r="H269">
        <f t="shared" si="35"/>
        <v>4405</v>
      </c>
      <c r="I269">
        <f t="shared" si="36"/>
        <v>5569</v>
      </c>
      <c r="J269">
        <f t="shared" si="37"/>
        <v>1183</v>
      </c>
      <c r="K269">
        <f t="shared" si="38"/>
        <v>0</v>
      </c>
      <c r="L269">
        <f t="shared" si="39"/>
        <v>1183</v>
      </c>
    </row>
    <row r="270" spans="1:12">
      <c r="A270" s="1">
        <f>Weekly_Material_Summary!A270</f>
        <v>46258</v>
      </c>
      <c r="B270" t="str">
        <f>Weekly_Material_Summary!B270</f>
        <v>M005</v>
      </c>
      <c r="C270">
        <f t="shared" si="40"/>
        <v>1161</v>
      </c>
      <c r="D270">
        <f>Weekly_Material_Summary!C270</f>
        <v>5148</v>
      </c>
      <c r="E270">
        <f t="shared" si="33"/>
        <v>1287</v>
      </c>
      <c r="F270">
        <f t="shared" si="34"/>
        <v>5274</v>
      </c>
      <c r="G270">
        <v>0.98</v>
      </c>
      <c r="H270">
        <f t="shared" si="35"/>
        <v>5169</v>
      </c>
      <c r="I270">
        <f t="shared" si="36"/>
        <v>6330</v>
      </c>
      <c r="J270">
        <f t="shared" si="37"/>
        <v>1182</v>
      </c>
      <c r="K270">
        <f t="shared" si="38"/>
        <v>0</v>
      </c>
      <c r="L270">
        <f t="shared" si="39"/>
        <v>1182</v>
      </c>
    </row>
    <row r="271" spans="1:12">
      <c r="A271" s="1">
        <f>Weekly_Material_Summary!A271</f>
        <v>46258</v>
      </c>
      <c r="B271" t="str">
        <f>Weekly_Material_Summary!B271</f>
        <v>M006</v>
      </c>
      <c r="C271">
        <f t="shared" si="40"/>
        <v>135.70000000000005</v>
      </c>
      <c r="D271">
        <f>Weekly_Material_Summary!C271</f>
        <v>565.1</v>
      </c>
      <c r="E271">
        <f t="shared" si="33"/>
        <v>141</v>
      </c>
      <c r="F271">
        <f t="shared" si="34"/>
        <v>570</v>
      </c>
      <c r="G271">
        <v>0.99</v>
      </c>
      <c r="H271">
        <f t="shared" si="35"/>
        <v>564</v>
      </c>
      <c r="I271">
        <f t="shared" si="36"/>
        <v>699.7</v>
      </c>
      <c r="J271">
        <f t="shared" si="37"/>
        <v>134.60000000000002</v>
      </c>
      <c r="K271">
        <f t="shared" si="38"/>
        <v>0</v>
      </c>
      <c r="L271">
        <f t="shared" si="39"/>
        <v>134.60000000000002</v>
      </c>
    </row>
    <row r="272" spans="1:12">
      <c r="A272" s="1">
        <f>Weekly_Material_Summary!A272</f>
        <v>46258</v>
      </c>
      <c r="B272" t="str">
        <f>Weekly_Material_Summary!B272</f>
        <v>M007</v>
      </c>
      <c r="C272">
        <f t="shared" si="40"/>
        <v>14615</v>
      </c>
      <c r="D272">
        <f>Weekly_Material_Summary!C272</f>
        <v>63200</v>
      </c>
      <c r="E272">
        <f t="shared" si="33"/>
        <v>15800</v>
      </c>
      <c r="F272">
        <f t="shared" si="34"/>
        <v>64385</v>
      </c>
      <c r="G272">
        <v>0.98</v>
      </c>
      <c r="H272">
        <f t="shared" si="35"/>
        <v>63097</v>
      </c>
      <c r="I272">
        <f t="shared" si="36"/>
        <v>77712</v>
      </c>
      <c r="J272">
        <f t="shared" si="37"/>
        <v>14512</v>
      </c>
      <c r="K272">
        <f t="shared" si="38"/>
        <v>0</v>
      </c>
      <c r="L272">
        <f t="shared" si="39"/>
        <v>14512</v>
      </c>
    </row>
    <row r="273" spans="1:12">
      <c r="A273" s="1">
        <f>Weekly_Material_Summary!A273</f>
        <v>46258</v>
      </c>
      <c r="B273" t="str">
        <f>Weekly_Material_Summary!B273</f>
        <v>M008</v>
      </c>
      <c r="C273">
        <f t="shared" si="40"/>
        <v>16537</v>
      </c>
      <c r="D273">
        <f>Weekly_Material_Summary!C273</f>
        <v>63200</v>
      </c>
      <c r="E273">
        <f t="shared" si="33"/>
        <v>15800</v>
      </c>
      <c r="F273">
        <f t="shared" si="34"/>
        <v>62463</v>
      </c>
      <c r="G273">
        <v>0.98</v>
      </c>
      <c r="H273">
        <f t="shared" si="35"/>
        <v>61214</v>
      </c>
      <c r="I273">
        <f t="shared" si="36"/>
        <v>77751</v>
      </c>
      <c r="J273">
        <f t="shared" si="37"/>
        <v>14551</v>
      </c>
      <c r="K273">
        <f t="shared" si="38"/>
        <v>0</v>
      </c>
      <c r="L273">
        <f t="shared" si="39"/>
        <v>14551</v>
      </c>
    </row>
    <row r="274" spans="1:12">
      <c r="A274" s="1">
        <f>Weekly_Material_Summary!A274</f>
        <v>46265</v>
      </c>
      <c r="B274" t="str">
        <f>Weekly_Material_Summary!B274</f>
        <v>M001</v>
      </c>
      <c r="C274">
        <f t="shared" si="40"/>
        <v>1296</v>
      </c>
      <c r="D274">
        <f>Weekly_Material_Summary!C274</f>
        <v>5425</v>
      </c>
      <c r="E274">
        <f t="shared" si="33"/>
        <v>1356</v>
      </c>
      <c r="F274">
        <f t="shared" si="34"/>
        <v>5485</v>
      </c>
      <c r="G274">
        <v>1</v>
      </c>
      <c r="H274">
        <f t="shared" si="35"/>
        <v>5485</v>
      </c>
      <c r="I274">
        <f t="shared" si="36"/>
        <v>6781</v>
      </c>
      <c r="J274">
        <f t="shared" si="37"/>
        <v>1356</v>
      </c>
      <c r="K274">
        <f t="shared" si="38"/>
        <v>0</v>
      </c>
      <c r="L274">
        <f t="shared" si="39"/>
        <v>1356</v>
      </c>
    </row>
    <row r="275" spans="1:12">
      <c r="A275" s="1">
        <f>Weekly_Material_Summary!A275</f>
        <v>46265</v>
      </c>
      <c r="B275" t="str">
        <f>Weekly_Material_Summary!B275</f>
        <v>M002</v>
      </c>
      <c r="C275">
        <f t="shared" si="40"/>
        <v>944</v>
      </c>
      <c r="D275">
        <f>Weekly_Material_Summary!C275</f>
        <v>4050</v>
      </c>
      <c r="E275">
        <f t="shared" si="33"/>
        <v>1013</v>
      </c>
      <c r="F275">
        <f t="shared" si="34"/>
        <v>4119</v>
      </c>
      <c r="G275">
        <v>1.01</v>
      </c>
      <c r="H275">
        <f t="shared" si="35"/>
        <v>4160</v>
      </c>
      <c r="I275">
        <f t="shared" si="36"/>
        <v>5104</v>
      </c>
      <c r="J275">
        <f t="shared" si="37"/>
        <v>1054</v>
      </c>
      <c r="K275">
        <f t="shared" si="38"/>
        <v>0</v>
      </c>
      <c r="L275">
        <f t="shared" si="39"/>
        <v>1054</v>
      </c>
    </row>
    <row r="276" spans="1:12">
      <c r="A276" s="1">
        <f>Weekly_Material_Summary!A276</f>
        <v>46265</v>
      </c>
      <c r="B276" t="str">
        <f>Weekly_Material_Summary!B276</f>
        <v>M003</v>
      </c>
      <c r="C276">
        <f t="shared" si="40"/>
        <v>684</v>
      </c>
      <c r="D276">
        <f>Weekly_Material_Summary!C276</f>
        <v>2925</v>
      </c>
      <c r="E276">
        <f t="shared" si="33"/>
        <v>731</v>
      </c>
      <c r="F276">
        <f t="shared" si="34"/>
        <v>2972</v>
      </c>
      <c r="G276">
        <v>1.01</v>
      </c>
      <c r="H276">
        <f t="shared" si="35"/>
        <v>3002</v>
      </c>
      <c r="I276">
        <f t="shared" si="36"/>
        <v>3686</v>
      </c>
      <c r="J276">
        <f t="shared" si="37"/>
        <v>761</v>
      </c>
      <c r="K276">
        <f t="shared" si="38"/>
        <v>0</v>
      </c>
      <c r="L276">
        <f t="shared" si="39"/>
        <v>761</v>
      </c>
    </row>
    <row r="277" spans="1:12">
      <c r="A277" s="1">
        <f>Weekly_Material_Summary!A277</f>
        <v>46265</v>
      </c>
      <c r="B277" t="str">
        <f>Weekly_Material_Summary!B277</f>
        <v>M004</v>
      </c>
      <c r="C277">
        <f t="shared" si="40"/>
        <v>1183</v>
      </c>
      <c r="D277">
        <f>Weekly_Material_Summary!C277</f>
        <v>4386</v>
      </c>
      <c r="E277">
        <f t="shared" si="33"/>
        <v>1097</v>
      </c>
      <c r="F277">
        <f t="shared" si="34"/>
        <v>4300</v>
      </c>
      <c r="G277">
        <v>1</v>
      </c>
      <c r="H277">
        <f t="shared" si="35"/>
        <v>4300</v>
      </c>
      <c r="I277">
        <f t="shared" si="36"/>
        <v>5483</v>
      </c>
      <c r="J277">
        <f t="shared" si="37"/>
        <v>1097</v>
      </c>
      <c r="K277">
        <f t="shared" si="38"/>
        <v>0</v>
      </c>
      <c r="L277">
        <f t="shared" si="39"/>
        <v>1097</v>
      </c>
    </row>
    <row r="278" spans="1:12">
      <c r="A278" s="1">
        <f>Weekly_Material_Summary!A278</f>
        <v>46265</v>
      </c>
      <c r="B278" t="str">
        <f>Weekly_Material_Summary!B278</f>
        <v>M005</v>
      </c>
      <c r="C278">
        <f t="shared" si="40"/>
        <v>1182</v>
      </c>
      <c r="D278">
        <f>Weekly_Material_Summary!C278</f>
        <v>4992</v>
      </c>
      <c r="E278">
        <f t="shared" si="33"/>
        <v>1248</v>
      </c>
      <c r="F278">
        <f t="shared" si="34"/>
        <v>5058</v>
      </c>
      <c r="G278">
        <v>1.02</v>
      </c>
      <c r="H278">
        <f t="shared" si="35"/>
        <v>5159</v>
      </c>
      <c r="I278">
        <f t="shared" si="36"/>
        <v>6341</v>
      </c>
      <c r="J278">
        <f t="shared" si="37"/>
        <v>1349</v>
      </c>
      <c r="K278">
        <f t="shared" si="38"/>
        <v>0</v>
      </c>
      <c r="L278">
        <f t="shared" si="39"/>
        <v>1349</v>
      </c>
    </row>
    <row r="279" spans="1:12">
      <c r="A279" s="1">
        <f>Weekly_Material_Summary!A279</f>
        <v>46265</v>
      </c>
      <c r="B279" t="str">
        <f>Weekly_Material_Summary!B279</f>
        <v>M006</v>
      </c>
      <c r="C279">
        <f t="shared" si="40"/>
        <v>134.60000000000002</v>
      </c>
      <c r="D279">
        <f>Weekly_Material_Summary!C279</f>
        <v>564.5</v>
      </c>
      <c r="E279">
        <f t="shared" si="33"/>
        <v>141</v>
      </c>
      <c r="F279">
        <f t="shared" si="34"/>
        <v>571</v>
      </c>
      <c r="G279">
        <v>0.99</v>
      </c>
      <c r="H279">
        <f t="shared" si="35"/>
        <v>565</v>
      </c>
      <c r="I279">
        <f t="shared" si="36"/>
        <v>699.6</v>
      </c>
      <c r="J279">
        <f t="shared" si="37"/>
        <v>135.10000000000002</v>
      </c>
      <c r="K279">
        <f t="shared" si="38"/>
        <v>0</v>
      </c>
      <c r="L279">
        <f t="shared" si="39"/>
        <v>135.10000000000002</v>
      </c>
    </row>
    <row r="280" spans="1:12">
      <c r="A280" s="1">
        <f>Weekly_Material_Summary!A280</f>
        <v>46265</v>
      </c>
      <c r="B280" t="str">
        <f>Weekly_Material_Summary!B280</f>
        <v>M007</v>
      </c>
      <c r="C280">
        <f t="shared" si="40"/>
        <v>14512</v>
      </c>
      <c r="D280">
        <f>Weekly_Material_Summary!C280</f>
        <v>63200</v>
      </c>
      <c r="E280">
        <f t="shared" si="33"/>
        <v>15800</v>
      </c>
      <c r="F280">
        <f t="shared" si="34"/>
        <v>64488</v>
      </c>
      <c r="G280">
        <v>1.01</v>
      </c>
      <c r="H280">
        <f t="shared" si="35"/>
        <v>65133</v>
      </c>
      <c r="I280">
        <f t="shared" si="36"/>
        <v>79645</v>
      </c>
      <c r="J280">
        <f t="shared" si="37"/>
        <v>16445</v>
      </c>
      <c r="K280">
        <f t="shared" si="38"/>
        <v>0</v>
      </c>
      <c r="L280">
        <f t="shared" si="39"/>
        <v>16445</v>
      </c>
    </row>
    <row r="281" spans="1:12">
      <c r="A281" s="1">
        <f>Weekly_Material_Summary!A281</f>
        <v>46265</v>
      </c>
      <c r="B281" t="str">
        <f>Weekly_Material_Summary!B281</f>
        <v>M008</v>
      </c>
      <c r="C281">
        <f t="shared" si="40"/>
        <v>14551</v>
      </c>
      <c r="D281">
        <f>Weekly_Material_Summary!C281</f>
        <v>63200</v>
      </c>
      <c r="E281">
        <f t="shared" si="33"/>
        <v>15800</v>
      </c>
      <c r="F281">
        <f t="shared" si="34"/>
        <v>64449</v>
      </c>
      <c r="G281">
        <v>1.02</v>
      </c>
      <c r="H281">
        <f t="shared" si="35"/>
        <v>65738</v>
      </c>
      <c r="I281">
        <f t="shared" si="36"/>
        <v>80289</v>
      </c>
      <c r="J281">
        <f t="shared" si="37"/>
        <v>17089</v>
      </c>
      <c r="K281">
        <f t="shared" si="38"/>
        <v>0</v>
      </c>
      <c r="L281">
        <f t="shared" si="39"/>
        <v>17089</v>
      </c>
    </row>
    <row r="282" spans="1:12">
      <c r="A282" s="1">
        <f>Weekly_Material_Summary!A282</f>
        <v>46272</v>
      </c>
      <c r="B282" t="str">
        <f>Weekly_Material_Summary!B282</f>
        <v>M001</v>
      </c>
      <c r="C282">
        <f t="shared" si="40"/>
        <v>1356</v>
      </c>
      <c r="D282">
        <f>Weekly_Material_Summary!C282</f>
        <v>5180</v>
      </c>
      <c r="E282">
        <f t="shared" si="33"/>
        <v>1295</v>
      </c>
      <c r="F282">
        <f t="shared" si="34"/>
        <v>5119</v>
      </c>
      <c r="G282">
        <v>1.01</v>
      </c>
      <c r="H282">
        <f t="shared" si="35"/>
        <v>5170</v>
      </c>
      <c r="I282">
        <f t="shared" si="36"/>
        <v>6526</v>
      </c>
      <c r="J282">
        <f t="shared" si="37"/>
        <v>1346</v>
      </c>
      <c r="K282">
        <f t="shared" si="38"/>
        <v>0</v>
      </c>
      <c r="L282">
        <f t="shared" si="39"/>
        <v>1346</v>
      </c>
    </row>
    <row r="283" spans="1:12">
      <c r="A283" s="1">
        <f>Weekly_Material_Summary!A283</f>
        <v>46272</v>
      </c>
      <c r="B283" t="str">
        <f>Weekly_Material_Summary!B283</f>
        <v>M002</v>
      </c>
      <c r="C283">
        <f t="shared" si="40"/>
        <v>1054</v>
      </c>
      <c r="D283">
        <f>Weekly_Material_Summary!C283</f>
        <v>3690</v>
      </c>
      <c r="E283">
        <f t="shared" si="33"/>
        <v>923</v>
      </c>
      <c r="F283">
        <f t="shared" si="34"/>
        <v>3559</v>
      </c>
      <c r="G283">
        <v>0.99</v>
      </c>
      <c r="H283">
        <f t="shared" si="35"/>
        <v>3523</v>
      </c>
      <c r="I283">
        <f t="shared" si="36"/>
        <v>4577</v>
      </c>
      <c r="J283">
        <f t="shared" si="37"/>
        <v>887</v>
      </c>
      <c r="K283">
        <f t="shared" si="38"/>
        <v>0</v>
      </c>
      <c r="L283">
        <f t="shared" si="39"/>
        <v>887</v>
      </c>
    </row>
    <row r="284" spans="1:12">
      <c r="A284" s="1">
        <f>Weekly_Material_Summary!A284</f>
        <v>46272</v>
      </c>
      <c r="B284" t="str">
        <f>Weekly_Material_Summary!B284</f>
        <v>M003</v>
      </c>
      <c r="C284">
        <f t="shared" si="40"/>
        <v>761</v>
      </c>
      <c r="D284">
        <f>Weekly_Material_Summary!C284</f>
        <v>2600</v>
      </c>
      <c r="E284">
        <f t="shared" si="33"/>
        <v>650</v>
      </c>
      <c r="F284">
        <f t="shared" si="34"/>
        <v>2489</v>
      </c>
      <c r="G284">
        <v>1</v>
      </c>
      <c r="H284">
        <f t="shared" si="35"/>
        <v>2489</v>
      </c>
      <c r="I284">
        <f t="shared" si="36"/>
        <v>3250</v>
      </c>
      <c r="J284">
        <f t="shared" si="37"/>
        <v>650</v>
      </c>
      <c r="K284">
        <f t="shared" si="38"/>
        <v>0</v>
      </c>
      <c r="L284">
        <f t="shared" si="39"/>
        <v>650</v>
      </c>
    </row>
    <row r="285" spans="1:12">
      <c r="A285" s="1">
        <f>Weekly_Material_Summary!A285</f>
        <v>46272</v>
      </c>
      <c r="B285" t="str">
        <f>Weekly_Material_Summary!B285</f>
        <v>M004</v>
      </c>
      <c r="C285">
        <f t="shared" si="40"/>
        <v>1097</v>
      </c>
      <c r="D285">
        <f>Weekly_Material_Summary!C285</f>
        <v>3876.0000000000005</v>
      </c>
      <c r="E285">
        <f t="shared" si="33"/>
        <v>969</v>
      </c>
      <c r="F285">
        <f t="shared" si="34"/>
        <v>3748</v>
      </c>
      <c r="G285">
        <v>1.01</v>
      </c>
      <c r="H285">
        <f t="shared" si="35"/>
        <v>3785</v>
      </c>
      <c r="I285">
        <f t="shared" si="36"/>
        <v>4882</v>
      </c>
      <c r="J285">
        <f t="shared" si="37"/>
        <v>1005.9999999999995</v>
      </c>
      <c r="K285">
        <f t="shared" si="38"/>
        <v>0</v>
      </c>
      <c r="L285">
        <f t="shared" si="39"/>
        <v>1005.9999999999995</v>
      </c>
    </row>
    <row r="286" spans="1:12">
      <c r="A286" s="1">
        <f>Weekly_Material_Summary!A286</f>
        <v>46272</v>
      </c>
      <c r="B286" t="str">
        <f>Weekly_Material_Summary!B286</f>
        <v>M005</v>
      </c>
      <c r="C286">
        <f t="shared" si="40"/>
        <v>1349</v>
      </c>
      <c r="D286">
        <f>Weekly_Material_Summary!C286</f>
        <v>4420</v>
      </c>
      <c r="E286">
        <f t="shared" si="33"/>
        <v>1105</v>
      </c>
      <c r="F286">
        <f t="shared" si="34"/>
        <v>4176</v>
      </c>
      <c r="G286">
        <v>1</v>
      </c>
      <c r="H286">
        <f t="shared" si="35"/>
        <v>4176</v>
      </c>
      <c r="I286">
        <f t="shared" si="36"/>
        <v>5525</v>
      </c>
      <c r="J286">
        <f t="shared" si="37"/>
        <v>1105</v>
      </c>
      <c r="K286">
        <f t="shared" si="38"/>
        <v>0</v>
      </c>
      <c r="L286">
        <f t="shared" si="39"/>
        <v>1105</v>
      </c>
    </row>
    <row r="287" spans="1:12">
      <c r="A287" s="1">
        <f>Weekly_Material_Summary!A287</f>
        <v>46272</v>
      </c>
      <c r="B287" t="str">
        <f>Weekly_Material_Summary!B287</f>
        <v>M006</v>
      </c>
      <c r="C287">
        <f t="shared" si="40"/>
        <v>135.10000000000002</v>
      </c>
      <c r="D287">
        <f>Weekly_Material_Summary!C287</f>
        <v>513.4</v>
      </c>
      <c r="E287">
        <f t="shared" si="33"/>
        <v>128</v>
      </c>
      <c r="F287">
        <f t="shared" si="34"/>
        <v>506</v>
      </c>
      <c r="G287">
        <v>1.02</v>
      </c>
      <c r="H287">
        <f t="shared" si="35"/>
        <v>516</v>
      </c>
      <c r="I287">
        <f t="shared" si="36"/>
        <v>651.1</v>
      </c>
      <c r="J287">
        <f t="shared" si="37"/>
        <v>137.70000000000005</v>
      </c>
      <c r="K287">
        <f t="shared" si="38"/>
        <v>0</v>
      </c>
      <c r="L287">
        <f t="shared" si="39"/>
        <v>137.70000000000005</v>
      </c>
    </row>
    <row r="288" spans="1:12">
      <c r="A288" s="1">
        <f>Weekly_Material_Summary!A288</f>
        <v>46272</v>
      </c>
      <c r="B288" t="str">
        <f>Weekly_Material_Summary!B288</f>
        <v>M007</v>
      </c>
      <c r="C288">
        <f t="shared" si="40"/>
        <v>16445</v>
      </c>
      <c r="D288">
        <f>Weekly_Material_Summary!C288</f>
        <v>57400</v>
      </c>
      <c r="E288">
        <f t="shared" si="33"/>
        <v>14350</v>
      </c>
      <c r="F288">
        <f t="shared" si="34"/>
        <v>55305</v>
      </c>
      <c r="G288">
        <v>1.02</v>
      </c>
      <c r="H288">
        <f t="shared" si="35"/>
        <v>56411</v>
      </c>
      <c r="I288">
        <f t="shared" si="36"/>
        <v>72856</v>
      </c>
      <c r="J288">
        <f t="shared" si="37"/>
        <v>15456</v>
      </c>
      <c r="K288">
        <f t="shared" si="38"/>
        <v>0</v>
      </c>
      <c r="L288">
        <f t="shared" si="39"/>
        <v>15456</v>
      </c>
    </row>
    <row r="289" spans="1:12">
      <c r="A289" s="1">
        <f>Weekly_Material_Summary!A289</f>
        <v>46272</v>
      </c>
      <c r="B289" t="str">
        <f>Weekly_Material_Summary!B289</f>
        <v>M008</v>
      </c>
      <c r="C289">
        <f t="shared" si="40"/>
        <v>17089</v>
      </c>
      <c r="D289">
        <f>Weekly_Material_Summary!C289</f>
        <v>57400</v>
      </c>
      <c r="E289">
        <f t="shared" si="33"/>
        <v>14350</v>
      </c>
      <c r="F289">
        <f t="shared" si="34"/>
        <v>54661</v>
      </c>
      <c r="G289">
        <v>1</v>
      </c>
      <c r="H289">
        <f t="shared" si="35"/>
        <v>54661</v>
      </c>
      <c r="I289">
        <f t="shared" si="36"/>
        <v>71750</v>
      </c>
      <c r="J289">
        <f t="shared" si="37"/>
        <v>14350</v>
      </c>
      <c r="K289">
        <f t="shared" si="38"/>
        <v>0</v>
      </c>
      <c r="L289">
        <f t="shared" si="39"/>
        <v>14350</v>
      </c>
    </row>
    <row r="290" spans="1:12">
      <c r="A290" s="1">
        <f>Weekly_Material_Summary!A290</f>
        <v>46279</v>
      </c>
      <c r="B290" t="str">
        <f>Weekly_Material_Summary!B290</f>
        <v>M001</v>
      </c>
      <c r="C290">
        <f t="shared" si="40"/>
        <v>1346</v>
      </c>
      <c r="D290">
        <f>Weekly_Material_Summary!C290</f>
        <v>4935</v>
      </c>
      <c r="E290">
        <f t="shared" si="33"/>
        <v>1234</v>
      </c>
      <c r="F290">
        <f t="shared" si="34"/>
        <v>4823</v>
      </c>
      <c r="G290">
        <v>0.98</v>
      </c>
      <c r="H290">
        <f t="shared" si="35"/>
        <v>4727</v>
      </c>
      <c r="I290">
        <f t="shared" si="36"/>
        <v>6073</v>
      </c>
      <c r="J290">
        <f t="shared" si="37"/>
        <v>1138</v>
      </c>
      <c r="K290">
        <f t="shared" si="38"/>
        <v>0</v>
      </c>
      <c r="L290">
        <f t="shared" si="39"/>
        <v>1138</v>
      </c>
    </row>
    <row r="291" spans="1:12">
      <c r="A291" s="1">
        <f>Weekly_Material_Summary!A291</f>
        <v>46279</v>
      </c>
      <c r="B291" t="str">
        <f>Weekly_Material_Summary!B291</f>
        <v>M002</v>
      </c>
      <c r="C291">
        <f t="shared" si="40"/>
        <v>887</v>
      </c>
      <c r="D291">
        <f>Weekly_Material_Summary!C291</f>
        <v>3780</v>
      </c>
      <c r="E291">
        <f t="shared" si="33"/>
        <v>945</v>
      </c>
      <c r="F291">
        <f t="shared" si="34"/>
        <v>3838</v>
      </c>
      <c r="G291">
        <v>0.65</v>
      </c>
      <c r="H291">
        <f t="shared" si="35"/>
        <v>2495</v>
      </c>
      <c r="I291">
        <f t="shared" si="36"/>
        <v>3382</v>
      </c>
      <c r="J291">
        <f t="shared" si="37"/>
        <v>-398</v>
      </c>
      <c r="K291">
        <f t="shared" si="38"/>
        <v>398</v>
      </c>
      <c r="L291">
        <f t="shared" si="39"/>
        <v>0</v>
      </c>
    </row>
    <row r="292" spans="1:12">
      <c r="A292" s="1">
        <f>Weekly_Material_Summary!A292</f>
        <v>46279</v>
      </c>
      <c r="B292" t="str">
        <f>Weekly_Material_Summary!B292</f>
        <v>M003</v>
      </c>
      <c r="C292">
        <f t="shared" si="40"/>
        <v>650</v>
      </c>
      <c r="D292">
        <f>Weekly_Material_Summary!C292</f>
        <v>2775</v>
      </c>
      <c r="E292">
        <f t="shared" si="33"/>
        <v>694</v>
      </c>
      <c r="F292">
        <f t="shared" si="34"/>
        <v>2819</v>
      </c>
      <c r="G292">
        <v>0.98</v>
      </c>
      <c r="H292">
        <f t="shared" si="35"/>
        <v>2763</v>
      </c>
      <c r="I292">
        <f t="shared" si="36"/>
        <v>3413</v>
      </c>
      <c r="J292">
        <f t="shared" si="37"/>
        <v>638</v>
      </c>
      <c r="K292">
        <f t="shared" si="38"/>
        <v>0</v>
      </c>
      <c r="L292">
        <f t="shared" si="39"/>
        <v>638</v>
      </c>
    </row>
    <row r="293" spans="1:12">
      <c r="A293" s="1">
        <f>Weekly_Material_Summary!A293</f>
        <v>46279</v>
      </c>
      <c r="B293" t="str">
        <f>Weekly_Material_Summary!B293</f>
        <v>M004</v>
      </c>
      <c r="C293">
        <f t="shared" si="40"/>
        <v>1005.9999999999995</v>
      </c>
      <c r="D293">
        <f>Weekly_Material_Summary!C293</f>
        <v>3808.0000000000005</v>
      </c>
      <c r="E293">
        <f t="shared" si="33"/>
        <v>952</v>
      </c>
      <c r="F293">
        <f t="shared" si="34"/>
        <v>3754</v>
      </c>
      <c r="G293">
        <v>1</v>
      </c>
      <c r="H293">
        <f t="shared" si="35"/>
        <v>3754</v>
      </c>
      <c r="I293">
        <f t="shared" si="36"/>
        <v>4760</v>
      </c>
      <c r="J293">
        <f t="shared" si="37"/>
        <v>951.99999999999955</v>
      </c>
      <c r="K293">
        <f t="shared" si="38"/>
        <v>0</v>
      </c>
      <c r="L293">
        <f t="shared" si="39"/>
        <v>951.99999999999955</v>
      </c>
    </row>
    <row r="294" spans="1:12">
      <c r="A294" s="1">
        <f>Weekly_Material_Summary!A294</f>
        <v>46279</v>
      </c>
      <c r="B294" t="str">
        <f>Weekly_Material_Summary!B294</f>
        <v>M005</v>
      </c>
      <c r="C294">
        <f t="shared" si="40"/>
        <v>1105</v>
      </c>
      <c r="D294">
        <f>Weekly_Material_Summary!C294</f>
        <v>4420</v>
      </c>
      <c r="E294">
        <f t="shared" si="33"/>
        <v>1105</v>
      </c>
      <c r="F294">
        <f t="shared" si="34"/>
        <v>4420</v>
      </c>
      <c r="G294">
        <v>1</v>
      </c>
      <c r="H294">
        <f t="shared" si="35"/>
        <v>4420</v>
      </c>
      <c r="I294">
        <f t="shared" si="36"/>
        <v>5525</v>
      </c>
      <c r="J294">
        <f t="shared" si="37"/>
        <v>1105</v>
      </c>
      <c r="K294">
        <f t="shared" si="38"/>
        <v>0</v>
      </c>
      <c r="L294">
        <f t="shared" si="39"/>
        <v>1105</v>
      </c>
    </row>
    <row r="295" spans="1:12">
      <c r="A295" s="1">
        <f>Weekly_Material_Summary!A295</f>
        <v>46279</v>
      </c>
      <c r="B295" t="str">
        <f>Weekly_Material_Summary!B295</f>
        <v>M006</v>
      </c>
      <c r="C295">
        <f t="shared" si="40"/>
        <v>137.70000000000005</v>
      </c>
      <c r="D295">
        <f>Weekly_Material_Summary!C295</f>
        <v>511.2</v>
      </c>
      <c r="E295">
        <f t="shared" si="33"/>
        <v>128</v>
      </c>
      <c r="F295">
        <f t="shared" si="34"/>
        <v>502</v>
      </c>
      <c r="G295">
        <v>1</v>
      </c>
      <c r="H295">
        <f t="shared" si="35"/>
        <v>502</v>
      </c>
      <c r="I295">
        <f t="shared" si="36"/>
        <v>639.70000000000005</v>
      </c>
      <c r="J295">
        <f t="shared" si="37"/>
        <v>128.50000000000006</v>
      </c>
      <c r="K295">
        <f t="shared" si="38"/>
        <v>0</v>
      </c>
      <c r="L295">
        <f t="shared" si="39"/>
        <v>128.50000000000006</v>
      </c>
    </row>
    <row r="296" spans="1:12">
      <c r="A296" s="1">
        <f>Weekly_Material_Summary!A296</f>
        <v>46279</v>
      </c>
      <c r="B296" t="str">
        <f>Weekly_Material_Summary!B296</f>
        <v>M007</v>
      </c>
      <c r="C296">
        <f t="shared" si="40"/>
        <v>15456</v>
      </c>
      <c r="D296">
        <f>Weekly_Material_Summary!C296</f>
        <v>57500</v>
      </c>
      <c r="E296">
        <f t="shared" si="33"/>
        <v>14375</v>
      </c>
      <c r="F296">
        <f t="shared" si="34"/>
        <v>56419</v>
      </c>
      <c r="G296">
        <v>1.01</v>
      </c>
      <c r="H296">
        <f t="shared" si="35"/>
        <v>56983</v>
      </c>
      <c r="I296">
        <f t="shared" si="36"/>
        <v>72439</v>
      </c>
      <c r="J296">
        <f t="shared" si="37"/>
        <v>14939</v>
      </c>
      <c r="K296">
        <f t="shared" si="38"/>
        <v>0</v>
      </c>
      <c r="L296">
        <f t="shared" si="39"/>
        <v>14939</v>
      </c>
    </row>
    <row r="297" spans="1:12">
      <c r="A297" s="1">
        <f>Weekly_Material_Summary!A297</f>
        <v>46279</v>
      </c>
      <c r="B297" t="str">
        <f>Weekly_Material_Summary!B297</f>
        <v>M008</v>
      </c>
      <c r="C297">
        <f t="shared" si="40"/>
        <v>14350</v>
      </c>
      <c r="D297">
        <f>Weekly_Material_Summary!C297</f>
        <v>57500</v>
      </c>
      <c r="E297">
        <f t="shared" si="33"/>
        <v>14375</v>
      </c>
      <c r="F297">
        <f t="shared" si="34"/>
        <v>57525</v>
      </c>
      <c r="G297">
        <v>0.98</v>
      </c>
      <c r="H297">
        <f t="shared" si="35"/>
        <v>56375</v>
      </c>
      <c r="I297">
        <f t="shared" si="36"/>
        <v>70725</v>
      </c>
      <c r="J297">
        <f t="shared" si="37"/>
        <v>13225</v>
      </c>
      <c r="K297">
        <f t="shared" si="38"/>
        <v>0</v>
      </c>
      <c r="L297">
        <f t="shared" si="39"/>
        <v>13225</v>
      </c>
    </row>
    <row r="298" spans="1:12">
      <c r="A298" s="1">
        <f>Weekly_Material_Summary!A298</f>
        <v>46286</v>
      </c>
      <c r="B298" t="str">
        <f>Weekly_Material_Summary!B298</f>
        <v>M001</v>
      </c>
      <c r="C298">
        <f t="shared" si="40"/>
        <v>1138</v>
      </c>
      <c r="D298">
        <f>Weekly_Material_Summary!C298</f>
        <v>5005</v>
      </c>
      <c r="E298">
        <f t="shared" si="33"/>
        <v>1251</v>
      </c>
      <c r="F298">
        <f t="shared" si="34"/>
        <v>5118</v>
      </c>
      <c r="G298">
        <v>1</v>
      </c>
      <c r="H298">
        <f t="shared" si="35"/>
        <v>5118</v>
      </c>
      <c r="I298">
        <f t="shared" si="36"/>
        <v>6256</v>
      </c>
      <c r="J298">
        <f t="shared" si="37"/>
        <v>1251</v>
      </c>
      <c r="K298">
        <f t="shared" si="38"/>
        <v>0</v>
      </c>
      <c r="L298">
        <f t="shared" si="39"/>
        <v>1251</v>
      </c>
    </row>
    <row r="299" spans="1:12">
      <c r="A299" s="1">
        <f>Weekly_Material_Summary!A299</f>
        <v>46286</v>
      </c>
      <c r="B299" t="str">
        <f>Weekly_Material_Summary!B299</f>
        <v>M002</v>
      </c>
      <c r="C299">
        <f t="shared" si="40"/>
        <v>0</v>
      </c>
      <c r="D299">
        <f>Weekly_Material_Summary!C299</f>
        <v>3900</v>
      </c>
      <c r="E299">
        <f t="shared" si="33"/>
        <v>975</v>
      </c>
      <c r="F299">
        <f t="shared" si="34"/>
        <v>4875</v>
      </c>
      <c r="G299">
        <v>0.99</v>
      </c>
      <c r="H299">
        <f t="shared" si="35"/>
        <v>4826</v>
      </c>
      <c r="I299">
        <f t="shared" si="36"/>
        <v>4826</v>
      </c>
      <c r="J299">
        <f t="shared" si="37"/>
        <v>926</v>
      </c>
      <c r="K299">
        <f t="shared" si="38"/>
        <v>0</v>
      </c>
      <c r="L299">
        <f t="shared" si="39"/>
        <v>926</v>
      </c>
    </row>
    <row r="300" spans="1:12">
      <c r="A300" s="1">
        <f>Weekly_Material_Summary!A300</f>
        <v>46286</v>
      </c>
      <c r="B300" t="str">
        <f>Weekly_Material_Summary!B300</f>
        <v>M003</v>
      </c>
      <c r="C300">
        <f t="shared" si="40"/>
        <v>638</v>
      </c>
      <c r="D300">
        <f>Weekly_Material_Summary!C300</f>
        <v>2875</v>
      </c>
      <c r="E300">
        <f t="shared" si="33"/>
        <v>719</v>
      </c>
      <c r="F300">
        <f t="shared" si="34"/>
        <v>2956</v>
      </c>
      <c r="G300">
        <v>1</v>
      </c>
      <c r="H300">
        <f t="shared" si="35"/>
        <v>2956</v>
      </c>
      <c r="I300">
        <f t="shared" si="36"/>
        <v>3594</v>
      </c>
      <c r="J300">
        <f t="shared" si="37"/>
        <v>719</v>
      </c>
      <c r="K300">
        <f t="shared" si="38"/>
        <v>0</v>
      </c>
      <c r="L300">
        <f t="shared" si="39"/>
        <v>719</v>
      </c>
    </row>
    <row r="301" spans="1:12">
      <c r="A301" s="1">
        <f>Weekly_Material_Summary!A301</f>
        <v>46286</v>
      </c>
      <c r="B301" t="str">
        <f>Weekly_Material_Summary!B301</f>
        <v>M004</v>
      </c>
      <c r="C301">
        <f t="shared" si="40"/>
        <v>951.99999999999955</v>
      </c>
      <c r="D301">
        <f>Weekly_Material_Summary!C301</f>
        <v>3944.0000000000005</v>
      </c>
      <c r="E301">
        <f t="shared" si="33"/>
        <v>986</v>
      </c>
      <c r="F301">
        <f t="shared" si="34"/>
        <v>3978</v>
      </c>
      <c r="G301">
        <v>0.99</v>
      </c>
      <c r="H301">
        <f t="shared" si="35"/>
        <v>3938</v>
      </c>
      <c r="I301">
        <f t="shared" si="36"/>
        <v>4890</v>
      </c>
      <c r="J301">
        <f t="shared" si="37"/>
        <v>945.99999999999955</v>
      </c>
      <c r="K301">
        <f t="shared" si="38"/>
        <v>0</v>
      </c>
      <c r="L301">
        <f t="shared" si="39"/>
        <v>945.99999999999955</v>
      </c>
    </row>
    <row r="302" spans="1:12">
      <c r="A302" s="1">
        <f>Weekly_Material_Summary!A302</f>
        <v>46286</v>
      </c>
      <c r="B302" t="str">
        <f>Weekly_Material_Summary!B302</f>
        <v>M005</v>
      </c>
      <c r="C302">
        <f t="shared" si="40"/>
        <v>1105</v>
      </c>
      <c r="D302">
        <f>Weekly_Material_Summary!C302</f>
        <v>4524</v>
      </c>
      <c r="E302">
        <f t="shared" si="33"/>
        <v>1131</v>
      </c>
      <c r="F302">
        <f t="shared" si="34"/>
        <v>4550</v>
      </c>
      <c r="G302">
        <v>1.01</v>
      </c>
      <c r="H302">
        <f t="shared" si="35"/>
        <v>4596</v>
      </c>
      <c r="I302">
        <f t="shared" si="36"/>
        <v>5701</v>
      </c>
      <c r="J302">
        <f t="shared" si="37"/>
        <v>1177</v>
      </c>
      <c r="K302">
        <f t="shared" si="38"/>
        <v>0</v>
      </c>
      <c r="L302">
        <f t="shared" si="39"/>
        <v>1177</v>
      </c>
    </row>
    <row r="303" spans="1:12">
      <c r="A303" s="1">
        <f>Weekly_Material_Summary!A303</f>
        <v>46286</v>
      </c>
      <c r="B303" t="str">
        <f>Weekly_Material_Summary!B303</f>
        <v>M006</v>
      </c>
      <c r="C303">
        <f t="shared" si="40"/>
        <v>128.50000000000006</v>
      </c>
      <c r="D303">
        <f>Weekly_Material_Summary!C303</f>
        <v>524.79999999999995</v>
      </c>
      <c r="E303">
        <f t="shared" si="33"/>
        <v>131</v>
      </c>
      <c r="F303">
        <f t="shared" si="34"/>
        <v>527</v>
      </c>
      <c r="G303">
        <v>1</v>
      </c>
      <c r="H303">
        <f t="shared" si="35"/>
        <v>527</v>
      </c>
      <c r="I303">
        <f t="shared" si="36"/>
        <v>655.5</v>
      </c>
      <c r="J303">
        <f t="shared" si="37"/>
        <v>130.70000000000005</v>
      </c>
      <c r="K303">
        <f t="shared" si="38"/>
        <v>0</v>
      </c>
      <c r="L303">
        <f t="shared" si="39"/>
        <v>130.70000000000005</v>
      </c>
    </row>
    <row r="304" spans="1:12">
      <c r="A304" s="1">
        <f>Weekly_Material_Summary!A304</f>
        <v>46286</v>
      </c>
      <c r="B304" t="str">
        <f>Weekly_Material_Summary!B304</f>
        <v>M007</v>
      </c>
      <c r="C304">
        <f t="shared" si="40"/>
        <v>14939</v>
      </c>
      <c r="D304">
        <f>Weekly_Material_Summary!C304</f>
        <v>59100</v>
      </c>
      <c r="E304">
        <f t="shared" si="33"/>
        <v>14775</v>
      </c>
      <c r="F304">
        <f t="shared" si="34"/>
        <v>58936</v>
      </c>
      <c r="G304">
        <v>1.02</v>
      </c>
      <c r="H304">
        <f t="shared" si="35"/>
        <v>60115</v>
      </c>
      <c r="I304">
        <f t="shared" si="36"/>
        <v>75054</v>
      </c>
      <c r="J304">
        <f t="shared" si="37"/>
        <v>15954</v>
      </c>
      <c r="K304">
        <f t="shared" si="38"/>
        <v>0</v>
      </c>
      <c r="L304">
        <f t="shared" si="39"/>
        <v>15954</v>
      </c>
    </row>
    <row r="305" spans="1:12">
      <c r="A305" s="1">
        <f>Weekly_Material_Summary!A305</f>
        <v>46286</v>
      </c>
      <c r="B305" t="str">
        <f>Weekly_Material_Summary!B305</f>
        <v>M008</v>
      </c>
      <c r="C305">
        <f t="shared" si="40"/>
        <v>13225</v>
      </c>
      <c r="D305">
        <f>Weekly_Material_Summary!C305</f>
        <v>59100</v>
      </c>
      <c r="E305">
        <f t="shared" si="33"/>
        <v>14775</v>
      </c>
      <c r="F305">
        <f t="shared" si="34"/>
        <v>60650</v>
      </c>
      <c r="G305">
        <v>1.01</v>
      </c>
      <c r="H305">
        <f t="shared" si="35"/>
        <v>61257</v>
      </c>
      <c r="I305">
        <f t="shared" si="36"/>
        <v>74482</v>
      </c>
      <c r="J305">
        <f t="shared" si="37"/>
        <v>15382</v>
      </c>
      <c r="K305">
        <f t="shared" si="38"/>
        <v>0</v>
      </c>
      <c r="L305">
        <f t="shared" si="39"/>
        <v>15382</v>
      </c>
    </row>
    <row r="306" spans="1:12">
      <c r="A306" s="1">
        <f>Weekly_Material_Summary!A306</f>
        <v>46293</v>
      </c>
      <c r="B306" t="str">
        <f>Weekly_Material_Summary!B306</f>
        <v>M001</v>
      </c>
      <c r="C306">
        <f t="shared" si="40"/>
        <v>1251</v>
      </c>
      <c r="D306">
        <f>Weekly_Material_Summary!C306</f>
        <v>5145</v>
      </c>
      <c r="E306">
        <f t="shared" si="33"/>
        <v>1286</v>
      </c>
      <c r="F306">
        <f t="shared" si="34"/>
        <v>5180</v>
      </c>
      <c r="G306">
        <v>0.99</v>
      </c>
      <c r="H306">
        <f t="shared" si="35"/>
        <v>5128</v>
      </c>
      <c r="I306">
        <f t="shared" si="36"/>
        <v>6379</v>
      </c>
      <c r="J306">
        <f t="shared" si="37"/>
        <v>1234</v>
      </c>
      <c r="K306">
        <f t="shared" si="38"/>
        <v>0</v>
      </c>
      <c r="L306">
        <f t="shared" si="39"/>
        <v>1234</v>
      </c>
    </row>
    <row r="307" spans="1:12">
      <c r="A307" s="1">
        <f>Weekly_Material_Summary!A307</f>
        <v>46293</v>
      </c>
      <c r="B307" t="str">
        <f>Weekly_Material_Summary!B307</f>
        <v>M002</v>
      </c>
      <c r="C307">
        <f t="shared" si="40"/>
        <v>926</v>
      </c>
      <c r="D307">
        <f>Weekly_Material_Summary!C307</f>
        <v>3750</v>
      </c>
      <c r="E307">
        <f t="shared" si="33"/>
        <v>938</v>
      </c>
      <c r="F307">
        <f t="shared" si="34"/>
        <v>3762</v>
      </c>
      <c r="G307">
        <v>0.99</v>
      </c>
      <c r="H307">
        <f t="shared" si="35"/>
        <v>3724</v>
      </c>
      <c r="I307">
        <f t="shared" si="36"/>
        <v>4650</v>
      </c>
      <c r="J307">
        <f t="shared" si="37"/>
        <v>900</v>
      </c>
      <c r="K307">
        <f t="shared" si="38"/>
        <v>0</v>
      </c>
      <c r="L307">
        <f t="shared" si="39"/>
        <v>900</v>
      </c>
    </row>
    <row r="308" spans="1:12">
      <c r="A308" s="1">
        <f>Weekly_Material_Summary!A308</f>
        <v>46293</v>
      </c>
      <c r="B308" t="str">
        <f>Weekly_Material_Summary!B308</f>
        <v>M003</v>
      </c>
      <c r="C308">
        <f t="shared" si="40"/>
        <v>719</v>
      </c>
      <c r="D308">
        <f>Weekly_Material_Summary!C308</f>
        <v>2700</v>
      </c>
      <c r="E308">
        <f t="shared" si="33"/>
        <v>675</v>
      </c>
      <c r="F308">
        <f t="shared" si="34"/>
        <v>2656</v>
      </c>
      <c r="G308">
        <v>1.01</v>
      </c>
      <c r="H308">
        <f t="shared" si="35"/>
        <v>2683</v>
      </c>
      <c r="I308">
        <f t="shared" si="36"/>
        <v>3402</v>
      </c>
      <c r="J308">
        <f t="shared" si="37"/>
        <v>702</v>
      </c>
      <c r="K308">
        <f t="shared" si="38"/>
        <v>0</v>
      </c>
      <c r="L308">
        <f t="shared" si="39"/>
        <v>702</v>
      </c>
    </row>
    <row r="309" spans="1:12">
      <c r="A309" s="1">
        <f>Weekly_Material_Summary!A309</f>
        <v>46293</v>
      </c>
      <c r="B309" t="str">
        <f>Weekly_Material_Summary!B309</f>
        <v>M004</v>
      </c>
      <c r="C309">
        <f t="shared" si="40"/>
        <v>945.99999999999955</v>
      </c>
      <c r="D309">
        <f>Weekly_Material_Summary!C309</f>
        <v>3978.0000000000005</v>
      </c>
      <c r="E309">
        <f t="shared" si="33"/>
        <v>995</v>
      </c>
      <c r="F309">
        <f t="shared" si="34"/>
        <v>4027</v>
      </c>
      <c r="G309">
        <v>1.02</v>
      </c>
      <c r="H309">
        <f t="shared" si="35"/>
        <v>4108</v>
      </c>
      <c r="I309">
        <f t="shared" si="36"/>
        <v>5054</v>
      </c>
      <c r="J309">
        <f t="shared" si="37"/>
        <v>1075.9999999999995</v>
      </c>
      <c r="K309">
        <f t="shared" si="38"/>
        <v>0</v>
      </c>
      <c r="L309">
        <f t="shared" si="39"/>
        <v>1075.9999999999995</v>
      </c>
    </row>
    <row r="310" spans="1:12">
      <c r="A310" s="1">
        <f>Weekly_Material_Summary!A310</f>
        <v>46293</v>
      </c>
      <c r="B310" t="str">
        <f>Weekly_Material_Summary!B310</f>
        <v>M005</v>
      </c>
      <c r="C310">
        <f t="shared" si="40"/>
        <v>1177</v>
      </c>
      <c r="D310">
        <f>Weekly_Material_Summary!C310</f>
        <v>4680</v>
      </c>
      <c r="E310">
        <f t="shared" si="33"/>
        <v>1170</v>
      </c>
      <c r="F310">
        <f t="shared" si="34"/>
        <v>4673</v>
      </c>
      <c r="G310">
        <v>0.99</v>
      </c>
      <c r="H310">
        <f t="shared" si="35"/>
        <v>4626</v>
      </c>
      <c r="I310">
        <f t="shared" si="36"/>
        <v>5803</v>
      </c>
      <c r="J310">
        <f t="shared" si="37"/>
        <v>1123</v>
      </c>
      <c r="K310">
        <f t="shared" si="38"/>
        <v>0</v>
      </c>
      <c r="L310">
        <f t="shared" si="39"/>
        <v>1123</v>
      </c>
    </row>
    <row r="311" spans="1:12">
      <c r="A311" s="1">
        <f>Weekly_Material_Summary!A311</f>
        <v>46293</v>
      </c>
      <c r="B311" t="str">
        <f>Weekly_Material_Summary!B311</f>
        <v>M006</v>
      </c>
      <c r="C311">
        <f t="shared" si="40"/>
        <v>130.70000000000005</v>
      </c>
      <c r="D311">
        <f>Weekly_Material_Summary!C311</f>
        <v>525.1</v>
      </c>
      <c r="E311">
        <f t="shared" si="33"/>
        <v>131</v>
      </c>
      <c r="F311">
        <f t="shared" si="34"/>
        <v>525</v>
      </c>
      <c r="G311">
        <v>1.01</v>
      </c>
      <c r="H311">
        <f t="shared" si="35"/>
        <v>530</v>
      </c>
      <c r="I311">
        <f t="shared" si="36"/>
        <v>660.7</v>
      </c>
      <c r="J311">
        <f t="shared" si="37"/>
        <v>135.60000000000002</v>
      </c>
      <c r="K311">
        <f t="shared" si="38"/>
        <v>0</v>
      </c>
      <c r="L311">
        <f t="shared" si="39"/>
        <v>135.60000000000002</v>
      </c>
    </row>
    <row r="312" spans="1:12">
      <c r="A312" s="1">
        <f>Weekly_Material_Summary!A312</f>
        <v>46293</v>
      </c>
      <c r="B312" t="str">
        <f>Weekly_Material_Summary!B312</f>
        <v>M007</v>
      </c>
      <c r="C312">
        <f t="shared" si="40"/>
        <v>15954</v>
      </c>
      <c r="D312">
        <f>Weekly_Material_Summary!C312</f>
        <v>58700</v>
      </c>
      <c r="E312">
        <f t="shared" si="33"/>
        <v>14675</v>
      </c>
      <c r="F312">
        <f t="shared" si="34"/>
        <v>57421</v>
      </c>
      <c r="G312">
        <v>1.02</v>
      </c>
      <c r="H312">
        <f t="shared" si="35"/>
        <v>58569</v>
      </c>
      <c r="I312">
        <f t="shared" si="36"/>
        <v>74523</v>
      </c>
      <c r="J312">
        <f t="shared" si="37"/>
        <v>15823</v>
      </c>
      <c r="K312">
        <f t="shared" si="38"/>
        <v>0</v>
      </c>
      <c r="L312">
        <f t="shared" si="39"/>
        <v>15823</v>
      </c>
    </row>
    <row r="313" spans="1:12">
      <c r="A313" s="1">
        <f>Weekly_Material_Summary!A313</f>
        <v>46293</v>
      </c>
      <c r="B313" t="str">
        <f>Weekly_Material_Summary!B313</f>
        <v>M008</v>
      </c>
      <c r="C313">
        <f t="shared" si="40"/>
        <v>15382</v>
      </c>
      <c r="D313">
        <f>Weekly_Material_Summary!C313</f>
        <v>58700</v>
      </c>
      <c r="E313">
        <f t="shared" si="33"/>
        <v>14675</v>
      </c>
      <c r="F313">
        <f t="shared" si="34"/>
        <v>57993</v>
      </c>
      <c r="G313">
        <v>1.02</v>
      </c>
      <c r="H313">
        <f t="shared" si="35"/>
        <v>59153</v>
      </c>
      <c r="I313">
        <f t="shared" si="36"/>
        <v>74535</v>
      </c>
      <c r="J313">
        <f t="shared" si="37"/>
        <v>15835</v>
      </c>
      <c r="K313">
        <f t="shared" si="38"/>
        <v>0</v>
      </c>
      <c r="L313">
        <f t="shared" si="39"/>
        <v>15835</v>
      </c>
    </row>
    <row r="314" spans="1:12">
      <c r="A314" s="1">
        <f>Weekly_Material_Summary!A314</f>
        <v>46300</v>
      </c>
      <c r="B314" t="str">
        <f>Weekly_Material_Summary!B314</f>
        <v>M001</v>
      </c>
      <c r="C314">
        <f t="shared" si="40"/>
        <v>1234</v>
      </c>
      <c r="D314">
        <f>Weekly_Material_Summary!C314</f>
        <v>5250</v>
      </c>
      <c r="E314">
        <f t="shared" si="33"/>
        <v>1313</v>
      </c>
      <c r="F314">
        <f t="shared" si="34"/>
        <v>5329</v>
      </c>
      <c r="G314">
        <v>0.99</v>
      </c>
      <c r="H314">
        <f t="shared" si="35"/>
        <v>5276</v>
      </c>
      <c r="I314">
        <f t="shared" si="36"/>
        <v>6510</v>
      </c>
      <c r="J314">
        <f t="shared" si="37"/>
        <v>1260</v>
      </c>
      <c r="K314">
        <f t="shared" si="38"/>
        <v>0</v>
      </c>
      <c r="L314">
        <f t="shared" si="39"/>
        <v>1260</v>
      </c>
    </row>
    <row r="315" spans="1:12">
      <c r="A315" s="1">
        <f>Weekly_Material_Summary!A315</f>
        <v>46300</v>
      </c>
      <c r="B315" t="str">
        <f>Weekly_Material_Summary!B315</f>
        <v>M002</v>
      </c>
      <c r="C315">
        <f t="shared" si="40"/>
        <v>900</v>
      </c>
      <c r="D315">
        <f>Weekly_Material_Summary!C315</f>
        <v>3690</v>
      </c>
      <c r="E315">
        <f t="shared" si="33"/>
        <v>923</v>
      </c>
      <c r="F315">
        <f t="shared" si="34"/>
        <v>3713</v>
      </c>
      <c r="G315">
        <v>1</v>
      </c>
      <c r="H315">
        <f t="shared" si="35"/>
        <v>3713</v>
      </c>
      <c r="I315">
        <f t="shared" si="36"/>
        <v>4613</v>
      </c>
      <c r="J315">
        <f t="shared" si="37"/>
        <v>923</v>
      </c>
      <c r="K315">
        <f t="shared" si="38"/>
        <v>0</v>
      </c>
      <c r="L315">
        <f t="shared" si="39"/>
        <v>923</v>
      </c>
    </row>
    <row r="316" spans="1:12">
      <c r="A316" s="1">
        <f>Weekly_Material_Summary!A316</f>
        <v>46300</v>
      </c>
      <c r="B316" t="str">
        <f>Weekly_Material_Summary!B316</f>
        <v>M003</v>
      </c>
      <c r="C316">
        <f t="shared" si="40"/>
        <v>702</v>
      </c>
      <c r="D316">
        <f>Weekly_Material_Summary!C316</f>
        <v>2725</v>
      </c>
      <c r="E316">
        <f t="shared" si="33"/>
        <v>681</v>
      </c>
      <c r="F316">
        <f t="shared" si="34"/>
        <v>2704</v>
      </c>
      <c r="G316">
        <v>1</v>
      </c>
      <c r="H316">
        <f t="shared" si="35"/>
        <v>2704</v>
      </c>
      <c r="I316">
        <f t="shared" si="36"/>
        <v>3406</v>
      </c>
      <c r="J316">
        <f t="shared" si="37"/>
        <v>681</v>
      </c>
      <c r="K316">
        <f t="shared" si="38"/>
        <v>0</v>
      </c>
      <c r="L316">
        <f t="shared" si="39"/>
        <v>681</v>
      </c>
    </row>
    <row r="317" spans="1:12">
      <c r="A317" s="1">
        <f>Weekly_Material_Summary!A317</f>
        <v>46300</v>
      </c>
      <c r="B317" t="str">
        <f>Weekly_Material_Summary!B317</f>
        <v>M004</v>
      </c>
      <c r="C317">
        <f t="shared" si="40"/>
        <v>1075.9999999999995</v>
      </c>
      <c r="D317">
        <f>Weekly_Material_Summary!C317</f>
        <v>4114</v>
      </c>
      <c r="E317">
        <f t="shared" si="33"/>
        <v>1029</v>
      </c>
      <c r="F317">
        <f t="shared" si="34"/>
        <v>4067</v>
      </c>
      <c r="G317">
        <v>0.98</v>
      </c>
      <c r="H317">
        <f t="shared" si="35"/>
        <v>3986</v>
      </c>
      <c r="I317">
        <f t="shared" si="36"/>
        <v>5062</v>
      </c>
      <c r="J317">
        <f t="shared" si="37"/>
        <v>948</v>
      </c>
      <c r="K317">
        <f t="shared" si="38"/>
        <v>0</v>
      </c>
      <c r="L317">
        <f t="shared" si="39"/>
        <v>948</v>
      </c>
    </row>
    <row r="318" spans="1:12">
      <c r="A318" s="1">
        <f>Weekly_Material_Summary!A318</f>
        <v>46300</v>
      </c>
      <c r="B318" t="str">
        <f>Weekly_Material_Summary!B318</f>
        <v>M005</v>
      </c>
      <c r="C318">
        <f t="shared" si="40"/>
        <v>1123</v>
      </c>
      <c r="D318">
        <f>Weekly_Material_Summary!C318</f>
        <v>4576</v>
      </c>
      <c r="E318">
        <f t="shared" si="33"/>
        <v>1144</v>
      </c>
      <c r="F318">
        <f t="shared" si="34"/>
        <v>4597</v>
      </c>
      <c r="G318">
        <v>0.98</v>
      </c>
      <c r="H318">
        <f t="shared" si="35"/>
        <v>4505</v>
      </c>
      <c r="I318">
        <f t="shared" si="36"/>
        <v>5628</v>
      </c>
      <c r="J318">
        <f t="shared" si="37"/>
        <v>1052</v>
      </c>
      <c r="K318">
        <f t="shared" si="38"/>
        <v>0</v>
      </c>
      <c r="L318">
        <f t="shared" si="39"/>
        <v>1052</v>
      </c>
    </row>
    <row r="319" spans="1:12">
      <c r="A319" s="1">
        <f>Weekly_Material_Summary!A319</f>
        <v>46300</v>
      </c>
      <c r="B319" t="str">
        <f>Weekly_Material_Summary!B319</f>
        <v>M006</v>
      </c>
      <c r="C319">
        <f t="shared" si="40"/>
        <v>135.60000000000002</v>
      </c>
      <c r="D319">
        <f>Weekly_Material_Summary!C319</f>
        <v>528.29999999999995</v>
      </c>
      <c r="E319">
        <f t="shared" si="33"/>
        <v>132</v>
      </c>
      <c r="F319">
        <f t="shared" si="34"/>
        <v>525</v>
      </c>
      <c r="G319">
        <v>0.98</v>
      </c>
      <c r="H319">
        <f t="shared" si="35"/>
        <v>515</v>
      </c>
      <c r="I319">
        <f t="shared" si="36"/>
        <v>650.6</v>
      </c>
      <c r="J319">
        <f t="shared" si="37"/>
        <v>122.30000000000007</v>
      </c>
      <c r="K319">
        <f t="shared" si="38"/>
        <v>0</v>
      </c>
      <c r="L319">
        <f t="shared" si="39"/>
        <v>122.30000000000007</v>
      </c>
    </row>
    <row r="320" spans="1:12">
      <c r="A320" s="1">
        <f>Weekly_Material_Summary!A320</f>
        <v>46300</v>
      </c>
      <c r="B320" t="str">
        <f>Weekly_Material_Summary!B320</f>
        <v>M007</v>
      </c>
      <c r="C320">
        <f t="shared" si="40"/>
        <v>15823</v>
      </c>
      <c r="D320">
        <f>Weekly_Material_Summary!C320</f>
        <v>59100</v>
      </c>
      <c r="E320">
        <f t="shared" si="33"/>
        <v>14775</v>
      </c>
      <c r="F320">
        <f t="shared" si="34"/>
        <v>58052</v>
      </c>
      <c r="G320">
        <v>0.98</v>
      </c>
      <c r="H320">
        <f t="shared" si="35"/>
        <v>56891</v>
      </c>
      <c r="I320">
        <f t="shared" si="36"/>
        <v>72714</v>
      </c>
      <c r="J320">
        <f t="shared" si="37"/>
        <v>13614</v>
      </c>
      <c r="K320">
        <f t="shared" si="38"/>
        <v>0</v>
      </c>
      <c r="L320">
        <f t="shared" si="39"/>
        <v>13614</v>
      </c>
    </row>
    <row r="321" spans="1:12">
      <c r="A321" s="1">
        <f>Weekly_Material_Summary!A321</f>
        <v>46300</v>
      </c>
      <c r="B321" t="str">
        <f>Weekly_Material_Summary!B321</f>
        <v>M008</v>
      </c>
      <c r="C321">
        <f t="shared" si="40"/>
        <v>15835</v>
      </c>
      <c r="D321">
        <f>Weekly_Material_Summary!C321</f>
        <v>59100</v>
      </c>
      <c r="E321">
        <f t="shared" si="33"/>
        <v>14775</v>
      </c>
      <c r="F321">
        <f t="shared" si="34"/>
        <v>58040</v>
      </c>
      <c r="G321">
        <v>0.98</v>
      </c>
      <c r="H321">
        <f t="shared" si="35"/>
        <v>56879</v>
      </c>
      <c r="I321">
        <f t="shared" si="36"/>
        <v>72714</v>
      </c>
      <c r="J321">
        <f t="shared" si="37"/>
        <v>13614</v>
      </c>
      <c r="K321">
        <f t="shared" si="38"/>
        <v>0</v>
      </c>
      <c r="L321">
        <f t="shared" si="39"/>
        <v>13614</v>
      </c>
    </row>
    <row r="322" spans="1:12">
      <c r="A322" s="1">
        <f>Weekly_Material_Summary!A322</f>
        <v>46307</v>
      </c>
      <c r="B322" t="str">
        <f>Weekly_Material_Summary!B322</f>
        <v>M001</v>
      </c>
      <c r="C322">
        <f t="shared" si="40"/>
        <v>1260</v>
      </c>
      <c r="D322">
        <f>Weekly_Material_Summary!C322</f>
        <v>4935</v>
      </c>
      <c r="E322">
        <f t="shared" si="33"/>
        <v>1234</v>
      </c>
      <c r="F322">
        <f t="shared" si="34"/>
        <v>4909</v>
      </c>
      <c r="G322">
        <v>0.98</v>
      </c>
      <c r="H322">
        <f t="shared" si="35"/>
        <v>4811</v>
      </c>
      <c r="I322">
        <f t="shared" si="36"/>
        <v>6071</v>
      </c>
      <c r="J322">
        <f t="shared" si="37"/>
        <v>1136</v>
      </c>
      <c r="K322">
        <f t="shared" si="38"/>
        <v>0</v>
      </c>
      <c r="L322">
        <f t="shared" si="39"/>
        <v>1136</v>
      </c>
    </row>
    <row r="323" spans="1:12">
      <c r="A323" s="1">
        <f>Weekly_Material_Summary!A323</f>
        <v>46307</v>
      </c>
      <c r="B323" t="str">
        <f>Weekly_Material_Summary!B323</f>
        <v>M002</v>
      </c>
      <c r="C323">
        <f t="shared" si="40"/>
        <v>923</v>
      </c>
      <c r="D323">
        <f>Weekly_Material_Summary!C323</f>
        <v>3630</v>
      </c>
      <c r="E323">
        <f t="shared" ref="E323:E386" si="41">ROUND(D323*0.25,0)</f>
        <v>908</v>
      </c>
      <c r="F323">
        <f t="shared" ref="F323:F386" si="42">MAX(0,ROUND(D323+E323-C323,0))</f>
        <v>3615</v>
      </c>
      <c r="G323">
        <v>0.98</v>
      </c>
      <c r="H323">
        <f t="shared" ref="H323:H386" si="43">ROUND(F323*G323,0)</f>
        <v>3543</v>
      </c>
      <c r="I323">
        <f t="shared" ref="I323:I386" si="44">C323+H323</f>
        <v>4466</v>
      </c>
      <c r="J323">
        <f t="shared" ref="J323:J386" si="45">I323-D323</f>
        <v>836</v>
      </c>
      <c r="K323">
        <f t="shared" ref="K323:K386" si="46">MAX(0,-J323)</f>
        <v>0</v>
      </c>
      <c r="L323">
        <f t="shared" si="39"/>
        <v>836</v>
      </c>
    </row>
    <row r="324" spans="1:12">
      <c r="A324" s="1">
        <f>Weekly_Material_Summary!A324</f>
        <v>46307</v>
      </c>
      <c r="B324" t="str">
        <f>Weekly_Material_Summary!B324</f>
        <v>M003</v>
      </c>
      <c r="C324">
        <f t="shared" si="40"/>
        <v>681</v>
      </c>
      <c r="D324">
        <f>Weekly_Material_Summary!C324</f>
        <v>2600</v>
      </c>
      <c r="E324">
        <f t="shared" si="41"/>
        <v>650</v>
      </c>
      <c r="F324">
        <f t="shared" si="42"/>
        <v>2569</v>
      </c>
      <c r="G324">
        <v>1.02</v>
      </c>
      <c r="H324">
        <f t="shared" si="43"/>
        <v>2620</v>
      </c>
      <c r="I324">
        <f t="shared" si="44"/>
        <v>3301</v>
      </c>
      <c r="J324">
        <f t="shared" si="45"/>
        <v>701</v>
      </c>
      <c r="K324">
        <f t="shared" si="46"/>
        <v>0</v>
      </c>
      <c r="L324">
        <f t="shared" si="39"/>
        <v>701</v>
      </c>
    </row>
    <row r="325" spans="1:12">
      <c r="A325" s="1">
        <f>Weekly_Material_Summary!A325</f>
        <v>46307</v>
      </c>
      <c r="B325" t="str">
        <f>Weekly_Material_Summary!B325</f>
        <v>M004</v>
      </c>
      <c r="C325">
        <f t="shared" si="40"/>
        <v>948</v>
      </c>
      <c r="D325">
        <f>Weekly_Material_Summary!C325</f>
        <v>3808.0000000000005</v>
      </c>
      <c r="E325">
        <f t="shared" si="41"/>
        <v>952</v>
      </c>
      <c r="F325">
        <f t="shared" si="42"/>
        <v>3812</v>
      </c>
      <c r="G325">
        <v>0.99</v>
      </c>
      <c r="H325">
        <f t="shared" si="43"/>
        <v>3774</v>
      </c>
      <c r="I325">
        <f t="shared" si="44"/>
        <v>4722</v>
      </c>
      <c r="J325">
        <f t="shared" si="45"/>
        <v>913.99999999999955</v>
      </c>
      <c r="K325">
        <f t="shared" si="46"/>
        <v>0</v>
      </c>
      <c r="L325">
        <f t="shared" si="39"/>
        <v>913.99999999999955</v>
      </c>
    </row>
    <row r="326" spans="1:12">
      <c r="A326" s="1">
        <f>Weekly_Material_Summary!A326</f>
        <v>46307</v>
      </c>
      <c r="B326" t="str">
        <f>Weekly_Material_Summary!B326</f>
        <v>M005</v>
      </c>
      <c r="C326">
        <f t="shared" si="40"/>
        <v>1052</v>
      </c>
      <c r="D326">
        <f>Weekly_Material_Summary!C326</f>
        <v>4472</v>
      </c>
      <c r="E326">
        <f t="shared" si="41"/>
        <v>1118</v>
      </c>
      <c r="F326">
        <f t="shared" si="42"/>
        <v>4538</v>
      </c>
      <c r="G326">
        <v>1.01</v>
      </c>
      <c r="H326">
        <f t="shared" si="43"/>
        <v>4583</v>
      </c>
      <c r="I326">
        <f t="shared" si="44"/>
        <v>5635</v>
      </c>
      <c r="J326">
        <f t="shared" si="45"/>
        <v>1163</v>
      </c>
      <c r="K326">
        <f t="shared" si="46"/>
        <v>0</v>
      </c>
      <c r="L326">
        <f t="shared" si="39"/>
        <v>1163</v>
      </c>
    </row>
    <row r="327" spans="1:12">
      <c r="A327" s="1">
        <f>Weekly_Material_Summary!A327</f>
        <v>46307</v>
      </c>
      <c r="B327" t="str">
        <f>Weekly_Material_Summary!B327</f>
        <v>M006</v>
      </c>
      <c r="C327">
        <f t="shared" si="40"/>
        <v>122.30000000000007</v>
      </c>
      <c r="D327">
        <f>Weekly_Material_Summary!C327</f>
        <v>504.2</v>
      </c>
      <c r="E327">
        <f t="shared" si="41"/>
        <v>126</v>
      </c>
      <c r="F327">
        <f t="shared" si="42"/>
        <v>508</v>
      </c>
      <c r="G327">
        <v>1</v>
      </c>
      <c r="H327">
        <f t="shared" si="43"/>
        <v>508</v>
      </c>
      <c r="I327">
        <f t="shared" si="44"/>
        <v>630.30000000000007</v>
      </c>
      <c r="J327">
        <f t="shared" si="45"/>
        <v>126.10000000000008</v>
      </c>
      <c r="K327">
        <f t="shared" si="46"/>
        <v>0</v>
      </c>
      <c r="L327">
        <f t="shared" si="39"/>
        <v>126.10000000000008</v>
      </c>
    </row>
    <row r="328" spans="1:12">
      <c r="A328" s="1">
        <f>Weekly_Material_Summary!A328</f>
        <v>46307</v>
      </c>
      <c r="B328" t="str">
        <f>Weekly_Material_Summary!B328</f>
        <v>M007</v>
      </c>
      <c r="C328">
        <f t="shared" si="40"/>
        <v>13614</v>
      </c>
      <c r="D328">
        <f>Weekly_Material_Summary!C328</f>
        <v>56400</v>
      </c>
      <c r="E328">
        <f t="shared" si="41"/>
        <v>14100</v>
      </c>
      <c r="F328">
        <f t="shared" si="42"/>
        <v>56886</v>
      </c>
      <c r="G328">
        <v>1</v>
      </c>
      <c r="H328">
        <f t="shared" si="43"/>
        <v>56886</v>
      </c>
      <c r="I328">
        <f t="shared" si="44"/>
        <v>70500</v>
      </c>
      <c r="J328">
        <f t="shared" si="45"/>
        <v>14100</v>
      </c>
      <c r="K328">
        <f t="shared" si="46"/>
        <v>0</v>
      </c>
      <c r="L328">
        <f t="shared" si="39"/>
        <v>14100</v>
      </c>
    </row>
    <row r="329" spans="1:12">
      <c r="A329" s="1">
        <f>Weekly_Material_Summary!A329</f>
        <v>46307</v>
      </c>
      <c r="B329" t="str">
        <f>Weekly_Material_Summary!B329</f>
        <v>M008</v>
      </c>
      <c r="C329">
        <f t="shared" si="40"/>
        <v>13614</v>
      </c>
      <c r="D329">
        <f>Weekly_Material_Summary!C329</f>
        <v>56400</v>
      </c>
      <c r="E329">
        <f t="shared" si="41"/>
        <v>14100</v>
      </c>
      <c r="F329">
        <f t="shared" si="42"/>
        <v>56886</v>
      </c>
      <c r="G329">
        <v>0.98</v>
      </c>
      <c r="H329">
        <f t="shared" si="43"/>
        <v>55748</v>
      </c>
      <c r="I329">
        <f t="shared" si="44"/>
        <v>69362</v>
      </c>
      <c r="J329">
        <f t="shared" si="45"/>
        <v>12962</v>
      </c>
      <c r="K329">
        <f t="shared" si="46"/>
        <v>0</v>
      </c>
      <c r="L329">
        <f t="shared" si="39"/>
        <v>12962</v>
      </c>
    </row>
    <row r="330" spans="1:12">
      <c r="A330" s="1">
        <f>Weekly_Material_Summary!A330</f>
        <v>46314</v>
      </c>
      <c r="B330" t="str">
        <f>Weekly_Material_Summary!B330</f>
        <v>M001</v>
      </c>
      <c r="C330">
        <f t="shared" si="40"/>
        <v>1136</v>
      </c>
      <c r="D330">
        <f>Weekly_Material_Summary!C330</f>
        <v>5075</v>
      </c>
      <c r="E330">
        <f t="shared" si="41"/>
        <v>1269</v>
      </c>
      <c r="F330">
        <f t="shared" si="42"/>
        <v>5208</v>
      </c>
      <c r="G330">
        <v>1.02</v>
      </c>
      <c r="H330">
        <f t="shared" si="43"/>
        <v>5312</v>
      </c>
      <c r="I330">
        <f t="shared" si="44"/>
        <v>6448</v>
      </c>
      <c r="J330">
        <f t="shared" si="45"/>
        <v>1373</v>
      </c>
      <c r="K330">
        <f t="shared" si="46"/>
        <v>0</v>
      </c>
      <c r="L330">
        <f t="shared" ref="L330:L393" si="47">MAX(0,J330)</f>
        <v>1373</v>
      </c>
    </row>
    <row r="331" spans="1:12">
      <c r="A331" s="1">
        <f>Weekly_Material_Summary!A331</f>
        <v>46314</v>
      </c>
      <c r="B331" t="str">
        <f>Weekly_Material_Summary!B331</f>
        <v>M002</v>
      </c>
      <c r="C331">
        <f t="shared" ref="C331:C394" si="48">L323</f>
        <v>836</v>
      </c>
      <c r="D331">
        <f>Weekly_Material_Summary!C331</f>
        <v>3630</v>
      </c>
      <c r="E331">
        <f t="shared" si="41"/>
        <v>908</v>
      </c>
      <c r="F331">
        <f t="shared" si="42"/>
        <v>3702</v>
      </c>
      <c r="G331">
        <v>1.02</v>
      </c>
      <c r="H331">
        <f t="shared" si="43"/>
        <v>3776</v>
      </c>
      <c r="I331">
        <f t="shared" si="44"/>
        <v>4612</v>
      </c>
      <c r="J331">
        <f t="shared" si="45"/>
        <v>982</v>
      </c>
      <c r="K331">
        <f t="shared" si="46"/>
        <v>0</v>
      </c>
      <c r="L331">
        <f t="shared" si="47"/>
        <v>982</v>
      </c>
    </row>
    <row r="332" spans="1:12">
      <c r="A332" s="1">
        <f>Weekly_Material_Summary!A332</f>
        <v>46314</v>
      </c>
      <c r="B332" t="str">
        <f>Weekly_Material_Summary!B332</f>
        <v>M003</v>
      </c>
      <c r="C332">
        <f t="shared" si="48"/>
        <v>701</v>
      </c>
      <c r="D332">
        <f>Weekly_Material_Summary!C332</f>
        <v>2575</v>
      </c>
      <c r="E332">
        <f t="shared" si="41"/>
        <v>644</v>
      </c>
      <c r="F332">
        <f t="shared" si="42"/>
        <v>2518</v>
      </c>
      <c r="G332">
        <v>1.02</v>
      </c>
      <c r="H332">
        <f t="shared" si="43"/>
        <v>2568</v>
      </c>
      <c r="I332">
        <f t="shared" si="44"/>
        <v>3269</v>
      </c>
      <c r="J332">
        <f t="shared" si="45"/>
        <v>694</v>
      </c>
      <c r="K332">
        <f t="shared" si="46"/>
        <v>0</v>
      </c>
      <c r="L332">
        <f t="shared" si="47"/>
        <v>694</v>
      </c>
    </row>
    <row r="333" spans="1:12">
      <c r="A333" s="1">
        <f>Weekly_Material_Summary!A333</f>
        <v>46314</v>
      </c>
      <c r="B333" t="str">
        <f>Weekly_Material_Summary!B333</f>
        <v>M004</v>
      </c>
      <c r="C333">
        <f t="shared" si="48"/>
        <v>913.99999999999955</v>
      </c>
      <c r="D333">
        <f>Weekly_Material_Summary!C333</f>
        <v>4012.0000000000005</v>
      </c>
      <c r="E333">
        <f t="shared" si="41"/>
        <v>1003</v>
      </c>
      <c r="F333">
        <f t="shared" si="42"/>
        <v>4101</v>
      </c>
      <c r="G333">
        <v>0.98</v>
      </c>
      <c r="H333">
        <f t="shared" si="43"/>
        <v>4019</v>
      </c>
      <c r="I333">
        <f t="shared" si="44"/>
        <v>4933</v>
      </c>
      <c r="J333">
        <f t="shared" si="45"/>
        <v>920.99999999999955</v>
      </c>
      <c r="K333">
        <f t="shared" si="46"/>
        <v>0</v>
      </c>
      <c r="L333">
        <f t="shared" si="47"/>
        <v>920.99999999999955</v>
      </c>
    </row>
    <row r="334" spans="1:12">
      <c r="A334" s="1">
        <f>Weekly_Material_Summary!A334</f>
        <v>46314</v>
      </c>
      <c r="B334" t="str">
        <f>Weekly_Material_Summary!B334</f>
        <v>M005</v>
      </c>
      <c r="C334">
        <f t="shared" si="48"/>
        <v>1163</v>
      </c>
      <c r="D334">
        <f>Weekly_Material_Summary!C334</f>
        <v>4628</v>
      </c>
      <c r="E334">
        <f t="shared" si="41"/>
        <v>1157</v>
      </c>
      <c r="F334">
        <f t="shared" si="42"/>
        <v>4622</v>
      </c>
      <c r="G334">
        <v>1.01</v>
      </c>
      <c r="H334">
        <f t="shared" si="43"/>
        <v>4668</v>
      </c>
      <c r="I334">
        <f t="shared" si="44"/>
        <v>5831</v>
      </c>
      <c r="J334">
        <f t="shared" si="45"/>
        <v>1203</v>
      </c>
      <c r="K334">
        <f t="shared" si="46"/>
        <v>0</v>
      </c>
      <c r="L334">
        <f t="shared" si="47"/>
        <v>1203</v>
      </c>
    </row>
    <row r="335" spans="1:12">
      <c r="A335" s="1">
        <f>Weekly_Material_Summary!A335</f>
        <v>46314</v>
      </c>
      <c r="B335" t="str">
        <f>Weekly_Material_Summary!B335</f>
        <v>M006</v>
      </c>
      <c r="C335">
        <f t="shared" si="48"/>
        <v>126.10000000000008</v>
      </c>
      <c r="D335">
        <f>Weekly_Material_Summary!C335</f>
        <v>516.6</v>
      </c>
      <c r="E335">
        <f t="shared" si="41"/>
        <v>129</v>
      </c>
      <c r="F335">
        <f t="shared" si="42"/>
        <v>520</v>
      </c>
      <c r="G335">
        <v>1</v>
      </c>
      <c r="H335">
        <f t="shared" si="43"/>
        <v>520</v>
      </c>
      <c r="I335">
        <f t="shared" si="44"/>
        <v>646.10000000000014</v>
      </c>
      <c r="J335">
        <f t="shared" si="45"/>
        <v>129.50000000000011</v>
      </c>
      <c r="K335">
        <f t="shared" si="46"/>
        <v>0</v>
      </c>
      <c r="L335">
        <f t="shared" si="47"/>
        <v>129.50000000000011</v>
      </c>
    </row>
    <row r="336" spans="1:12">
      <c r="A336" s="1">
        <f>Weekly_Material_Summary!A336</f>
        <v>46314</v>
      </c>
      <c r="B336" t="str">
        <f>Weekly_Material_Summary!B336</f>
        <v>M007</v>
      </c>
      <c r="C336">
        <f t="shared" si="48"/>
        <v>14100</v>
      </c>
      <c r="D336">
        <f>Weekly_Material_Summary!C336</f>
        <v>57600</v>
      </c>
      <c r="E336">
        <f t="shared" si="41"/>
        <v>14400</v>
      </c>
      <c r="F336">
        <f t="shared" si="42"/>
        <v>57900</v>
      </c>
      <c r="G336">
        <v>0.99</v>
      </c>
      <c r="H336">
        <f t="shared" si="43"/>
        <v>57321</v>
      </c>
      <c r="I336">
        <f t="shared" si="44"/>
        <v>71421</v>
      </c>
      <c r="J336">
        <f t="shared" si="45"/>
        <v>13821</v>
      </c>
      <c r="K336">
        <f t="shared" si="46"/>
        <v>0</v>
      </c>
      <c r="L336">
        <f t="shared" si="47"/>
        <v>13821</v>
      </c>
    </row>
    <row r="337" spans="1:12">
      <c r="A337" s="1">
        <f>Weekly_Material_Summary!A337</f>
        <v>46314</v>
      </c>
      <c r="B337" t="str">
        <f>Weekly_Material_Summary!B337</f>
        <v>M008</v>
      </c>
      <c r="C337">
        <f t="shared" si="48"/>
        <v>12962</v>
      </c>
      <c r="D337">
        <f>Weekly_Material_Summary!C337</f>
        <v>57600</v>
      </c>
      <c r="E337">
        <f t="shared" si="41"/>
        <v>14400</v>
      </c>
      <c r="F337">
        <f t="shared" si="42"/>
        <v>59038</v>
      </c>
      <c r="G337">
        <v>1.01</v>
      </c>
      <c r="H337">
        <f t="shared" si="43"/>
        <v>59628</v>
      </c>
      <c r="I337">
        <f t="shared" si="44"/>
        <v>72590</v>
      </c>
      <c r="J337">
        <f t="shared" si="45"/>
        <v>14990</v>
      </c>
      <c r="K337">
        <f t="shared" si="46"/>
        <v>0</v>
      </c>
      <c r="L337">
        <f t="shared" si="47"/>
        <v>14990</v>
      </c>
    </row>
    <row r="338" spans="1:12">
      <c r="A338" s="1">
        <f>Weekly_Material_Summary!A338</f>
        <v>46321</v>
      </c>
      <c r="B338" t="str">
        <f>Weekly_Material_Summary!B338</f>
        <v>M001</v>
      </c>
      <c r="C338">
        <f t="shared" si="48"/>
        <v>1373</v>
      </c>
      <c r="D338">
        <f>Weekly_Material_Summary!C338</f>
        <v>4795</v>
      </c>
      <c r="E338">
        <f t="shared" si="41"/>
        <v>1199</v>
      </c>
      <c r="F338">
        <f t="shared" si="42"/>
        <v>4621</v>
      </c>
      <c r="G338">
        <v>0.98</v>
      </c>
      <c r="H338">
        <f t="shared" si="43"/>
        <v>4529</v>
      </c>
      <c r="I338">
        <f t="shared" si="44"/>
        <v>5902</v>
      </c>
      <c r="J338">
        <f t="shared" si="45"/>
        <v>1107</v>
      </c>
      <c r="K338">
        <f t="shared" si="46"/>
        <v>0</v>
      </c>
      <c r="L338">
        <f t="shared" si="47"/>
        <v>1107</v>
      </c>
    </row>
    <row r="339" spans="1:12">
      <c r="A339" s="1">
        <f>Weekly_Material_Summary!A339</f>
        <v>46321</v>
      </c>
      <c r="B339" t="str">
        <f>Weekly_Material_Summary!B339</f>
        <v>M002</v>
      </c>
      <c r="C339">
        <f t="shared" si="48"/>
        <v>982</v>
      </c>
      <c r="D339">
        <f>Weekly_Material_Summary!C339</f>
        <v>3720</v>
      </c>
      <c r="E339">
        <f t="shared" si="41"/>
        <v>930</v>
      </c>
      <c r="F339">
        <f t="shared" si="42"/>
        <v>3668</v>
      </c>
      <c r="G339">
        <v>1.01</v>
      </c>
      <c r="H339">
        <f t="shared" si="43"/>
        <v>3705</v>
      </c>
      <c r="I339">
        <f t="shared" si="44"/>
        <v>4687</v>
      </c>
      <c r="J339">
        <f t="shared" si="45"/>
        <v>967</v>
      </c>
      <c r="K339">
        <f t="shared" si="46"/>
        <v>0</v>
      </c>
      <c r="L339">
        <f t="shared" si="47"/>
        <v>967</v>
      </c>
    </row>
    <row r="340" spans="1:12">
      <c r="A340" s="1">
        <f>Weekly_Material_Summary!A340</f>
        <v>46321</v>
      </c>
      <c r="B340" t="str">
        <f>Weekly_Material_Summary!B340</f>
        <v>M003</v>
      </c>
      <c r="C340">
        <f t="shared" si="48"/>
        <v>694</v>
      </c>
      <c r="D340">
        <f>Weekly_Material_Summary!C340</f>
        <v>2800</v>
      </c>
      <c r="E340">
        <f t="shared" si="41"/>
        <v>700</v>
      </c>
      <c r="F340">
        <f t="shared" si="42"/>
        <v>2806</v>
      </c>
      <c r="G340">
        <v>0.98</v>
      </c>
      <c r="H340">
        <f t="shared" si="43"/>
        <v>2750</v>
      </c>
      <c r="I340">
        <f t="shared" si="44"/>
        <v>3444</v>
      </c>
      <c r="J340">
        <f t="shared" si="45"/>
        <v>644</v>
      </c>
      <c r="K340">
        <f t="shared" si="46"/>
        <v>0</v>
      </c>
      <c r="L340">
        <f t="shared" si="47"/>
        <v>644</v>
      </c>
    </row>
    <row r="341" spans="1:12">
      <c r="A341" s="1">
        <f>Weekly_Material_Summary!A341</f>
        <v>46321</v>
      </c>
      <c r="B341" t="str">
        <f>Weekly_Material_Summary!B341</f>
        <v>M004</v>
      </c>
      <c r="C341">
        <f t="shared" si="48"/>
        <v>920.99999999999955</v>
      </c>
      <c r="D341">
        <f>Weekly_Material_Summary!C341</f>
        <v>3944.0000000000005</v>
      </c>
      <c r="E341">
        <f t="shared" si="41"/>
        <v>986</v>
      </c>
      <c r="F341">
        <f t="shared" si="42"/>
        <v>4009</v>
      </c>
      <c r="G341">
        <v>1.01</v>
      </c>
      <c r="H341">
        <f t="shared" si="43"/>
        <v>4049</v>
      </c>
      <c r="I341">
        <f t="shared" si="44"/>
        <v>4970</v>
      </c>
      <c r="J341">
        <f t="shared" si="45"/>
        <v>1025.9999999999995</v>
      </c>
      <c r="K341">
        <f t="shared" si="46"/>
        <v>0</v>
      </c>
      <c r="L341">
        <f t="shared" si="47"/>
        <v>1025.9999999999995</v>
      </c>
    </row>
    <row r="342" spans="1:12">
      <c r="A342" s="1">
        <f>Weekly_Material_Summary!A342</f>
        <v>46321</v>
      </c>
      <c r="B342" t="str">
        <f>Weekly_Material_Summary!B342</f>
        <v>M005</v>
      </c>
      <c r="C342">
        <f t="shared" si="48"/>
        <v>1203</v>
      </c>
      <c r="D342">
        <f>Weekly_Material_Summary!C342</f>
        <v>4680</v>
      </c>
      <c r="E342">
        <f t="shared" si="41"/>
        <v>1170</v>
      </c>
      <c r="F342">
        <f t="shared" si="42"/>
        <v>4647</v>
      </c>
      <c r="G342">
        <v>1.01</v>
      </c>
      <c r="H342">
        <f t="shared" si="43"/>
        <v>4693</v>
      </c>
      <c r="I342">
        <f t="shared" si="44"/>
        <v>5896</v>
      </c>
      <c r="J342">
        <f t="shared" si="45"/>
        <v>1216</v>
      </c>
      <c r="K342">
        <f t="shared" si="46"/>
        <v>0</v>
      </c>
      <c r="L342">
        <f t="shared" si="47"/>
        <v>1216</v>
      </c>
    </row>
    <row r="343" spans="1:12">
      <c r="A343" s="1">
        <f>Weekly_Material_Summary!A343</f>
        <v>46321</v>
      </c>
      <c r="B343" t="str">
        <f>Weekly_Material_Summary!B343</f>
        <v>M006</v>
      </c>
      <c r="C343">
        <f t="shared" si="48"/>
        <v>129.50000000000011</v>
      </c>
      <c r="D343">
        <f>Weekly_Material_Summary!C343</f>
        <v>515.79999999999995</v>
      </c>
      <c r="E343">
        <f t="shared" si="41"/>
        <v>129</v>
      </c>
      <c r="F343">
        <f t="shared" si="42"/>
        <v>515</v>
      </c>
      <c r="G343">
        <v>0.98</v>
      </c>
      <c r="H343">
        <f t="shared" si="43"/>
        <v>505</v>
      </c>
      <c r="I343">
        <f t="shared" si="44"/>
        <v>634.50000000000011</v>
      </c>
      <c r="J343">
        <f t="shared" si="45"/>
        <v>118.70000000000016</v>
      </c>
      <c r="K343">
        <f t="shared" si="46"/>
        <v>0</v>
      </c>
      <c r="L343">
        <f t="shared" si="47"/>
        <v>118.70000000000016</v>
      </c>
    </row>
    <row r="344" spans="1:12">
      <c r="A344" s="1">
        <f>Weekly_Material_Summary!A344</f>
        <v>46321</v>
      </c>
      <c r="B344" t="str">
        <f>Weekly_Material_Summary!B344</f>
        <v>M007</v>
      </c>
      <c r="C344">
        <f t="shared" si="48"/>
        <v>13821</v>
      </c>
      <c r="D344">
        <f>Weekly_Material_Summary!C344</f>
        <v>57900</v>
      </c>
      <c r="E344">
        <f t="shared" si="41"/>
        <v>14475</v>
      </c>
      <c r="F344">
        <f t="shared" si="42"/>
        <v>58554</v>
      </c>
      <c r="G344">
        <v>0.98</v>
      </c>
      <c r="H344">
        <f t="shared" si="43"/>
        <v>57383</v>
      </c>
      <c r="I344">
        <f t="shared" si="44"/>
        <v>71204</v>
      </c>
      <c r="J344">
        <f t="shared" si="45"/>
        <v>13304</v>
      </c>
      <c r="K344">
        <f t="shared" si="46"/>
        <v>0</v>
      </c>
      <c r="L344">
        <f t="shared" si="47"/>
        <v>13304</v>
      </c>
    </row>
    <row r="345" spans="1:12">
      <c r="A345" s="1">
        <f>Weekly_Material_Summary!A345</f>
        <v>46321</v>
      </c>
      <c r="B345" t="str">
        <f>Weekly_Material_Summary!B345</f>
        <v>M008</v>
      </c>
      <c r="C345">
        <f t="shared" si="48"/>
        <v>14990</v>
      </c>
      <c r="D345">
        <f>Weekly_Material_Summary!C345</f>
        <v>57900</v>
      </c>
      <c r="E345">
        <f t="shared" si="41"/>
        <v>14475</v>
      </c>
      <c r="F345">
        <f t="shared" si="42"/>
        <v>57385</v>
      </c>
      <c r="G345">
        <v>1.02</v>
      </c>
      <c r="H345">
        <f t="shared" si="43"/>
        <v>58533</v>
      </c>
      <c r="I345">
        <f t="shared" si="44"/>
        <v>73523</v>
      </c>
      <c r="J345">
        <f t="shared" si="45"/>
        <v>15623</v>
      </c>
      <c r="K345">
        <f t="shared" si="46"/>
        <v>0</v>
      </c>
      <c r="L345">
        <f t="shared" si="47"/>
        <v>15623</v>
      </c>
    </row>
    <row r="346" spans="1:12">
      <c r="A346" s="1">
        <f>Weekly_Material_Summary!A346</f>
        <v>46328</v>
      </c>
      <c r="B346" t="str">
        <f>Weekly_Material_Summary!B346</f>
        <v>M001</v>
      </c>
      <c r="C346">
        <f t="shared" si="48"/>
        <v>1107</v>
      </c>
      <c r="D346">
        <f>Weekly_Material_Summary!C346</f>
        <v>5600</v>
      </c>
      <c r="E346">
        <f t="shared" si="41"/>
        <v>1400</v>
      </c>
      <c r="F346">
        <f t="shared" si="42"/>
        <v>5893</v>
      </c>
      <c r="G346">
        <v>1.01</v>
      </c>
      <c r="H346">
        <f t="shared" si="43"/>
        <v>5952</v>
      </c>
      <c r="I346">
        <f t="shared" si="44"/>
        <v>7059</v>
      </c>
      <c r="J346">
        <f t="shared" si="45"/>
        <v>1459</v>
      </c>
      <c r="K346">
        <f t="shared" si="46"/>
        <v>0</v>
      </c>
      <c r="L346">
        <f t="shared" si="47"/>
        <v>1459</v>
      </c>
    </row>
    <row r="347" spans="1:12">
      <c r="A347" s="1">
        <f>Weekly_Material_Summary!A347</f>
        <v>46328</v>
      </c>
      <c r="B347" t="str">
        <f>Weekly_Material_Summary!B347</f>
        <v>M002</v>
      </c>
      <c r="C347">
        <f t="shared" si="48"/>
        <v>967</v>
      </c>
      <c r="D347">
        <f>Weekly_Material_Summary!C347</f>
        <v>3870</v>
      </c>
      <c r="E347">
        <f t="shared" si="41"/>
        <v>968</v>
      </c>
      <c r="F347">
        <f t="shared" si="42"/>
        <v>3871</v>
      </c>
      <c r="G347">
        <v>1.02</v>
      </c>
      <c r="H347">
        <f t="shared" si="43"/>
        <v>3948</v>
      </c>
      <c r="I347">
        <f t="shared" si="44"/>
        <v>4915</v>
      </c>
      <c r="J347">
        <f t="shared" si="45"/>
        <v>1045</v>
      </c>
      <c r="K347">
        <f t="shared" si="46"/>
        <v>0</v>
      </c>
      <c r="L347">
        <f t="shared" si="47"/>
        <v>1045</v>
      </c>
    </row>
    <row r="348" spans="1:12">
      <c r="A348" s="1">
        <f>Weekly_Material_Summary!A348</f>
        <v>46328</v>
      </c>
      <c r="B348" t="str">
        <f>Weekly_Material_Summary!B348</f>
        <v>M003</v>
      </c>
      <c r="C348">
        <f t="shared" si="48"/>
        <v>644</v>
      </c>
      <c r="D348">
        <f>Weekly_Material_Summary!C348</f>
        <v>2850</v>
      </c>
      <c r="E348">
        <f t="shared" si="41"/>
        <v>713</v>
      </c>
      <c r="F348">
        <f t="shared" si="42"/>
        <v>2919</v>
      </c>
      <c r="G348">
        <v>1</v>
      </c>
      <c r="H348">
        <f t="shared" si="43"/>
        <v>2919</v>
      </c>
      <c r="I348">
        <f t="shared" si="44"/>
        <v>3563</v>
      </c>
      <c r="J348">
        <f t="shared" si="45"/>
        <v>713</v>
      </c>
      <c r="K348">
        <f t="shared" si="46"/>
        <v>0</v>
      </c>
      <c r="L348">
        <f t="shared" si="47"/>
        <v>713</v>
      </c>
    </row>
    <row r="349" spans="1:12">
      <c r="A349" s="1">
        <f>Weekly_Material_Summary!A349</f>
        <v>46328</v>
      </c>
      <c r="B349" t="str">
        <f>Weekly_Material_Summary!B349</f>
        <v>M004</v>
      </c>
      <c r="C349">
        <f t="shared" si="48"/>
        <v>1025.9999999999995</v>
      </c>
      <c r="D349">
        <f>Weekly_Material_Summary!C349</f>
        <v>4284</v>
      </c>
      <c r="E349">
        <f t="shared" si="41"/>
        <v>1071</v>
      </c>
      <c r="F349">
        <f t="shared" si="42"/>
        <v>4329</v>
      </c>
      <c r="G349">
        <v>1</v>
      </c>
      <c r="H349">
        <f t="shared" si="43"/>
        <v>4329</v>
      </c>
      <c r="I349">
        <f t="shared" si="44"/>
        <v>5355</v>
      </c>
      <c r="J349">
        <f t="shared" si="45"/>
        <v>1071</v>
      </c>
      <c r="K349">
        <f t="shared" si="46"/>
        <v>0</v>
      </c>
      <c r="L349">
        <f t="shared" si="47"/>
        <v>1071</v>
      </c>
    </row>
    <row r="350" spans="1:12">
      <c r="A350" s="1">
        <f>Weekly_Material_Summary!A350</f>
        <v>46328</v>
      </c>
      <c r="B350" t="str">
        <f>Weekly_Material_Summary!B350</f>
        <v>M005</v>
      </c>
      <c r="C350">
        <f t="shared" si="48"/>
        <v>1216</v>
      </c>
      <c r="D350">
        <f>Weekly_Material_Summary!C350</f>
        <v>4836</v>
      </c>
      <c r="E350">
        <f t="shared" si="41"/>
        <v>1209</v>
      </c>
      <c r="F350">
        <f t="shared" si="42"/>
        <v>4829</v>
      </c>
      <c r="G350">
        <v>1.01</v>
      </c>
      <c r="H350">
        <f t="shared" si="43"/>
        <v>4877</v>
      </c>
      <c r="I350">
        <f t="shared" si="44"/>
        <v>6093</v>
      </c>
      <c r="J350">
        <f t="shared" si="45"/>
        <v>1257</v>
      </c>
      <c r="K350">
        <f t="shared" si="46"/>
        <v>0</v>
      </c>
      <c r="L350">
        <f t="shared" si="47"/>
        <v>1257</v>
      </c>
    </row>
    <row r="351" spans="1:12">
      <c r="A351" s="1">
        <f>Weekly_Material_Summary!A351</f>
        <v>46328</v>
      </c>
      <c r="B351" t="str">
        <f>Weekly_Material_Summary!B351</f>
        <v>M006</v>
      </c>
      <c r="C351">
        <f t="shared" si="48"/>
        <v>118.70000000000016</v>
      </c>
      <c r="D351">
        <f>Weekly_Material_Summary!C351</f>
        <v>556.6</v>
      </c>
      <c r="E351">
        <f t="shared" si="41"/>
        <v>139</v>
      </c>
      <c r="F351">
        <f t="shared" si="42"/>
        <v>577</v>
      </c>
      <c r="G351">
        <v>0.98</v>
      </c>
      <c r="H351">
        <f t="shared" si="43"/>
        <v>565</v>
      </c>
      <c r="I351">
        <f t="shared" si="44"/>
        <v>683.70000000000016</v>
      </c>
      <c r="J351">
        <f t="shared" si="45"/>
        <v>127.10000000000014</v>
      </c>
      <c r="K351">
        <f t="shared" si="46"/>
        <v>0</v>
      </c>
      <c r="L351">
        <f t="shared" si="47"/>
        <v>127.10000000000014</v>
      </c>
    </row>
    <row r="352" spans="1:12">
      <c r="A352" s="1">
        <f>Weekly_Material_Summary!A352</f>
        <v>46328</v>
      </c>
      <c r="B352" t="str">
        <f>Weekly_Material_Summary!B352</f>
        <v>M007</v>
      </c>
      <c r="C352">
        <f t="shared" si="48"/>
        <v>13304</v>
      </c>
      <c r="D352">
        <f>Weekly_Material_Summary!C352</f>
        <v>62200</v>
      </c>
      <c r="E352">
        <f t="shared" si="41"/>
        <v>15550</v>
      </c>
      <c r="F352">
        <f t="shared" si="42"/>
        <v>64446</v>
      </c>
      <c r="G352">
        <v>1.01</v>
      </c>
      <c r="H352">
        <f t="shared" si="43"/>
        <v>65090</v>
      </c>
      <c r="I352">
        <f t="shared" si="44"/>
        <v>78394</v>
      </c>
      <c r="J352">
        <f t="shared" si="45"/>
        <v>16194</v>
      </c>
      <c r="K352">
        <f t="shared" si="46"/>
        <v>0</v>
      </c>
      <c r="L352">
        <f t="shared" si="47"/>
        <v>16194</v>
      </c>
    </row>
    <row r="353" spans="1:12">
      <c r="A353" s="1">
        <f>Weekly_Material_Summary!A353</f>
        <v>46328</v>
      </c>
      <c r="B353" t="str">
        <f>Weekly_Material_Summary!B353</f>
        <v>M008</v>
      </c>
      <c r="C353">
        <f t="shared" si="48"/>
        <v>15623</v>
      </c>
      <c r="D353">
        <f>Weekly_Material_Summary!C353</f>
        <v>62200</v>
      </c>
      <c r="E353">
        <f t="shared" si="41"/>
        <v>15550</v>
      </c>
      <c r="F353">
        <f t="shared" si="42"/>
        <v>62127</v>
      </c>
      <c r="G353">
        <v>1.01</v>
      </c>
      <c r="H353">
        <f t="shared" si="43"/>
        <v>62748</v>
      </c>
      <c r="I353">
        <f t="shared" si="44"/>
        <v>78371</v>
      </c>
      <c r="J353">
        <f t="shared" si="45"/>
        <v>16171</v>
      </c>
      <c r="K353">
        <f t="shared" si="46"/>
        <v>0</v>
      </c>
      <c r="L353">
        <f t="shared" si="47"/>
        <v>16171</v>
      </c>
    </row>
    <row r="354" spans="1:12">
      <c r="A354" s="1">
        <f>Weekly_Material_Summary!A354</f>
        <v>46335</v>
      </c>
      <c r="B354" t="str">
        <f>Weekly_Material_Summary!B354</f>
        <v>M001</v>
      </c>
      <c r="C354">
        <f t="shared" si="48"/>
        <v>1459</v>
      </c>
      <c r="D354">
        <f>Weekly_Material_Summary!C354</f>
        <v>4970</v>
      </c>
      <c r="E354">
        <f t="shared" si="41"/>
        <v>1243</v>
      </c>
      <c r="F354">
        <f t="shared" si="42"/>
        <v>4754</v>
      </c>
      <c r="G354">
        <v>0.99</v>
      </c>
      <c r="H354">
        <f t="shared" si="43"/>
        <v>4706</v>
      </c>
      <c r="I354">
        <f t="shared" si="44"/>
        <v>6165</v>
      </c>
      <c r="J354">
        <f t="shared" si="45"/>
        <v>1195</v>
      </c>
      <c r="K354">
        <f t="shared" si="46"/>
        <v>0</v>
      </c>
      <c r="L354">
        <f t="shared" si="47"/>
        <v>1195</v>
      </c>
    </row>
    <row r="355" spans="1:12">
      <c r="A355" s="1">
        <f>Weekly_Material_Summary!A355</f>
        <v>46335</v>
      </c>
      <c r="B355" t="str">
        <f>Weekly_Material_Summary!B355</f>
        <v>M002</v>
      </c>
      <c r="C355">
        <f t="shared" si="48"/>
        <v>1045</v>
      </c>
      <c r="D355">
        <f>Weekly_Material_Summary!C355</f>
        <v>3990</v>
      </c>
      <c r="E355">
        <f t="shared" si="41"/>
        <v>998</v>
      </c>
      <c r="F355">
        <f t="shared" si="42"/>
        <v>3943</v>
      </c>
      <c r="G355">
        <v>1</v>
      </c>
      <c r="H355">
        <f t="shared" si="43"/>
        <v>3943</v>
      </c>
      <c r="I355">
        <f t="shared" si="44"/>
        <v>4988</v>
      </c>
      <c r="J355">
        <f t="shared" si="45"/>
        <v>998</v>
      </c>
      <c r="K355">
        <f t="shared" si="46"/>
        <v>0</v>
      </c>
      <c r="L355">
        <f t="shared" si="47"/>
        <v>998</v>
      </c>
    </row>
    <row r="356" spans="1:12">
      <c r="A356" s="1">
        <f>Weekly_Material_Summary!A356</f>
        <v>46335</v>
      </c>
      <c r="B356" t="str">
        <f>Weekly_Material_Summary!B356</f>
        <v>M003</v>
      </c>
      <c r="C356">
        <f t="shared" si="48"/>
        <v>713</v>
      </c>
      <c r="D356">
        <f>Weekly_Material_Summary!C356</f>
        <v>3000</v>
      </c>
      <c r="E356">
        <f t="shared" si="41"/>
        <v>750</v>
      </c>
      <c r="F356">
        <f t="shared" si="42"/>
        <v>3037</v>
      </c>
      <c r="G356">
        <v>1</v>
      </c>
      <c r="H356">
        <f t="shared" si="43"/>
        <v>3037</v>
      </c>
      <c r="I356">
        <f t="shared" si="44"/>
        <v>3750</v>
      </c>
      <c r="J356">
        <f t="shared" si="45"/>
        <v>750</v>
      </c>
      <c r="K356">
        <f t="shared" si="46"/>
        <v>0</v>
      </c>
      <c r="L356">
        <f t="shared" si="47"/>
        <v>750</v>
      </c>
    </row>
    <row r="357" spans="1:12">
      <c r="A357" s="1">
        <f>Weekly_Material_Summary!A357</f>
        <v>46335</v>
      </c>
      <c r="B357" t="str">
        <f>Weekly_Material_Summary!B357</f>
        <v>M004</v>
      </c>
      <c r="C357">
        <f t="shared" si="48"/>
        <v>1071</v>
      </c>
      <c r="D357">
        <f>Weekly_Material_Summary!C357</f>
        <v>3978.0000000000005</v>
      </c>
      <c r="E357">
        <f t="shared" si="41"/>
        <v>995</v>
      </c>
      <c r="F357">
        <f t="shared" si="42"/>
        <v>3902</v>
      </c>
      <c r="G357">
        <v>0.99</v>
      </c>
      <c r="H357">
        <f t="shared" si="43"/>
        <v>3863</v>
      </c>
      <c r="I357">
        <f t="shared" si="44"/>
        <v>4934</v>
      </c>
      <c r="J357">
        <f t="shared" si="45"/>
        <v>955.99999999999955</v>
      </c>
      <c r="K357">
        <f t="shared" si="46"/>
        <v>0</v>
      </c>
      <c r="L357">
        <f t="shared" si="47"/>
        <v>955.99999999999955</v>
      </c>
    </row>
    <row r="358" spans="1:12">
      <c r="A358" s="1">
        <f>Weekly_Material_Summary!A358</f>
        <v>46335</v>
      </c>
      <c r="B358" t="str">
        <f>Weekly_Material_Summary!B358</f>
        <v>M005</v>
      </c>
      <c r="C358">
        <f t="shared" si="48"/>
        <v>1257</v>
      </c>
      <c r="D358">
        <f>Weekly_Material_Summary!C358</f>
        <v>4732</v>
      </c>
      <c r="E358">
        <f t="shared" si="41"/>
        <v>1183</v>
      </c>
      <c r="F358">
        <f t="shared" si="42"/>
        <v>4658</v>
      </c>
      <c r="G358">
        <v>0.99</v>
      </c>
      <c r="H358">
        <f t="shared" si="43"/>
        <v>4611</v>
      </c>
      <c r="I358">
        <f t="shared" si="44"/>
        <v>5868</v>
      </c>
      <c r="J358">
        <f t="shared" si="45"/>
        <v>1136</v>
      </c>
      <c r="K358">
        <f t="shared" si="46"/>
        <v>0</v>
      </c>
      <c r="L358">
        <f t="shared" si="47"/>
        <v>1136</v>
      </c>
    </row>
    <row r="359" spans="1:12">
      <c r="A359" s="1">
        <f>Weekly_Material_Summary!A359</f>
        <v>46335</v>
      </c>
      <c r="B359" t="str">
        <f>Weekly_Material_Summary!B359</f>
        <v>M006</v>
      </c>
      <c r="C359">
        <f t="shared" si="48"/>
        <v>127.10000000000014</v>
      </c>
      <c r="D359">
        <f>Weekly_Material_Summary!C359</f>
        <v>534.9</v>
      </c>
      <c r="E359">
        <f t="shared" si="41"/>
        <v>134</v>
      </c>
      <c r="F359">
        <f t="shared" si="42"/>
        <v>542</v>
      </c>
      <c r="G359">
        <v>1.02</v>
      </c>
      <c r="H359">
        <f t="shared" si="43"/>
        <v>553</v>
      </c>
      <c r="I359">
        <f t="shared" si="44"/>
        <v>680.10000000000014</v>
      </c>
      <c r="J359">
        <f t="shared" si="45"/>
        <v>145.20000000000016</v>
      </c>
      <c r="K359">
        <f t="shared" si="46"/>
        <v>0</v>
      </c>
      <c r="L359">
        <f t="shared" si="47"/>
        <v>145.20000000000016</v>
      </c>
    </row>
    <row r="360" spans="1:12">
      <c r="A360" s="1">
        <f>Weekly_Material_Summary!A360</f>
        <v>46335</v>
      </c>
      <c r="B360" t="str">
        <f>Weekly_Material_Summary!B360</f>
        <v>M007</v>
      </c>
      <c r="C360">
        <f t="shared" si="48"/>
        <v>16194</v>
      </c>
      <c r="D360">
        <f>Weekly_Material_Summary!C360</f>
        <v>60300</v>
      </c>
      <c r="E360">
        <f t="shared" si="41"/>
        <v>15075</v>
      </c>
      <c r="F360">
        <f t="shared" si="42"/>
        <v>59181</v>
      </c>
      <c r="G360">
        <v>0.98</v>
      </c>
      <c r="H360">
        <f t="shared" si="43"/>
        <v>57997</v>
      </c>
      <c r="I360">
        <f t="shared" si="44"/>
        <v>74191</v>
      </c>
      <c r="J360">
        <f t="shared" si="45"/>
        <v>13891</v>
      </c>
      <c r="K360">
        <f t="shared" si="46"/>
        <v>0</v>
      </c>
      <c r="L360">
        <f t="shared" si="47"/>
        <v>13891</v>
      </c>
    </row>
    <row r="361" spans="1:12">
      <c r="A361" s="1">
        <f>Weekly_Material_Summary!A361</f>
        <v>46335</v>
      </c>
      <c r="B361" t="str">
        <f>Weekly_Material_Summary!B361</f>
        <v>M008</v>
      </c>
      <c r="C361">
        <f t="shared" si="48"/>
        <v>16171</v>
      </c>
      <c r="D361">
        <f>Weekly_Material_Summary!C361</f>
        <v>60300</v>
      </c>
      <c r="E361">
        <f t="shared" si="41"/>
        <v>15075</v>
      </c>
      <c r="F361">
        <f t="shared" si="42"/>
        <v>59204</v>
      </c>
      <c r="G361">
        <v>1</v>
      </c>
      <c r="H361">
        <f t="shared" si="43"/>
        <v>59204</v>
      </c>
      <c r="I361">
        <f t="shared" si="44"/>
        <v>75375</v>
      </c>
      <c r="J361">
        <f t="shared" si="45"/>
        <v>15075</v>
      </c>
      <c r="K361">
        <f t="shared" si="46"/>
        <v>0</v>
      </c>
      <c r="L361">
        <f t="shared" si="47"/>
        <v>15075</v>
      </c>
    </row>
    <row r="362" spans="1:12">
      <c r="A362" s="1">
        <f>Weekly_Material_Summary!A362</f>
        <v>46342</v>
      </c>
      <c r="B362" t="str">
        <f>Weekly_Material_Summary!B362</f>
        <v>M001</v>
      </c>
      <c r="C362">
        <f t="shared" si="48"/>
        <v>1195</v>
      </c>
      <c r="D362">
        <f>Weekly_Material_Summary!C362</f>
        <v>5600</v>
      </c>
      <c r="E362">
        <f t="shared" si="41"/>
        <v>1400</v>
      </c>
      <c r="F362">
        <f t="shared" si="42"/>
        <v>5805</v>
      </c>
      <c r="G362">
        <v>0.98</v>
      </c>
      <c r="H362">
        <f t="shared" si="43"/>
        <v>5689</v>
      </c>
      <c r="I362">
        <f t="shared" si="44"/>
        <v>6884</v>
      </c>
      <c r="J362">
        <f t="shared" si="45"/>
        <v>1284</v>
      </c>
      <c r="K362">
        <f t="shared" si="46"/>
        <v>0</v>
      </c>
      <c r="L362">
        <f t="shared" si="47"/>
        <v>1284</v>
      </c>
    </row>
    <row r="363" spans="1:12">
      <c r="A363" s="1">
        <f>Weekly_Material_Summary!A363</f>
        <v>46342</v>
      </c>
      <c r="B363" t="str">
        <f>Weekly_Material_Summary!B363</f>
        <v>M002</v>
      </c>
      <c r="C363">
        <f t="shared" si="48"/>
        <v>998</v>
      </c>
      <c r="D363">
        <f>Weekly_Material_Summary!C363</f>
        <v>3930</v>
      </c>
      <c r="E363">
        <f t="shared" si="41"/>
        <v>983</v>
      </c>
      <c r="F363">
        <f t="shared" si="42"/>
        <v>3915</v>
      </c>
      <c r="G363">
        <v>0.99</v>
      </c>
      <c r="H363">
        <f t="shared" si="43"/>
        <v>3876</v>
      </c>
      <c r="I363">
        <f t="shared" si="44"/>
        <v>4874</v>
      </c>
      <c r="J363">
        <f t="shared" si="45"/>
        <v>944</v>
      </c>
      <c r="K363">
        <f t="shared" si="46"/>
        <v>0</v>
      </c>
      <c r="L363">
        <f t="shared" si="47"/>
        <v>944</v>
      </c>
    </row>
    <row r="364" spans="1:12">
      <c r="A364" s="1">
        <f>Weekly_Material_Summary!A364</f>
        <v>46342</v>
      </c>
      <c r="B364" t="str">
        <f>Weekly_Material_Summary!B364</f>
        <v>M003</v>
      </c>
      <c r="C364">
        <f t="shared" si="48"/>
        <v>750</v>
      </c>
      <c r="D364">
        <f>Weekly_Material_Summary!C364</f>
        <v>2950</v>
      </c>
      <c r="E364">
        <f t="shared" si="41"/>
        <v>738</v>
      </c>
      <c r="F364">
        <f t="shared" si="42"/>
        <v>2938</v>
      </c>
      <c r="G364">
        <v>1.01</v>
      </c>
      <c r="H364">
        <f t="shared" si="43"/>
        <v>2967</v>
      </c>
      <c r="I364">
        <f t="shared" si="44"/>
        <v>3717</v>
      </c>
      <c r="J364">
        <f t="shared" si="45"/>
        <v>767</v>
      </c>
      <c r="K364">
        <f t="shared" si="46"/>
        <v>0</v>
      </c>
      <c r="L364">
        <f t="shared" si="47"/>
        <v>767</v>
      </c>
    </row>
    <row r="365" spans="1:12">
      <c r="A365" s="1">
        <f>Weekly_Material_Summary!A365</f>
        <v>46342</v>
      </c>
      <c r="B365" t="str">
        <f>Weekly_Material_Summary!B365</f>
        <v>M004</v>
      </c>
      <c r="C365">
        <f t="shared" si="48"/>
        <v>955.99999999999955</v>
      </c>
      <c r="D365">
        <f>Weekly_Material_Summary!C365</f>
        <v>4216</v>
      </c>
      <c r="E365">
        <f t="shared" si="41"/>
        <v>1054</v>
      </c>
      <c r="F365">
        <f t="shared" si="42"/>
        <v>4314</v>
      </c>
      <c r="G365">
        <v>1.02</v>
      </c>
      <c r="H365">
        <f t="shared" si="43"/>
        <v>4400</v>
      </c>
      <c r="I365">
        <f t="shared" si="44"/>
        <v>5356</v>
      </c>
      <c r="J365">
        <f t="shared" si="45"/>
        <v>1140</v>
      </c>
      <c r="K365">
        <f t="shared" si="46"/>
        <v>0</v>
      </c>
      <c r="L365">
        <f t="shared" si="47"/>
        <v>1140</v>
      </c>
    </row>
    <row r="366" spans="1:12">
      <c r="A366" s="1">
        <f>Weekly_Material_Summary!A366</f>
        <v>46342</v>
      </c>
      <c r="B366" t="str">
        <f>Weekly_Material_Summary!B366</f>
        <v>M005</v>
      </c>
      <c r="C366">
        <f t="shared" si="48"/>
        <v>1136</v>
      </c>
      <c r="D366">
        <f>Weekly_Material_Summary!C366</f>
        <v>4888</v>
      </c>
      <c r="E366">
        <f t="shared" si="41"/>
        <v>1222</v>
      </c>
      <c r="F366">
        <f t="shared" si="42"/>
        <v>4974</v>
      </c>
      <c r="G366">
        <v>0.98</v>
      </c>
      <c r="H366">
        <f t="shared" si="43"/>
        <v>4875</v>
      </c>
      <c r="I366">
        <f t="shared" si="44"/>
        <v>6011</v>
      </c>
      <c r="J366">
        <f t="shared" si="45"/>
        <v>1123</v>
      </c>
      <c r="K366">
        <f t="shared" si="46"/>
        <v>0</v>
      </c>
      <c r="L366">
        <f t="shared" si="47"/>
        <v>1123</v>
      </c>
    </row>
    <row r="367" spans="1:12">
      <c r="A367" s="1">
        <f>Weekly_Material_Summary!A367</f>
        <v>46342</v>
      </c>
      <c r="B367" t="str">
        <f>Weekly_Material_Summary!B367</f>
        <v>M006</v>
      </c>
      <c r="C367">
        <f t="shared" si="48"/>
        <v>145.20000000000016</v>
      </c>
      <c r="D367">
        <f>Weekly_Material_Summary!C367</f>
        <v>560</v>
      </c>
      <c r="E367">
        <f t="shared" si="41"/>
        <v>140</v>
      </c>
      <c r="F367">
        <f t="shared" si="42"/>
        <v>555</v>
      </c>
      <c r="G367">
        <v>1.02</v>
      </c>
      <c r="H367">
        <f t="shared" si="43"/>
        <v>566</v>
      </c>
      <c r="I367">
        <f t="shared" si="44"/>
        <v>711.20000000000016</v>
      </c>
      <c r="J367">
        <f t="shared" si="45"/>
        <v>151.20000000000016</v>
      </c>
      <c r="K367">
        <f t="shared" si="46"/>
        <v>0</v>
      </c>
      <c r="L367">
        <f t="shared" si="47"/>
        <v>151.20000000000016</v>
      </c>
    </row>
    <row r="368" spans="1:12">
      <c r="A368" s="1">
        <f>Weekly_Material_Summary!A368</f>
        <v>46342</v>
      </c>
      <c r="B368" t="str">
        <f>Weekly_Material_Summary!B368</f>
        <v>M007</v>
      </c>
      <c r="C368">
        <f t="shared" si="48"/>
        <v>13891</v>
      </c>
      <c r="D368">
        <f>Weekly_Material_Summary!C368</f>
        <v>62700</v>
      </c>
      <c r="E368">
        <f t="shared" si="41"/>
        <v>15675</v>
      </c>
      <c r="F368">
        <f t="shared" si="42"/>
        <v>64484</v>
      </c>
      <c r="G368">
        <v>1.02</v>
      </c>
      <c r="H368">
        <f t="shared" si="43"/>
        <v>65774</v>
      </c>
      <c r="I368">
        <f t="shared" si="44"/>
        <v>79665</v>
      </c>
      <c r="J368">
        <f t="shared" si="45"/>
        <v>16965</v>
      </c>
      <c r="K368">
        <f t="shared" si="46"/>
        <v>0</v>
      </c>
      <c r="L368">
        <f t="shared" si="47"/>
        <v>16965</v>
      </c>
    </row>
    <row r="369" spans="1:12">
      <c r="A369" s="1">
        <f>Weekly_Material_Summary!A369</f>
        <v>46342</v>
      </c>
      <c r="B369" t="str">
        <f>Weekly_Material_Summary!B369</f>
        <v>M008</v>
      </c>
      <c r="C369">
        <f t="shared" si="48"/>
        <v>15075</v>
      </c>
      <c r="D369">
        <f>Weekly_Material_Summary!C369</f>
        <v>62700</v>
      </c>
      <c r="E369">
        <f t="shared" si="41"/>
        <v>15675</v>
      </c>
      <c r="F369">
        <f t="shared" si="42"/>
        <v>63300</v>
      </c>
      <c r="G369">
        <v>1</v>
      </c>
      <c r="H369">
        <f t="shared" si="43"/>
        <v>63300</v>
      </c>
      <c r="I369">
        <f t="shared" si="44"/>
        <v>78375</v>
      </c>
      <c r="J369">
        <f t="shared" si="45"/>
        <v>15675</v>
      </c>
      <c r="K369">
        <f t="shared" si="46"/>
        <v>0</v>
      </c>
      <c r="L369">
        <f t="shared" si="47"/>
        <v>15675</v>
      </c>
    </row>
    <row r="370" spans="1:12">
      <c r="A370" s="1">
        <f>Weekly_Material_Summary!A370</f>
        <v>46349</v>
      </c>
      <c r="B370" t="str">
        <f>Weekly_Material_Summary!B370</f>
        <v>M001</v>
      </c>
      <c r="C370">
        <f t="shared" si="48"/>
        <v>1284</v>
      </c>
      <c r="D370">
        <f>Weekly_Material_Summary!C370</f>
        <v>5355</v>
      </c>
      <c r="E370">
        <f t="shared" si="41"/>
        <v>1339</v>
      </c>
      <c r="F370">
        <f t="shared" si="42"/>
        <v>5410</v>
      </c>
      <c r="G370">
        <v>0.98</v>
      </c>
      <c r="H370">
        <f t="shared" si="43"/>
        <v>5302</v>
      </c>
      <c r="I370">
        <f t="shared" si="44"/>
        <v>6586</v>
      </c>
      <c r="J370">
        <f t="shared" si="45"/>
        <v>1231</v>
      </c>
      <c r="K370">
        <f t="shared" si="46"/>
        <v>0</v>
      </c>
      <c r="L370">
        <f t="shared" si="47"/>
        <v>1231</v>
      </c>
    </row>
    <row r="371" spans="1:12">
      <c r="A371" s="1">
        <f>Weekly_Material_Summary!A371</f>
        <v>46349</v>
      </c>
      <c r="B371" t="str">
        <f>Weekly_Material_Summary!B371</f>
        <v>M002</v>
      </c>
      <c r="C371">
        <f t="shared" si="48"/>
        <v>944</v>
      </c>
      <c r="D371">
        <f>Weekly_Material_Summary!C371</f>
        <v>3810</v>
      </c>
      <c r="E371">
        <f t="shared" si="41"/>
        <v>953</v>
      </c>
      <c r="F371">
        <f t="shared" si="42"/>
        <v>3819</v>
      </c>
      <c r="G371">
        <v>1.02</v>
      </c>
      <c r="H371">
        <f t="shared" si="43"/>
        <v>3895</v>
      </c>
      <c r="I371">
        <f t="shared" si="44"/>
        <v>4839</v>
      </c>
      <c r="J371">
        <f t="shared" si="45"/>
        <v>1029</v>
      </c>
      <c r="K371">
        <f t="shared" si="46"/>
        <v>0</v>
      </c>
      <c r="L371">
        <f t="shared" si="47"/>
        <v>1029</v>
      </c>
    </row>
    <row r="372" spans="1:12">
      <c r="A372" s="1">
        <f>Weekly_Material_Summary!A372</f>
        <v>46349</v>
      </c>
      <c r="B372" t="str">
        <f>Weekly_Material_Summary!B372</f>
        <v>M003</v>
      </c>
      <c r="C372">
        <f t="shared" si="48"/>
        <v>767</v>
      </c>
      <c r="D372">
        <f>Weekly_Material_Summary!C372</f>
        <v>2875</v>
      </c>
      <c r="E372">
        <f t="shared" si="41"/>
        <v>719</v>
      </c>
      <c r="F372">
        <f t="shared" si="42"/>
        <v>2827</v>
      </c>
      <c r="G372">
        <v>1</v>
      </c>
      <c r="H372">
        <f t="shared" si="43"/>
        <v>2827</v>
      </c>
      <c r="I372">
        <f t="shared" si="44"/>
        <v>3594</v>
      </c>
      <c r="J372">
        <f t="shared" si="45"/>
        <v>719</v>
      </c>
      <c r="K372">
        <f t="shared" si="46"/>
        <v>0</v>
      </c>
      <c r="L372">
        <f t="shared" si="47"/>
        <v>719</v>
      </c>
    </row>
    <row r="373" spans="1:12">
      <c r="A373" s="1">
        <f>Weekly_Material_Summary!A373</f>
        <v>46349</v>
      </c>
      <c r="B373" t="str">
        <f>Weekly_Material_Summary!B373</f>
        <v>M004</v>
      </c>
      <c r="C373">
        <f t="shared" si="48"/>
        <v>1140</v>
      </c>
      <c r="D373">
        <f>Weekly_Material_Summary!C373</f>
        <v>4046.0000000000005</v>
      </c>
      <c r="E373">
        <f t="shared" si="41"/>
        <v>1012</v>
      </c>
      <c r="F373">
        <f t="shared" si="42"/>
        <v>3918</v>
      </c>
      <c r="G373">
        <v>1</v>
      </c>
      <c r="H373">
        <f t="shared" si="43"/>
        <v>3918</v>
      </c>
      <c r="I373">
        <f t="shared" si="44"/>
        <v>5058</v>
      </c>
      <c r="J373">
        <f t="shared" si="45"/>
        <v>1011.9999999999995</v>
      </c>
      <c r="K373">
        <f t="shared" si="46"/>
        <v>0</v>
      </c>
      <c r="L373">
        <f t="shared" si="47"/>
        <v>1011.9999999999995</v>
      </c>
    </row>
    <row r="374" spans="1:12">
      <c r="A374" s="1">
        <f>Weekly_Material_Summary!A374</f>
        <v>46349</v>
      </c>
      <c r="B374" t="str">
        <f>Weekly_Material_Summary!B374</f>
        <v>M005</v>
      </c>
      <c r="C374">
        <f t="shared" si="48"/>
        <v>1123</v>
      </c>
      <c r="D374">
        <f>Weekly_Material_Summary!C374</f>
        <v>4836</v>
      </c>
      <c r="E374">
        <f t="shared" si="41"/>
        <v>1209</v>
      </c>
      <c r="F374">
        <f t="shared" si="42"/>
        <v>4922</v>
      </c>
      <c r="G374">
        <v>1.02</v>
      </c>
      <c r="H374">
        <f t="shared" si="43"/>
        <v>5020</v>
      </c>
      <c r="I374">
        <f t="shared" si="44"/>
        <v>6143</v>
      </c>
      <c r="J374">
        <f t="shared" si="45"/>
        <v>1307</v>
      </c>
      <c r="K374">
        <f t="shared" si="46"/>
        <v>0</v>
      </c>
      <c r="L374">
        <f t="shared" si="47"/>
        <v>1307</v>
      </c>
    </row>
    <row r="375" spans="1:12">
      <c r="A375" s="1">
        <f>Weekly_Material_Summary!A375</f>
        <v>46349</v>
      </c>
      <c r="B375" t="str">
        <f>Weekly_Material_Summary!B375</f>
        <v>M006</v>
      </c>
      <c r="C375">
        <f t="shared" si="48"/>
        <v>151.20000000000016</v>
      </c>
      <c r="D375">
        <f>Weekly_Material_Summary!C375</f>
        <v>542.30000000000007</v>
      </c>
      <c r="E375">
        <f t="shared" si="41"/>
        <v>136</v>
      </c>
      <c r="F375">
        <f t="shared" si="42"/>
        <v>527</v>
      </c>
      <c r="G375">
        <v>1</v>
      </c>
      <c r="H375">
        <f t="shared" si="43"/>
        <v>527</v>
      </c>
      <c r="I375">
        <f t="shared" si="44"/>
        <v>678.20000000000016</v>
      </c>
      <c r="J375">
        <f t="shared" si="45"/>
        <v>135.90000000000009</v>
      </c>
      <c r="K375">
        <f t="shared" si="46"/>
        <v>0</v>
      </c>
      <c r="L375">
        <f t="shared" si="47"/>
        <v>135.90000000000009</v>
      </c>
    </row>
    <row r="376" spans="1:12">
      <c r="A376" s="1">
        <f>Weekly_Material_Summary!A376</f>
        <v>46349</v>
      </c>
      <c r="B376" t="str">
        <f>Weekly_Material_Summary!B376</f>
        <v>M007</v>
      </c>
      <c r="C376">
        <f t="shared" si="48"/>
        <v>16965</v>
      </c>
      <c r="D376">
        <f>Weekly_Material_Summary!C376</f>
        <v>60700</v>
      </c>
      <c r="E376">
        <f t="shared" si="41"/>
        <v>15175</v>
      </c>
      <c r="F376">
        <f t="shared" si="42"/>
        <v>58910</v>
      </c>
      <c r="G376">
        <v>0.98</v>
      </c>
      <c r="H376">
        <f t="shared" si="43"/>
        <v>57732</v>
      </c>
      <c r="I376">
        <f t="shared" si="44"/>
        <v>74697</v>
      </c>
      <c r="J376">
        <f t="shared" si="45"/>
        <v>13997</v>
      </c>
      <c r="K376">
        <f t="shared" si="46"/>
        <v>0</v>
      </c>
      <c r="L376">
        <f t="shared" si="47"/>
        <v>13997</v>
      </c>
    </row>
    <row r="377" spans="1:12">
      <c r="A377" s="1">
        <f>Weekly_Material_Summary!A377</f>
        <v>46349</v>
      </c>
      <c r="B377" t="str">
        <f>Weekly_Material_Summary!B377</f>
        <v>M008</v>
      </c>
      <c r="C377">
        <f t="shared" si="48"/>
        <v>15675</v>
      </c>
      <c r="D377">
        <f>Weekly_Material_Summary!C377</f>
        <v>60700</v>
      </c>
      <c r="E377">
        <f t="shared" si="41"/>
        <v>15175</v>
      </c>
      <c r="F377">
        <f t="shared" si="42"/>
        <v>60200</v>
      </c>
      <c r="G377">
        <v>1.01</v>
      </c>
      <c r="H377">
        <f t="shared" si="43"/>
        <v>60802</v>
      </c>
      <c r="I377">
        <f t="shared" si="44"/>
        <v>76477</v>
      </c>
      <c r="J377">
        <f t="shared" si="45"/>
        <v>15777</v>
      </c>
      <c r="K377">
        <f t="shared" si="46"/>
        <v>0</v>
      </c>
      <c r="L377">
        <f t="shared" si="47"/>
        <v>15777</v>
      </c>
    </row>
    <row r="378" spans="1:12">
      <c r="A378" s="1">
        <f>Weekly_Material_Summary!A378</f>
        <v>46356</v>
      </c>
      <c r="B378" t="str">
        <f>Weekly_Material_Summary!B378</f>
        <v>M001</v>
      </c>
      <c r="C378">
        <f t="shared" si="48"/>
        <v>1231</v>
      </c>
      <c r="D378">
        <f>Weekly_Material_Summary!C378</f>
        <v>5355</v>
      </c>
      <c r="E378">
        <f t="shared" si="41"/>
        <v>1339</v>
      </c>
      <c r="F378">
        <f t="shared" si="42"/>
        <v>5463</v>
      </c>
      <c r="G378">
        <v>1</v>
      </c>
      <c r="H378">
        <f t="shared" si="43"/>
        <v>5463</v>
      </c>
      <c r="I378">
        <f t="shared" si="44"/>
        <v>6694</v>
      </c>
      <c r="J378">
        <f t="shared" si="45"/>
        <v>1339</v>
      </c>
      <c r="K378">
        <f t="shared" si="46"/>
        <v>0</v>
      </c>
      <c r="L378">
        <f t="shared" si="47"/>
        <v>1339</v>
      </c>
    </row>
    <row r="379" spans="1:12">
      <c r="A379" s="1">
        <f>Weekly_Material_Summary!A379</f>
        <v>46356</v>
      </c>
      <c r="B379" t="str">
        <f>Weekly_Material_Summary!B379</f>
        <v>M002</v>
      </c>
      <c r="C379">
        <f t="shared" si="48"/>
        <v>1029</v>
      </c>
      <c r="D379">
        <f>Weekly_Material_Summary!C379</f>
        <v>3900</v>
      </c>
      <c r="E379">
        <f t="shared" si="41"/>
        <v>975</v>
      </c>
      <c r="F379">
        <f t="shared" si="42"/>
        <v>3846</v>
      </c>
      <c r="G379">
        <v>0.98</v>
      </c>
      <c r="H379">
        <f t="shared" si="43"/>
        <v>3769</v>
      </c>
      <c r="I379">
        <f t="shared" si="44"/>
        <v>4798</v>
      </c>
      <c r="J379">
        <f t="shared" si="45"/>
        <v>898</v>
      </c>
      <c r="K379">
        <f t="shared" si="46"/>
        <v>0</v>
      </c>
      <c r="L379">
        <f t="shared" si="47"/>
        <v>898</v>
      </c>
    </row>
    <row r="380" spans="1:12">
      <c r="A380" s="1">
        <f>Weekly_Material_Summary!A380</f>
        <v>46356</v>
      </c>
      <c r="B380" t="str">
        <f>Weekly_Material_Summary!B380</f>
        <v>M003</v>
      </c>
      <c r="C380">
        <f t="shared" si="48"/>
        <v>719</v>
      </c>
      <c r="D380">
        <f>Weekly_Material_Summary!C380</f>
        <v>2875</v>
      </c>
      <c r="E380">
        <f t="shared" si="41"/>
        <v>719</v>
      </c>
      <c r="F380">
        <f t="shared" si="42"/>
        <v>2875</v>
      </c>
      <c r="G380">
        <v>0.99</v>
      </c>
      <c r="H380">
        <f t="shared" si="43"/>
        <v>2846</v>
      </c>
      <c r="I380">
        <f t="shared" si="44"/>
        <v>3565</v>
      </c>
      <c r="J380">
        <f t="shared" si="45"/>
        <v>690</v>
      </c>
      <c r="K380">
        <f t="shared" si="46"/>
        <v>0</v>
      </c>
      <c r="L380">
        <f t="shared" si="47"/>
        <v>690</v>
      </c>
    </row>
    <row r="381" spans="1:12">
      <c r="A381" s="1">
        <f>Weekly_Material_Summary!A381</f>
        <v>46356</v>
      </c>
      <c r="B381" t="str">
        <f>Weekly_Material_Summary!B381</f>
        <v>M004</v>
      </c>
      <c r="C381">
        <f t="shared" si="48"/>
        <v>1011.9999999999995</v>
      </c>
      <c r="D381">
        <f>Weekly_Material_Summary!C381</f>
        <v>4216</v>
      </c>
      <c r="E381">
        <f t="shared" si="41"/>
        <v>1054</v>
      </c>
      <c r="F381">
        <f t="shared" si="42"/>
        <v>4258</v>
      </c>
      <c r="G381">
        <v>1.02</v>
      </c>
      <c r="H381">
        <f t="shared" si="43"/>
        <v>4343</v>
      </c>
      <c r="I381">
        <f t="shared" si="44"/>
        <v>5355</v>
      </c>
      <c r="J381">
        <f t="shared" si="45"/>
        <v>1139</v>
      </c>
      <c r="K381">
        <f t="shared" si="46"/>
        <v>0</v>
      </c>
      <c r="L381">
        <f t="shared" si="47"/>
        <v>1139</v>
      </c>
    </row>
    <row r="382" spans="1:12">
      <c r="A382" s="1">
        <f>Weekly_Material_Summary!A382</f>
        <v>46356</v>
      </c>
      <c r="B382" t="str">
        <f>Weekly_Material_Summary!B382</f>
        <v>M005</v>
      </c>
      <c r="C382">
        <f t="shared" si="48"/>
        <v>1307</v>
      </c>
      <c r="D382">
        <f>Weekly_Material_Summary!C382</f>
        <v>4888</v>
      </c>
      <c r="E382">
        <f t="shared" si="41"/>
        <v>1222</v>
      </c>
      <c r="F382">
        <f t="shared" si="42"/>
        <v>4803</v>
      </c>
      <c r="G382">
        <v>0.98</v>
      </c>
      <c r="H382">
        <f t="shared" si="43"/>
        <v>4707</v>
      </c>
      <c r="I382">
        <f t="shared" si="44"/>
        <v>6014</v>
      </c>
      <c r="J382">
        <f t="shared" si="45"/>
        <v>1126</v>
      </c>
      <c r="K382">
        <f t="shared" si="46"/>
        <v>0</v>
      </c>
      <c r="L382">
        <f t="shared" si="47"/>
        <v>1126</v>
      </c>
    </row>
    <row r="383" spans="1:12">
      <c r="A383" s="1">
        <f>Weekly_Material_Summary!A383</f>
        <v>46356</v>
      </c>
      <c r="B383" t="str">
        <f>Weekly_Material_Summary!B383</f>
        <v>M006</v>
      </c>
      <c r="C383">
        <f t="shared" si="48"/>
        <v>135.90000000000009</v>
      </c>
      <c r="D383">
        <f>Weekly_Material_Summary!C383</f>
        <v>550.4</v>
      </c>
      <c r="E383">
        <f t="shared" si="41"/>
        <v>138</v>
      </c>
      <c r="F383">
        <f t="shared" si="42"/>
        <v>553</v>
      </c>
      <c r="G383">
        <v>0.99</v>
      </c>
      <c r="H383">
        <f t="shared" si="43"/>
        <v>547</v>
      </c>
      <c r="I383">
        <f t="shared" si="44"/>
        <v>682.90000000000009</v>
      </c>
      <c r="J383">
        <f t="shared" si="45"/>
        <v>132.50000000000011</v>
      </c>
      <c r="K383">
        <f t="shared" si="46"/>
        <v>0</v>
      </c>
      <c r="L383">
        <f t="shared" si="47"/>
        <v>132.50000000000011</v>
      </c>
    </row>
    <row r="384" spans="1:12">
      <c r="A384" s="1">
        <f>Weekly_Material_Summary!A384</f>
        <v>46356</v>
      </c>
      <c r="B384" t="str">
        <f>Weekly_Material_Summary!B384</f>
        <v>M007</v>
      </c>
      <c r="C384">
        <f t="shared" si="48"/>
        <v>13997</v>
      </c>
      <c r="D384">
        <f>Weekly_Material_Summary!C384</f>
        <v>61600</v>
      </c>
      <c r="E384">
        <f t="shared" si="41"/>
        <v>15400</v>
      </c>
      <c r="F384">
        <f t="shared" si="42"/>
        <v>63003</v>
      </c>
      <c r="G384">
        <v>1.02</v>
      </c>
      <c r="H384">
        <f t="shared" si="43"/>
        <v>64263</v>
      </c>
      <c r="I384">
        <f t="shared" si="44"/>
        <v>78260</v>
      </c>
      <c r="J384">
        <f t="shared" si="45"/>
        <v>16660</v>
      </c>
      <c r="K384">
        <f t="shared" si="46"/>
        <v>0</v>
      </c>
      <c r="L384">
        <f t="shared" si="47"/>
        <v>16660</v>
      </c>
    </row>
    <row r="385" spans="1:12">
      <c r="A385" s="1">
        <f>Weekly_Material_Summary!A385</f>
        <v>46356</v>
      </c>
      <c r="B385" t="str">
        <f>Weekly_Material_Summary!B385</f>
        <v>M008</v>
      </c>
      <c r="C385">
        <f t="shared" si="48"/>
        <v>15777</v>
      </c>
      <c r="D385">
        <f>Weekly_Material_Summary!C385</f>
        <v>61600</v>
      </c>
      <c r="E385">
        <f t="shared" si="41"/>
        <v>15400</v>
      </c>
      <c r="F385">
        <f t="shared" si="42"/>
        <v>61223</v>
      </c>
      <c r="G385">
        <v>0.99</v>
      </c>
      <c r="H385">
        <f t="shared" si="43"/>
        <v>60611</v>
      </c>
      <c r="I385">
        <f t="shared" si="44"/>
        <v>76388</v>
      </c>
      <c r="J385">
        <f t="shared" si="45"/>
        <v>14788</v>
      </c>
      <c r="K385">
        <f t="shared" si="46"/>
        <v>0</v>
      </c>
      <c r="L385">
        <f t="shared" si="47"/>
        <v>14788</v>
      </c>
    </row>
    <row r="386" spans="1:12">
      <c r="A386" s="1">
        <f>Weekly_Material_Summary!A386</f>
        <v>46363</v>
      </c>
      <c r="B386" t="str">
        <f>Weekly_Material_Summary!B386</f>
        <v>M001</v>
      </c>
      <c r="C386">
        <f t="shared" si="48"/>
        <v>1339</v>
      </c>
      <c r="D386">
        <f>Weekly_Material_Summary!C386</f>
        <v>6090</v>
      </c>
      <c r="E386">
        <f t="shared" si="41"/>
        <v>1523</v>
      </c>
      <c r="F386">
        <f t="shared" si="42"/>
        <v>6274</v>
      </c>
      <c r="G386">
        <v>1</v>
      </c>
      <c r="H386">
        <f t="shared" si="43"/>
        <v>6274</v>
      </c>
      <c r="I386">
        <f t="shared" si="44"/>
        <v>7613</v>
      </c>
      <c r="J386">
        <f t="shared" si="45"/>
        <v>1523</v>
      </c>
      <c r="K386">
        <f t="shared" si="46"/>
        <v>0</v>
      </c>
      <c r="L386">
        <f t="shared" si="47"/>
        <v>1523</v>
      </c>
    </row>
    <row r="387" spans="1:12">
      <c r="A387" s="1">
        <f>Weekly_Material_Summary!A387</f>
        <v>46363</v>
      </c>
      <c r="B387" t="str">
        <f>Weekly_Material_Summary!B387</f>
        <v>M002</v>
      </c>
      <c r="C387">
        <f t="shared" si="48"/>
        <v>898</v>
      </c>
      <c r="D387">
        <f>Weekly_Material_Summary!C387</f>
        <v>4680</v>
      </c>
      <c r="E387">
        <f t="shared" ref="E387:E417" si="49">ROUND(D387*0.25,0)</f>
        <v>1170</v>
      </c>
      <c r="F387">
        <f t="shared" ref="F387:F417" si="50">MAX(0,ROUND(D387+E387-C387,0))</f>
        <v>4952</v>
      </c>
      <c r="G387">
        <v>1.01</v>
      </c>
      <c r="H387">
        <f t="shared" ref="H387:H417" si="51">ROUND(F387*G387,0)</f>
        <v>5002</v>
      </c>
      <c r="I387">
        <f t="shared" ref="I387:I417" si="52">C387+H387</f>
        <v>5900</v>
      </c>
      <c r="J387">
        <f t="shared" ref="J387:J417" si="53">I387-D387</f>
        <v>1220</v>
      </c>
      <c r="K387">
        <f t="shared" ref="K387:K417" si="54">MAX(0,-J387)</f>
        <v>0</v>
      </c>
      <c r="L387">
        <f t="shared" si="47"/>
        <v>1220</v>
      </c>
    </row>
    <row r="388" spans="1:12">
      <c r="A388" s="1">
        <f>Weekly_Material_Summary!A388</f>
        <v>46363</v>
      </c>
      <c r="B388" t="str">
        <f>Weekly_Material_Summary!B388</f>
        <v>M003</v>
      </c>
      <c r="C388">
        <f t="shared" si="48"/>
        <v>690</v>
      </c>
      <c r="D388">
        <f>Weekly_Material_Summary!C388</f>
        <v>3425</v>
      </c>
      <c r="E388">
        <f t="shared" si="49"/>
        <v>856</v>
      </c>
      <c r="F388">
        <f t="shared" si="50"/>
        <v>3591</v>
      </c>
      <c r="G388">
        <v>0.99</v>
      </c>
      <c r="H388">
        <f t="shared" si="51"/>
        <v>3555</v>
      </c>
      <c r="I388">
        <f t="shared" si="52"/>
        <v>4245</v>
      </c>
      <c r="J388">
        <f t="shared" si="53"/>
        <v>820</v>
      </c>
      <c r="K388">
        <f t="shared" si="54"/>
        <v>0</v>
      </c>
      <c r="L388">
        <f t="shared" si="47"/>
        <v>820</v>
      </c>
    </row>
    <row r="389" spans="1:12">
      <c r="A389" s="1">
        <f>Weekly_Material_Summary!A389</f>
        <v>46363</v>
      </c>
      <c r="B389" t="str">
        <f>Weekly_Material_Summary!B389</f>
        <v>M004</v>
      </c>
      <c r="C389">
        <f t="shared" si="48"/>
        <v>1139</v>
      </c>
      <c r="D389">
        <f>Weekly_Material_Summary!C389</f>
        <v>4828</v>
      </c>
      <c r="E389">
        <f t="shared" si="49"/>
        <v>1207</v>
      </c>
      <c r="F389">
        <f t="shared" si="50"/>
        <v>4896</v>
      </c>
      <c r="G389">
        <v>0.99</v>
      </c>
      <c r="H389">
        <f t="shared" si="51"/>
        <v>4847</v>
      </c>
      <c r="I389">
        <f t="shared" si="52"/>
        <v>5986</v>
      </c>
      <c r="J389">
        <f t="shared" si="53"/>
        <v>1158</v>
      </c>
      <c r="K389">
        <f t="shared" si="54"/>
        <v>0</v>
      </c>
      <c r="L389">
        <f t="shared" si="47"/>
        <v>1158</v>
      </c>
    </row>
    <row r="390" spans="1:12">
      <c r="A390" s="1">
        <f>Weekly_Material_Summary!A390</f>
        <v>46363</v>
      </c>
      <c r="B390" t="str">
        <f>Weekly_Material_Summary!B390</f>
        <v>M005</v>
      </c>
      <c r="C390">
        <f t="shared" si="48"/>
        <v>1126</v>
      </c>
      <c r="D390">
        <f>Weekly_Material_Summary!C390</f>
        <v>5616</v>
      </c>
      <c r="E390">
        <f t="shared" si="49"/>
        <v>1404</v>
      </c>
      <c r="F390">
        <f t="shared" si="50"/>
        <v>5894</v>
      </c>
      <c r="G390">
        <v>1.01</v>
      </c>
      <c r="H390">
        <f t="shared" si="51"/>
        <v>5953</v>
      </c>
      <c r="I390">
        <f t="shared" si="52"/>
        <v>7079</v>
      </c>
      <c r="J390">
        <f t="shared" si="53"/>
        <v>1463</v>
      </c>
      <c r="K390">
        <f t="shared" si="54"/>
        <v>0</v>
      </c>
      <c r="L390">
        <f t="shared" si="47"/>
        <v>1463</v>
      </c>
    </row>
    <row r="391" spans="1:12">
      <c r="A391" s="1">
        <f>Weekly_Material_Summary!A391</f>
        <v>46363</v>
      </c>
      <c r="B391" t="str">
        <f>Weekly_Material_Summary!B391</f>
        <v>M006</v>
      </c>
      <c r="C391">
        <f t="shared" si="48"/>
        <v>132.50000000000011</v>
      </c>
      <c r="D391">
        <f>Weekly_Material_Summary!C391</f>
        <v>638.4</v>
      </c>
      <c r="E391">
        <f t="shared" si="49"/>
        <v>160</v>
      </c>
      <c r="F391">
        <f t="shared" si="50"/>
        <v>666</v>
      </c>
      <c r="G391">
        <v>0.99</v>
      </c>
      <c r="H391">
        <f t="shared" si="51"/>
        <v>659</v>
      </c>
      <c r="I391">
        <f t="shared" si="52"/>
        <v>791.50000000000011</v>
      </c>
      <c r="J391">
        <f t="shared" si="53"/>
        <v>153.10000000000014</v>
      </c>
      <c r="K391">
        <f t="shared" si="54"/>
        <v>0</v>
      </c>
      <c r="L391">
        <f t="shared" si="47"/>
        <v>153.10000000000014</v>
      </c>
    </row>
    <row r="392" spans="1:12">
      <c r="A392" s="1">
        <f>Weekly_Material_Summary!A392</f>
        <v>46363</v>
      </c>
      <c r="B392" t="str">
        <f>Weekly_Material_Summary!B392</f>
        <v>M007</v>
      </c>
      <c r="C392">
        <f t="shared" si="48"/>
        <v>16660</v>
      </c>
      <c r="D392">
        <f>Weekly_Material_Summary!C392</f>
        <v>71700</v>
      </c>
      <c r="E392">
        <f t="shared" si="49"/>
        <v>17925</v>
      </c>
      <c r="F392">
        <f t="shared" si="50"/>
        <v>72965</v>
      </c>
      <c r="G392">
        <v>1.01</v>
      </c>
      <c r="H392">
        <f t="shared" si="51"/>
        <v>73695</v>
      </c>
      <c r="I392">
        <f t="shared" si="52"/>
        <v>90355</v>
      </c>
      <c r="J392">
        <f t="shared" si="53"/>
        <v>18655</v>
      </c>
      <c r="K392">
        <f t="shared" si="54"/>
        <v>0</v>
      </c>
      <c r="L392">
        <f t="shared" si="47"/>
        <v>18655</v>
      </c>
    </row>
    <row r="393" spans="1:12">
      <c r="A393" s="1">
        <f>Weekly_Material_Summary!A393</f>
        <v>46363</v>
      </c>
      <c r="B393" t="str">
        <f>Weekly_Material_Summary!B393</f>
        <v>M008</v>
      </c>
      <c r="C393">
        <f t="shared" si="48"/>
        <v>14788</v>
      </c>
      <c r="D393">
        <f>Weekly_Material_Summary!C393</f>
        <v>71700</v>
      </c>
      <c r="E393">
        <f t="shared" si="49"/>
        <v>17925</v>
      </c>
      <c r="F393">
        <f t="shared" si="50"/>
        <v>74837</v>
      </c>
      <c r="G393">
        <v>1</v>
      </c>
      <c r="H393">
        <f t="shared" si="51"/>
        <v>74837</v>
      </c>
      <c r="I393">
        <f t="shared" si="52"/>
        <v>89625</v>
      </c>
      <c r="J393">
        <f t="shared" si="53"/>
        <v>17925</v>
      </c>
      <c r="K393">
        <f t="shared" si="54"/>
        <v>0</v>
      </c>
      <c r="L393">
        <f t="shared" si="47"/>
        <v>17925</v>
      </c>
    </row>
    <row r="394" spans="1:12">
      <c r="A394" s="1">
        <f>Weekly_Material_Summary!A394</f>
        <v>46370</v>
      </c>
      <c r="B394" t="str">
        <f>Weekly_Material_Summary!B394</f>
        <v>M001</v>
      </c>
      <c r="C394">
        <f t="shared" si="48"/>
        <v>1523</v>
      </c>
      <c r="D394">
        <f>Weekly_Material_Summary!C394</f>
        <v>5880</v>
      </c>
      <c r="E394">
        <f t="shared" si="49"/>
        <v>1470</v>
      </c>
      <c r="F394">
        <f t="shared" si="50"/>
        <v>5827</v>
      </c>
      <c r="G394">
        <v>0.98</v>
      </c>
      <c r="H394">
        <f t="shared" si="51"/>
        <v>5710</v>
      </c>
      <c r="I394">
        <f t="shared" si="52"/>
        <v>7233</v>
      </c>
      <c r="J394">
        <f t="shared" si="53"/>
        <v>1353</v>
      </c>
      <c r="K394">
        <f t="shared" si="54"/>
        <v>0</v>
      </c>
      <c r="L394">
        <f t="shared" ref="L394:L417" si="55">MAX(0,J394)</f>
        <v>1353</v>
      </c>
    </row>
    <row r="395" spans="1:12">
      <c r="A395" s="1">
        <f>Weekly_Material_Summary!A395</f>
        <v>46370</v>
      </c>
      <c r="B395" t="str">
        <f>Weekly_Material_Summary!B395</f>
        <v>M002</v>
      </c>
      <c r="C395">
        <f t="shared" ref="C395:C417" si="56">L387</f>
        <v>1220</v>
      </c>
      <c r="D395">
        <f>Weekly_Material_Summary!C395</f>
        <v>4500</v>
      </c>
      <c r="E395">
        <f t="shared" si="49"/>
        <v>1125</v>
      </c>
      <c r="F395">
        <f t="shared" si="50"/>
        <v>4405</v>
      </c>
      <c r="G395">
        <v>1</v>
      </c>
      <c r="H395">
        <f t="shared" si="51"/>
        <v>4405</v>
      </c>
      <c r="I395">
        <f t="shared" si="52"/>
        <v>5625</v>
      </c>
      <c r="J395">
        <f t="shared" si="53"/>
        <v>1125</v>
      </c>
      <c r="K395">
        <f t="shared" si="54"/>
        <v>0</v>
      </c>
      <c r="L395">
        <f t="shared" si="55"/>
        <v>1125</v>
      </c>
    </row>
    <row r="396" spans="1:12">
      <c r="A396" s="1">
        <f>Weekly_Material_Summary!A396</f>
        <v>46370</v>
      </c>
      <c r="B396" t="str">
        <f>Weekly_Material_Summary!B396</f>
        <v>M003</v>
      </c>
      <c r="C396">
        <f t="shared" si="56"/>
        <v>820</v>
      </c>
      <c r="D396">
        <f>Weekly_Material_Summary!C396</f>
        <v>3125</v>
      </c>
      <c r="E396">
        <f t="shared" si="49"/>
        <v>781</v>
      </c>
      <c r="F396">
        <f t="shared" si="50"/>
        <v>3086</v>
      </c>
      <c r="G396">
        <v>1.02</v>
      </c>
      <c r="H396">
        <f t="shared" si="51"/>
        <v>3148</v>
      </c>
      <c r="I396">
        <f t="shared" si="52"/>
        <v>3968</v>
      </c>
      <c r="J396">
        <f t="shared" si="53"/>
        <v>843</v>
      </c>
      <c r="K396">
        <f t="shared" si="54"/>
        <v>0</v>
      </c>
      <c r="L396">
        <f t="shared" si="55"/>
        <v>843</v>
      </c>
    </row>
    <row r="397" spans="1:12">
      <c r="A397" s="1">
        <f>Weekly_Material_Summary!A397</f>
        <v>46370</v>
      </c>
      <c r="B397" t="str">
        <f>Weekly_Material_Summary!B397</f>
        <v>M004</v>
      </c>
      <c r="C397">
        <f t="shared" si="56"/>
        <v>1158</v>
      </c>
      <c r="D397">
        <f>Weekly_Material_Summary!C397</f>
        <v>4862</v>
      </c>
      <c r="E397">
        <f t="shared" si="49"/>
        <v>1216</v>
      </c>
      <c r="F397">
        <f t="shared" si="50"/>
        <v>4920</v>
      </c>
      <c r="G397">
        <v>1.01</v>
      </c>
      <c r="H397">
        <f t="shared" si="51"/>
        <v>4969</v>
      </c>
      <c r="I397">
        <f t="shared" si="52"/>
        <v>6127</v>
      </c>
      <c r="J397">
        <f t="shared" si="53"/>
        <v>1265</v>
      </c>
      <c r="K397">
        <f t="shared" si="54"/>
        <v>0</v>
      </c>
      <c r="L397">
        <f t="shared" si="55"/>
        <v>1265</v>
      </c>
    </row>
    <row r="398" spans="1:12">
      <c r="A398" s="1">
        <f>Weekly_Material_Summary!A398</f>
        <v>46370</v>
      </c>
      <c r="B398" t="str">
        <f>Weekly_Material_Summary!B398</f>
        <v>M005</v>
      </c>
      <c r="C398">
        <f t="shared" si="56"/>
        <v>1463</v>
      </c>
      <c r="D398">
        <f>Weekly_Material_Summary!C398</f>
        <v>6916</v>
      </c>
      <c r="E398">
        <f t="shared" si="49"/>
        <v>1729</v>
      </c>
      <c r="F398">
        <f t="shared" si="50"/>
        <v>7182</v>
      </c>
      <c r="G398">
        <v>0.98</v>
      </c>
      <c r="H398">
        <f t="shared" si="51"/>
        <v>7038</v>
      </c>
      <c r="I398">
        <f t="shared" si="52"/>
        <v>8501</v>
      </c>
      <c r="J398">
        <f t="shared" si="53"/>
        <v>1585</v>
      </c>
      <c r="K398">
        <f t="shared" si="54"/>
        <v>0</v>
      </c>
      <c r="L398">
        <f t="shared" si="55"/>
        <v>1585</v>
      </c>
    </row>
    <row r="399" spans="1:12">
      <c r="A399" s="1">
        <f>Weekly_Material_Summary!A399</f>
        <v>46370</v>
      </c>
      <c r="B399" t="str">
        <f>Weekly_Material_Summary!B399</f>
        <v>M006</v>
      </c>
      <c r="C399">
        <f t="shared" si="56"/>
        <v>153.10000000000014</v>
      </c>
      <c r="D399">
        <f>Weekly_Material_Summary!C399</f>
        <v>651.29999999999995</v>
      </c>
      <c r="E399">
        <f t="shared" si="49"/>
        <v>163</v>
      </c>
      <c r="F399">
        <f t="shared" si="50"/>
        <v>661</v>
      </c>
      <c r="G399">
        <v>0.99</v>
      </c>
      <c r="H399">
        <f t="shared" si="51"/>
        <v>654</v>
      </c>
      <c r="I399">
        <f t="shared" si="52"/>
        <v>807.10000000000014</v>
      </c>
      <c r="J399">
        <f t="shared" si="53"/>
        <v>155.80000000000018</v>
      </c>
      <c r="K399">
        <f t="shared" si="54"/>
        <v>0</v>
      </c>
      <c r="L399">
        <f t="shared" si="55"/>
        <v>155.80000000000018</v>
      </c>
    </row>
    <row r="400" spans="1:12">
      <c r="A400" s="1">
        <f>Weekly_Material_Summary!A400</f>
        <v>46370</v>
      </c>
      <c r="B400" t="str">
        <f>Weekly_Material_Summary!B400</f>
        <v>M007</v>
      </c>
      <c r="C400">
        <f t="shared" si="56"/>
        <v>18655</v>
      </c>
      <c r="D400">
        <f>Weekly_Material_Summary!C400</f>
        <v>71900</v>
      </c>
      <c r="E400">
        <f t="shared" si="49"/>
        <v>17975</v>
      </c>
      <c r="F400">
        <f t="shared" si="50"/>
        <v>71220</v>
      </c>
      <c r="G400">
        <v>0.98</v>
      </c>
      <c r="H400">
        <f t="shared" si="51"/>
        <v>69796</v>
      </c>
      <c r="I400">
        <f t="shared" si="52"/>
        <v>88451</v>
      </c>
      <c r="J400">
        <f t="shared" si="53"/>
        <v>16551</v>
      </c>
      <c r="K400">
        <f t="shared" si="54"/>
        <v>0</v>
      </c>
      <c r="L400">
        <f t="shared" si="55"/>
        <v>16551</v>
      </c>
    </row>
    <row r="401" spans="1:12">
      <c r="A401" s="1">
        <f>Weekly_Material_Summary!A401</f>
        <v>46370</v>
      </c>
      <c r="B401" t="str">
        <f>Weekly_Material_Summary!B401</f>
        <v>M008</v>
      </c>
      <c r="C401">
        <f t="shared" si="56"/>
        <v>17925</v>
      </c>
      <c r="D401">
        <f>Weekly_Material_Summary!C401</f>
        <v>71900</v>
      </c>
      <c r="E401">
        <f t="shared" si="49"/>
        <v>17975</v>
      </c>
      <c r="F401">
        <f t="shared" si="50"/>
        <v>71950</v>
      </c>
      <c r="G401">
        <v>1</v>
      </c>
      <c r="H401">
        <f t="shared" si="51"/>
        <v>71950</v>
      </c>
      <c r="I401">
        <f t="shared" si="52"/>
        <v>89875</v>
      </c>
      <c r="J401">
        <f t="shared" si="53"/>
        <v>17975</v>
      </c>
      <c r="K401">
        <f t="shared" si="54"/>
        <v>0</v>
      </c>
      <c r="L401">
        <f t="shared" si="55"/>
        <v>17975</v>
      </c>
    </row>
    <row r="402" spans="1:12">
      <c r="A402" s="1">
        <f>Weekly_Material_Summary!A402</f>
        <v>46377</v>
      </c>
      <c r="B402" t="str">
        <f>Weekly_Material_Summary!B402</f>
        <v>M001</v>
      </c>
      <c r="C402">
        <f t="shared" si="56"/>
        <v>1353</v>
      </c>
      <c r="D402">
        <f>Weekly_Material_Summary!C402</f>
        <v>6265</v>
      </c>
      <c r="E402">
        <f t="shared" si="49"/>
        <v>1566</v>
      </c>
      <c r="F402">
        <f t="shared" si="50"/>
        <v>6478</v>
      </c>
      <c r="G402">
        <v>0.99</v>
      </c>
      <c r="H402">
        <f t="shared" si="51"/>
        <v>6413</v>
      </c>
      <c r="I402">
        <f t="shared" si="52"/>
        <v>7766</v>
      </c>
      <c r="J402">
        <f t="shared" si="53"/>
        <v>1501</v>
      </c>
      <c r="K402">
        <f t="shared" si="54"/>
        <v>0</v>
      </c>
      <c r="L402">
        <f t="shared" si="55"/>
        <v>1501</v>
      </c>
    </row>
    <row r="403" spans="1:12">
      <c r="A403" s="1">
        <f>Weekly_Material_Summary!A403</f>
        <v>46377</v>
      </c>
      <c r="B403" t="str">
        <f>Weekly_Material_Summary!B403</f>
        <v>M002</v>
      </c>
      <c r="C403">
        <f t="shared" si="56"/>
        <v>1125</v>
      </c>
      <c r="D403">
        <f>Weekly_Material_Summary!C403</f>
        <v>4530</v>
      </c>
      <c r="E403">
        <f t="shared" si="49"/>
        <v>1133</v>
      </c>
      <c r="F403">
        <f t="shared" si="50"/>
        <v>4538</v>
      </c>
      <c r="G403">
        <v>1.01</v>
      </c>
      <c r="H403">
        <f t="shared" si="51"/>
        <v>4583</v>
      </c>
      <c r="I403">
        <f t="shared" si="52"/>
        <v>5708</v>
      </c>
      <c r="J403">
        <f t="shared" si="53"/>
        <v>1178</v>
      </c>
      <c r="K403">
        <f t="shared" si="54"/>
        <v>0</v>
      </c>
      <c r="L403">
        <f t="shared" si="55"/>
        <v>1178</v>
      </c>
    </row>
    <row r="404" spans="1:12">
      <c r="A404" s="1">
        <f>Weekly_Material_Summary!A404</f>
        <v>46377</v>
      </c>
      <c r="B404" t="str">
        <f>Weekly_Material_Summary!B404</f>
        <v>M003</v>
      </c>
      <c r="C404">
        <f t="shared" si="56"/>
        <v>843</v>
      </c>
      <c r="D404">
        <f>Weekly_Material_Summary!C404</f>
        <v>3175</v>
      </c>
      <c r="E404">
        <f t="shared" si="49"/>
        <v>794</v>
      </c>
      <c r="F404">
        <f t="shared" si="50"/>
        <v>3126</v>
      </c>
      <c r="G404">
        <v>0.98</v>
      </c>
      <c r="H404">
        <f t="shared" si="51"/>
        <v>3063</v>
      </c>
      <c r="I404">
        <f t="shared" si="52"/>
        <v>3906</v>
      </c>
      <c r="J404">
        <f t="shared" si="53"/>
        <v>731</v>
      </c>
      <c r="K404">
        <f t="shared" si="54"/>
        <v>0</v>
      </c>
      <c r="L404">
        <f t="shared" si="55"/>
        <v>731</v>
      </c>
    </row>
    <row r="405" spans="1:12">
      <c r="A405" s="1">
        <f>Weekly_Material_Summary!A405</f>
        <v>46377</v>
      </c>
      <c r="B405" t="str">
        <f>Weekly_Material_Summary!B405</f>
        <v>M004</v>
      </c>
      <c r="C405">
        <f t="shared" si="56"/>
        <v>1265</v>
      </c>
      <c r="D405">
        <f>Weekly_Material_Summary!C405</f>
        <v>4692</v>
      </c>
      <c r="E405">
        <f t="shared" si="49"/>
        <v>1173</v>
      </c>
      <c r="F405">
        <f t="shared" si="50"/>
        <v>4600</v>
      </c>
      <c r="G405">
        <v>0.99</v>
      </c>
      <c r="H405">
        <f t="shared" si="51"/>
        <v>4554</v>
      </c>
      <c r="I405">
        <f t="shared" si="52"/>
        <v>5819</v>
      </c>
      <c r="J405">
        <f t="shared" si="53"/>
        <v>1127</v>
      </c>
      <c r="K405">
        <f t="shared" si="54"/>
        <v>0</v>
      </c>
      <c r="L405">
        <f t="shared" si="55"/>
        <v>1127</v>
      </c>
    </row>
    <row r="406" spans="1:12">
      <c r="A406" s="1">
        <f>Weekly_Material_Summary!A406</f>
        <v>46377</v>
      </c>
      <c r="B406" t="str">
        <f>Weekly_Material_Summary!B406</f>
        <v>M005</v>
      </c>
      <c r="C406">
        <f t="shared" si="56"/>
        <v>1585</v>
      </c>
      <c r="D406">
        <f>Weekly_Material_Summary!C406</f>
        <v>5304</v>
      </c>
      <c r="E406">
        <f t="shared" si="49"/>
        <v>1326</v>
      </c>
      <c r="F406">
        <f t="shared" si="50"/>
        <v>5045</v>
      </c>
      <c r="G406">
        <v>0.99</v>
      </c>
      <c r="H406">
        <f t="shared" si="51"/>
        <v>4995</v>
      </c>
      <c r="I406">
        <f t="shared" si="52"/>
        <v>6580</v>
      </c>
      <c r="J406">
        <f t="shared" si="53"/>
        <v>1276</v>
      </c>
      <c r="K406">
        <f t="shared" si="54"/>
        <v>0</v>
      </c>
      <c r="L406">
        <f t="shared" si="55"/>
        <v>1276</v>
      </c>
    </row>
    <row r="407" spans="1:12">
      <c r="A407" s="1">
        <f>Weekly_Material_Summary!A407</f>
        <v>46377</v>
      </c>
      <c r="B407" t="str">
        <f>Weekly_Material_Summary!B407</f>
        <v>M006</v>
      </c>
      <c r="C407">
        <f t="shared" si="56"/>
        <v>155.80000000000018</v>
      </c>
      <c r="D407">
        <f>Weekly_Material_Summary!C407</f>
        <v>622.6</v>
      </c>
      <c r="E407">
        <f t="shared" si="49"/>
        <v>156</v>
      </c>
      <c r="F407">
        <f t="shared" si="50"/>
        <v>623</v>
      </c>
      <c r="G407">
        <v>1.02</v>
      </c>
      <c r="H407">
        <f t="shared" si="51"/>
        <v>635</v>
      </c>
      <c r="I407">
        <f t="shared" si="52"/>
        <v>790.80000000000018</v>
      </c>
      <c r="J407">
        <f t="shared" si="53"/>
        <v>168.20000000000016</v>
      </c>
      <c r="K407">
        <f t="shared" si="54"/>
        <v>0</v>
      </c>
      <c r="L407">
        <f t="shared" si="55"/>
        <v>168.20000000000016</v>
      </c>
    </row>
    <row r="408" spans="1:12">
      <c r="A408" s="1">
        <f>Weekly_Material_Summary!A408</f>
        <v>46377</v>
      </c>
      <c r="B408" t="str">
        <f>Weekly_Material_Summary!B408</f>
        <v>M007</v>
      </c>
      <c r="C408">
        <f t="shared" si="56"/>
        <v>16551</v>
      </c>
      <c r="D408">
        <f>Weekly_Material_Summary!C408</f>
        <v>69700</v>
      </c>
      <c r="E408">
        <f t="shared" si="49"/>
        <v>17425</v>
      </c>
      <c r="F408">
        <f t="shared" si="50"/>
        <v>70574</v>
      </c>
      <c r="G408">
        <v>0.99</v>
      </c>
      <c r="H408">
        <f t="shared" si="51"/>
        <v>69868</v>
      </c>
      <c r="I408">
        <f t="shared" si="52"/>
        <v>86419</v>
      </c>
      <c r="J408">
        <f t="shared" si="53"/>
        <v>16719</v>
      </c>
      <c r="K408">
        <f t="shared" si="54"/>
        <v>0</v>
      </c>
      <c r="L408">
        <f t="shared" si="55"/>
        <v>16719</v>
      </c>
    </row>
    <row r="409" spans="1:12">
      <c r="A409" s="1">
        <f>Weekly_Material_Summary!A409</f>
        <v>46377</v>
      </c>
      <c r="B409" t="str">
        <f>Weekly_Material_Summary!B409</f>
        <v>M008</v>
      </c>
      <c r="C409">
        <f t="shared" si="56"/>
        <v>17975</v>
      </c>
      <c r="D409">
        <f>Weekly_Material_Summary!C409</f>
        <v>69700</v>
      </c>
      <c r="E409">
        <f t="shared" si="49"/>
        <v>17425</v>
      </c>
      <c r="F409">
        <f t="shared" si="50"/>
        <v>69150</v>
      </c>
      <c r="G409">
        <v>1.01</v>
      </c>
      <c r="H409">
        <f t="shared" si="51"/>
        <v>69842</v>
      </c>
      <c r="I409">
        <f t="shared" si="52"/>
        <v>87817</v>
      </c>
      <c r="J409">
        <f t="shared" si="53"/>
        <v>18117</v>
      </c>
      <c r="K409">
        <f t="shared" si="54"/>
        <v>0</v>
      </c>
      <c r="L409">
        <f t="shared" si="55"/>
        <v>18117</v>
      </c>
    </row>
    <row r="410" spans="1:12">
      <c r="A410" s="1">
        <f>Weekly_Material_Summary!A410</f>
        <v>46384</v>
      </c>
      <c r="B410" t="str">
        <f>Weekly_Material_Summary!B410</f>
        <v>M001</v>
      </c>
      <c r="C410">
        <f t="shared" si="56"/>
        <v>1501</v>
      </c>
      <c r="D410">
        <f>Weekly_Material_Summary!C410</f>
        <v>6195</v>
      </c>
      <c r="E410">
        <f t="shared" si="49"/>
        <v>1549</v>
      </c>
      <c r="F410">
        <f t="shared" si="50"/>
        <v>6243</v>
      </c>
      <c r="G410">
        <v>1.01</v>
      </c>
      <c r="H410">
        <f t="shared" si="51"/>
        <v>6305</v>
      </c>
      <c r="I410">
        <f t="shared" si="52"/>
        <v>7806</v>
      </c>
      <c r="J410">
        <f t="shared" si="53"/>
        <v>1611</v>
      </c>
      <c r="K410">
        <f t="shared" si="54"/>
        <v>0</v>
      </c>
      <c r="L410">
        <f t="shared" si="55"/>
        <v>1611</v>
      </c>
    </row>
    <row r="411" spans="1:12">
      <c r="A411" s="1">
        <f>Weekly_Material_Summary!A411</f>
        <v>46384</v>
      </c>
      <c r="B411" t="str">
        <f>Weekly_Material_Summary!B411</f>
        <v>M002</v>
      </c>
      <c r="C411">
        <f t="shared" si="56"/>
        <v>1178</v>
      </c>
      <c r="D411">
        <f>Weekly_Material_Summary!C411</f>
        <v>4500</v>
      </c>
      <c r="E411">
        <f t="shared" si="49"/>
        <v>1125</v>
      </c>
      <c r="F411">
        <f t="shared" si="50"/>
        <v>4447</v>
      </c>
      <c r="G411">
        <v>1</v>
      </c>
      <c r="H411">
        <f t="shared" si="51"/>
        <v>4447</v>
      </c>
      <c r="I411">
        <f t="shared" si="52"/>
        <v>5625</v>
      </c>
      <c r="J411">
        <f t="shared" si="53"/>
        <v>1125</v>
      </c>
      <c r="K411">
        <f t="shared" si="54"/>
        <v>0</v>
      </c>
      <c r="L411">
        <f t="shared" si="55"/>
        <v>1125</v>
      </c>
    </row>
    <row r="412" spans="1:12">
      <c r="A412" s="1">
        <f>Weekly_Material_Summary!A412</f>
        <v>46384</v>
      </c>
      <c r="B412" t="str">
        <f>Weekly_Material_Summary!B412</f>
        <v>M003</v>
      </c>
      <c r="C412">
        <f t="shared" si="56"/>
        <v>731</v>
      </c>
      <c r="D412">
        <f>Weekly_Material_Summary!C412</f>
        <v>3175</v>
      </c>
      <c r="E412">
        <f t="shared" si="49"/>
        <v>794</v>
      </c>
      <c r="F412">
        <f t="shared" si="50"/>
        <v>3238</v>
      </c>
      <c r="G412">
        <v>1</v>
      </c>
      <c r="H412">
        <f t="shared" si="51"/>
        <v>3238</v>
      </c>
      <c r="I412">
        <f t="shared" si="52"/>
        <v>3969</v>
      </c>
      <c r="J412">
        <f t="shared" si="53"/>
        <v>794</v>
      </c>
      <c r="K412">
        <f t="shared" si="54"/>
        <v>0</v>
      </c>
      <c r="L412">
        <f t="shared" si="55"/>
        <v>794</v>
      </c>
    </row>
    <row r="413" spans="1:12">
      <c r="A413" s="1">
        <f>Weekly_Material_Summary!A413</f>
        <v>46384</v>
      </c>
      <c r="B413" t="str">
        <f>Weekly_Material_Summary!B413</f>
        <v>M004</v>
      </c>
      <c r="C413">
        <f t="shared" si="56"/>
        <v>1127</v>
      </c>
      <c r="D413">
        <f>Weekly_Material_Summary!C413</f>
        <v>4828</v>
      </c>
      <c r="E413">
        <f t="shared" si="49"/>
        <v>1207</v>
      </c>
      <c r="F413">
        <f t="shared" si="50"/>
        <v>4908</v>
      </c>
      <c r="G413">
        <v>0.98</v>
      </c>
      <c r="H413">
        <f t="shared" si="51"/>
        <v>4810</v>
      </c>
      <c r="I413">
        <f t="shared" si="52"/>
        <v>5937</v>
      </c>
      <c r="J413">
        <f t="shared" si="53"/>
        <v>1109</v>
      </c>
      <c r="K413">
        <f t="shared" si="54"/>
        <v>0</v>
      </c>
      <c r="L413">
        <f t="shared" si="55"/>
        <v>1109</v>
      </c>
    </row>
    <row r="414" spans="1:12">
      <c r="A414" s="1">
        <f>Weekly_Material_Summary!A414</f>
        <v>46384</v>
      </c>
      <c r="B414" t="str">
        <f>Weekly_Material_Summary!B414</f>
        <v>M005</v>
      </c>
      <c r="C414">
        <f t="shared" si="56"/>
        <v>1276</v>
      </c>
      <c r="D414">
        <f>Weekly_Material_Summary!C414</f>
        <v>5564</v>
      </c>
      <c r="E414">
        <f t="shared" si="49"/>
        <v>1391</v>
      </c>
      <c r="F414">
        <f t="shared" si="50"/>
        <v>5679</v>
      </c>
      <c r="G414">
        <v>1</v>
      </c>
      <c r="H414">
        <f t="shared" si="51"/>
        <v>5679</v>
      </c>
      <c r="I414">
        <f t="shared" si="52"/>
        <v>6955</v>
      </c>
      <c r="J414">
        <f t="shared" si="53"/>
        <v>1391</v>
      </c>
      <c r="K414">
        <f t="shared" si="54"/>
        <v>0</v>
      </c>
      <c r="L414">
        <f t="shared" si="55"/>
        <v>1391</v>
      </c>
    </row>
    <row r="415" spans="1:12">
      <c r="A415" s="1">
        <f>Weekly_Material_Summary!A415</f>
        <v>46384</v>
      </c>
      <c r="B415" t="str">
        <f>Weekly_Material_Summary!B415</f>
        <v>M006</v>
      </c>
      <c r="C415">
        <f t="shared" si="56"/>
        <v>168.20000000000016</v>
      </c>
      <c r="D415">
        <f>Weekly_Material_Summary!C415</f>
        <v>629.4</v>
      </c>
      <c r="E415">
        <f t="shared" si="49"/>
        <v>157</v>
      </c>
      <c r="F415">
        <f t="shared" si="50"/>
        <v>618</v>
      </c>
      <c r="G415">
        <v>0.99</v>
      </c>
      <c r="H415">
        <f t="shared" si="51"/>
        <v>612</v>
      </c>
      <c r="I415">
        <f t="shared" si="52"/>
        <v>780.20000000000016</v>
      </c>
      <c r="J415">
        <f t="shared" si="53"/>
        <v>150.80000000000018</v>
      </c>
      <c r="K415">
        <f t="shared" si="54"/>
        <v>0</v>
      </c>
      <c r="L415">
        <f t="shared" si="55"/>
        <v>150.80000000000018</v>
      </c>
    </row>
    <row r="416" spans="1:12">
      <c r="A416" s="1">
        <f>Weekly_Material_Summary!A416</f>
        <v>46384</v>
      </c>
      <c r="B416" t="str">
        <f>Weekly_Material_Summary!B416</f>
        <v>M007</v>
      </c>
      <c r="C416">
        <f t="shared" si="56"/>
        <v>16719</v>
      </c>
      <c r="D416">
        <f>Weekly_Material_Summary!C416</f>
        <v>70300</v>
      </c>
      <c r="E416">
        <f t="shared" si="49"/>
        <v>17575</v>
      </c>
      <c r="F416">
        <f t="shared" si="50"/>
        <v>71156</v>
      </c>
      <c r="G416">
        <v>1.01</v>
      </c>
      <c r="H416">
        <f t="shared" si="51"/>
        <v>71868</v>
      </c>
      <c r="I416">
        <f t="shared" si="52"/>
        <v>88587</v>
      </c>
      <c r="J416">
        <f t="shared" si="53"/>
        <v>18287</v>
      </c>
      <c r="K416">
        <f t="shared" si="54"/>
        <v>0</v>
      </c>
      <c r="L416">
        <f t="shared" si="55"/>
        <v>18287</v>
      </c>
    </row>
    <row r="417" spans="1:12">
      <c r="A417" s="1">
        <f>Weekly_Material_Summary!A417</f>
        <v>46384</v>
      </c>
      <c r="B417" t="str">
        <f>Weekly_Material_Summary!B417</f>
        <v>M008</v>
      </c>
      <c r="C417">
        <f t="shared" si="56"/>
        <v>18117</v>
      </c>
      <c r="D417">
        <f>Weekly_Material_Summary!C417</f>
        <v>70300</v>
      </c>
      <c r="E417">
        <f t="shared" si="49"/>
        <v>17575</v>
      </c>
      <c r="F417">
        <f t="shared" si="50"/>
        <v>69758</v>
      </c>
      <c r="G417">
        <v>0.99</v>
      </c>
      <c r="H417">
        <f t="shared" si="51"/>
        <v>69060</v>
      </c>
      <c r="I417">
        <f t="shared" si="52"/>
        <v>87177</v>
      </c>
      <c r="J417">
        <f t="shared" si="53"/>
        <v>16877</v>
      </c>
      <c r="K417">
        <f t="shared" si="54"/>
        <v>0</v>
      </c>
      <c r="L417">
        <f t="shared" si="55"/>
        <v>16877</v>
      </c>
    </row>
    <row r="418" spans="1:12">
      <c r="A418" s="1"/>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7FD7-F407-4905-9F3B-A8E9137816B3}">
  <dimension ref="A1:L159"/>
  <sheetViews>
    <sheetView zoomScale="87" workbookViewId="0">
      <selection activeCell="H21" sqref="H21"/>
    </sheetView>
  </sheetViews>
  <sheetFormatPr defaultRowHeight="14.4"/>
  <cols>
    <col min="1" max="1" width="13.33203125" customWidth="1"/>
    <col min="2" max="2" width="9.33203125" customWidth="1"/>
    <col min="3" max="3" width="25.109375" customWidth="1"/>
    <col min="4" max="4" width="17.109375" customWidth="1"/>
    <col min="5" max="5" width="17" customWidth="1"/>
    <col min="6" max="6" width="25.33203125" customWidth="1"/>
    <col min="7" max="7" width="22.88671875" customWidth="1"/>
    <col min="8" max="8" width="25.6640625" customWidth="1"/>
    <col min="9" max="9" width="24.77734375" customWidth="1"/>
    <col min="10" max="10" width="22.88671875" customWidth="1"/>
    <col min="11" max="11" width="20.6640625" customWidth="1"/>
    <col min="12" max="12" width="16.88671875" customWidth="1"/>
  </cols>
  <sheetData>
    <row r="1" spans="1:12">
      <c r="A1" t="s">
        <v>68</v>
      </c>
      <c r="B1" t="s">
        <v>32</v>
      </c>
      <c r="C1" t="s">
        <v>74</v>
      </c>
      <c r="D1" t="s">
        <v>34</v>
      </c>
      <c r="E1" t="s">
        <v>129</v>
      </c>
      <c r="F1" t="s">
        <v>130</v>
      </c>
      <c r="G1" t="s">
        <v>131</v>
      </c>
      <c r="H1" t="s">
        <v>132</v>
      </c>
      <c r="I1" t="s">
        <v>133</v>
      </c>
      <c r="J1" t="s">
        <v>134</v>
      </c>
      <c r="K1" t="s">
        <v>135</v>
      </c>
      <c r="L1" t="s">
        <v>136</v>
      </c>
    </row>
    <row r="2" spans="1:12">
      <c r="A2" s="1" cm="1">
        <f t="array" ref="A2">INDEX(Calendar_Weeks!$A$2:$A$53,INT((ROW()-2)/3)+1)</f>
        <v>46027</v>
      </c>
      <c r="B2" t="str" cm="1">
        <f t="array" ref="B2">INDEX(Production_Line_Master!$A$2:$A$4,MOD(ROW()-2,3)+1)</f>
        <v>L01</v>
      </c>
      <c r="C2">
        <f>SUMIFS(Weekly_Inventory_Flow!$I:$I,Weekly_Inventory_Flow!$A:$A,A2,Weekly_Inventory_Flow!$R:$R,B2)</f>
        <v>10500</v>
      </c>
      <c r="D2">
        <f>_xlfn.XLOOKUP(B2,Production_Line_Master!$A$2:$A$4,Production_Line_Master!$C$2:$C$4)</f>
        <v>1800</v>
      </c>
      <c r="E2">
        <f>C2/D2</f>
        <v>5.833333333333333</v>
      </c>
      <c r="F2">
        <f>_xlfn.XLOOKUP(B2,Weekly_Capacity!$B$2:$B$4,Weekly_Capacity!$E$2:$E$4)</f>
        <v>38</v>
      </c>
      <c r="G2">
        <f>IF(AND(A2=DATE(2026,11,2),B2="L02"),0.7,0)</f>
        <v>0</v>
      </c>
      <c r="H2">
        <f>F2*(1-G2)</f>
        <v>38</v>
      </c>
      <c r="I2">
        <f>H2*D2</f>
        <v>68400</v>
      </c>
      <c r="J2">
        <f>IF(H2=0,0,E2/H2)</f>
        <v>0.15350877192982457</v>
      </c>
      <c r="K2">
        <f>MAX(0,C2-I2)</f>
        <v>0</v>
      </c>
      <c r="L2" t="str">
        <f>IF(K2&gt;0,"OVER CAPACITY",IF(J2&gt;=0.85,"HIGH UTILISATION","WITHIN CAPACITY"))</f>
        <v>WITHIN CAPACITY</v>
      </c>
    </row>
    <row r="3" spans="1:12">
      <c r="A3" s="1" cm="1">
        <f t="array" ref="A3">INDEX(Calendar_Weeks!$A$2:$A$53,INT((ROW()-2)/3)+1)</f>
        <v>46027</v>
      </c>
      <c r="B3" t="str" cm="1">
        <f t="array" ref="B3">INDEX(Production_Line_Master!$A$2:$A$4,MOD(ROW()-2,3)+1)</f>
        <v>L02</v>
      </c>
      <c r="C3">
        <f>SUMIFS(Weekly_Inventory_Flow!$I:$I,Weekly_Inventory_Flow!$A:$A,A3,Weekly_Inventory_Flow!$R:$R,B3)</f>
        <v>18300</v>
      </c>
      <c r="D3">
        <f>_xlfn.XLOOKUP(B3,Production_Line_Master!$A$2:$A$4,Production_Line_Master!$C$2:$C$4)</f>
        <v>1500</v>
      </c>
      <c r="E3">
        <f t="shared" ref="E3:E66" si="0">C3/D3</f>
        <v>12.2</v>
      </c>
      <c r="F3">
        <f>_xlfn.XLOOKUP(B3,Weekly_Capacity!$B$2:$B$4,Weekly_Capacity!$E$2:$E$4)</f>
        <v>35</v>
      </c>
      <c r="G3">
        <f t="shared" ref="G3:G66" si="1">IF(AND(A3=DATE(2026,11,2),B3="L02"),0.7,0)</f>
        <v>0</v>
      </c>
      <c r="H3">
        <f t="shared" ref="H3:H66" si="2">F3*(1-G3)</f>
        <v>35</v>
      </c>
      <c r="I3">
        <f t="shared" ref="I3:I66" si="3">H3*D3</f>
        <v>52500</v>
      </c>
      <c r="J3">
        <f t="shared" ref="J3:J66" si="4">IF(H3=0,0,E3/H3)</f>
        <v>0.34857142857142853</v>
      </c>
      <c r="K3">
        <f t="shared" ref="K3:K66" si="5">MAX(0,C3-I3)</f>
        <v>0</v>
      </c>
      <c r="L3" t="str">
        <f t="shared" ref="L3:L66" si="6">IF(K3&gt;0,"OVER CAPACITY",IF(J3&gt;=0.85,"HIGH UTILISATION","WITHIN CAPACITY"))</f>
        <v>WITHIN CAPACITY</v>
      </c>
    </row>
    <row r="4" spans="1:12">
      <c r="A4" s="1" cm="1">
        <f t="array" ref="A4">INDEX(Calendar_Weeks!$A$2:$A$53,INT((ROW()-2)/3)+1)</f>
        <v>46027</v>
      </c>
      <c r="B4" t="str" cm="1">
        <f t="array" ref="B4">INDEX(Production_Line_Master!$A$2:$A$4,MOD(ROW()-2,3)+1)</f>
        <v>L03</v>
      </c>
      <c r="C4">
        <f>SUMIFS(Weekly_Inventory_Flow!$I:$I,Weekly_Inventory_Flow!$A:$A,A4,Weekly_Inventory_Flow!$R:$R,B4)</f>
        <v>14900</v>
      </c>
      <c r="D4">
        <f>_xlfn.XLOOKUP(B4,Production_Line_Master!$A$2:$A$4,Production_Line_Master!$C$2:$C$4)</f>
        <v>1200</v>
      </c>
      <c r="E4">
        <f t="shared" si="0"/>
        <v>12.416666666666666</v>
      </c>
      <c r="F4">
        <f>_xlfn.XLOOKUP(B4,Weekly_Capacity!$B$2:$B$4,Weekly_Capacity!$E$2:$E$4)</f>
        <v>35</v>
      </c>
      <c r="G4">
        <f t="shared" si="1"/>
        <v>0</v>
      </c>
      <c r="H4">
        <f t="shared" si="2"/>
        <v>35</v>
      </c>
      <c r="I4">
        <f t="shared" si="3"/>
        <v>42000</v>
      </c>
      <c r="J4">
        <f t="shared" si="4"/>
        <v>0.35476190476190472</v>
      </c>
      <c r="K4">
        <f t="shared" si="5"/>
        <v>0</v>
      </c>
      <c r="L4" t="str">
        <f t="shared" si="6"/>
        <v>WITHIN CAPACITY</v>
      </c>
    </row>
    <row r="5" spans="1:12">
      <c r="A5" s="1" cm="1">
        <f t="array" ref="A5">INDEX(Calendar_Weeks!$A$2:$A$53,INT((ROW()-2)/3)+1)</f>
        <v>46034</v>
      </c>
      <c r="B5" t="str" cm="1">
        <f t="array" ref="B5">INDEX(Production_Line_Master!$A$2:$A$4,MOD(ROW()-2,3)+1)</f>
        <v>L01</v>
      </c>
      <c r="C5">
        <f>SUMIFS(Weekly_Inventory_Flow!$I:$I,Weekly_Inventory_Flow!$A:$A,A5,Weekly_Inventory_Flow!$R:$R,B5)</f>
        <v>13900</v>
      </c>
      <c r="D5">
        <f>_xlfn.XLOOKUP(B5,Production_Line_Master!$A$2:$A$4,Production_Line_Master!$C$2:$C$4)</f>
        <v>1800</v>
      </c>
      <c r="E5">
        <f t="shared" si="0"/>
        <v>7.7222222222222223</v>
      </c>
      <c r="F5">
        <f>_xlfn.XLOOKUP(B5,Weekly_Capacity!$B$2:$B$4,Weekly_Capacity!$E$2:$E$4)</f>
        <v>38</v>
      </c>
      <c r="G5">
        <f t="shared" si="1"/>
        <v>0</v>
      </c>
      <c r="H5">
        <f t="shared" si="2"/>
        <v>38</v>
      </c>
      <c r="I5">
        <f t="shared" si="3"/>
        <v>68400</v>
      </c>
      <c r="J5">
        <f t="shared" si="4"/>
        <v>0.20321637426900585</v>
      </c>
      <c r="K5">
        <f t="shared" si="5"/>
        <v>0</v>
      </c>
      <c r="L5" t="str">
        <f t="shared" si="6"/>
        <v>WITHIN CAPACITY</v>
      </c>
    </row>
    <row r="6" spans="1:12">
      <c r="A6" s="1" cm="1">
        <f t="array" ref="A6">INDEX(Calendar_Weeks!$A$2:$A$53,INT((ROW()-2)/3)+1)</f>
        <v>46034</v>
      </c>
      <c r="B6" t="str" cm="1">
        <f t="array" ref="B6">INDEX(Production_Line_Master!$A$2:$A$4,MOD(ROW()-2,3)+1)</f>
        <v>L02</v>
      </c>
      <c r="C6">
        <f>SUMIFS(Weekly_Inventory_Flow!$I:$I,Weekly_Inventory_Flow!$A:$A,A6,Weekly_Inventory_Flow!$R:$R,B6)</f>
        <v>22500</v>
      </c>
      <c r="D6">
        <f>_xlfn.XLOOKUP(B6,Production_Line_Master!$A$2:$A$4,Production_Line_Master!$C$2:$C$4)</f>
        <v>1500</v>
      </c>
      <c r="E6">
        <f t="shared" si="0"/>
        <v>15</v>
      </c>
      <c r="F6">
        <f>_xlfn.XLOOKUP(B6,Weekly_Capacity!$B$2:$B$4,Weekly_Capacity!$E$2:$E$4)</f>
        <v>35</v>
      </c>
      <c r="G6">
        <f t="shared" si="1"/>
        <v>0</v>
      </c>
      <c r="H6">
        <f t="shared" si="2"/>
        <v>35</v>
      </c>
      <c r="I6">
        <f t="shared" si="3"/>
        <v>52500</v>
      </c>
      <c r="J6">
        <f t="shared" si="4"/>
        <v>0.42857142857142855</v>
      </c>
      <c r="K6">
        <f t="shared" si="5"/>
        <v>0</v>
      </c>
      <c r="L6" t="str">
        <f t="shared" si="6"/>
        <v>WITHIN CAPACITY</v>
      </c>
    </row>
    <row r="7" spans="1:12">
      <c r="A7" s="1" cm="1">
        <f t="array" ref="A7">INDEX(Calendar_Weeks!$A$2:$A$53,INT((ROW()-2)/3)+1)</f>
        <v>46034</v>
      </c>
      <c r="B7" t="str" cm="1">
        <f t="array" ref="B7">INDEX(Production_Line_Master!$A$2:$A$4,MOD(ROW()-2,3)+1)</f>
        <v>L03</v>
      </c>
      <c r="C7">
        <f>SUMIFS(Weekly_Inventory_Flow!$I:$I,Weekly_Inventory_Flow!$A:$A,A7,Weekly_Inventory_Flow!$R:$R,B7)</f>
        <v>19000</v>
      </c>
      <c r="D7">
        <f>_xlfn.XLOOKUP(B7,Production_Line_Master!$A$2:$A$4,Production_Line_Master!$C$2:$C$4)</f>
        <v>1200</v>
      </c>
      <c r="E7">
        <f t="shared" si="0"/>
        <v>15.833333333333334</v>
      </c>
      <c r="F7">
        <f>_xlfn.XLOOKUP(B7,Weekly_Capacity!$B$2:$B$4,Weekly_Capacity!$E$2:$E$4)</f>
        <v>35</v>
      </c>
      <c r="G7">
        <f t="shared" si="1"/>
        <v>0</v>
      </c>
      <c r="H7">
        <f t="shared" si="2"/>
        <v>35</v>
      </c>
      <c r="I7">
        <f t="shared" si="3"/>
        <v>42000</v>
      </c>
      <c r="J7">
        <f t="shared" si="4"/>
        <v>0.45238095238095238</v>
      </c>
      <c r="K7">
        <f t="shared" si="5"/>
        <v>0</v>
      </c>
      <c r="L7" t="str">
        <f t="shared" si="6"/>
        <v>WITHIN CAPACITY</v>
      </c>
    </row>
    <row r="8" spans="1:12">
      <c r="A8" s="1" cm="1">
        <f t="array" ref="A8">INDEX(Calendar_Weeks!$A$2:$A$53,INT((ROW()-2)/3)+1)</f>
        <v>46041</v>
      </c>
      <c r="B8" t="str" cm="1">
        <f t="array" ref="B8">INDEX(Production_Line_Master!$A$2:$A$4,MOD(ROW()-2,3)+1)</f>
        <v>L01</v>
      </c>
      <c r="C8">
        <f>SUMIFS(Weekly_Inventory_Flow!$I:$I,Weekly_Inventory_Flow!$A:$A,A8,Weekly_Inventory_Flow!$R:$R,B8)</f>
        <v>13700</v>
      </c>
      <c r="D8">
        <f>_xlfn.XLOOKUP(B8,Production_Line_Master!$A$2:$A$4,Production_Line_Master!$C$2:$C$4)</f>
        <v>1800</v>
      </c>
      <c r="E8">
        <f t="shared" si="0"/>
        <v>7.6111111111111107</v>
      </c>
      <c r="F8">
        <f>_xlfn.XLOOKUP(B8,Weekly_Capacity!$B$2:$B$4,Weekly_Capacity!$E$2:$E$4)</f>
        <v>38</v>
      </c>
      <c r="G8">
        <f t="shared" si="1"/>
        <v>0</v>
      </c>
      <c r="H8">
        <f t="shared" si="2"/>
        <v>38</v>
      </c>
      <c r="I8">
        <f t="shared" si="3"/>
        <v>68400</v>
      </c>
      <c r="J8">
        <f t="shared" si="4"/>
        <v>0.20029239766081872</v>
      </c>
      <c r="K8">
        <f t="shared" si="5"/>
        <v>0</v>
      </c>
      <c r="L8" t="str">
        <f t="shared" si="6"/>
        <v>WITHIN CAPACITY</v>
      </c>
    </row>
    <row r="9" spans="1:12">
      <c r="A9" s="1" cm="1">
        <f t="array" ref="A9">INDEX(Calendar_Weeks!$A$2:$A$53,INT((ROW()-2)/3)+1)</f>
        <v>46041</v>
      </c>
      <c r="B9" t="str" cm="1">
        <f t="array" ref="B9">INDEX(Production_Line_Master!$A$2:$A$4,MOD(ROW()-2,3)+1)</f>
        <v>L02</v>
      </c>
      <c r="C9">
        <f>SUMIFS(Weekly_Inventory_Flow!$I:$I,Weekly_Inventory_Flow!$A:$A,A9,Weekly_Inventory_Flow!$R:$R,B9)</f>
        <v>23300</v>
      </c>
      <c r="D9">
        <f>_xlfn.XLOOKUP(B9,Production_Line_Master!$A$2:$A$4,Production_Line_Master!$C$2:$C$4)</f>
        <v>1500</v>
      </c>
      <c r="E9">
        <f t="shared" si="0"/>
        <v>15.533333333333333</v>
      </c>
      <c r="F9">
        <f>_xlfn.XLOOKUP(B9,Weekly_Capacity!$B$2:$B$4,Weekly_Capacity!$E$2:$E$4)</f>
        <v>35</v>
      </c>
      <c r="G9">
        <f t="shared" si="1"/>
        <v>0</v>
      </c>
      <c r="H9">
        <f t="shared" si="2"/>
        <v>35</v>
      </c>
      <c r="I9">
        <f t="shared" si="3"/>
        <v>52500</v>
      </c>
      <c r="J9">
        <f t="shared" si="4"/>
        <v>0.44380952380952382</v>
      </c>
      <c r="K9">
        <f t="shared" si="5"/>
        <v>0</v>
      </c>
      <c r="L9" t="str">
        <f t="shared" si="6"/>
        <v>WITHIN CAPACITY</v>
      </c>
    </row>
    <row r="10" spans="1:12">
      <c r="A10" s="1" cm="1">
        <f t="array" ref="A10">INDEX(Calendar_Weeks!$A$2:$A$53,INT((ROW()-2)/3)+1)</f>
        <v>46041</v>
      </c>
      <c r="B10" t="str" cm="1">
        <f t="array" ref="B10">INDEX(Production_Line_Master!$A$2:$A$4,MOD(ROW()-2,3)+1)</f>
        <v>L03</v>
      </c>
      <c r="C10">
        <f>SUMIFS(Weekly_Inventory_Flow!$I:$I,Weekly_Inventory_Flow!$A:$A,A10,Weekly_Inventory_Flow!$R:$R,B10)</f>
        <v>18400</v>
      </c>
      <c r="D10">
        <f>_xlfn.XLOOKUP(B10,Production_Line_Master!$A$2:$A$4,Production_Line_Master!$C$2:$C$4)</f>
        <v>1200</v>
      </c>
      <c r="E10">
        <f t="shared" si="0"/>
        <v>15.333333333333334</v>
      </c>
      <c r="F10">
        <f>_xlfn.XLOOKUP(B10,Weekly_Capacity!$B$2:$B$4,Weekly_Capacity!$E$2:$E$4)</f>
        <v>35</v>
      </c>
      <c r="G10">
        <f t="shared" si="1"/>
        <v>0</v>
      </c>
      <c r="H10">
        <f t="shared" si="2"/>
        <v>35</v>
      </c>
      <c r="I10">
        <f t="shared" si="3"/>
        <v>42000</v>
      </c>
      <c r="J10">
        <f t="shared" si="4"/>
        <v>0.43809523809523809</v>
      </c>
      <c r="K10">
        <f t="shared" si="5"/>
        <v>0</v>
      </c>
      <c r="L10" t="str">
        <f t="shared" si="6"/>
        <v>WITHIN CAPACITY</v>
      </c>
    </row>
    <row r="11" spans="1:12">
      <c r="A11" s="1" cm="1">
        <f t="array" ref="A11">INDEX(Calendar_Weeks!$A$2:$A$53,INT((ROW()-2)/3)+1)</f>
        <v>46048</v>
      </c>
      <c r="B11" t="str" cm="1">
        <f t="array" ref="B11">INDEX(Production_Line_Master!$A$2:$A$4,MOD(ROW()-2,3)+1)</f>
        <v>L01</v>
      </c>
      <c r="C11">
        <f>SUMIFS(Weekly_Inventory_Flow!$I:$I,Weekly_Inventory_Flow!$A:$A,A11,Weekly_Inventory_Flow!$R:$R,B11)</f>
        <v>13300</v>
      </c>
      <c r="D11">
        <f>_xlfn.XLOOKUP(B11,Production_Line_Master!$A$2:$A$4,Production_Line_Master!$C$2:$C$4)</f>
        <v>1800</v>
      </c>
      <c r="E11">
        <f t="shared" si="0"/>
        <v>7.3888888888888893</v>
      </c>
      <c r="F11">
        <f>_xlfn.XLOOKUP(B11,Weekly_Capacity!$B$2:$B$4,Weekly_Capacity!$E$2:$E$4)</f>
        <v>38</v>
      </c>
      <c r="G11">
        <f t="shared" si="1"/>
        <v>0</v>
      </c>
      <c r="H11">
        <f t="shared" si="2"/>
        <v>38</v>
      </c>
      <c r="I11">
        <f t="shared" si="3"/>
        <v>68400</v>
      </c>
      <c r="J11">
        <f t="shared" si="4"/>
        <v>0.19444444444444445</v>
      </c>
      <c r="K11">
        <f t="shared" si="5"/>
        <v>0</v>
      </c>
      <c r="L11" t="str">
        <f t="shared" si="6"/>
        <v>WITHIN CAPACITY</v>
      </c>
    </row>
    <row r="12" spans="1:12">
      <c r="A12" s="1" cm="1">
        <f t="array" ref="A12">INDEX(Calendar_Weeks!$A$2:$A$53,INT((ROW()-2)/3)+1)</f>
        <v>46048</v>
      </c>
      <c r="B12" t="str" cm="1">
        <f t="array" ref="B12">INDEX(Production_Line_Master!$A$2:$A$4,MOD(ROW()-2,3)+1)</f>
        <v>L02</v>
      </c>
      <c r="C12">
        <f>SUMIFS(Weekly_Inventory_Flow!$I:$I,Weekly_Inventory_Flow!$A:$A,A12,Weekly_Inventory_Flow!$R:$R,B12)</f>
        <v>23000</v>
      </c>
      <c r="D12">
        <f>_xlfn.XLOOKUP(B12,Production_Line_Master!$A$2:$A$4,Production_Line_Master!$C$2:$C$4)</f>
        <v>1500</v>
      </c>
      <c r="E12">
        <f t="shared" si="0"/>
        <v>15.333333333333334</v>
      </c>
      <c r="F12">
        <f>_xlfn.XLOOKUP(B12,Weekly_Capacity!$B$2:$B$4,Weekly_Capacity!$E$2:$E$4)</f>
        <v>35</v>
      </c>
      <c r="G12">
        <f t="shared" si="1"/>
        <v>0</v>
      </c>
      <c r="H12">
        <f t="shared" si="2"/>
        <v>35</v>
      </c>
      <c r="I12">
        <f t="shared" si="3"/>
        <v>52500</v>
      </c>
      <c r="J12">
        <f t="shared" si="4"/>
        <v>0.43809523809523809</v>
      </c>
      <c r="K12">
        <f t="shared" si="5"/>
        <v>0</v>
      </c>
      <c r="L12" t="str">
        <f t="shared" si="6"/>
        <v>WITHIN CAPACITY</v>
      </c>
    </row>
    <row r="13" spans="1:12">
      <c r="A13" s="1" cm="1">
        <f t="array" ref="A13">INDEX(Calendar_Weeks!$A$2:$A$53,INT((ROW()-2)/3)+1)</f>
        <v>46048</v>
      </c>
      <c r="B13" t="str" cm="1">
        <f t="array" ref="B13">INDEX(Production_Line_Master!$A$2:$A$4,MOD(ROW()-2,3)+1)</f>
        <v>L03</v>
      </c>
      <c r="C13">
        <f>SUMIFS(Weekly_Inventory_Flow!$I:$I,Weekly_Inventory_Flow!$A:$A,A13,Weekly_Inventory_Flow!$R:$R,B13)</f>
        <v>19100</v>
      </c>
      <c r="D13">
        <f>_xlfn.XLOOKUP(B13,Production_Line_Master!$A$2:$A$4,Production_Line_Master!$C$2:$C$4)</f>
        <v>1200</v>
      </c>
      <c r="E13">
        <f t="shared" si="0"/>
        <v>15.916666666666666</v>
      </c>
      <c r="F13">
        <f>_xlfn.XLOOKUP(B13,Weekly_Capacity!$B$2:$B$4,Weekly_Capacity!$E$2:$E$4)</f>
        <v>35</v>
      </c>
      <c r="G13">
        <f t="shared" si="1"/>
        <v>0</v>
      </c>
      <c r="H13">
        <f t="shared" si="2"/>
        <v>35</v>
      </c>
      <c r="I13">
        <f t="shared" si="3"/>
        <v>42000</v>
      </c>
      <c r="J13">
        <f t="shared" si="4"/>
        <v>0.45476190476190476</v>
      </c>
      <c r="K13">
        <f t="shared" si="5"/>
        <v>0</v>
      </c>
      <c r="L13" t="str">
        <f t="shared" si="6"/>
        <v>WITHIN CAPACITY</v>
      </c>
    </row>
    <row r="14" spans="1:12">
      <c r="A14" s="1" cm="1">
        <f t="array" ref="A14">INDEX(Calendar_Weeks!$A$2:$A$53,INT((ROW()-2)/3)+1)</f>
        <v>46055</v>
      </c>
      <c r="B14" t="str" cm="1">
        <f t="array" ref="B14">INDEX(Production_Line_Master!$A$2:$A$4,MOD(ROW()-2,3)+1)</f>
        <v>L01</v>
      </c>
      <c r="C14">
        <f>SUMIFS(Weekly_Inventory_Flow!$I:$I,Weekly_Inventory_Flow!$A:$A,A14,Weekly_Inventory_Flow!$R:$R,B14)</f>
        <v>13700</v>
      </c>
      <c r="D14">
        <f>_xlfn.XLOOKUP(B14,Production_Line_Master!$A$2:$A$4,Production_Line_Master!$C$2:$C$4)</f>
        <v>1800</v>
      </c>
      <c r="E14">
        <f t="shared" si="0"/>
        <v>7.6111111111111107</v>
      </c>
      <c r="F14">
        <f>_xlfn.XLOOKUP(B14,Weekly_Capacity!$B$2:$B$4,Weekly_Capacity!$E$2:$E$4)</f>
        <v>38</v>
      </c>
      <c r="G14">
        <f t="shared" si="1"/>
        <v>0</v>
      </c>
      <c r="H14">
        <f t="shared" si="2"/>
        <v>38</v>
      </c>
      <c r="I14">
        <f t="shared" si="3"/>
        <v>68400</v>
      </c>
      <c r="J14">
        <f t="shared" si="4"/>
        <v>0.20029239766081872</v>
      </c>
      <c r="K14">
        <f t="shared" si="5"/>
        <v>0</v>
      </c>
      <c r="L14" t="str">
        <f t="shared" si="6"/>
        <v>WITHIN CAPACITY</v>
      </c>
    </row>
    <row r="15" spans="1:12">
      <c r="A15" s="1" cm="1">
        <f t="array" ref="A15">INDEX(Calendar_Weeks!$A$2:$A$53,INT((ROW()-2)/3)+1)</f>
        <v>46055</v>
      </c>
      <c r="B15" t="str" cm="1">
        <f t="array" ref="B15">INDEX(Production_Line_Master!$A$2:$A$4,MOD(ROW()-2,3)+1)</f>
        <v>L02</v>
      </c>
      <c r="C15">
        <f>SUMIFS(Weekly_Inventory_Flow!$I:$I,Weekly_Inventory_Flow!$A:$A,A15,Weekly_Inventory_Flow!$R:$R,B15)</f>
        <v>23200</v>
      </c>
      <c r="D15">
        <f>_xlfn.XLOOKUP(B15,Production_Line_Master!$A$2:$A$4,Production_Line_Master!$C$2:$C$4)</f>
        <v>1500</v>
      </c>
      <c r="E15">
        <f t="shared" si="0"/>
        <v>15.466666666666667</v>
      </c>
      <c r="F15">
        <f>_xlfn.XLOOKUP(B15,Weekly_Capacity!$B$2:$B$4,Weekly_Capacity!$E$2:$E$4)</f>
        <v>35</v>
      </c>
      <c r="G15">
        <f t="shared" si="1"/>
        <v>0</v>
      </c>
      <c r="H15">
        <f t="shared" si="2"/>
        <v>35</v>
      </c>
      <c r="I15">
        <f t="shared" si="3"/>
        <v>52500</v>
      </c>
      <c r="J15">
        <f t="shared" si="4"/>
        <v>0.44190476190476191</v>
      </c>
      <c r="K15">
        <f t="shared" si="5"/>
        <v>0</v>
      </c>
      <c r="L15" t="str">
        <f t="shared" si="6"/>
        <v>WITHIN CAPACITY</v>
      </c>
    </row>
    <row r="16" spans="1:12">
      <c r="A16" s="1" cm="1">
        <f t="array" ref="A16">INDEX(Calendar_Weeks!$A$2:$A$53,INT((ROW()-2)/3)+1)</f>
        <v>46055</v>
      </c>
      <c r="B16" t="str" cm="1">
        <f t="array" ref="B16">INDEX(Production_Line_Master!$A$2:$A$4,MOD(ROW()-2,3)+1)</f>
        <v>L03</v>
      </c>
      <c r="C16">
        <f>SUMIFS(Weekly_Inventory_Flow!$I:$I,Weekly_Inventory_Flow!$A:$A,A16,Weekly_Inventory_Flow!$R:$R,B16)</f>
        <v>18900</v>
      </c>
      <c r="D16">
        <f>_xlfn.XLOOKUP(B16,Production_Line_Master!$A$2:$A$4,Production_Line_Master!$C$2:$C$4)</f>
        <v>1200</v>
      </c>
      <c r="E16">
        <f t="shared" si="0"/>
        <v>15.75</v>
      </c>
      <c r="F16">
        <f>_xlfn.XLOOKUP(B16,Weekly_Capacity!$B$2:$B$4,Weekly_Capacity!$E$2:$E$4)</f>
        <v>35</v>
      </c>
      <c r="G16">
        <f t="shared" si="1"/>
        <v>0</v>
      </c>
      <c r="H16">
        <f t="shared" si="2"/>
        <v>35</v>
      </c>
      <c r="I16">
        <f t="shared" si="3"/>
        <v>42000</v>
      </c>
      <c r="J16">
        <f t="shared" si="4"/>
        <v>0.45</v>
      </c>
      <c r="K16">
        <f t="shared" si="5"/>
        <v>0</v>
      </c>
      <c r="L16" t="str">
        <f t="shared" si="6"/>
        <v>WITHIN CAPACITY</v>
      </c>
    </row>
    <row r="17" spans="1:12">
      <c r="A17" s="1" cm="1">
        <f t="array" ref="A17">INDEX(Calendar_Weeks!$A$2:$A$53,INT((ROW()-2)/3)+1)</f>
        <v>46062</v>
      </c>
      <c r="B17" t="str" cm="1">
        <f t="array" ref="B17">INDEX(Production_Line_Master!$A$2:$A$4,MOD(ROW()-2,3)+1)</f>
        <v>L01</v>
      </c>
      <c r="C17">
        <f>SUMIFS(Weekly_Inventory_Flow!$I:$I,Weekly_Inventory_Flow!$A:$A,A17,Weekly_Inventory_Flow!$R:$R,B17)</f>
        <v>13800</v>
      </c>
      <c r="D17">
        <f>_xlfn.XLOOKUP(B17,Production_Line_Master!$A$2:$A$4,Production_Line_Master!$C$2:$C$4)</f>
        <v>1800</v>
      </c>
      <c r="E17">
        <f t="shared" si="0"/>
        <v>7.666666666666667</v>
      </c>
      <c r="F17">
        <f>_xlfn.XLOOKUP(B17,Weekly_Capacity!$B$2:$B$4,Weekly_Capacity!$E$2:$E$4)</f>
        <v>38</v>
      </c>
      <c r="G17">
        <f t="shared" si="1"/>
        <v>0</v>
      </c>
      <c r="H17">
        <f t="shared" si="2"/>
        <v>38</v>
      </c>
      <c r="I17">
        <f t="shared" si="3"/>
        <v>68400</v>
      </c>
      <c r="J17">
        <f t="shared" si="4"/>
        <v>0.2017543859649123</v>
      </c>
      <c r="K17">
        <f t="shared" si="5"/>
        <v>0</v>
      </c>
      <c r="L17" t="str">
        <f t="shared" si="6"/>
        <v>WITHIN CAPACITY</v>
      </c>
    </row>
    <row r="18" spans="1:12">
      <c r="A18" s="1" cm="1">
        <f t="array" ref="A18">INDEX(Calendar_Weeks!$A$2:$A$53,INT((ROW()-2)/3)+1)</f>
        <v>46062</v>
      </c>
      <c r="B18" t="str" cm="1">
        <f t="array" ref="B18">INDEX(Production_Line_Master!$A$2:$A$4,MOD(ROW()-2,3)+1)</f>
        <v>L02</v>
      </c>
      <c r="C18">
        <f>SUMIFS(Weekly_Inventory_Flow!$I:$I,Weekly_Inventory_Flow!$A:$A,A18,Weekly_Inventory_Flow!$R:$R,B18)</f>
        <v>23200</v>
      </c>
      <c r="D18">
        <f>_xlfn.XLOOKUP(B18,Production_Line_Master!$A$2:$A$4,Production_Line_Master!$C$2:$C$4)</f>
        <v>1500</v>
      </c>
      <c r="E18">
        <f t="shared" si="0"/>
        <v>15.466666666666667</v>
      </c>
      <c r="F18">
        <f>_xlfn.XLOOKUP(B18,Weekly_Capacity!$B$2:$B$4,Weekly_Capacity!$E$2:$E$4)</f>
        <v>35</v>
      </c>
      <c r="G18">
        <f t="shared" si="1"/>
        <v>0</v>
      </c>
      <c r="H18">
        <f t="shared" si="2"/>
        <v>35</v>
      </c>
      <c r="I18">
        <f t="shared" si="3"/>
        <v>52500</v>
      </c>
      <c r="J18">
        <f t="shared" si="4"/>
        <v>0.44190476190476191</v>
      </c>
      <c r="K18">
        <f t="shared" si="5"/>
        <v>0</v>
      </c>
      <c r="L18" t="str">
        <f t="shared" si="6"/>
        <v>WITHIN CAPACITY</v>
      </c>
    </row>
    <row r="19" spans="1:12">
      <c r="A19" s="1" cm="1">
        <f t="array" ref="A19">INDEX(Calendar_Weeks!$A$2:$A$53,INT((ROW()-2)/3)+1)</f>
        <v>46062</v>
      </c>
      <c r="B19" t="str" cm="1">
        <f t="array" ref="B19">INDEX(Production_Line_Master!$A$2:$A$4,MOD(ROW()-2,3)+1)</f>
        <v>L03</v>
      </c>
      <c r="C19">
        <f>SUMIFS(Weekly_Inventory_Flow!$I:$I,Weekly_Inventory_Flow!$A:$A,A19,Weekly_Inventory_Flow!$R:$R,B19)</f>
        <v>18400</v>
      </c>
      <c r="D19">
        <f>_xlfn.XLOOKUP(B19,Production_Line_Master!$A$2:$A$4,Production_Line_Master!$C$2:$C$4)</f>
        <v>1200</v>
      </c>
      <c r="E19">
        <f t="shared" si="0"/>
        <v>15.333333333333334</v>
      </c>
      <c r="F19">
        <f>_xlfn.XLOOKUP(B19,Weekly_Capacity!$B$2:$B$4,Weekly_Capacity!$E$2:$E$4)</f>
        <v>35</v>
      </c>
      <c r="G19">
        <f t="shared" si="1"/>
        <v>0</v>
      </c>
      <c r="H19">
        <f t="shared" si="2"/>
        <v>35</v>
      </c>
      <c r="I19">
        <f t="shared" si="3"/>
        <v>42000</v>
      </c>
      <c r="J19">
        <f t="shared" si="4"/>
        <v>0.43809523809523809</v>
      </c>
      <c r="K19">
        <f t="shared" si="5"/>
        <v>0</v>
      </c>
      <c r="L19" t="str">
        <f t="shared" si="6"/>
        <v>WITHIN CAPACITY</v>
      </c>
    </row>
    <row r="20" spans="1:12">
      <c r="A20" s="1" cm="1">
        <f t="array" ref="A20">INDEX(Calendar_Weeks!$A$2:$A$53,INT((ROW()-2)/3)+1)</f>
        <v>46069</v>
      </c>
      <c r="B20" t="str" cm="1">
        <f t="array" ref="B20">INDEX(Production_Line_Master!$A$2:$A$4,MOD(ROW()-2,3)+1)</f>
        <v>L01</v>
      </c>
      <c r="C20">
        <f>SUMIFS(Weekly_Inventory_Flow!$I:$I,Weekly_Inventory_Flow!$A:$A,A20,Weekly_Inventory_Flow!$R:$R,B20)</f>
        <v>13300</v>
      </c>
      <c r="D20">
        <f>_xlfn.XLOOKUP(B20,Production_Line_Master!$A$2:$A$4,Production_Line_Master!$C$2:$C$4)</f>
        <v>1800</v>
      </c>
      <c r="E20">
        <f t="shared" si="0"/>
        <v>7.3888888888888893</v>
      </c>
      <c r="F20">
        <f>_xlfn.XLOOKUP(B20,Weekly_Capacity!$B$2:$B$4,Weekly_Capacity!$E$2:$E$4)</f>
        <v>38</v>
      </c>
      <c r="G20">
        <f t="shared" si="1"/>
        <v>0</v>
      </c>
      <c r="H20">
        <f t="shared" si="2"/>
        <v>38</v>
      </c>
      <c r="I20">
        <f t="shared" si="3"/>
        <v>68400</v>
      </c>
      <c r="J20">
        <f t="shared" si="4"/>
        <v>0.19444444444444445</v>
      </c>
      <c r="K20">
        <f t="shared" si="5"/>
        <v>0</v>
      </c>
      <c r="L20" t="str">
        <f t="shared" si="6"/>
        <v>WITHIN CAPACITY</v>
      </c>
    </row>
    <row r="21" spans="1:12">
      <c r="A21" s="1" cm="1">
        <f t="array" ref="A21">INDEX(Calendar_Weeks!$A$2:$A$53,INT((ROW()-2)/3)+1)</f>
        <v>46069</v>
      </c>
      <c r="B21" t="str" cm="1">
        <f t="array" ref="B21">INDEX(Production_Line_Master!$A$2:$A$4,MOD(ROW()-2,3)+1)</f>
        <v>L02</v>
      </c>
      <c r="C21">
        <f>SUMIFS(Weekly_Inventory_Flow!$I:$I,Weekly_Inventory_Flow!$A:$A,A21,Weekly_Inventory_Flow!$R:$R,B21)</f>
        <v>22300</v>
      </c>
      <c r="D21">
        <f>_xlfn.XLOOKUP(B21,Production_Line_Master!$A$2:$A$4,Production_Line_Master!$C$2:$C$4)</f>
        <v>1500</v>
      </c>
      <c r="E21">
        <f t="shared" si="0"/>
        <v>14.866666666666667</v>
      </c>
      <c r="F21">
        <f>_xlfn.XLOOKUP(B21,Weekly_Capacity!$B$2:$B$4,Weekly_Capacity!$E$2:$E$4)</f>
        <v>35</v>
      </c>
      <c r="G21">
        <f t="shared" si="1"/>
        <v>0</v>
      </c>
      <c r="H21">
        <f t="shared" si="2"/>
        <v>35</v>
      </c>
      <c r="I21">
        <f t="shared" si="3"/>
        <v>52500</v>
      </c>
      <c r="J21">
        <f t="shared" si="4"/>
        <v>0.42476190476190478</v>
      </c>
      <c r="K21">
        <f t="shared" si="5"/>
        <v>0</v>
      </c>
      <c r="L21" t="str">
        <f t="shared" si="6"/>
        <v>WITHIN CAPACITY</v>
      </c>
    </row>
    <row r="22" spans="1:12">
      <c r="A22" s="1" cm="1">
        <f t="array" ref="A22">INDEX(Calendar_Weeks!$A$2:$A$53,INT((ROW()-2)/3)+1)</f>
        <v>46069</v>
      </c>
      <c r="B22" t="str" cm="1">
        <f t="array" ref="B22">INDEX(Production_Line_Master!$A$2:$A$4,MOD(ROW()-2,3)+1)</f>
        <v>L03</v>
      </c>
      <c r="C22">
        <f>SUMIFS(Weekly_Inventory_Flow!$I:$I,Weekly_Inventory_Flow!$A:$A,A22,Weekly_Inventory_Flow!$R:$R,B22)</f>
        <v>18400</v>
      </c>
      <c r="D22">
        <f>_xlfn.XLOOKUP(B22,Production_Line_Master!$A$2:$A$4,Production_Line_Master!$C$2:$C$4)</f>
        <v>1200</v>
      </c>
      <c r="E22">
        <f t="shared" si="0"/>
        <v>15.333333333333334</v>
      </c>
      <c r="F22">
        <f>_xlfn.XLOOKUP(B22,Weekly_Capacity!$B$2:$B$4,Weekly_Capacity!$E$2:$E$4)</f>
        <v>35</v>
      </c>
      <c r="G22">
        <f t="shared" si="1"/>
        <v>0</v>
      </c>
      <c r="H22">
        <f t="shared" si="2"/>
        <v>35</v>
      </c>
      <c r="I22">
        <f t="shared" si="3"/>
        <v>42000</v>
      </c>
      <c r="J22">
        <f t="shared" si="4"/>
        <v>0.43809523809523809</v>
      </c>
      <c r="K22">
        <f t="shared" si="5"/>
        <v>0</v>
      </c>
      <c r="L22" t="str">
        <f t="shared" si="6"/>
        <v>WITHIN CAPACITY</v>
      </c>
    </row>
    <row r="23" spans="1:12">
      <c r="A23" s="1" cm="1">
        <f t="array" ref="A23">INDEX(Calendar_Weeks!$A$2:$A$53,INT((ROW()-2)/3)+1)</f>
        <v>46076</v>
      </c>
      <c r="B23" t="str" cm="1">
        <f t="array" ref="B23">INDEX(Production_Line_Master!$A$2:$A$4,MOD(ROW()-2,3)+1)</f>
        <v>L01</v>
      </c>
      <c r="C23">
        <f>SUMIFS(Weekly_Inventory_Flow!$I:$I,Weekly_Inventory_Flow!$A:$A,A23,Weekly_Inventory_Flow!$R:$R,B23)</f>
        <v>13500</v>
      </c>
      <c r="D23">
        <f>_xlfn.XLOOKUP(B23,Production_Line_Master!$A$2:$A$4,Production_Line_Master!$C$2:$C$4)</f>
        <v>1800</v>
      </c>
      <c r="E23">
        <f t="shared" si="0"/>
        <v>7.5</v>
      </c>
      <c r="F23">
        <f>_xlfn.XLOOKUP(B23,Weekly_Capacity!$B$2:$B$4,Weekly_Capacity!$E$2:$E$4)</f>
        <v>38</v>
      </c>
      <c r="G23">
        <f t="shared" si="1"/>
        <v>0</v>
      </c>
      <c r="H23">
        <f t="shared" si="2"/>
        <v>38</v>
      </c>
      <c r="I23">
        <f t="shared" si="3"/>
        <v>68400</v>
      </c>
      <c r="J23">
        <f t="shared" si="4"/>
        <v>0.19736842105263158</v>
      </c>
      <c r="K23">
        <f t="shared" si="5"/>
        <v>0</v>
      </c>
      <c r="L23" t="str">
        <f t="shared" si="6"/>
        <v>WITHIN CAPACITY</v>
      </c>
    </row>
    <row r="24" spans="1:12">
      <c r="A24" s="1" cm="1">
        <f t="array" ref="A24">INDEX(Calendar_Weeks!$A$2:$A$53,INT((ROW()-2)/3)+1)</f>
        <v>46076</v>
      </c>
      <c r="B24" t="str" cm="1">
        <f t="array" ref="B24">INDEX(Production_Line_Master!$A$2:$A$4,MOD(ROW()-2,3)+1)</f>
        <v>L02</v>
      </c>
      <c r="C24">
        <f>SUMIFS(Weekly_Inventory_Flow!$I:$I,Weekly_Inventory_Flow!$A:$A,A24,Weekly_Inventory_Flow!$R:$R,B24)</f>
        <v>22500</v>
      </c>
      <c r="D24">
        <f>_xlfn.XLOOKUP(B24,Production_Line_Master!$A$2:$A$4,Production_Line_Master!$C$2:$C$4)</f>
        <v>1500</v>
      </c>
      <c r="E24">
        <f t="shared" si="0"/>
        <v>15</v>
      </c>
      <c r="F24">
        <f>_xlfn.XLOOKUP(B24,Weekly_Capacity!$B$2:$B$4,Weekly_Capacity!$E$2:$E$4)</f>
        <v>35</v>
      </c>
      <c r="G24">
        <f t="shared" si="1"/>
        <v>0</v>
      </c>
      <c r="H24">
        <f t="shared" si="2"/>
        <v>35</v>
      </c>
      <c r="I24">
        <f t="shared" si="3"/>
        <v>52500</v>
      </c>
      <c r="J24">
        <f t="shared" si="4"/>
        <v>0.42857142857142855</v>
      </c>
      <c r="K24">
        <f t="shared" si="5"/>
        <v>0</v>
      </c>
      <c r="L24" t="str">
        <f t="shared" si="6"/>
        <v>WITHIN CAPACITY</v>
      </c>
    </row>
    <row r="25" spans="1:12">
      <c r="A25" s="1" cm="1">
        <f t="array" ref="A25">INDEX(Calendar_Weeks!$A$2:$A$53,INT((ROW()-2)/3)+1)</f>
        <v>46076</v>
      </c>
      <c r="B25" t="str" cm="1">
        <f t="array" ref="B25">INDEX(Production_Line_Master!$A$2:$A$4,MOD(ROW()-2,3)+1)</f>
        <v>L03</v>
      </c>
      <c r="C25">
        <f>SUMIFS(Weekly_Inventory_Flow!$I:$I,Weekly_Inventory_Flow!$A:$A,A25,Weekly_Inventory_Flow!$R:$R,B25)</f>
        <v>18600</v>
      </c>
      <c r="D25">
        <f>_xlfn.XLOOKUP(B25,Production_Line_Master!$A$2:$A$4,Production_Line_Master!$C$2:$C$4)</f>
        <v>1200</v>
      </c>
      <c r="E25">
        <f t="shared" si="0"/>
        <v>15.5</v>
      </c>
      <c r="F25">
        <f>_xlfn.XLOOKUP(B25,Weekly_Capacity!$B$2:$B$4,Weekly_Capacity!$E$2:$E$4)</f>
        <v>35</v>
      </c>
      <c r="G25">
        <f t="shared" si="1"/>
        <v>0</v>
      </c>
      <c r="H25">
        <f t="shared" si="2"/>
        <v>35</v>
      </c>
      <c r="I25">
        <f t="shared" si="3"/>
        <v>42000</v>
      </c>
      <c r="J25">
        <f t="shared" si="4"/>
        <v>0.44285714285714284</v>
      </c>
      <c r="K25">
        <f t="shared" si="5"/>
        <v>0</v>
      </c>
      <c r="L25" t="str">
        <f t="shared" si="6"/>
        <v>WITHIN CAPACITY</v>
      </c>
    </row>
    <row r="26" spans="1:12">
      <c r="A26" s="1" cm="1">
        <f t="array" ref="A26">INDEX(Calendar_Weeks!$A$2:$A$53,INT((ROW()-2)/3)+1)</f>
        <v>46083</v>
      </c>
      <c r="B26" t="str" cm="1">
        <f t="array" ref="B26">INDEX(Production_Line_Master!$A$2:$A$4,MOD(ROW()-2,3)+1)</f>
        <v>L01</v>
      </c>
      <c r="C26">
        <f>SUMIFS(Weekly_Inventory_Flow!$I:$I,Weekly_Inventory_Flow!$A:$A,A26,Weekly_Inventory_Flow!$R:$R,B26)</f>
        <v>14700</v>
      </c>
      <c r="D26">
        <f>_xlfn.XLOOKUP(B26,Production_Line_Master!$A$2:$A$4,Production_Line_Master!$C$2:$C$4)</f>
        <v>1800</v>
      </c>
      <c r="E26">
        <f t="shared" si="0"/>
        <v>8.1666666666666661</v>
      </c>
      <c r="F26">
        <f>_xlfn.XLOOKUP(B26,Weekly_Capacity!$B$2:$B$4,Weekly_Capacity!$E$2:$E$4)</f>
        <v>38</v>
      </c>
      <c r="G26">
        <f t="shared" si="1"/>
        <v>0</v>
      </c>
      <c r="H26">
        <f t="shared" si="2"/>
        <v>38</v>
      </c>
      <c r="I26">
        <f t="shared" si="3"/>
        <v>68400</v>
      </c>
      <c r="J26">
        <f t="shared" si="4"/>
        <v>0.21491228070175436</v>
      </c>
      <c r="K26">
        <f t="shared" si="5"/>
        <v>0</v>
      </c>
      <c r="L26" t="str">
        <f t="shared" si="6"/>
        <v>WITHIN CAPACITY</v>
      </c>
    </row>
    <row r="27" spans="1:12">
      <c r="A27" s="1" cm="1">
        <f t="array" ref="A27">INDEX(Calendar_Weeks!$A$2:$A$53,INT((ROW()-2)/3)+1)</f>
        <v>46083</v>
      </c>
      <c r="B27" t="str" cm="1">
        <f t="array" ref="B27">INDEX(Production_Line_Master!$A$2:$A$4,MOD(ROW()-2,3)+1)</f>
        <v>L02</v>
      </c>
      <c r="C27">
        <f>SUMIFS(Weekly_Inventory_Flow!$I:$I,Weekly_Inventory_Flow!$A:$A,A27,Weekly_Inventory_Flow!$R:$R,B27)</f>
        <v>24600</v>
      </c>
      <c r="D27">
        <f>_xlfn.XLOOKUP(B27,Production_Line_Master!$A$2:$A$4,Production_Line_Master!$C$2:$C$4)</f>
        <v>1500</v>
      </c>
      <c r="E27">
        <f t="shared" si="0"/>
        <v>16.399999999999999</v>
      </c>
      <c r="F27">
        <f>_xlfn.XLOOKUP(B27,Weekly_Capacity!$B$2:$B$4,Weekly_Capacity!$E$2:$E$4)</f>
        <v>35</v>
      </c>
      <c r="G27">
        <f t="shared" si="1"/>
        <v>0</v>
      </c>
      <c r="H27">
        <f t="shared" si="2"/>
        <v>35</v>
      </c>
      <c r="I27">
        <f t="shared" si="3"/>
        <v>52500</v>
      </c>
      <c r="J27">
        <f t="shared" si="4"/>
        <v>0.46857142857142853</v>
      </c>
      <c r="K27">
        <f t="shared" si="5"/>
        <v>0</v>
      </c>
      <c r="L27" t="str">
        <f t="shared" si="6"/>
        <v>WITHIN CAPACITY</v>
      </c>
    </row>
    <row r="28" spans="1:12">
      <c r="A28" s="1" cm="1">
        <f t="array" ref="A28">INDEX(Calendar_Weeks!$A$2:$A$53,INT((ROW()-2)/3)+1)</f>
        <v>46083</v>
      </c>
      <c r="B28" t="str" cm="1">
        <f t="array" ref="B28">INDEX(Production_Line_Master!$A$2:$A$4,MOD(ROW()-2,3)+1)</f>
        <v>L03</v>
      </c>
      <c r="C28">
        <f>SUMIFS(Weekly_Inventory_Flow!$I:$I,Weekly_Inventory_Flow!$A:$A,A28,Weekly_Inventory_Flow!$R:$R,B28)</f>
        <v>20000</v>
      </c>
      <c r="D28">
        <f>_xlfn.XLOOKUP(B28,Production_Line_Master!$A$2:$A$4,Production_Line_Master!$C$2:$C$4)</f>
        <v>1200</v>
      </c>
      <c r="E28">
        <f t="shared" si="0"/>
        <v>16.666666666666668</v>
      </c>
      <c r="F28">
        <f>_xlfn.XLOOKUP(B28,Weekly_Capacity!$B$2:$B$4,Weekly_Capacity!$E$2:$E$4)</f>
        <v>35</v>
      </c>
      <c r="G28">
        <f t="shared" si="1"/>
        <v>0</v>
      </c>
      <c r="H28">
        <f t="shared" si="2"/>
        <v>35</v>
      </c>
      <c r="I28">
        <f t="shared" si="3"/>
        <v>42000</v>
      </c>
      <c r="J28">
        <f t="shared" si="4"/>
        <v>0.47619047619047622</v>
      </c>
      <c r="K28">
        <f t="shared" si="5"/>
        <v>0</v>
      </c>
      <c r="L28" t="str">
        <f t="shared" si="6"/>
        <v>WITHIN CAPACITY</v>
      </c>
    </row>
    <row r="29" spans="1:12">
      <c r="A29" s="1" cm="1">
        <f t="array" ref="A29">INDEX(Calendar_Weeks!$A$2:$A$53,INT((ROW()-2)/3)+1)</f>
        <v>46090</v>
      </c>
      <c r="B29" t="str" cm="1">
        <f t="array" ref="B29">INDEX(Production_Line_Master!$A$2:$A$4,MOD(ROW()-2,3)+1)</f>
        <v>L01</v>
      </c>
      <c r="C29">
        <f>SUMIFS(Weekly_Inventory_Flow!$I:$I,Weekly_Inventory_Flow!$A:$A,A29,Weekly_Inventory_Flow!$R:$R,B29)</f>
        <v>14700</v>
      </c>
      <c r="D29">
        <f>_xlfn.XLOOKUP(B29,Production_Line_Master!$A$2:$A$4,Production_Line_Master!$C$2:$C$4)</f>
        <v>1800</v>
      </c>
      <c r="E29">
        <f t="shared" si="0"/>
        <v>8.1666666666666661</v>
      </c>
      <c r="F29">
        <f>_xlfn.XLOOKUP(B29,Weekly_Capacity!$B$2:$B$4,Weekly_Capacity!$E$2:$E$4)</f>
        <v>38</v>
      </c>
      <c r="G29">
        <f t="shared" si="1"/>
        <v>0</v>
      </c>
      <c r="H29">
        <f t="shared" si="2"/>
        <v>38</v>
      </c>
      <c r="I29">
        <f t="shared" si="3"/>
        <v>68400</v>
      </c>
      <c r="J29">
        <f t="shared" si="4"/>
        <v>0.21491228070175436</v>
      </c>
      <c r="K29">
        <f t="shared" si="5"/>
        <v>0</v>
      </c>
      <c r="L29" t="str">
        <f t="shared" si="6"/>
        <v>WITHIN CAPACITY</v>
      </c>
    </row>
    <row r="30" spans="1:12">
      <c r="A30" s="1" cm="1">
        <f t="array" ref="A30">INDEX(Calendar_Weeks!$A$2:$A$53,INT((ROW()-2)/3)+1)</f>
        <v>46090</v>
      </c>
      <c r="B30" t="str" cm="1">
        <f t="array" ref="B30">INDEX(Production_Line_Master!$A$2:$A$4,MOD(ROW()-2,3)+1)</f>
        <v>L02</v>
      </c>
      <c r="C30">
        <f>SUMIFS(Weekly_Inventory_Flow!$I:$I,Weekly_Inventory_Flow!$A:$A,A30,Weekly_Inventory_Flow!$R:$R,B30)</f>
        <v>23700</v>
      </c>
      <c r="D30">
        <f>_xlfn.XLOOKUP(B30,Production_Line_Master!$A$2:$A$4,Production_Line_Master!$C$2:$C$4)</f>
        <v>1500</v>
      </c>
      <c r="E30">
        <f t="shared" si="0"/>
        <v>15.8</v>
      </c>
      <c r="F30">
        <f>_xlfn.XLOOKUP(B30,Weekly_Capacity!$B$2:$B$4,Weekly_Capacity!$E$2:$E$4)</f>
        <v>35</v>
      </c>
      <c r="G30">
        <f t="shared" si="1"/>
        <v>0</v>
      </c>
      <c r="H30">
        <f t="shared" si="2"/>
        <v>35</v>
      </c>
      <c r="I30">
        <f t="shared" si="3"/>
        <v>52500</v>
      </c>
      <c r="J30">
        <f t="shared" si="4"/>
        <v>0.45142857142857146</v>
      </c>
      <c r="K30">
        <f t="shared" si="5"/>
        <v>0</v>
      </c>
      <c r="L30" t="str">
        <f t="shared" si="6"/>
        <v>WITHIN CAPACITY</v>
      </c>
    </row>
    <row r="31" spans="1:12">
      <c r="A31" s="1" cm="1">
        <f t="array" ref="A31">INDEX(Calendar_Weeks!$A$2:$A$53,INT((ROW()-2)/3)+1)</f>
        <v>46090</v>
      </c>
      <c r="B31" t="str" cm="1">
        <f t="array" ref="B31">INDEX(Production_Line_Master!$A$2:$A$4,MOD(ROW()-2,3)+1)</f>
        <v>L03</v>
      </c>
      <c r="C31">
        <f>SUMIFS(Weekly_Inventory_Flow!$I:$I,Weekly_Inventory_Flow!$A:$A,A31,Weekly_Inventory_Flow!$R:$R,B31)</f>
        <v>20000</v>
      </c>
      <c r="D31">
        <f>_xlfn.XLOOKUP(B31,Production_Line_Master!$A$2:$A$4,Production_Line_Master!$C$2:$C$4)</f>
        <v>1200</v>
      </c>
      <c r="E31">
        <f t="shared" si="0"/>
        <v>16.666666666666668</v>
      </c>
      <c r="F31">
        <f>_xlfn.XLOOKUP(B31,Weekly_Capacity!$B$2:$B$4,Weekly_Capacity!$E$2:$E$4)</f>
        <v>35</v>
      </c>
      <c r="G31">
        <f t="shared" si="1"/>
        <v>0</v>
      </c>
      <c r="H31">
        <f t="shared" si="2"/>
        <v>35</v>
      </c>
      <c r="I31">
        <f t="shared" si="3"/>
        <v>42000</v>
      </c>
      <c r="J31">
        <f t="shared" si="4"/>
        <v>0.47619047619047622</v>
      </c>
      <c r="K31">
        <f t="shared" si="5"/>
        <v>0</v>
      </c>
      <c r="L31" t="str">
        <f t="shared" si="6"/>
        <v>WITHIN CAPACITY</v>
      </c>
    </row>
    <row r="32" spans="1:12">
      <c r="A32" s="1" cm="1">
        <f t="array" ref="A32">INDEX(Calendar_Weeks!$A$2:$A$53,INT((ROW()-2)/3)+1)</f>
        <v>46097</v>
      </c>
      <c r="B32" t="str" cm="1">
        <f t="array" ref="B32">INDEX(Production_Line_Master!$A$2:$A$4,MOD(ROW()-2,3)+1)</f>
        <v>L01</v>
      </c>
      <c r="C32">
        <f>SUMIFS(Weekly_Inventory_Flow!$I:$I,Weekly_Inventory_Flow!$A:$A,A32,Weekly_Inventory_Flow!$R:$R,B32)</f>
        <v>16900</v>
      </c>
      <c r="D32">
        <f>_xlfn.XLOOKUP(B32,Production_Line_Master!$A$2:$A$4,Production_Line_Master!$C$2:$C$4)</f>
        <v>1800</v>
      </c>
      <c r="E32">
        <f t="shared" si="0"/>
        <v>9.3888888888888893</v>
      </c>
      <c r="F32">
        <f>_xlfn.XLOOKUP(B32,Weekly_Capacity!$B$2:$B$4,Weekly_Capacity!$E$2:$E$4)</f>
        <v>38</v>
      </c>
      <c r="G32">
        <f t="shared" si="1"/>
        <v>0</v>
      </c>
      <c r="H32">
        <f t="shared" si="2"/>
        <v>38</v>
      </c>
      <c r="I32">
        <f t="shared" si="3"/>
        <v>68400</v>
      </c>
      <c r="J32">
        <f t="shared" si="4"/>
        <v>0.24707602339181287</v>
      </c>
      <c r="K32">
        <f t="shared" si="5"/>
        <v>0</v>
      </c>
      <c r="L32" t="str">
        <f t="shared" si="6"/>
        <v>WITHIN CAPACITY</v>
      </c>
    </row>
    <row r="33" spans="1:12">
      <c r="A33" s="1" cm="1">
        <f t="array" ref="A33">INDEX(Calendar_Weeks!$A$2:$A$53,INT((ROW()-2)/3)+1)</f>
        <v>46097</v>
      </c>
      <c r="B33" t="str" cm="1">
        <f t="array" ref="B33">INDEX(Production_Line_Master!$A$2:$A$4,MOD(ROW()-2,3)+1)</f>
        <v>L02</v>
      </c>
      <c r="C33">
        <f>SUMIFS(Weekly_Inventory_Flow!$I:$I,Weekly_Inventory_Flow!$A:$A,A33,Weekly_Inventory_Flow!$R:$R,B33)</f>
        <v>24100</v>
      </c>
      <c r="D33">
        <f>_xlfn.XLOOKUP(B33,Production_Line_Master!$A$2:$A$4,Production_Line_Master!$C$2:$C$4)</f>
        <v>1500</v>
      </c>
      <c r="E33">
        <f t="shared" si="0"/>
        <v>16.066666666666666</v>
      </c>
      <c r="F33">
        <f>_xlfn.XLOOKUP(B33,Weekly_Capacity!$B$2:$B$4,Weekly_Capacity!$E$2:$E$4)</f>
        <v>35</v>
      </c>
      <c r="G33">
        <f t="shared" si="1"/>
        <v>0</v>
      </c>
      <c r="H33">
        <f t="shared" si="2"/>
        <v>35</v>
      </c>
      <c r="I33">
        <f t="shared" si="3"/>
        <v>52500</v>
      </c>
      <c r="J33">
        <f t="shared" si="4"/>
        <v>0.45904761904761904</v>
      </c>
      <c r="K33">
        <f t="shared" si="5"/>
        <v>0</v>
      </c>
      <c r="L33" t="str">
        <f t="shared" si="6"/>
        <v>WITHIN CAPACITY</v>
      </c>
    </row>
    <row r="34" spans="1:12">
      <c r="A34" s="1" cm="1">
        <f t="array" ref="A34">INDEX(Calendar_Weeks!$A$2:$A$53,INT((ROW()-2)/3)+1)</f>
        <v>46097</v>
      </c>
      <c r="B34" t="str" cm="1">
        <f t="array" ref="B34">INDEX(Production_Line_Master!$A$2:$A$4,MOD(ROW()-2,3)+1)</f>
        <v>L03</v>
      </c>
      <c r="C34">
        <f>SUMIFS(Weekly_Inventory_Flow!$I:$I,Weekly_Inventory_Flow!$A:$A,A34,Weekly_Inventory_Flow!$R:$R,B34)</f>
        <v>19800</v>
      </c>
      <c r="D34">
        <f>_xlfn.XLOOKUP(B34,Production_Line_Master!$A$2:$A$4,Production_Line_Master!$C$2:$C$4)</f>
        <v>1200</v>
      </c>
      <c r="E34">
        <f t="shared" si="0"/>
        <v>16.5</v>
      </c>
      <c r="F34">
        <f>_xlfn.XLOOKUP(B34,Weekly_Capacity!$B$2:$B$4,Weekly_Capacity!$E$2:$E$4)</f>
        <v>35</v>
      </c>
      <c r="G34">
        <f t="shared" si="1"/>
        <v>0</v>
      </c>
      <c r="H34">
        <f t="shared" si="2"/>
        <v>35</v>
      </c>
      <c r="I34">
        <f t="shared" si="3"/>
        <v>42000</v>
      </c>
      <c r="J34">
        <f t="shared" si="4"/>
        <v>0.47142857142857142</v>
      </c>
      <c r="K34">
        <f t="shared" si="5"/>
        <v>0</v>
      </c>
      <c r="L34" t="str">
        <f t="shared" si="6"/>
        <v>WITHIN CAPACITY</v>
      </c>
    </row>
    <row r="35" spans="1:12">
      <c r="A35" s="1" cm="1">
        <f t="array" ref="A35">INDEX(Calendar_Weeks!$A$2:$A$53,INT((ROW()-2)/3)+1)</f>
        <v>46104</v>
      </c>
      <c r="B35" t="str" cm="1">
        <f t="array" ref="B35">INDEX(Production_Line_Master!$A$2:$A$4,MOD(ROW()-2,3)+1)</f>
        <v>L01</v>
      </c>
      <c r="C35">
        <f>SUMIFS(Weekly_Inventory_Flow!$I:$I,Weekly_Inventory_Flow!$A:$A,A35,Weekly_Inventory_Flow!$R:$R,B35)</f>
        <v>13000</v>
      </c>
      <c r="D35">
        <f>_xlfn.XLOOKUP(B35,Production_Line_Master!$A$2:$A$4,Production_Line_Master!$C$2:$C$4)</f>
        <v>1800</v>
      </c>
      <c r="E35">
        <f t="shared" si="0"/>
        <v>7.2222222222222223</v>
      </c>
      <c r="F35">
        <f>_xlfn.XLOOKUP(B35,Weekly_Capacity!$B$2:$B$4,Weekly_Capacity!$E$2:$E$4)</f>
        <v>38</v>
      </c>
      <c r="G35">
        <f t="shared" si="1"/>
        <v>0</v>
      </c>
      <c r="H35">
        <f t="shared" si="2"/>
        <v>38</v>
      </c>
      <c r="I35">
        <f t="shared" si="3"/>
        <v>68400</v>
      </c>
      <c r="J35">
        <f t="shared" si="4"/>
        <v>0.19005847953216373</v>
      </c>
      <c r="K35">
        <f t="shared" si="5"/>
        <v>0</v>
      </c>
      <c r="L35" t="str">
        <f t="shared" si="6"/>
        <v>WITHIN CAPACITY</v>
      </c>
    </row>
    <row r="36" spans="1:12">
      <c r="A36" s="1" cm="1">
        <f t="array" ref="A36">INDEX(Calendar_Weeks!$A$2:$A$53,INT((ROW()-2)/3)+1)</f>
        <v>46104</v>
      </c>
      <c r="B36" t="str" cm="1">
        <f t="array" ref="B36">INDEX(Production_Line_Master!$A$2:$A$4,MOD(ROW()-2,3)+1)</f>
        <v>L02</v>
      </c>
      <c r="C36">
        <f>SUMIFS(Weekly_Inventory_Flow!$I:$I,Weekly_Inventory_Flow!$A:$A,A36,Weekly_Inventory_Flow!$R:$R,B36)</f>
        <v>23600</v>
      </c>
      <c r="D36">
        <f>_xlfn.XLOOKUP(B36,Production_Line_Master!$A$2:$A$4,Production_Line_Master!$C$2:$C$4)</f>
        <v>1500</v>
      </c>
      <c r="E36">
        <f t="shared" si="0"/>
        <v>15.733333333333333</v>
      </c>
      <c r="F36">
        <f>_xlfn.XLOOKUP(B36,Weekly_Capacity!$B$2:$B$4,Weekly_Capacity!$E$2:$E$4)</f>
        <v>35</v>
      </c>
      <c r="G36">
        <f t="shared" si="1"/>
        <v>0</v>
      </c>
      <c r="H36">
        <f t="shared" si="2"/>
        <v>35</v>
      </c>
      <c r="I36">
        <f t="shared" si="3"/>
        <v>52500</v>
      </c>
      <c r="J36">
        <f t="shared" si="4"/>
        <v>0.44952380952380949</v>
      </c>
      <c r="K36">
        <f t="shared" si="5"/>
        <v>0</v>
      </c>
      <c r="L36" t="str">
        <f t="shared" si="6"/>
        <v>WITHIN CAPACITY</v>
      </c>
    </row>
    <row r="37" spans="1:12">
      <c r="A37" s="1" cm="1">
        <f t="array" ref="A37">INDEX(Calendar_Weeks!$A$2:$A$53,INT((ROW()-2)/3)+1)</f>
        <v>46104</v>
      </c>
      <c r="B37" t="str" cm="1">
        <f t="array" ref="B37">INDEX(Production_Line_Master!$A$2:$A$4,MOD(ROW()-2,3)+1)</f>
        <v>L03</v>
      </c>
      <c r="C37">
        <f>SUMIFS(Weekly_Inventory_Flow!$I:$I,Weekly_Inventory_Flow!$A:$A,A37,Weekly_Inventory_Flow!$R:$R,B37)</f>
        <v>19400</v>
      </c>
      <c r="D37">
        <f>_xlfn.XLOOKUP(B37,Production_Line_Master!$A$2:$A$4,Production_Line_Master!$C$2:$C$4)</f>
        <v>1200</v>
      </c>
      <c r="E37">
        <f t="shared" si="0"/>
        <v>16.166666666666668</v>
      </c>
      <c r="F37">
        <f>_xlfn.XLOOKUP(B37,Weekly_Capacity!$B$2:$B$4,Weekly_Capacity!$E$2:$E$4)</f>
        <v>35</v>
      </c>
      <c r="G37">
        <f t="shared" si="1"/>
        <v>0</v>
      </c>
      <c r="H37">
        <f t="shared" si="2"/>
        <v>35</v>
      </c>
      <c r="I37">
        <f t="shared" si="3"/>
        <v>42000</v>
      </c>
      <c r="J37">
        <f t="shared" si="4"/>
        <v>0.46190476190476193</v>
      </c>
      <c r="K37">
        <f t="shared" si="5"/>
        <v>0</v>
      </c>
      <c r="L37" t="str">
        <f t="shared" si="6"/>
        <v>WITHIN CAPACITY</v>
      </c>
    </row>
    <row r="38" spans="1:12">
      <c r="A38" s="1" cm="1">
        <f t="array" ref="A38">INDEX(Calendar_Weeks!$A$2:$A$53,INT((ROW()-2)/3)+1)</f>
        <v>46111</v>
      </c>
      <c r="B38" t="str" cm="1">
        <f t="array" ref="B38">INDEX(Production_Line_Master!$A$2:$A$4,MOD(ROW()-2,3)+1)</f>
        <v>L01</v>
      </c>
      <c r="C38">
        <f>SUMIFS(Weekly_Inventory_Flow!$I:$I,Weekly_Inventory_Flow!$A:$A,A38,Weekly_Inventory_Flow!$R:$R,B38)</f>
        <v>15200</v>
      </c>
      <c r="D38">
        <f>_xlfn.XLOOKUP(B38,Production_Line_Master!$A$2:$A$4,Production_Line_Master!$C$2:$C$4)</f>
        <v>1800</v>
      </c>
      <c r="E38">
        <f t="shared" si="0"/>
        <v>8.4444444444444446</v>
      </c>
      <c r="F38">
        <f>_xlfn.XLOOKUP(B38,Weekly_Capacity!$B$2:$B$4,Weekly_Capacity!$E$2:$E$4)</f>
        <v>38</v>
      </c>
      <c r="G38">
        <f t="shared" si="1"/>
        <v>0</v>
      </c>
      <c r="H38">
        <f t="shared" si="2"/>
        <v>38</v>
      </c>
      <c r="I38">
        <f t="shared" si="3"/>
        <v>68400</v>
      </c>
      <c r="J38">
        <f t="shared" si="4"/>
        <v>0.22222222222222224</v>
      </c>
      <c r="K38">
        <f t="shared" si="5"/>
        <v>0</v>
      </c>
      <c r="L38" t="str">
        <f t="shared" si="6"/>
        <v>WITHIN CAPACITY</v>
      </c>
    </row>
    <row r="39" spans="1:12">
      <c r="A39" s="1" cm="1">
        <f t="array" ref="A39">INDEX(Calendar_Weeks!$A$2:$A$53,INT((ROW()-2)/3)+1)</f>
        <v>46111</v>
      </c>
      <c r="B39" t="str" cm="1">
        <f t="array" ref="B39">INDEX(Production_Line_Master!$A$2:$A$4,MOD(ROW()-2,3)+1)</f>
        <v>L02</v>
      </c>
      <c r="C39">
        <f>SUMIFS(Weekly_Inventory_Flow!$I:$I,Weekly_Inventory_Flow!$A:$A,A39,Weekly_Inventory_Flow!$R:$R,B39)</f>
        <v>24800</v>
      </c>
      <c r="D39">
        <f>_xlfn.XLOOKUP(B39,Production_Line_Master!$A$2:$A$4,Production_Line_Master!$C$2:$C$4)</f>
        <v>1500</v>
      </c>
      <c r="E39">
        <f t="shared" si="0"/>
        <v>16.533333333333335</v>
      </c>
      <c r="F39">
        <f>_xlfn.XLOOKUP(B39,Weekly_Capacity!$B$2:$B$4,Weekly_Capacity!$E$2:$E$4)</f>
        <v>35</v>
      </c>
      <c r="G39">
        <f t="shared" si="1"/>
        <v>0</v>
      </c>
      <c r="H39">
        <f t="shared" si="2"/>
        <v>35</v>
      </c>
      <c r="I39">
        <f t="shared" si="3"/>
        <v>52500</v>
      </c>
      <c r="J39">
        <f t="shared" si="4"/>
        <v>0.4723809523809524</v>
      </c>
      <c r="K39">
        <f t="shared" si="5"/>
        <v>0</v>
      </c>
      <c r="L39" t="str">
        <f t="shared" si="6"/>
        <v>WITHIN CAPACITY</v>
      </c>
    </row>
    <row r="40" spans="1:12">
      <c r="A40" s="1" cm="1">
        <f t="array" ref="A40">INDEX(Calendar_Weeks!$A$2:$A$53,INT((ROW()-2)/3)+1)</f>
        <v>46111</v>
      </c>
      <c r="B40" t="str" cm="1">
        <f t="array" ref="B40">INDEX(Production_Line_Master!$A$2:$A$4,MOD(ROW()-2,3)+1)</f>
        <v>L03</v>
      </c>
      <c r="C40">
        <f>SUMIFS(Weekly_Inventory_Flow!$I:$I,Weekly_Inventory_Flow!$A:$A,A40,Weekly_Inventory_Flow!$R:$R,B40)</f>
        <v>19000</v>
      </c>
      <c r="D40">
        <f>_xlfn.XLOOKUP(B40,Production_Line_Master!$A$2:$A$4,Production_Line_Master!$C$2:$C$4)</f>
        <v>1200</v>
      </c>
      <c r="E40">
        <f t="shared" si="0"/>
        <v>15.833333333333334</v>
      </c>
      <c r="F40">
        <f>_xlfn.XLOOKUP(B40,Weekly_Capacity!$B$2:$B$4,Weekly_Capacity!$E$2:$E$4)</f>
        <v>35</v>
      </c>
      <c r="G40">
        <f t="shared" si="1"/>
        <v>0</v>
      </c>
      <c r="H40">
        <f t="shared" si="2"/>
        <v>35</v>
      </c>
      <c r="I40">
        <f t="shared" si="3"/>
        <v>42000</v>
      </c>
      <c r="J40">
        <f t="shared" si="4"/>
        <v>0.45238095238095238</v>
      </c>
      <c r="K40">
        <f t="shared" si="5"/>
        <v>0</v>
      </c>
      <c r="L40" t="str">
        <f t="shared" si="6"/>
        <v>WITHIN CAPACITY</v>
      </c>
    </row>
    <row r="41" spans="1:12">
      <c r="A41" s="1" cm="1">
        <f t="array" ref="A41">INDEX(Calendar_Weeks!$A$2:$A$53,INT((ROW()-2)/3)+1)</f>
        <v>46118</v>
      </c>
      <c r="B41" t="str" cm="1">
        <f t="array" ref="B41">INDEX(Production_Line_Master!$A$2:$A$4,MOD(ROW()-2,3)+1)</f>
        <v>L01</v>
      </c>
      <c r="C41">
        <f>SUMIFS(Weekly_Inventory_Flow!$I:$I,Weekly_Inventory_Flow!$A:$A,A41,Weekly_Inventory_Flow!$R:$R,B41)</f>
        <v>13700</v>
      </c>
      <c r="D41">
        <f>_xlfn.XLOOKUP(B41,Production_Line_Master!$A$2:$A$4,Production_Line_Master!$C$2:$C$4)</f>
        <v>1800</v>
      </c>
      <c r="E41">
        <f t="shared" si="0"/>
        <v>7.6111111111111107</v>
      </c>
      <c r="F41">
        <f>_xlfn.XLOOKUP(B41,Weekly_Capacity!$B$2:$B$4,Weekly_Capacity!$E$2:$E$4)</f>
        <v>38</v>
      </c>
      <c r="G41">
        <f t="shared" si="1"/>
        <v>0</v>
      </c>
      <c r="H41">
        <f t="shared" si="2"/>
        <v>38</v>
      </c>
      <c r="I41">
        <f t="shared" si="3"/>
        <v>68400</v>
      </c>
      <c r="J41">
        <f t="shared" si="4"/>
        <v>0.20029239766081872</v>
      </c>
      <c r="K41">
        <f t="shared" si="5"/>
        <v>0</v>
      </c>
      <c r="L41" t="str">
        <f t="shared" si="6"/>
        <v>WITHIN CAPACITY</v>
      </c>
    </row>
    <row r="42" spans="1:12">
      <c r="A42" s="1" cm="1">
        <f t="array" ref="A42">INDEX(Calendar_Weeks!$A$2:$A$53,INT((ROW()-2)/3)+1)</f>
        <v>46118</v>
      </c>
      <c r="B42" t="str" cm="1">
        <f t="array" ref="B42">INDEX(Production_Line_Master!$A$2:$A$4,MOD(ROW()-2,3)+1)</f>
        <v>L02</v>
      </c>
      <c r="C42">
        <f>SUMIFS(Weekly_Inventory_Flow!$I:$I,Weekly_Inventory_Flow!$A:$A,A42,Weekly_Inventory_Flow!$R:$R,B42)</f>
        <v>24200</v>
      </c>
      <c r="D42">
        <f>_xlfn.XLOOKUP(B42,Production_Line_Master!$A$2:$A$4,Production_Line_Master!$C$2:$C$4)</f>
        <v>1500</v>
      </c>
      <c r="E42">
        <f t="shared" si="0"/>
        <v>16.133333333333333</v>
      </c>
      <c r="F42">
        <f>_xlfn.XLOOKUP(B42,Weekly_Capacity!$B$2:$B$4,Weekly_Capacity!$E$2:$E$4)</f>
        <v>35</v>
      </c>
      <c r="G42">
        <f t="shared" si="1"/>
        <v>0</v>
      </c>
      <c r="H42">
        <f t="shared" si="2"/>
        <v>35</v>
      </c>
      <c r="I42">
        <f t="shared" si="3"/>
        <v>52500</v>
      </c>
      <c r="J42">
        <f t="shared" si="4"/>
        <v>0.46095238095238095</v>
      </c>
      <c r="K42">
        <f t="shared" si="5"/>
        <v>0</v>
      </c>
      <c r="L42" t="str">
        <f t="shared" si="6"/>
        <v>WITHIN CAPACITY</v>
      </c>
    </row>
    <row r="43" spans="1:12">
      <c r="A43" s="1" cm="1">
        <f t="array" ref="A43">INDEX(Calendar_Weeks!$A$2:$A$53,INT((ROW()-2)/3)+1)</f>
        <v>46118</v>
      </c>
      <c r="B43" t="str" cm="1">
        <f t="array" ref="B43">INDEX(Production_Line_Master!$A$2:$A$4,MOD(ROW()-2,3)+1)</f>
        <v>L03</v>
      </c>
      <c r="C43">
        <f>SUMIFS(Weekly_Inventory_Flow!$I:$I,Weekly_Inventory_Flow!$A:$A,A43,Weekly_Inventory_Flow!$R:$R,B43)</f>
        <v>19200</v>
      </c>
      <c r="D43">
        <f>_xlfn.XLOOKUP(B43,Production_Line_Master!$A$2:$A$4,Production_Line_Master!$C$2:$C$4)</f>
        <v>1200</v>
      </c>
      <c r="E43">
        <f t="shared" si="0"/>
        <v>16</v>
      </c>
      <c r="F43">
        <f>_xlfn.XLOOKUP(B43,Weekly_Capacity!$B$2:$B$4,Weekly_Capacity!$E$2:$E$4)</f>
        <v>35</v>
      </c>
      <c r="G43">
        <f t="shared" si="1"/>
        <v>0</v>
      </c>
      <c r="H43">
        <f t="shared" si="2"/>
        <v>35</v>
      </c>
      <c r="I43">
        <f t="shared" si="3"/>
        <v>42000</v>
      </c>
      <c r="J43">
        <f t="shared" si="4"/>
        <v>0.45714285714285713</v>
      </c>
      <c r="K43">
        <f t="shared" si="5"/>
        <v>0</v>
      </c>
      <c r="L43" t="str">
        <f t="shared" si="6"/>
        <v>WITHIN CAPACITY</v>
      </c>
    </row>
    <row r="44" spans="1:12">
      <c r="A44" s="1" cm="1">
        <f t="array" ref="A44">INDEX(Calendar_Weeks!$A$2:$A$53,INT((ROW()-2)/3)+1)</f>
        <v>46125</v>
      </c>
      <c r="B44" t="str" cm="1">
        <f t="array" ref="B44">INDEX(Production_Line_Master!$A$2:$A$4,MOD(ROW()-2,3)+1)</f>
        <v>L01</v>
      </c>
      <c r="C44">
        <f>SUMIFS(Weekly_Inventory_Flow!$I:$I,Weekly_Inventory_Flow!$A:$A,A44,Weekly_Inventory_Flow!$R:$R,B44)</f>
        <v>14800</v>
      </c>
      <c r="D44">
        <f>_xlfn.XLOOKUP(B44,Production_Line_Master!$A$2:$A$4,Production_Line_Master!$C$2:$C$4)</f>
        <v>1800</v>
      </c>
      <c r="E44">
        <f t="shared" si="0"/>
        <v>8.2222222222222214</v>
      </c>
      <c r="F44">
        <f>_xlfn.XLOOKUP(B44,Weekly_Capacity!$B$2:$B$4,Weekly_Capacity!$E$2:$E$4)</f>
        <v>38</v>
      </c>
      <c r="G44">
        <f t="shared" si="1"/>
        <v>0</v>
      </c>
      <c r="H44">
        <f t="shared" si="2"/>
        <v>38</v>
      </c>
      <c r="I44">
        <f t="shared" si="3"/>
        <v>68400</v>
      </c>
      <c r="J44">
        <f t="shared" si="4"/>
        <v>0.21637426900584794</v>
      </c>
      <c r="K44">
        <f t="shared" si="5"/>
        <v>0</v>
      </c>
      <c r="L44" t="str">
        <f t="shared" si="6"/>
        <v>WITHIN CAPACITY</v>
      </c>
    </row>
    <row r="45" spans="1:12">
      <c r="A45" s="1" cm="1">
        <f t="array" ref="A45">INDEX(Calendar_Weeks!$A$2:$A$53,INT((ROW()-2)/3)+1)</f>
        <v>46125</v>
      </c>
      <c r="B45" t="str" cm="1">
        <f t="array" ref="B45">INDEX(Production_Line_Master!$A$2:$A$4,MOD(ROW()-2,3)+1)</f>
        <v>L02</v>
      </c>
      <c r="C45">
        <f>SUMIFS(Weekly_Inventory_Flow!$I:$I,Weekly_Inventory_Flow!$A:$A,A45,Weekly_Inventory_Flow!$R:$R,B45)</f>
        <v>24300</v>
      </c>
      <c r="D45">
        <f>_xlfn.XLOOKUP(B45,Production_Line_Master!$A$2:$A$4,Production_Line_Master!$C$2:$C$4)</f>
        <v>1500</v>
      </c>
      <c r="E45">
        <f t="shared" si="0"/>
        <v>16.2</v>
      </c>
      <c r="F45">
        <f>_xlfn.XLOOKUP(B45,Weekly_Capacity!$B$2:$B$4,Weekly_Capacity!$E$2:$E$4)</f>
        <v>35</v>
      </c>
      <c r="G45">
        <f t="shared" si="1"/>
        <v>0</v>
      </c>
      <c r="H45">
        <f t="shared" si="2"/>
        <v>35</v>
      </c>
      <c r="I45">
        <f t="shared" si="3"/>
        <v>52500</v>
      </c>
      <c r="J45">
        <f t="shared" si="4"/>
        <v>0.46285714285714286</v>
      </c>
      <c r="K45">
        <f t="shared" si="5"/>
        <v>0</v>
      </c>
      <c r="L45" t="str">
        <f t="shared" si="6"/>
        <v>WITHIN CAPACITY</v>
      </c>
    </row>
    <row r="46" spans="1:12">
      <c r="A46" s="1" cm="1">
        <f t="array" ref="A46">INDEX(Calendar_Weeks!$A$2:$A$53,INT((ROW()-2)/3)+1)</f>
        <v>46125</v>
      </c>
      <c r="B46" t="str" cm="1">
        <f t="array" ref="B46">INDEX(Production_Line_Master!$A$2:$A$4,MOD(ROW()-2,3)+1)</f>
        <v>L03</v>
      </c>
      <c r="C46">
        <f>SUMIFS(Weekly_Inventory_Flow!$I:$I,Weekly_Inventory_Flow!$A:$A,A46,Weekly_Inventory_Flow!$R:$R,B46)</f>
        <v>19100</v>
      </c>
      <c r="D46">
        <f>_xlfn.XLOOKUP(B46,Production_Line_Master!$A$2:$A$4,Production_Line_Master!$C$2:$C$4)</f>
        <v>1200</v>
      </c>
      <c r="E46">
        <f t="shared" si="0"/>
        <v>15.916666666666666</v>
      </c>
      <c r="F46">
        <f>_xlfn.XLOOKUP(B46,Weekly_Capacity!$B$2:$B$4,Weekly_Capacity!$E$2:$E$4)</f>
        <v>35</v>
      </c>
      <c r="G46">
        <f t="shared" si="1"/>
        <v>0</v>
      </c>
      <c r="H46">
        <f t="shared" si="2"/>
        <v>35</v>
      </c>
      <c r="I46">
        <f t="shared" si="3"/>
        <v>42000</v>
      </c>
      <c r="J46">
        <f t="shared" si="4"/>
        <v>0.45476190476190476</v>
      </c>
      <c r="K46">
        <f t="shared" si="5"/>
        <v>0</v>
      </c>
      <c r="L46" t="str">
        <f t="shared" si="6"/>
        <v>WITHIN CAPACITY</v>
      </c>
    </row>
    <row r="47" spans="1:12">
      <c r="A47" s="1" cm="1">
        <f t="array" ref="A47">INDEX(Calendar_Weeks!$A$2:$A$53,INT((ROW()-2)/3)+1)</f>
        <v>46132</v>
      </c>
      <c r="B47" t="str" cm="1">
        <f t="array" ref="B47">INDEX(Production_Line_Master!$A$2:$A$4,MOD(ROW()-2,3)+1)</f>
        <v>L01</v>
      </c>
      <c r="C47">
        <f>SUMIFS(Weekly_Inventory_Flow!$I:$I,Weekly_Inventory_Flow!$A:$A,A47,Weekly_Inventory_Flow!$R:$R,B47)</f>
        <v>14100</v>
      </c>
      <c r="D47">
        <f>_xlfn.XLOOKUP(B47,Production_Line_Master!$A$2:$A$4,Production_Line_Master!$C$2:$C$4)</f>
        <v>1800</v>
      </c>
      <c r="E47">
        <f t="shared" si="0"/>
        <v>7.833333333333333</v>
      </c>
      <c r="F47">
        <f>_xlfn.XLOOKUP(B47,Weekly_Capacity!$B$2:$B$4,Weekly_Capacity!$E$2:$E$4)</f>
        <v>38</v>
      </c>
      <c r="G47">
        <f t="shared" si="1"/>
        <v>0</v>
      </c>
      <c r="H47">
        <f t="shared" si="2"/>
        <v>38</v>
      </c>
      <c r="I47">
        <f t="shared" si="3"/>
        <v>68400</v>
      </c>
      <c r="J47">
        <f t="shared" si="4"/>
        <v>0.20614035087719298</v>
      </c>
      <c r="K47">
        <f t="shared" si="5"/>
        <v>0</v>
      </c>
      <c r="L47" t="str">
        <f t="shared" si="6"/>
        <v>WITHIN CAPACITY</v>
      </c>
    </row>
    <row r="48" spans="1:12">
      <c r="A48" s="1" cm="1">
        <f t="array" ref="A48">INDEX(Calendar_Weeks!$A$2:$A$53,INT((ROW()-2)/3)+1)</f>
        <v>46132</v>
      </c>
      <c r="B48" t="str" cm="1">
        <f t="array" ref="B48">INDEX(Production_Line_Master!$A$2:$A$4,MOD(ROW()-2,3)+1)</f>
        <v>L02</v>
      </c>
      <c r="C48">
        <f>SUMIFS(Weekly_Inventory_Flow!$I:$I,Weekly_Inventory_Flow!$A:$A,A48,Weekly_Inventory_Flow!$R:$R,B48)</f>
        <v>24600</v>
      </c>
      <c r="D48">
        <f>_xlfn.XLOOKUP(B48,Production_Line_Master!$A$2:$A$4,Production_Line_Master!$C$2:$C$4)</f>
        <v>1500</v>
      </c>
      <c r="E48">
        <f t="shared" si="0"/>
        <v>16.399999999999999</v>
      </c>
      <c r="F48">
        <f>_xlfn.XLOOKUP(B48,Weekly_Capacity!$B$2:$B$4,Weekly_Capacity!$E$2:$E$4)</f>
        <v>35</v>
      </c>
      <c r="G48">
        <f t="shared" si="1"/>
        <v>0</v>
      </c>
      <c r="H48">
        <f t="shared" si="2"/>
        <v>35</v>
      </c>
      <c r="I48">
        <f t="shared" si="3"/>
        <v>52500</v>
      </c>
      <c r="J48">
        <f t="shared" si="4"/>
        <v>0.46857142857142853</v>
      </c>
      <c r="K48">
        <f t="shared" si="5"/>
        <v>0</v>
      </c>
      <c r="L48" t="str">
        <f t="shared" si="6"/>
        <v>WITHIN CAPACITY</v>
      </c>
    </row>
    <row r="49" spans="1:12">
      <c r="A49" s="1" cm="1">
        <f t="array" ref="A49">INDEX(Calendar_Weeks!$A$2:$A$53,INT((ROW()-2)/3)+1)</f>
        <v>46132</v>
      </c>
      <c r="B49" t="str" cm="1">
        <f t="array" ref="B49">INDEX(Production_Line_Master!$A$2:$A$4,MOD(ROW()-2,3)+1)</f>
        <v>L03</v>
      </c>
      <c r="C49">
        <f>SUMIFS(Weekly_Inventory_Flow!$I:$I,Weekly_Inventory_Flow!$A:$A,A49,Weekly_Inventory_Flow!$R:$R,B49)</f>
        <v>19800</v>
      </c>
      <c r="D49">
        <f>_xlfn.XLOOKUP(B49,Production_Line_Master!$A$2:$A$4,Production_Line_Master!$C$2:$C$4)</f>
        <v>1200</v>
      </c>
      <c r="E49">
        <f t="shared" si="0"/>
        <v>16.5</v>
      </c>
      <c r="F49">
        <f>_xlfn.XLOOKUP(B49,Weekly_Capacity!$B$2:$B$4,Weekly_Capacity!$E$2:$E$4)</f>
        <v>35</v>
      </c>
      <c r="G49">
        <f t="shared" si="1"/>
        <v>0</v>
      </c>
      <c r="H49">
        <f t="shared" si="2"/>
        <v>35</v>
      </c>
      <c r="I49">
        <f t="shared" si="3"/>
        <v>42000</v>
      </c>
      <c r="J49">
        <f t="shared" si="4"/>
        <v>0.47142857142857142</v>
      </c>
      <c r="K49">
        <f t="shared" si="5"/>
        <v>0</v>
      </c>
      <c r="L49" t="str">
        <f t="shared" si="6"/>
        <v>WITHIN CAPACITY</v>
      </c>
    </row>
    <row r="50" spans="1:12">
      <c r="A50" s="1" cm="1">
        <f t="array" ref="A50">INDEX(Calendar_Weeks!$A$2:$A$53,INT((ROW()-2)/3)+1)</f>
        <v>46139</v>
      </c>
      <c r="B50" t="str" cm="1">
        <f t="array" ref="B50">INDEX(Production_Line_Master!$A$2:$A$4,MOD(ROW()-2,3)+1)</f>
        <v>L01</v>
      </c>
      <c r="C50">
        <f>SUMIFS(Weekly_Inventory_Flow!$I:$I,Weekly_Inventory_Flow!$A:$A,A50,Weekly_Inventory_Flow!$R:$R,B50)</f>
        <v>14400</v>
      </c>
      <c r="D50">
        <f>_xlfn.XLOOKUP(B50,Production_Line_Master!$A$2:$A$4,Production_Line_Master!$C$2:$C$4)</f>
        <v>1800</v>
      </c>
      <c r="E50">
        <f t="shared" si="0"/>
        <v>8</v>
      </c>
      <c r="F50">
        <f>_xlfn.XLOOKUP(B50,Weekly_Capacity!$B$2:$B$4,Weekly_Capacity!$E$2:$E$4)</f>
        <v>38</v>
      </c>
      <c r="G50">
        <f t="shared" si="1"/>
        <v>0</v>
      </c>
      <c r="H50">
        <f t="shared" si="2"/>
        <v>38</v>
      </c>
      <c r="I50">
        <f t="shared" si="3"/>
        <v>68400</v>
      </c>
      <c r="J50">
        <f t="shared" si="4"/>
        <v>0.21052631578947367</v>
      </c>
      <c r="K50">
        <f t="shared" si="5"/>
        <v>0</v>
      </c>
      <c r="L50" t="str">
        <f t="shared" si="6"/>
        <v>WITHIN CAPACITY</v>
      </c>
    </row>
    <row r="51" spans="1:12">
      <c r="A51" s="1" cm="1">
        <f t="array" ref="A51">INDEX(Calendar_Weeks!$A$2:$A$53,INT((ROW()-2)/3)+1)</f>
        <v>46139</v>
      </c>
      <c r="B51" t="str" cm="1">
        <f t="array" ref="B51">INDEX(Production_Line_Master!$A$2:$A$4,MOD(ROW()-2,3)+1)</f>
        <v>L02</v>
      </c>
      <c r="C51">
        <f>SUMIFS(Weekly_Inventory_Flow!$I:$I,Weekly_Inventory_Flow!$A:$A,A51,Weekly_Inventory_Flow!$R:$R,B51)</f>
        <v>24800</v>
      </c>
      <c r="D51">
        <f>_xlfn.XLOOKUP(B51,Production_Line_Master!$A$2:$A$4,Production_Line_Master!$C$2:$C$4)</f>
        <v>1500</v>
      </c>
      <c r="E51">
        <f t="shared" si="0"/>
        <v>16.533333333333335</v>
      </c>
      <c r="F51">
        <f>_xlfn.XLOOKUP(B51,Weekly_Capacity!$B$2:$B$4,Weekly_Capacity!$E$2:$E$4)</f>
        <v>35</v>
      </c>
      <c r="G51">
        <f t="shared" si="1"/>
        <v>0</v>
      </c>
      <c r="H51">
        <f t="shared" si="2"/>
        <v>35</v>
      </c>
      <c r="I51">
        <f t="shared" si="3"/>
        <v>52500</v>
      </c>
      <c r="J51">
        <f t="shared" si="4"/>
        <v>0.4723809523809524</v>
      </c>
      <c r="K51">
        <f t="shared" si="5"/>
        <v>0</v>
      </c>
      <c r="L51" t="str">
        <f t="shared" si="6"/>
        <v>WITHIN CAPACITY</v>
      </c>
    </row>
    <row r="52" spans="1:12">
      <c r="A52" s="1" cm="1">
        <f t="array" ref="A52">INDEX(Calendar_Weeks!$A$2:$A$53,INT((ROW()-2)/3)+1)</f>
        <v>46139</v>
      </c>
      <c r="B52" t="str" cm="1">
        <f t="array" ref="B52">INDEX(Production_Line_Master!$A$2:$A$4,MOD(ROW()-2,3)+1)</f>
        <v>L03</v>
      </c>
      <c r="C52">
        <f>SUMIFS(Weekly_Inventory_Flow!$I:$I,Weekly_Inventory_Flow!$A:$A,A52,Weekly_Inventory_Flow!$R:$R,B52)</f>
        <v>19700</v>
      </c>
      <c r="D52">
        <f>_xlfn.XLOOKUP(B52,Production_Line_Master!$A$2:$A$4,Production_Line_Master!$C$2:$C$4)</f>
        <v>1200</v>
      </c>
      <c r="E52">
        <f t="shared" si="0"/>
        <v>16.416666666666668</v>
      </c>
      <c r="F52">
        <f>_xlfn.XLOOKUP(B52,Weekly_Capacity!$B$2:$B$4,Weekly_Capacity!$E$2:$E$4)</f>
        <v>35</v>
      </c>
      <c r="G52">
        <f t="shared" si="1"/>
        <v>0</v>
      </c>
      <c r="H52">
        <f t="shared" si="2"/>
        <v>35</v>
      </c>
      <c r="I52">
        <f t="shared" si="3"/>
        <v>42000</v>
      </c>
      <c r="J52">
        <f t="shared" si="4"/>
        <v>0.4690476190476191</v>
      </c>
      <c r="K52">
        <f t="shared" si="5"/>
        <v>0</v>
      </c>
      <c r="L52" t="str">
        <f t="shared" si="6"/>
        <v>WITHIN CAPACITY</v>
      </c>
    </row>
    <row r="53" spans="1:12">
      <c r="A53" s="1" cm="1">
        <f t="array" ref="A53">INDEX(Calendar_Weeks!$A$2:$A$53,INT((ROW()-2)/3)+1)</f>
        <v>46146</v>
      </c>
      <c r="B53" t="str" cm="1">
        <f t="array" ref="B53">INDEX(Production_Line_Master!$A$2:$A$4,MOD(ROW()-2,3)+1)</f>
        <v>L01</v>
      </c>
      <c r="C53">
        <f>SUMIFS(Weekly_Inventory_Flow!$I:$I,Weekly_Inventory_Flow!$A:$A,A53,Weekly_Inventory_Flow!$R:$R,B53)</f>
        <v>15100</v>
      </c>
      <c r="D53">
        <f>_xlfn.XLOOKUP(B53,Production_Line_Master!$A$2:$A$4,Production_Line_Master!$C$2:$C$4)</f>
        <v>1800</v>
      </c>
      <c r="E53">
        <f t="shared" si="0"/>
        <v>8.3888888888888893</v>
      </c>
      <c r="F53">
        <f>_xlfn.XLOOKUP(B53,Weekly_Capacity!$B$2:$B$4,Weekly_Capacity!$E$2:$E$4)</f>
        <v>38</v>
      </c>
      <c r="G53">
        <f t="shared" si="1"/>
        <v>0</v>
      </c>
      <c r="H53">
        <f t="shared" si="2"/>
        <v>38</v>
      </c>
      <c r="I53">
        <f t="shared" si="3"/>
        <v>68400</v>
      </c>
      <c r="J53">
        <f t="shared" si="4"/>
        <v>0.22076023391812866</v>
      </c>
      <c r="K53">
        <f t="shared" si="5"/>
        <v>0</v>
      </c>
      <c r="L53" t="str">
        <f t="shared" si="6"/>
        <v>WITHIN CAPACITY</v>
      </c>
    </row>
    <row r="54" spans="1:12">
      <c r="A54" s="1" cm="1">
        <f t="array" ref="A54">INDEX(Calendar_Weeks!$A$2:$A$53,INT((ROW()-2)/3)+1)</f>
        <v>46146</v>
      </c>
      <c r="B54" t="str" cm="1">
        <f t="array" ref="B54">INDEX(Production_Line_Master!$A$2:$A$4,MOD(ROW()-2,3)+1)</f>
        <v>L02</v>
      </c>
      <c r="C54">
        <f>SUMIFS(Weekly_Inventory_Flow!$I:$I,Weekly_Inventory_Flow!$A:$A,A54,Weekly_Inventory_Flow!$R:$R,B54)</f>
        <v>25900</v>
      </c>
      <c r="D54">
        <f>_xlfn.XLOOKUP(B54,Production_Line_Master!$A$2:$A$4,Production_Line_Master!$C$2:$C$4)</f>
        <v>1500</v>
      </c>
      <c r="E54">
        <f t="shared" si="0"/>
        <v>17.266666666666666</v>
      </c>
      <c r="F54">
        <f>_xlfn.XLOOKUP(B54,Weekly_Capacity!$B$2:$B$4,Weekly_Capacity!$E$2:$E$4)</f>
        <v>35</v>
      </c>
      <c r="G54">
        <f t="shared" si="1"/>
        <v>0</v>
      </c>
      <c r="H54">
        <f t="shared" si="2"/>
        <v>35</v>
      </c>
      <c r="I54">
        <f t="shared" si="3"/>
        <v>52500</v>
      </c>
      <c r="J54">
        <f t="shared" si="4"/>
        <v>0.49333333333333329</v>
      </c>
      <c r="K54">
        <f t="shared" si="5"/>
        <v>0</v>
      </c>
      <c r="L54" t="str">
        <f t="shared" si="6"/>
        <v>WITHIN CAPACITY</v>
      </c>
    </row>
    <row r="55" spans="1:12">
      <c r="A55" s="1" cm="1">
        <f t="array" ref="A55">INDEX(Calendar_Weeks!$A$2:$A$53,INT((ROW()-2)/3)+1)</f>
        <v>46146</v>
      </c>
      <c r="B55" t="str" cm="1">
        <f t="array" ref="B55">INDEX(Production_Line_Master!$A$2:$A$4,MOD(ROW()-2,3)+1)</f>
        <v>L03</v>
      </c>
      <c r="C55">
        <f>SUMIFS(Weekly_Inventory_Flow!$I:$I,Weekly_Inventory_Flow!$A:$A,A55,Weekly_Inventory_Flow!$R:$R,B55)</f>
        <v>20600</v>
      </c>
      <c r="D55">
        <f>_xlfn.XLOOKUP(B55,Production_Line_Master!$A$2:$A$4,Production_Line_Master!$C$2:$C$4)</f>
        <v>1200</v>
      </c>
      <c r="E55">
        <f t="shared" si="0"/>
        <v>17.166666666666668</v>
      </c>
      <c r="F55">
        <f>_xlfn.XLOOKUP(B55,Weekly_Capacity!$B$2:$B$4,Weekly_Capacity!$E$2:$E$4)</f>
        <v>35</v>
      </c>
      <c r="G55">
        <f t="shared" si="1"/>
        <v>0</v>
      </c>
      <c r="H55">
        <f t="shared" si="2"/>
        <v>35</v>
      </c>
      <c r="I55">
        <f t="shared" si="3"/>
        <v>42000</v>
      </c>
      <c r="J55">
        <f t="shared" si="4"/>
        <v>0.49047619047619051</v>
      </c>
      <c r="K55">
        <f t="shared" si="5"/>
        <v>0</v>
      </c>
      <c r="L55" t="str">
        <f t="shared" si="6"/>
        <v>WITHIN CAPACITY</v>
      </c>
    </row>
    <row r="56" spans="1:12">
      <c r="A56" s="1" cm="1">
        <f t="array" ref="A56">INDEX(Calendar_Weeks!$A$2:$A$53,INT((ROW()-2)/3)+1)</f>
        <v>46153</v>
      </c>
      <c r="B56" t="str" cm="1">
        <f t="array" ref="B56">INDEX(Production_Line_Master!$A$2:$A$4,MOD(ROW()-2,3)+1)</f>
        <v>L01</v>
      </c>
      <c r="C56">
        <f>SUMIFS(Weekly_Inventory_Flow!$I:$I,Weekly_Inventory_Flow!$A:$A,A56,Weekly_Inventory_Flow!$R:$R,B56)</f>
        <v>15600</v>
      </c>
      <c r="D56">
        <f>_xlfn.XLOOKUP(B56,Production_Line_Master!$A$2:$A$4,Production_Line_Master!$C$2:$C$4)</f>
        <v>1800</v>
      </c>
      <c r="E56">
        <f t="shared" si="0"/>
        <v>8.6666666666666661</v>
      </c>
      <c r="F56">
        <f>_xlfn.XLOOKUP(B56,Weekly_Capacity!$B$2:$B$4,Weekly_Capacity!$E$2:$E$4)</f>
        <v>38</v>
      </c>
      <c r="G56">
        <f t="shared" si="1"/>
        <v>0</v>
      </c>
      <c r="H56">
        <f t="shared" si="2"/>
        <v>38</v>
      </c>
      <c r="I56">
        <f t="shared" si="3"/>
        <v>68400</v>
      </c>
      <c r="J56">
        <f t="shared" si="4"/>
        <v>0.22807017543859648</v>
      </c>
      <c r="K56">
        <f t="shared" si="5"/>
        <v>0</v>
      </c>
      <c r="L56" t="str">
        <f t="shared" si="6"/>
        <v>WITHIN CAPACITY</v>
      </c>
    </row>
    <row r="57" spans="1:12">
      <c r="A57" s="1" cm="1">
        <f t="array" ref="A57">INDEX(Calendar_Weeks!$A$2:$A$53,INT((ROW()-2)/3)+1)</f>
        <v>46153</v>
      </c>
      <c r="B57" t="str" cm="1">
        <f t="array" ref="B57">INDEX(Production_Line_Master!$A$2:$A$4,MOD(ROW()-2,3)+1)</f>
        <v>L02</v>
      </c>
      <c r="C57">
        <f>SUMIFS(Weekly_Inventory_Flow!$I:$I,Weekly_Inventory_Flow!$A:$A,A57,Weekly_Inventory_Flow!$R:$R,B57)</f>
        <v>24000</v>
      </c>
      <c r="D57">
        <f>_xlfn.XLOOKUP(B57,Production_Line_Master!$A$2:$A$4,Production_Line_Master!$C$2:$C$4)</f>
        <v>1500</v>
      </c>
      <c r="E57">
        <f t="shared" si="0"/>
        <v>16</v>
      </c>
      <c r="F57">
        <f>_xlfn.XLOOKUP(B57,Weekly_Capacity!$B$2:$B$4,Weekly_Capacity!$E$2:$E$4)</f>
        <v>35</v>
      </c>
      <c r="G57">
        <f t="shared" si="1"/>
        <v>0</v>
      </c>
      <c r="H57">
        <f t="shared" si="2"/>
        <v>35</v>
      </c>
      <c r="I57">
        <f t="shared" si="3"/>
        <v>52500</v>
      </c>
      <c r="J57">
        <f t="shared" si="4"/>
        <v>0.45714285714285713</v>
      </c>
      <c r="K57">
        <f t="shared" si="5"/>
        <v>0</v>
      </c>
      <c r="L57" t="str">
        <f t="shared" si="6"/>
        <v>WITHIN CAPACITY</v>
      </c>
    </row>
    <row r="58" spans="1:12">
      <c r="A58" s="1" cm="1">
        <f t="array" ref="A58">INDEX(Calendar_Weeks!$A$2:$A$53,INT((ROW()-2)/3)+1)</f>
        <v>46153</v>
      </c>
      <c r="B58" t="str" cm="1">
        <f t="array" ref="B58">INDEX(Production_Line_Master!$A$2:$A$4,MOD(ROW()-2,3)+1)</f>
        <v>L03</v>
      </c>
      <c r="C58">
        <f>SUMIFS(Weekly_Inventory_Flow!$I:$I,Weekly_Inventory_Flow!$A:$A,A58,Weekly_Inventory_Flow!$R:$R,B58)</f>
        <v>20900</v>
      </c>
      <c r="D58">
        <f>_xlfn.XLOOKUP(B58,Production_Line_Master!$A$2:$A$4,Production_Line_Master!$C$2:$C$4)</f>
        <v>1200</v>
      </c>
      <c r="E58">
        <f t="shared" si="0"/>
        <v>17.416666666666668</v>
      </c>
      <c r="F58">
        <f>_xlfn.XLOOKUP(B58,Weekly_Capacity!$B$2:$B$4,Weekly_Capacity!$E$2:$E$4)</f>
        <v>35</v>
      </c>
      <c r="G58">
        <f t="shared" si="1"/>
        <v>0</v>
      </c>
      <c r="H58">
        <f t="shared" si="2"/>
        <v>35</v>
      </c>
      <c r="I58">
        <f t="shared" si="3"/>
        <v>42000</v>
      </c>
      <c r="J58">
        <f t="shared" si="4"/>
        <v>0.49761904761904763</v>
      </c>
      <c r="K58">
        <f t="shared" si="5"/>
        <v>0</v>
      </c>
      <c r="L58" t="str">
        <f t="shared" si="6"/>
        <v>WITHIN CAPACITY</v>
      </c>
    </row>
    <row r="59" spans="1:12">
      <c r="A59" s="1" cm="1">
        <f t="array" ref="A59">INDEX(Calendar_Weeks!$A$2:$A$53,INT((ROW()-2)/3)+1)</f>
        <v>46160</v>
      </c>
      <c r="B59" t="str" cm="1">
        <f t="array" ref="B59">INDEX(Production_Line_Master!$A$2:$A$4,MOD(ROW()-2,3)+1)</f>
        <v>L01</v>
      </c>
      <c r="C59">
        <f>SUMIFS(Weekly_Inventory_Flow!$I:$I,Weekly_Inventory_Flow!$A:$A,A59,Weekly_Inventory_Flow!$R:$R,B59)</f>
        <v>14600</v>
      </c>
      <c r="D59">
        <f>_xlfn.XLOOKUP(B59,Production_Line_Master!$A$2:$A$4,Production_Line_Master!$C$2:$C$4)</f>
        <v>1800</v>
      </c>
      <c r="E59">
        <f t="shared" si="0"/>
        <v>8.1111111111111107</v>
      </c>
      <c r="F59">
        <f>_xlfn.XLOOKUP(B59,Weekly_Capacity!$B$2:$B$4,Weekly_Capacity!$E$2:$E$4)</f>
        <v>38</v>
      </c>
      <c r="G59">
        <f t="shared" si="1"/>
        <v>0</v>
      </c>
      <c r="H59">
        <f t="shared" si="2"/>
        <v>38</v>
      </c>
      <c r="I59">
        <f t="shared" si="3"/>
        <v>68400</v>
      </c>
      <c r="J59">
        <f t="shared" si="4"/>
        <v>0.21345029239766081</v>
      </c>
      <c r="K59">
        <f t="shared" si="5"/>
        <v>0</v>
      </c>
      <c r="L59" t="str">
        <f t="shared" si="6"/>
        <v>WITHIN CAPACITY</v>
      </c>
    </row>
    <row r="60" spans="1:12">
      <c r="A60" s="1" cm="1">
        <f t="array" ref="A60">INDEX(Calendar_Weeks!$A$2:$A$53,INT((ROW()-2)/3)+1)</f>
        <v>46160</v>
      </c>
      <c r="B60" t="str" cm="1">
        <f t="array" ref="B60">INDEX(Production_Line_Master!$A$2:$A$4,MOD(ROW()-2,3)+1)</f>
        <v>L02</v>
      </c>
      <c r="C60">
        <f>SUMIFS(Weekly_Inventory_Flow!$I:$I,Weekly_Inventory_Flow!$A:$A,A60,Weekly_Inventory_Flow!$R:$R,B60)</f>
        <v>25500</v>
      </c>
      <c r="D60">
        <f>_xlfn.XLOOKUP(B60,Production_Line_Master!$A$2:$A$4,Production_Line_Master!$C$2:$C$4)</f>
        <v>1500</v>
      </c>
      <c r="E60">
        <f t="shared" si="0"/>
        <v>17</v>
      </c>
      <c r="F60">
        <f>_xlfn.XLOOKUP(B60,Weekly_Capacity!$B$2:$B$4,Weekly_Capacity!$E$2:$E$4)</f>
        <v>35</v>
      </c>
      <c r="G60">
        <f t="shared" si="1"/>
        <v>0</v>
      </c>
      <c r="H60">
        <f t="shared" si="2"/>
        <v>35</v>
      </c>
      <c r="I60">
        <f t="shared" si="3"/>
        <v>52500</v>
      </c>
      <c r="J60">
        <f t="shared" si="4"/>
        <v>0.48571428571428571</v>
      </c>
      <c r="K60">
        <f t="shared" si="5"/>
        <v>0</v>
      </c>
      <c r="L60" t="str">
        <f t="shared" si="6"/>
        <v>WITHIN CAPACITY</v>
      </c>
    </row>
    <row r="61" spans="1:12">
      <c r="A61" s="1" cm="1">
        <f t="array" ref="A61">INDEX(Calendar_Weeks!$A$2:$A$53,INT((ROW()-2)/3)+1)</f>
        <v>46160</v>
      </c>
      <c r="B61" t="str" cm="1">
        <f t="array" ref="B61">INDEX(Production_Line_Master!$A$2:$A$4,MOD(ROW()-2,3)+1)</f>
        <v>L03</v>
      </c>
      <c r="C61">
        <f>SUMIFS(Weekly_Inventory_Flow!$I:$I,Weekly_Inventory_Flow!$A:$A,A61,Weekly_Inventory_Flow!$R:$R,B61)</f>
        <v>20700</v>
      </c>
      <c r="D61">
        <f>_xlfn.XLOOKUP(B61,Production_Line_Master!$A$2:$A$4,Production_Line_Master!$C$2:$C$4)</f>
        <v>1200</v>
      </c>
      <c r="E61">
        <f t="shared" si="0"/>
        <v>17.25</v>
      </c>
      <c r="F61">
        <f>_xlfn.XLOOKUP(B61,Weekly_Capacity!$B$2:$B$4,Weekly_Capacity!$E$2:$E$4)</f>
        <v>35</v>
      </c>
      <c r="G61">
        <f t="shared" si="1"/>
        <v>0</v>
      </c>
      <c r="H61">
        <f t="shared" si="2"/>
        <v>35</v>
      </c>
      <c r="I61">
        <f t="shared" si="3"/>
        <v>42000</v>
      </c>
      <c r="J61">
        <f t="shared" si="4"/>
        <v>0.49285714285714288</v>
      </c>
      <c r="K61">
        <f t="shared" si="5"/>
        <v>0</v>
      </c>
      <c r="L61" t="str">
        <f t="shared" si="6"/>
        <v>WITHIN CAPACITY</v>
      </c>
    </row>
    <row r="62" spans="1:12">
      <c r="A62" s="1" cm="1">
        <f t="array" ref="A62">INDEX(Calendar_Weeks!$A$2:$A$53,INT((ROW()-2)/3)+1)</f>
        <v>46167</v>
      </c>
      <c r="B62" t="str" cm="1">
        <f t="array" ref="B62">INDEX(Production_Line_Master!$A$2:$A$4,MOD(ROW()-2,3)+1)</f>
        <v>L01</v>
      </c>
      <c r="C62">
        <f>SUMIFS(Weekly_Inventory_Flow!$I:$I,Weekly_Inventory_Flow!$A:$A,A62,Weekly_Inventory_Flow!$R:$R,B62)</f>
        <v>15000</v>
      </c>
      <c r="D62">
        <f>_xlfn.XLOOKUP(B62,Production_Line_Master!$A$2:$A$4,Production_Line_Master!$C$2:$C$4)</f>
        <v>1800</v>
      </c>
      <c r="E62">
        <f t="shared" si="0"/>
        <v>8.3333333333333339</v>
      </c>
      <c r="F62">
        <f>_xlfn.XLOOKUP(B62,Weekly_Capacity!$B$2:$B$4,Weekly_Capacity!$E$2:$E$4)</f>
        <v>38</v>
      </c>
      <c r="G62">
        <f t="shared" si="1"/>
        <v>0</v>
      </c>
      <c r="H62">
        <f t="shared" si="2"/>
        <v>38</v>
      </c>
      <c r="I62">
        <f t="shared" si="3"/>
        <v>68400</v>
      </c>
      <c r="J62">
        <f t="shared" si="4"/>
        <v>0.2192982456140351</v>
      </c>
      <c r="K62">
        <f t="shared" si="5"/>
        <v>0</v>
      </c>
      <c r="L62" t="str">
        <f t="shared" si="6"/>
        <v>WITHIN CAPACITY</v>
      </c>
    </row>
    <row r="63" spans="1:12">
      <c r="A63" s="1" cm="1">
        <f t="array" ref="A63">INDEX(Calendar_Weeks!$A$2:$A$53,INT((ROW()-2)/3)+1)</f>
        <v>46167</v>
      </c>
      <c r="B63" t="str" cm="1">
        <f t="array" ref="B63">INDEX(Production_Line_Master!$A$2:$A$4,MOD(ROW()-2,3)+1)</f>
        <v>L02</v>
      </c>
      <c r="C63">
        <f>SUMIFS(Weekly_Inventory_Flow!$I:$I,Weekly_Inventory_Flow!$A:$A,A63,Weekly_Inventory_Flow!$R:$R,B63)</f>
        <v>25100</v>
      </c>
      <c r="D63">
        <f>_xlfn.XLOOKUP(B63,Production_Line_Master!$A$2:$A$4,Production_Line_Master!$C$2:$C$4)</f>
        <v>1500</v>
      </c>
      <c r="E63">
        <f t="shared" si="0"/>
        <v>16.733333333333334</v>
      </c>
      <c r="F63">
        <f>_xlfn.XLOOKUP(B63,Weekly_Capacity!$B$2:$B$4,Weekly_Capacity!$E$2:$E$4)</f>
        <v>35</v>
      </c>
      <c r="G63">
        <f t="shared" si="1"/>
        <v>0</v>
      </c>
      <c r="H63">
        <f t="shared" si="2"/>
        <v>35</v>
      </c>
      <c r="I63">
        <f t="shared" si="3"/>
        <v>52500</v>
      </c>
      <c r="J63">
        <f t="shared" si="4"/>
        <v>0.47809523809523813</v>
      </c>
      <c r="K63">
        <f t="shared" si="5"/>
        <v>0</v>
      </c>
      <c r="L63" t="str">
        <f t="shared" si="6"/>
        <v>WITHIN CAPACITY</v>
      </c>
    </row>
    <row r="64" spans="1:12">
      <c r="A64" s="1" cm="1">
        <f t="array" ref="A64">INDEX(Calendar_Weeks!$A$2:$A$53,INT((ROW()-2)/3)+1)</f>
        <v>46167</v>
      </c>
      <c r="B64" t="str" cm="1">
        <f t="array" ref="B64">INDEX(Production_Line_Master!$A$2:$A$4,MOD(ROW()-2,3)+1)</f>
        <v>L03</v>
      </c>
      <c r="C64">
        <f>SUMIFS(Weekly_Inventory_Flow!$I:$I,Weekly_Inventory_Flow!$A:$A,A64,Weekly_Inventory_Flow!$R:$R,B64)</f>
        <v>21000</v>
      </c>
      <c r="D64">
        <f>_xlfn.XLOOKUP(B64,Production_Line_Master!$A$2:$A$4,Production_Line_Master!$C$2:$C$4)</f>
        <v>1200</v>
      </c>
      <c r="E64">
        <f t="shared" si="0"/>
        <v>17.5</v>
      </c>
      <c r="F64">
        <f>_xlfn.XLOOKUP(B64,Weekly_Capacity!$B$2:$B$4,Weekly_Capacity!$E$2:$E$4)</f>
        <v>35</v>
      </c>
      <c r="G64">
        <f t="shared" si="1"/>
        <v>0</v>
      </c>
      <c r="H64">
        <f t="shared" si="2"/>
        <v>35</v>
      </c>
      <c r="I64">
        <f t="shared" si="3"/>
        <v>42000</v>
      </c>
      <c r="J64">
        <f t="shared" si="4"/>
        <v>0.5</v>
      </c>
      <c r="K64">
        <f t="shared" si="5"/>
        <v>0</v>
      </c>
      <c r="L64" t="str">
        <f t="shared" si="6"/>
        <v>WITHIN CAPACITY</v>
      </c>
    </row>
    <row r="65" spans="1:12">
      <c r="A65" s="1" cm="1">
        <f t="array" ref="A65">INDEX(Calendar_Weeks!$A$2:$A$53,INT((ROW()-2)/3)+1)</f>
        <v>46174</v>
      </c>
      <c r="B65" t="str" cm="1">
        <f t="array" ref="B65">INDEX(Production_Line_Master!$A$2:$A$4,MOD(ROW()-2,3)+1)</f>
        <v>L01</v>
      </c>
      <c r="C65">
        <f>SUMIFS(Weekly_Inventory_Flow!$I:$I,Weekly_Inventory_Flow!$A:$A,A65,Weekly_Inventory_Flow!$R:$R,B65)</f>
        <v>14600</v>
      </c>
      <c r="D65">
        <f>_xlfn.XLOOKUP(B65,Production_Line_Master!$A$2:$A$4,Production_Line_Master!$C$2:$C$4)</f>
        <v>1800</v>
      </c>
      <c r="E65">
        <f t="shared" si="0"/>
        <v>8.1111111111111107</v>
      </c>
      <c r="F65">
        <f>_xlfn.XLOOKUP(B65,Weekly_Capacity!$B$2:$B$4,Weekly_Capacity!$E$2:$E$4)</f>
        <v>38</v>
      </c>
      <c r="G65">
        <f t="shared" si="1"/>
        <v>0</v>
      </c>
      <c r="H65">
        <f t="shared" si="2"/>
        <v>38</v>
      </c>
      <c r="I65">
        <f t="shared" si="3"/>
        <v>68400</v>
      </c>
      <c r="J65">
        <f t="shared" si="4"/>
        <v>0.21345029239766081</v>
      </c>
      <c r="K65">
        <f t="shared" si="5"/>
        <v>0</v>
      </c>
      <c r="L65" t="str">
        <f t="shared" si="6"/>
        <v>WITHIN CAPACITY</v>
      </c>
    </row>
    <row r="66" spans="1:12">
      <c r="A66" s="1" cm="1">
        <f t="array" ref="A66">INDEX(Calendar_Weeks!$A$2:$A$53,INT((ROW()-2)/3)+1)</f>
        <v>46174</v>
      </c>
      <c r="B66" t="str" cm="1">
        <f t="array" ref="B66">INDEX(Production_Line_Master!$A$2:$A$4,MOD(ROW()-2,3)+1)</f>
        <v>L02</v>
      </c>
      <c r="C66">
        <f>SUMIFS(Weekly_Inventory_Flow!$I:$I,Weekly_Inventory_Flow!$A:$A,A66,Weekly_Inventory_Flow!$R:$R,B66)</f>
        <v>24400</v>
      </c>
      <c r="D66">
        <f>_xlfn.XLOOKUP(B66,Production_Line_Master!$A$2:$A$4,Production_Line_Master!$C$2:$C$4)</f>
        <v>1500</v>
      </c>
      <c r="E66">
        <f t="shared" si="0"/>
        <v>16.266666666666666</v>
      </c>
      <c r="F66">
        <f>_xlfn.XLOOKUP(B66,Weekly_Capacity!$B$2:$B$4,Weekly_Capacity!$E$2:$E$4)</f>
        <v>35</v>
      </c>
      <c r="G66">
        <f t="shared" si="1"/>
        <v>0</v>
      </c>
      <c r="H66">
        <f t="shared" si="2"/>
        <v>35</v>
      </c>
      <c r="I66">
        <f t="shared" si="3"/>
        <v>52500</v>
      </c>
      <c r="J66">
        <f t="shared" si="4"/>
        <v>0.46476190476190471</v>
      </c>
      <c r="K66">
        <f t="shared" si="5"/>
        <v>0</v>
      </c>
      <c r="L66" t="str">
        <f t="shared" si="6"/>
        <v>WITHIN CAPACITY</v>
      </c>
    </row>
    <row r="67" spans="1:12">
      <c r="A67" s="1" cm="1">
        <f t="array" ref="A67">INDEX(Calendar_Weeks!$A$2:$A$53,INT((ROW()-2)/3)+1)</f>
        <v>46174</v>
      </c>
      <c r="B67" t="str" cm="1">
        <f t="array" ref="B67">INDEX(Production_Line_Master!$A$2:$A$4,MOD(ROW()-2,3)+1)</f>
        <v>L03</v>
      </c>
      <c r="C67">
        <f>SUMIFS(Weekly_Inventory_Flow!$I:$I,Weekly_Inventory_Flow!$A:$A,A67,Weekly_Inventory_Flow!$R:$R,B67)</f>
        <v>19800</v>
      </c>
      <c r="D67">
        <f>_xlfn.XLOOKUP(B67,Production_Line_Master!$A$2:$A$4,Production_Line_Master!$C$2:$C$4)</f>
        <v>1200</v>
      </c>
      <c r="E67">
        <f t="shared" ref="E67:E130" si="7">C67/D67</f>
        <v>16.5</v>
      </c>
      <c r="F67">
        <f>_xlfn.XLOOKUP(B67,Weekly_Capacity!$B$2:$B$4,Weekly_Capacity!$E$2:$E$4)</f>
        <v>35</v>
      </c>
      <c r="G67">
        <f t="shared" ref="G67:G130" si="8">IF(AND(A67=DATE(2026,11,2),B67="L02"),0.7,0)</f>
        <v>0</v>
      </c>
      <c r="H67">
        <f t="shared" ref="H67:H130" si="9">F67*(1-G67)</f>
        <v>35</v>
      </c>
      <c r="I67">
        <f t="shared" ref="I67:I130" si="10">H67*D67</f>
        <v>42000</v>
      </c>
      <c r="J67">
        <f t="shared" ref="J67:J130" si="11">IF(H67=0,0,E67/H67)</f>
        <v>0.47142857142857142</v>
      </c>
      <c r="K67">
        <f t="shared" ref="K67:K130" si="12">MAX(0,C67-I67)</f>
        <v>0</v>
      </c>
      <c r="L67" t="str">
        <f t="shared" ref="L67:L130" si="13">IF(K67&gt;0,"OVER CAPACITY",IF(J67&gt;=0.85,"HIGH UTILISATION","WITHIN CAPACITY"))</f>
        <v>WITHIN CAPACITY</v>
      </c>
    </row>
    <row r="68" spans="1:12">
      <c r="A68" s="1" cm="1">
        <f t="array" ref="A68">INDEX(Calendar_Weeks!$A$2:$A$53,INT((ROW()-2)/3)+1)</f>
        <v>46181</v>
      </c>
      <c r="B68" t="str" cm="1">
        <f t="array" ref="B68">INDEX(Production_Line_Master!$A$2:$A$4,MOD(ROW()-2,3)+1)</f>
        <v>L01</v>
      </c>
      <c r="C68">
        <f>SUMIFS(Weekly_Inventory_Flow!$I:$I,Weekly_Inventory_Flow!$A:$A,A68,Weekly_Inventory_Flow!$R:$R,B68)</f>
        <v>15100</v>
      </c>
      <c r="D68">
        <f>_xlfn.XLOOKUP(B68,Production_Line_Master!$A$2:$A$4,Production_Line_Master!$C$2:$C$4)</f>
        <v>1800</v>
      </c>
      <c r="E68">
        <f t="shared" si="7"/>
        <v>8.3888888888888893</v>
      </c>
      <c r="F68">
        <f>_xlfn.XLOOKUP(B68,Weekly_Capacity!$B$2:$B$4,Weekly_Capacity!$E$2:$E$4)</f>
        <v>38</v>
      </c>
      <c r="G68">
        <f t="shared" si="8"/>
        <v>0</v>
      </c>
      <c r="H68">
        <f t="shared" si="9"/>
        <v>38</v>
      </c>
      <c r="I68">
        <f t="shared" si="10"/>
        <v>68400</v>
      </c>
      <c r="J68">
        <f t="shared" si="11"/>
        <v>0.22076023391812866</v>
      </c>
      <c r="K68">
        <f t="shared" si="12"/>
        <v>0</v>
      </c>
      <c r="L68" t="str">
        <f t="shared" si="13"/>
        <v>WITHIN CAPACITY</v>
      </c>
    </row>
    <row r="69" spans="1:12">
      <c r="A69" s="1" cm="1">
        <f t="array" ref="A69">INDEX(Calendar_Weeks!$A$2:$A$53,INT((ROW()-2)/3)+1)</f>
        <v>46181</v>
      </c>
      <c r="B69" t="str" cm="1">
        <f t="array" ref="B69">INDEX(Production_Line_Master!$A$2:$A$4,MOD(ROW()-2,3)+1)</f>
        <v>L02</v>
      </c>
      <c r="C69">
        <f>SUMIFS(Weekly_Inventory_Flow!$I:$I,Weekly_Inventory_Flow!$A:$A,A69,Weekly_Inventory_Flow!$R:$R,B69)</f>
        <v>26200</v>
      </c>
      <c r="D69">
        <f>_xlfn.XLOOKUP(B69,Production_Line_Master!$A$2:$A$4,Production_Line_Master!$C$2:$C$4)</f>
        <v>1500</v>
      </c>
      <c r="E69">
        <f t="shared" si="7"/>
        <v>17.466666666666665</v>
      </c>
      <c r="F69">
        <f>_xlfn.XLOOKUP(B69,Weekly_Capacity!$B$2:$B$4,Weekly_Capacity!$E$2:$E$4)</f>
        <v>35</v>
      </c>
      <c r="G69">
        <f t="shared" si="8"/>
        <v>0</v>
      </c>
      <c r="H69">
        <f t="shared" si="9"/>
        <v>35</v>
      </c>
      <c r="I69">
        <f t="shared" si="10"/>
        <v>52500</v>
      </c>
      <c r="J69">
        <f t="shared" si="11"/>
        <v>0.49904761904761902</v>
      </c>
      <c r="K69">
        <f t="shared" si="12"/>
        <v>0</v>
      </c>
      <c r="L69" t="str">
        <f t="shared" si="13"/>
        <v>WITHIN CAPACITY</v>
      </c>
    </row>
    <row r="70" spans="1:12">
      <c r="A70" s="1" cm="1">
        <f t="array" ref="A70">INDEX(Calendar_Weeks!$A$2:$A$53,INT((ROW()-2)/3)+1)</f>
        <v>46181</v>
      </c>
      <c r="B70" t="str" cm="1">
        <f t="array" ref="B70">INDEX(Production_Line_Master!$A$2:$A$4,MOD(ROW()-2,3)+1)</f>
        <v>L03</v>
      </c>
      <c r="C70">
        <f>SUMIFS(Weekly_Inventory_Flow!$I:$I,Weekly_Inventory_Flow!$A:$A,A70,Weekly_Inventory_Flow!$R:$R,B70)</f>
        <v>20100</v>
      </c>
      <c r="D70">
        <f>_xlfn.XLOOKUP(B70,Production_Line_Master!$A$2:$A$4,Production_Line_Master!$C$2:$C$4)</f>
        <v>1200</v>
      </c>
      <c r="E70">
        <f t="shared" si="7"/>
        <v>16.75</v>
      </c>
      <c r="F70">
        <f>_xlfn.XLOOKUP(B70,Weekly_Capacity!$B$2:$B$4,Weekly_Capacity!$E$2:$E$4)</f>
        <v>35</v>
      </c>
      <c r="G70">
        <f t="shared" si="8"/>
        <v>0</v>
      </c>
      <c r="H70">
        <f t="shared" si="9"/>
        <v>35</v>
      </c>
      <c r="I70">
        <f t="shared" si="10"/>
        <v>42000</v>
      </c>
      <c r="J70">
        <f t="shared" si="11"/>
        <v>0.47857142857142859</v>
      </c>
      <c r="K70">
        <f t="shared" si="12"/>
        <v>0</v>
      </c>
      <c r="L70" t="str">
        <f t="shared" si="13"/>
        <v>WITHIN CAPACITY</v>
      </c>
    </row>
    <row r="71" spans="1:12">
      <c r="A71" s="1" cm="1">
        <f t="array" ref="A71">INDEX(Calendar_Weeks!$A$2:$A$53,INT((ROW()-2)/3)+1)</f>
        <v>46188</v>
      </c>
      <c r="B71" t="str" cm="1">
        <f t="array" ref="B71">INDEX(Production_Line_Master!$A$2:$A$4,MOD(ROW()-2,3)+1)</f>
        <v>L01</v>
      </c>
      <c r="C71">
        <f>SUMIFS(Weekly_Inventory_Flow!$I:$I,Weekly_Inventory_Flow!$A:$A,A71,Weekly_Inventory_Flow!$R:$R,B71)</f>
        <v>15200</v>
      </c>
      <c r="D71">
        <f>_xlfn.XLOOKUP(B71,Production_Line_Master!$A$2:$A$4,Production_Line_Master!$C$2:$C$4)</f>
        <v>1800</v>
      </c>
      <c r="E71">
        <f t="shared" si="7"/>
        <v>8.4444444444444446</v>
      </c>
      <c r="F71">
        <f>_xlfn.XLOOKUP(B71,Weekly_Capacity!$B$2:$B$4,Weekly_Capacity!$E$2:$E$4)</f>
        <v>38</v>
      </c>
      <c r="G71">
        <f t="shared" si="8"/>
        <v>0</v>
      </c>
      <c r="H71">
        <f t="shared" si="9"/>
        <v>38</v>
      </c>
      <c r="I71">
        <f t="shared" si="10"/>
        <v>68400</v>
      </c>
      <c r="J71">
        <f t="shared" si="11"/>
        <v>0.22222222222222224</v>
      </c>
      <c r="K71">
        <f t="shared" si="12"/>
        <v>0</v>
      </c>
      <c r="L71" t="str">
        <f t="shared" si="13"/>
        <v>WITHIN CAPACITY</v>
      </c>
    </row>
    <row r="72" spans="1:12">
      <c r="A72" s="1" cm="1">
        <f t="array" ref="A72">INDEX(Calendar_Weeks!$A$2:$A$53,INT((ROW()-2)/3)+1)</f>
        <v>46188</v>
      </c>
      <c r="B72" t="str" cm="1">
        <f t="array" ref="B72">INDEX(Production_Line_Master!$A$2:$A$4,MOD(ROW()-2,3)+1)</f>
        <v>L02</v>
      </c>
      <c r="C72">
        <f>SUMIFS(Weekly_Inventory_Flow!$I:$I,Weekly_Inventory_Flow!$A:$A,A72,Weekly_Inventory_Flow!$R:$R,B72)</f>
        <v>25100</v>
      </c>
      <c r="D72">
        <f>_xlfn.XLOOKUP(B72,Production_Line_Master!$A$2:$A$4,Production_Line_Master!$C$2:$C$4)</f>
        <v>1500</v>
      </c>
      <c r="E72">
        <f t="shared" si="7"/>
        <v>16.733333333333334</v>
      </c>
      <c r="F72">
        <f>_xlfn.XLOOKUP(B72,Weekly_Capacity!$B$2:$B$4,Weekly_Capacity!$E$2:$E$4)</f>
        <v>35</v>
      </c>
      <c r="G72">
        <f t="shared" si="8"/>
        <v>0</v>
      </c>
      <c r="H72">
        <f t="shared" si="9"/>
        <v>35</v>
      </c>
      <c r="I72">
        <f t="shared" si="10"/>
        <v>52500</v>
      </c>
      <c r="J72">
        <f t="shared" si="11"/>
        <v>0.47809523809523813</v>
      </c>
      <c r="K72">
        <f t="shared" si="12"/>
        <v>0</v>
      </c>
      <c r="L72" t="str">
        <f t="shared" si="13"/>
        <v>WITHIN CAPACITY</v>
      </c>
    </row>
    <row r="73" spans="1:12">
      <c r="A73" s="1" cm="1">
        <f t="array" ref="A73">INDEX(Calendar_Weeks!$A$2:$A$53,INT((ROW()-2)/3)+1)</f>
        <v>46188</v>
      </c>
      <c r="B73" t="str" cm="1">
        <f t="array" ref="B73">INDEX(Production_Line_Master!$A$2:$A$4,MOD(ROW()-2,3)+1)</f>
        <v>L03</v>
      </c>
      <c r="C73">
        <f>SUMIFS(Weekly_Inventory_Flow!$I:$I,Weekly_Inventory_Flow!$A:$A,A73,Weekly_Inventory_Flow!$R:$R,B73)</f>
        <v>19700</v>
      </c>
      <c r="D73">
        <f>_xlfn.XLOOKUP(B73,Production_Line_Master!$A$2:$A$4,Production_Line_Master!$C$2:$C$4)</f>
        <v>1200</v>
      </c>
      <c r="E73">
        <f t="shared" si="7"/>
        <v>16.416666666666668</v>
      </c>
      <c r="F73">
        <f>_xlfn.XLOOKUP(B73,Weekly_Capacity!$B$2:$B$4,Weekly_Capacity!$E$2:$E$4)</f>
        <v>35</v>
      </c>
      <c r="G73">
        <f t="shared" si="8"/>
        <v>0</v>
      </c>
      <c r="H73">
        <f t="shared" si="9"/>
        <v>35</v>
      </c>
      <c r="I73">
        <f t="shared" si="10"/>
        <v>42000</v>
      </c>
      <c r="J73">
        <f t="shared" si="11"/>
        <v>0.4690476190476191</v>
      </c>
      <c r="K73">
        <f t="shared" si="12"/>
        <v>0</v>
      </c>
      <c r="L73" t="str">
        <f t="shared" si="13"/>
        <v>WITHIN CAPACITY</v>
      </c>
    </row>
    <row r="74" spans="1:12">
      <c r="A74" s="1" cm="1">
        <f t="array" ref="A74">INDEX(Calendar_Weeks!$A$2:$A$53,INT((ROW()-2)/3)+1)</f>
        <v>46195</v>
      </c>
      <c r="B74" t="str" cm="1">
        <f t="array" ref="B74">INDEX(Production_Line_Master!$A$2:$A$4,MOD(ROW()-2,3)+1)</f>
        <v>L01</v>
      </c>
      <c r="C74">
        <f>SUMIFS(Weekly_Inventory_Flow!$I:$I,Weekly_Inventory_Flow!$A:$A,A74,Weekly_Inventory_Flow!$R:$R,B74)</f>
        <v>15700</v>
      </c>
      <c r="D74">
        <f>_xlfn.XLOOKUP(B74,Production_Line_Master!$A$2:$A$4,Production_Line_Master!$C$2:$C$4)</f>
        <v>1800</v>
      </c>
      <c r="E74">
        <f t="shared" si="7"/>
        <v>8.7222222222222214</v>
      </c>
      <c r="F74">
        <f>_xlfn.XLOOKUP(B74,Weekly_Capacity!$B$2:$B$4,Weekly_Capacity!$E$2:$E$4)</f>
        <v>38</v>
      </c>
      <c r="G74">
        <f t="shared" si="8"/>
        <v>0</v>
      </c>
      <c r="H74">
        <f t="shared" si="9"/>
        <v>38</v>
      </c>
      <c r="I74">
        <f t="shared" si="10"/>
        <v>68400</v>
      </c>
      <c r="J74">
        <f t="shared" si="11"/>
        <v>0.22953216374269003</v>
      </c>
      <c r="K74">
        <f t="shared" si="12"/>
        <v>0</v>
      </c>
      <c r="L74" t="str">
        <f t="shared" si="13"/>
        <v>WITHIN CAPACITY</v>
      </c>
    </row>
    <row r="75" spans="1:12">
      <c r="A75" s="1" cm="1">
        <f t="array" ref="A75">INDEX(Calendar_Weeks!$A$2:$A$53,INT((ROW()-2)/3)+1)</f>
        <v>46195</v>
      </c>
      <c r="B75" t="str" cm="1">
        <f t="array" ref="B75">INDEX(Production_Line_Master!$A$2:$A$4,MOD(ROW()-2,3)+1)</f>
        <v>L02</v>
      </c>
      <c r="C75">
        <f>SUMIFS(Weekly_Inventory_Flow!$I:$I,Weekly_Inventory_Flow!$A:$A,A75,Weekly_Inventory_Flow!$R:$R,B75)</f>
        <v>26500</v>
      </c>
      <c r="D75">
        <f>_xlfn.XLOOKUP(B75,Production_Line_Master!$A$2:$A$4,Production_Line_Master!$C$2:$C$4)</f>
        <v>1500</v>
      </c>
      <c r="E75">
        <f t="shared" si="7"/>
        <v>17.666666666666668</v>
      </c>
      <c r="F75">
        <f>_xlfn.XLOOKUP(B75,Weekly_Capacity!$B$2:$B$4,Weekly_Capacity!$E$2:$E$4)</f>
        <v>35</v>
      </c>
      <c r="G75">
        <f t="shared" si="8"/>
        <v>0</v>
      </c>
      <c r="H75">
        <f t="shared" si="9"/>
        <v>35</v>
      </c>
      <c r="I75">
        <f t="shared" si="10"/>
        <v>52500</v>
      </c>
      <c r="J75">
        <f t="shared" si="11"/>
        <v>0.50476190476190474</v>
      </c>
      <c r="K75">
        <f t="shared" si="12"/>
        <v>0</v>
      </c>
      <c r="L75" t="str">
        <f t="shared" si="13"/>
        <v>WITHIN CAPACITY</v>
      </c>
    </row>
    <row r="76" spans="1:12">
      <c r="A76" s="1" cm="1">
        <f t="array" ref="A76">INDEX(Calendar_Weeks!$A$2:$A$53,INT((ROW()-2)/3)+1)</f>
        <v>46195</v>
      </c>
      <c r="B76" t="str" cm="1">
        <f t="array" ref="B76">INDEX(Production_Line_Master!$A$2:$A$4,MOD(ROW()-2,3)+1)</f>
        <v>L03</v>
      </c>
      <c r="C76">
        <f>SUMIFS(Weekly_Inventory_Flow!$I:$I,Weekly_Inventory_Flow!$A:$A,A76,Weekly_Inventory_Flow!$R:$R,B76)</f>
        <v>20600</v>
      </c>
      <c r="D76">
        <f>_xlfn.XLOOKUP(B76,Production_Line_Master!$A$2:$A$4,Production_Line_Master!$C$2:$C$4)</f>
        <v>1200</v>
      </c>
      <c r="E76">
        <f t="shared" si="7"/>
        <v>17.166666666666668</v>
      </c>
      <c r="F76">
        <f>_xlfn.XLOOKUP(B76,Weekly_Capacity!$B$2:$B$4,Weekly_Capacity!$E$2:$E$4)</f>
        <v>35</v>
      </c>
      <c r="G76">
        <f t="shared" si="8"/>
        <v>0</v>
      </c>
      <c r="H76">
        <f t="shared" si="9"/>
        <v>35</v>
      </c>
      <c r="I76">
        <f t="shared" si="10"/>
        <v>42000</v>
      </c>
      <c r="J76">
        <f t="shared" si="11"/>
        <v>0.49047619047619051</v>
      </c>
      <c r="K76">
        <f t="shared" si="12"/>
        <v>0</v>
      </c>
      <c r="L76" t="str">
        <f t="shared" si="13"/>
        <v>WITHIN CAPACITY</v>
      </c>
    </row>
    <row r="77" spans="1:12">
      <c r="A77" s="1" cm="1">
        <f t="array" ref="A77">INDEX(Calendar_Weeks!$A$2:$A$53,INT((ROW()-2)/3)+1)</f>
        <v>46202</v>
      </c>
      <c r="B77" t="str" cm="1">
        <f t="array" ref="B77">INDEX(Production_Line_Master!$A$2:$A$4,MOD(ROW()-2,3)+1)</f>
        <v>L01</v>
      </c>
      <c r="C77">
        <f>SUMIFS(Weekly_Inventory_Flow!$I:$I,Weekly_Inventory_Flow!$A:$A,A77,Weekly_Inventory_Flow!$R:$R,B77)</f>
        <v>15300</v>
      </c>
      <c r="D77">
        <f>_xlfn.XLOOKUP(B77,Production_Line_Master!$A$2:$A$4,Production_Line_Master!$C$2:$C$4)</f>
        <v>1800</v>
      </c>
      <c r="E77">
        <f t="shared" si="7"/>
        <v>8.5</v>
      </c>
      <c r="F77">
        <f>_xlfn.XLOOKUP(B77,Weekly_Capacity!$B$2:$B$4,Weekly_Capacity!$E$2:$E$4)</f>
        <v>38</v>
      </c>
      <c r="G77">
        <f t="shared" si="8"/>
        <v>0</v>
      </c>
      <c r="H77">
        <f t="shared" si="9"/>
        <v>38</v>
      </c>
      <c r="I77">
        <f t="shared" si="10"/>
        <v>68400</v>
      </c>
      <c r="J77">
        <f t="shared" si="11"/>
        <v>0.22368421052631579</v>
      </c>
      <c r="K77">
        <f t="shared" si="12"/>
        <v>0</v>
      </c>
      <c r="L77" t="str">
        <f t="shared" si="13"/>
        <v>WITHIN CAPACITY</v>
      </c>
    </row>
    <row r="78" spans="1:12">
      <c r="A78" s="1" cm="1">
        <f t="array" ref="A78">INDEX(Calendar_Weeks!$A$2:$A$53,INT((ROW()-2)/3)+1)</f>
        <v>46202</v>
      </c>
      <c r="B78" t="str" cm="1">
        <f t="array" ref="B78">INDEX(Production_Line_Master!$A$2:$A$4,MOD(ROW()-2,3)+1)</f>
        <v>L02</v>
      </c>
      <c r="C78">
        <f>SUMIFS(Weekly_Inventory_Flow!$I:$I,Weekly_Inventory_Flow!$A:$A,A78,Weekly_Inventory_Flow!$R:$R,B78)</f>
        <v>25400</v>
      </c>
      <c r="D78">
        <f>_xlfn.XLOOKUP(B78,Production_Line_Master!$A$2:$A$4,Production_Line_Master!$C$2:$C$4)</f>
        <v>1500</v>
      </c>
      <c r="E78">
        <f t="shared" si="7"/>
        <v>16.933333333333334</v>
      </c>
      <c r="F78">
        <f>_xlfn.XLOOKUP(B78,Weekly_Capacity!$B$2:$B$4,Weekly_Capacity!$E$2:$E$4)</f>
        <v>35</v>
      </c>
      <c r="G78">
        <f t="shared" si="8"/>
        <v>0</v>
      </c>
      <c r="H78">
        <f t="shared" si="9"/>
        <v>35</v>
      </c>
      <c r="I78">
        <f t="shared" si="10"/>
        <v>52500</v>
      </c>
      <c r="J78">
        <f t="shared" si="11"/>
        <v>0.4838095238095238</v>
      </c>
      <c r="K78">
        <f t="shared" si="12"/>
        <v>0</v>
      </c>
      <c r="L78" t="str">
        <f t="shared" si="13"/>
        <v>WITHIN CAPACITY</v>
      </c>
    </row>
    <row r="79" spans="1:12">
      <c r="A79" s="1" cm="1">
        <f t="array" ref="A79">INDEX(Calendar_Weeks!$A$2:$A$53,INT((ROW()-2)/3)+1)</f>
        <v>46202</v>
      </c>
      <c r="B79" t="str" cm="1">
        <f t="array" ref="B79">INDEX(Production_Line_Master!$A$2:$A$4,MOD(ROW()-2,3)+1)</f>
        <v>L03</v>
      </c>
      <c r="C79">
        <f>SUMIFS(Weekly_Inventory_Flow!$I:$I,Weekly_Inventory_Flow!$A:$A,A79,Weekly_Inventory_Flow!$R:$R,B79)</f>
        <v>21100</v>
      </c>
      <c r="D79">
        <f>_xlfn.XLOOKUP(B79,Production_Line_Master!$A$2:$A$4,Production_Line_Master!$C$2:$C$4)</f>
        <v>1200</v>
      </c>
      <c r="E79">
        <f t="shared" si="7"/>
        <v>17.583333333333332</v>
      </c>
      <c r="F79">
        <f>_xlfn.XLOOKUP(B79,Weekly_Capacity!$B$2:$B$4,Weekly_Capacity!$E$2:$E$4)</f>
        <v>35</v>
      </c>
      <c r="G79">
        <f t="shared" si="8"/>
        <v>0</v>
      </c>
      <c r="H79">
        <f t="shared" si="9"/>
        <v>35</v>
      </c>
      <c r="I79">
        <f t="shared" si="10"/>
        <v>42000</v>
      </c>
      <c r="J79">
        <f t="shared" si="11"/>
        <v>0.50238095238095237</v>
      </c>
      <c r="K79">
        <f t="shared" si="12"/>
        <v>0</v>
      </c>
      <c r="L79" t="str">
        <f t="shared" si="13"/>
        <v>WITHIN CAPACITY</v>
      </c>
    </row>
    <row r="80" spans="1:12">
      <c r="A80" s="1" cm="1">
        <f t="array" ref="A80">INDEX(Calendar_Weeks!$A$2:$A$53,INT((ROW()-2)/3)+1)</f>
        <v>46209</v>
      </c>
      <c r="B80" t="str" cm="1">
        <f t="array" ref="B80">INDEX(Production_Line_Master!$A$2:$A$4,MOD(ROW()-2,3)+1)</f>
        <v>L01</v>
      </c>
      <c r="C80">
        <f>SUMIFS(Weekly_Inventory_Flow!$I:$I,Weekly_Inventory_Flow!$A:$A,A80,Weekly_Inventory_Flow!$R:$R,B80)</f>
        <v>15800</v>
      </c>
      <c r="D80">
        <f>_xlfn.XLOOKUP(B80,Production_Line_Master!$A$2:$A$4,Production_Line_Master!$C$2:$C$4)</f>
        <v>1800</v>
      </c>
      <c r="E80">
        <f t="shared" si="7"/>
        <v>8.7777777777777786</v>
      </c>
      <c r="F80">
        <f>_xlfn.XLOOKUP(B80,Weekly_Capacity!$B$2:$B$4,Weekly_Capacity!$E$2:$E$4)</f>
        <v>38</v>
      </c>
      <c r="G80">
        <f t="shared" si="8"/>
        <v>0</v>
      </c>
      <c r="H80">
        <f t="shared" si="9"/>
        <v>38</v>
      </c>
      <c r="I80">
        <f t="shared" si="10"/>
        <v>68400</v>
      </c>
      <c r="J80">
        <f t="shared" si="11"/>
        <v>0.23099415204678364</v>
      </c>
      <c r="K80">
        <f t="shared" si="12"/>
        <v>0</v>
      </c>
      <c r="L80" t="str">
        <f t="shared" si="13"/>
        <v>WITHIN CAPACITY</v>
      </c>
    </row>
    <row r="81" spans="1:12">
      <c r="A81" s="1" cm="1">
        <f t="array" ref="A81">INDEX(Calendar_Weeks!$A$2:$A$53,INT((ROW()-2)/3)+1)</f>
        <v>46209</v>
      </c>
      <c r="B81" t="str" cm="1">
        <f t="array" ref="B81">INDEX(Production_Line_Master!$A$2:$A$4,MOD(ROW()-2,3)+1)</f>
        <v>L02</v>
      </c>
      <c r="C81">
        <f>SUMIFS(Weekly_Inventory_Flow!$I:$I,Weekly_Inventory_Flow!$A:$A,A81,Weekly_Inventory_Flow!$R:$R,B81)</f>
        <v>26800</v>
      </c>
      <c r="D81">
        <f>_xlfn.XLOOKUP(B81,Production_Line_Master!$A$2:$A$4,Production_Line_Master!$C$2:$C$4)</f>
        <v>1500</v>
      </c>
      <c r="E81">
        <f t="shared" si="7"/>
        <v>17.866666666666667</v>
      </c>
      <c r="F81">
        <f>_xlfn.XLOOKUP(B81,Weekly_Capacity!$B$2:$B$4,Weekly_Capacity!$E$2:$E$4)</f>
        <v>35</v>
      </c>
      <c r="G81">
        <f t="shared" si="8"/>
        <v>0</v>
      </c>
      <c r="H81">
        <f t="shared" si="9"/>
        <v>35</v>
      </c>
      <c r="I81">
        <f t="shared" si="10"/>
        <v>52500</v>
      </c>
      <c r="J81">
        <f t="shared" si="11"/>
        <v>0.51047619047619053</v>
      </c>
      <c r="K81">
        <f t="shared" si="12"/>
        <v>0</v>
      </c>
      <c r="L81" t="str">
        <f t="shared" si="13"/>
        <v>WITHIN CAPACITY</v>
      </c>
    </row>
    <row r="82" spans="1:12">
      <c r="A82" s="1" cm="1">
        <f t="array" ref="A82">INDEX(Calendar_Weeks!$A$2:$A$53,INT((ROW()-2)/3)+1)</f>
        <v>46209</v>
      </c>
      <c r="B82" t="str" cm="1">
        <f t="array" ref="B82">INDEX(Production_Line_Master!$A$2:$A$4,MOD(ROW()-2,3)+1)</f>
        <v>L03</v>
      </c>
      <c r="C82">
        <f>SUMIFS(Weekly_Inventory_Flow!$I:$I,Weekly_Inventory_Flow!$A:$A,A82,Weekly_Inventory_Flow!$R:$R,B82)</f>
        <v>21700</v>
      </c>
      <c r="D82">
        <f>_xlfn.XLOOKUP(B82,Production_Line_Master!$A$2:$A$4,Production_Line_Master!$C$2:$C$4)</f>
        <v>1200</v>
      </c>
      <c r="E82">
        <f t="shared" si="7"/>
        <v>18.083333333333332</v>
      </c>
      <c r="F82">
        <f>_xlfn.XLOOKUP(B82,Weekly_Capacity!$B$2:$B$4,Weekly_Capacity!$E$2:$E$4)</f>
        <v>35</v>
      </c>
      <c r="G82">
        <f t="shared" si="8"/>
        <v>0</v>
      </c>
      <c r="H82">
        <f t="shared" si="9"/>
        <v>35</v>
      </c>
      <c r="I82">
        <f t="shared" si="10"/>
        <v>42000</v>
      </c>
      <c r="J82">
        <f t="shared" si="11"/>
        <v>0.51666666666666661</v>
      </c>
      <c r="K82">
        <f t="shared" si="12"/>
        <v>0</v>
      </c>
      <c r="L82" t="str">
        <f t="shared" si="13"/>
        <v>WITHIN CAPACITY</v>
      </c>
    </row>
    <row r="83" spans="1:12">
      <c r="A83" s="1" cm="1">
        <f t="array" ref="A83">INDEX(Calendar_Weeks!$A$2:$A$53,INT((ROW()-2)/3)+1)</f>
        <v>46216</v>
      </c>
      <c r="B83" t="str" cm="1">
        <f t="array" ref="B83">INDEX(Production_Line_Master!$A$2:$A$4,MOD(ROW()-2,3)+1)</f>
        <v>L01</v>
      </c>
      <c r="C83">
        <f>SUMIFS(Weekly_Inventory_Flow!$I:$I,Weekly_Inventory_Flow!$A:$A,A83,Weekly_Inventory_Flow!$R:$R,B83)</f>
        <v>15700</v>
      </c>
      <c r="D83">
        <f>_xlfn.XLOOKUP(B83,Production_Line_Master!$A$2:$A$4,Production_Line_Master!$C$2:$C$4)</f>
        <v>1800</v>
      </c>
      <c r="E83">
        <f t="shared" si="7"/>
        <v>8.7222222222222214</v>
      </c>
      <c r="F83">
        <f>_xlfn.XLOOKUP(B83,Weekly_Capacity!$B$2:$B$4,Weekly_Capacity!$E$2:$E$4)</f>
        <v>38</v>
      </c>
      <c r="G83">
        <f t="shared" si="8"/>
        <v>0</v>
      </c>
      <c r="H83">
        <f t="shared" si="9"/>
        <v>38</v>
      </c>
      <c r="I83">
        <f t="shared" si="10"/>
        <v>68400</v>
      </c>
      <c r="J83">
        <f t="shared" si="11"/>
        <v>0.22953216374269003</v>
      </c>
      <c r="K83">
        <f t="shared" si="12"/>
        <v>0</v>
      </c>
      <c r="L83" t="str">
        <f t="shared" si="13"/>
        <v>WITHIN CAPACITY</v>
      </c>
    </row>
    <row r="84" spans="1:12">
      <c r="A84" s="1" cm="1">
        <f t="array" ref="A84">INDEX(Calendar_Weeks!$A$2:$A$53,INT((ROW()-2)/3)+1)</f>
        <v>46216</v>
      </c>
      <c r="B84" t="str" cm="1">
        <f t="array" ref="B84">INDEX(Production_Line_Master!$A$2:$A$4,MOD(ROW()-2,3)+1)</f>
        <v>L02</v>
      </c>
      <c r="C84">
        <f>SUMIFS(Weekly_Inventory_Flow!$I:$I,Weekly_Inventory_Flow!$A:$A,A84,Weekly_Inventory_Flow!$R:$R,B84)</f>
        <v>26200</v>
      </c>
      <c r="D84">
        <f>_xlfn.XLOOKUP(B84,Production_Line_Master!$A$2:$A$4,Production_Line_Master!$C$2:$C$4)</f>
        <v>1500</v>
      </c>
      <c r="E84">
        <f t="shared" si="7"/>
        <v>17.466666666666665</v>
      </c>
      <c r="F84">
        <f>_xlfn.XLOOKUP(B84,Weekly_Capacity!$B$2:$B$4,Weekly_Capacity!$E$2:$E$4)</f>
        <v>35</v>
      </c>
      <c r="G84">
        <f t="shared" si="8"/>
        <v>0</v>
      </c>
      <c r="H84">
        <f t="shared" si="9"/>
        <v>35</v>
      </c>
      <c r="I84">
        <f t="shared" si="10"/>
        <v>52500</v>
      </c>
      <c r="J84">
        <f t="shared" si="11"/>
        <v>0.49904761904761902</v>
      </c>
      <c r="K84">
        <f t="shared" si="12"/>
        <v>0</v>
      </c>
      <c r="L84" t="str">
        <f t="shared" si="13"/>
        <v>WITHIN CAPACITY</v>
      </c>
    </row>
    <row r="85" spans="1:12">
      <c r="A85" s="1" cm="1">
        <f t="array" ref="A85">INDEX(Calendar_Weeks!$A$2:$A$53,INT((ROW()-2)/3)+1)</f>
        <v>46216</v>
      </c>
      <c r="B85" t="str" cm="1">
        <f t="array" ref="B85">INDEX(Production_Line_Master!$A$2:$A$4,MOD(ROW()-2,3)+1)</f>
        <v>L03</v>
      </c>
      <c r="C85">
        <f>SUMIFS(Weekly_Inventory_Flow!$I:$I,Weekly_Inventory_Flow!$A:$A,A85,Weekly_Inventory_Flow!$R:$R,B85)</f>
        <v>21900</v>
      </c>
      <c r="D85">
        <f>_xlfn.XLOOKUP(B85,Production_Line_Master!$A$2:$A$4,Production_Line_Master!$C$2:$C$4)</f>
        <v>1200</v>
      </c>
      <c r="E85">
        <f t="shared" si="7"/>
        <v>18.25</v>
      </c>
      <c r="F85">
        <f>_xlfn.XLOOKUP(B85,Weekly_Capacity!$B$2:$B$4,Weekly_Capacity!$E$2:$E$4)</f>
        <v>35</v>
      </c>
      <c r="G85">
        <f t="shared" si="8"/>
        <v>0</v>
      </c>
      <c r="H85">
        <f t="shared" si="9"/>
        <v>35</v>
      </c>
      <c r="I85">
        <f t="shared" si="10"/>
        <v>42000</v>
      </c>
      <c r="J85">
        <f t="shared" si="11"/>
        <v>0.52142857142857146</v>
      </c>
      <c r="K85">
        <f t="shared" si="12"/>
        <v>0</v>
      </c>
      <c r="L85" t="str">
        <f t="shared" si="13"/>
        <v>WITHIN CAPACITY</v>
      </c>
    </row>
    <row r="86" spans="1:12">
      <c r="A86" s="1" cm="1">
        <f t="array" ref="A86">INDEX(Calendar_Weeks!$A$2:$A$53,INT((ROW()-2)/3)+1)</f>
        <v>46223</v>
      </c>
      <c r="B86" t="str" cm="1">
        <f t="array" ref="B86">INDEX(Production_Line_Master!$A$2:$A$4,MOD(ROW()-2,3)+1)</f>
        <v>L01</v>
      </c>
      <c r="C86">
        <f>SUMIFS(Weekly_Inventory_Flow!$I:$I,Weekly_Inventory_Flow!$A:$A,A86,Weekly_Inventory_Flow!$R:$R,B86)</f>
        <v>16000</v>
      </c>
      <c r="D86">
        <f>_xlfn.XLOOKUP(B86,Production_Line_Master!$A$2:$A$4,Production_Line_Master!$C$2:$C$4)</f>
        <v>1800</v>
      </c>
      <c r="E86">
        <f t="shared" si="7"/>
        <v>8.8888888888888893</v>
      </c>
      <c r="F86">
        <f>_xlfn.XLOOKUP(B86,Weekly_Capacity!$B$2:$B$4,Weekly_Capacity!$E$2:$E$4)</f>
        <v>38</v>
      </c>
      <c r="G86">
        <f t="shared" si="8"/>
        <v>0</v>
      </c>
      <c r="H86">
        <f t="shared" si="9"/>
        <v>38</v>
      </c>
      <c r="I86">
        <f t="shared" si="10"/>
        <v>68400</v>
      </c>
      <c r="J86">
        <f t="shared" si="11"/>
        <v>0.23391812865497078</v>
      </c>
      <c r="K86">
        <f t="shared" si="12"/>
        <v>0</v>
      </c>
      <c r="L86" t="str">
        <f t="shared" si="13"/>
        <v>WITHIN CAPACITY</v>
      </c>
    </row>
    <row r="87" spans="1:12">
      <c r="A87" s="1" cm="1">
        <f t="array" ref="A87">INDEX(Calendar_Weeks!$A$2:$A$53,INT((ROW()-2)/3)+1)</f>
        <v>46223</v>
      </c>
      <c r="B87" t="str" cm="1">
        <f t="array" ref="B87">INDEX(Production_Line_Master!$A$2:$A$4,MOD(ROW()-2,3)+1)</f>
        <v>L02</v>
      </c>
      <c r="C87">
        <f>SUMIFS(Weekly_Inventory_Flow!$I:$I,Weekly_Inventory_Flow!$A:$A,A87,Weekly_Inventory_Flow!$R:$R,B87)</f>
        <v>26500</v>
      </c>
      <c r="D87">
        <f>_xlfn.XLOOKUP(B87,Production_Line_Master!$A$2:$A$4,Production_Line_Master!$C$2:$C$4)</f>
        <v>1500</v>
      </c>
      <c r="E87">
        <f t="shared" si="7"/>
        <v>17.666666666666668</v>
      </c>
      <c r="F87">
        <f>_xlfn.XLOOKUP(B87,Weekly_Capacity!$B$2:$B$4,Weekly_Capacity!$E$2:$E$4)</f>
        <v>35</v>
      </c>
      <c r="G87">
        <f t="shared" si="8"/>
        <v>0</v>
      </c>
      <c r="H87">
        <f t="shared" si="9"/>
        <v>35</v>
      </c>
      <c r="I87">
        <f t="shared" si="10"/>
        <v>52500</v>
      </c>
      <c r="J87">
        <f t="shared" si="11"/>
        <v>0.50476190476190474</v>
      </c>
      <c r="K87">
        <f t="shared" si="12"/>
        <v>0</v>
      </c>
      <c r="L87" t="str">
        <f t="shared" si="13"/>
        <v>WITHIN CAPACITY</v>
      </c>
    </row>
    <row r="88" spans="1:12">
      <c r="A88" s="1" cm="1">
        <f t="array" ref="A88">INDEX(Calendar_Weeks!$A$2:$A$53,INT((ROW()-2)/3)+1)</f>
        <v>46223</v>
      </c>
      <c r="B88" t="str" cm="1">
        <f t="array" ref="B88">INDEX(Production_Line_Master!$A$2:$A$4,MOD(ROW()-2,3)+1)</f>
        <v>L03</v>
      </c>
      <c r="C88">
        <f>SUMIFS(Weekly_Inventory_Flow!$I:$I,Weekly_Inventory_Flow!$A:$A,A88,Weekly_Inventory_Flow!$R:$R,B88)</f>
        <v>20700</v>
      </c>
      <c r="D88">
        <f>_xlfn.XLOOKUP(B88,Production_Line_Master!$A$2:$A$4,Production_Line_Master!$C$2:$C$4)</f>
        <v>1200</v>
      </c>
      <c r="E88">
        <f t="shared" si="7"/>
        <v>17.25</v>
      </c>
      <c r="F88">
        <f>_xlfn.XLOOKUP(B88,Weekly_Capacity!$B$2:$B$4,Weekly_Capacity!$E$2:$E$4)</f>
        <v>35</v>
      </c>
      <c r="G88">
        <f t="shared" si="8"/>
        <v>0</v>
      </c>
      <c r="H88">
        <f t="shared" si="9"/>
        <v>35</v>
      </c>
      <c r="I88">
        <f t="shared" si="10"/>
        <v>42000</v>
      </c>
      <c r="J88">
        <f t="shared" si="11"/>
        <v>0.49285714285714288</v>
      </c>
      <c r="K88">
        <f t="shared" si="12"/>
        <v>0</v>
      </c>
      <c r="L88" t="str">
        <f t="shared" si="13"/>
        <v>WITHIN CAPACITY</v>
      </c>
    </row>
    <row r="89" spans="1:12">
      <c r="A89" s="1" cm="1">
        <f t="array" ref="A89">INDEX(Calendar_Weeks!$A$2:$A$53,INT((ROW()-2)/3)+1)</f>
        <v>46230</v>
      </c>
      <c r="B89" t="str" cm="1">
        <f t="array" ref="B89">INDEX(Production_Line_Master!$A$2:$A$4,MOD(ROW()-2,3)+1)</f>
        <v>L01</v>
      </c>
      <c r="C89">
        <f>SUMIFS(Weekly_Inventory_Flow!$I:$I,Weekly_Inventory_Flow!$A:$A,A89,Weekly_Inventory_Flow!$R:$R,B89)</f>
        <v>15700</v>
      </c>
      <c r="D89">
        <f>_xlfn.XLOOKUP(B89,Production_Line_Master!$A$2:$A$4,Production_Line_Master!$C$2:$C$4)</f>
        <v>1800</v>
      </c>
      <c r="E89">
        <f t="shared" si="7"/>
        <v>8.7222222222222214</v>
      </c>
      <c r="F89">
        <f>_xlfn.XLOOKUP(B89,Weekly_Capacity!$B$2:$B$4,Weekly_Capacity!$E$2:$E$4)</f>
        <v>38</v>
      </c>
      <c r="G89">
        <f t="shared" si="8"/>
        <v>0</v>
      </c>
      <c r="H89">
        <f t="shared" si="9"/>
        <v>38</v>
      </c>
      <c r="I89">
        <f t="shared" si="10"/>
        <v>68400</v>
      </c>
      <c r="J89">
        <f t="shared" si="11"/>
        <v>0.22953216374269003</v>
      </c>
      <c r="K89">
        <f t="shared" si="12"/>
        <v>0</v>
      </c>
      <c r="L89" t="str">
        <f t="shared" si="13"/>
        <v>WITHIN CAPACITY</v>
      </c>
    </row>
    <row r="90" spans="1:12">
      <c r="A90" s="1" cm="1">
        <f t="array" ref="A90">INDEX(Calendar_Weeks!$A$2:$A$53,INT((ROW()-2)/3)+1)</f>
        <v>46230</v>
      </c>
      <c r="B90" t="str" cm="1">
        <f t="array" ref="B90">INDEX(Production_Line_Master!$A$2:$A$4,MOD(ROW()-2,3)+1)</f>
        <v>L02</v>
      </c>
      <c r="C90">
        <f>SUMIFS(Weekly_Inventory_Flow!$I:$I,Weekly_Inventory_Flow!$A:$A,A90,Weekly_Inventory_Flow!$R:$R,B90)</f>
        <v>26100</v>
      </c>
      <c r="D90">
        <f>_xlfn.XLOOKUP(B90,Production_Line_Master!$A$2:$A$4,Production_Line_Master!$C$2:$C$4)</f>
        <v>1500</v>
      </c>
      <c r="E90">
        <f t="shared" si="7"/>
        <v>17.399999999999999</v>
      </c>
      <c r="F90">
        <f>_xlfn.XLOOKUP(B90,Weekly_Capacity!$B$2:$B$4,Weekly_Capacity!$E$2:$E$4)</f>
        <v>35</v>
      </c>
      <c r="G90">
        <f t="shared" si="8"/>
        <v>0</v>
      </c>
      <c r="H90">
        <f t="shared" si="9"/>
        <v>35</v>
      </c>
      <c r="I90">
        <f t="shared" si="10"/>
        <v>52500</v>
      </c>
      <c r="J90">
        <f t="shared" si="11"/>
        <v>0.49714285714285711</v>
      </c>
      <c r="K90">
        <f t="shared" si="12"/>
        <v>0</v>
      </c>
      <c r="L90" t="str">
        <f t="shared" si="13"/>
        <v>WITHIN CAPACITY</v>
      </c>
    </row>
    <row r="91" spans="1:12">
      <c r="A91" s="1" cm="1">
        <f t="array" ref="A91">INDEX(Calendar_Weeks!$A$2:$A$53,INT((ROW()-2)/3)+1)</f>
        <v>46230</v>
      </c>
      <c r="B91" t="str" cm="1">
        <f t="array" ref="B91">INDEX(Production_Line_Master!$A$2:$A$4,MOD(ROW()-2,3)+1)</f>
        <v>L03</v>
      </c>
      <c r="C91">
        <f>SUMIFS(Weekly_Inventory_Flow!$I:$I,Weekly_Inventory_Flow!$A:$A,A91,Weekly_Inventory_Flow!$R:$R,B91)</f>
        <v>21700</v>
      </c>
      <c r="D91">
        <f>_xlfn.XLOOKUP(B91,Production_Line_Master!$A$2:$A$4,Production_Line_Master!$C$2:$C$4)</f>
        <v>1200</v>
      </c>
      <c r="E91">
        <f t="shared" si="7"/>
        <v>18.083333333333332</v>
      </c>
      <c r="F91">
        <f>_xlfn.XLOOKUP(B91,Weekly_Capacity!$B$2:$B$4,Weekly_Capacity!$E$2:$E$4)</f>
        <v>35</v>
      </c>
      <c r="G91">
        <f t="shared" si="8"/>
        <v>0</v>
      </c>
      <c r="H91">
        <f t="shared" si="9"/>
        <v>35</v>
      </c>
      <c r="I91">
        <f t="shared" si="10"/>
        <v>42000</v>
      </c>
      <c r="J91">
        <f t="shared" si="11"/>
        <v>0.51666666666666661</v>
      </c>
      <c r="K91">
        <f t="shared" si="12"/>
        <v>0</v>
      </c>
      <c r="L91" t="str">
        <f t="shared" si="13"/>
        <v>WITHIN CAPACITY</v>
      </c>
    </row>
    <row r="92" spans="1:12">
      <c r="A92" s="1" cm="1">
        <f t="array" ref="A92">INDEX(Calendar_Weeks!$A$2:$A$53,INT((ROW()-2)/3)+1)</f>
        <v>46237</v>
      </c>
      <c r="B92" t="str" cm="1">
        <f t="array" ref="B92">INDEX(Production_Line_Master!$A$2:$A$4,MOD(ROW()-2,3)+1)</f>
        <v>L01</v>
      </c>
      <c r="C92">
        <f>SUMIFS(Weekly_Inventory_Flow!$I:$I,Weekly_Inventory_Flow!$A:$A,A92,Weekly_Inventory_Flow!$R:$R,B92)</f>
        <v>16000</v>
      </c>
      <c r="D92">
        <f>_xlfn.XLOOKUP(B92,Production_Line_Master!$A$2:$A$4,Production_Line_Master!$C$2:$C$4)</f>
        <v>1800</v>
      </c>
      <c r="E92">
        <f t="shared" si="7"/>
        <v>8.8888888888888893</v>
      </c>
      <c r="F92">
        <f>_xlfn.XLOOKUP(B92,Weekly_Capacity!$B$2:$B$4,Weekly_Capacity!$E$2:$E$4)</f>
        <v>38</v>
      </c>
      <c r="G92">
        <f t="shared" si="8"/>
        <v>0</v>
      </c>
      <c r="H92">
        <f t="shared" si="9"/>
        <v>38</v>
      </c>
      <c r="I92">
        <f t="shared" si="10"/>
        <v>68400</v>
      </c>
      <c r="J92">
        <f t="shared" si="11"/>
        <v>0.23391812865497078</v>
      </c>
      <c r="K92">
        <f t="shared" si="12"/>
        <v>0</v>
      </c>
      <c r="L92" t="str">
        <f t="shared" si="13"/>
        <v>WITHIN CAPACITY</v>
      </c>
    </row>
    <row r="93" spans="1:12">
      <c r="A93" s="1" cm="1">
        <f t="array" ref="A93">INDEX(Calendar_Weeks!$A$2:$A$53,INT((ROW()-2)/3)+1)</f>
        <v>46237</v>
      </c>
      <c r="B93" t="str" cm="1">
        <f t="array" ref="B93">INDEX(Production_Line_Master!$A$2:$A$4,MOD(ROW()-2,3)+1)</f>
        <v>L02</v>
      </c>
      <c r="C93">
        <f>SUMIFS(Weekly_Inventory_Flow!$I:$I,Weekly_Inventory_Flow!$A:$A,A93,Weekly_Inventory_Flow!$R:$R,B93)</f>
        <v>25800</v>
      </c>
      <c r="D93">
        <f>_xlfn.XLOOKUP(B93,Production_Line_Master!$A$2:$A$4,Production_Line_Master!$C$2:$C$4)</f>
        <v>1500</v>
      </c>
      <c r="E93">
        <f t="shared" si="7"/>
        <v>17.2</v>
      </c>
      <c r="F93">
        <f>_xlfn.XLOOKUP(B93,Weekly_Capacity!$B$2:$B$4,Weekly_Capacity!$E$2:$E$4)</f>
        <v>35</v>
      </c>
      <c r="G93">
        <f t="shared" si="8"/>
        <v>0</v>
      </c>
      <c r="H93">
        <f t="shared" si="9"/>
        <v>35</v>
      </c>
      <c r="I93">
        <f t="shared" si="10"/>
        <v>52500</v>
      </c>
      <c r="J93">
        <f t="shared" si="11"/>
        <v>0.49142857142857138</v>
      </c>
      <c r="K93">
        <f t="shared" si="12"/>
        <v>0</v>
      </c>
      <c r="L93" t="str">
        <f t="shared" si="13"/>
        <v>WITHIN CAPACITY</v>
      </c>
    </row>
    <row r="94" spans="1:12">
      <c r="A94" s="1" cm="1">
        <f t="array" ref="A94">INDEX(Calendar_Weeks!$A$2:$A$53,INT((ROW()-2)/3)+1)</f>
        <v>46237</v>
      </c>
      <c r="B94" t="str" cm="1">
        <f t="array" ref="B94">INDEX(Production_Line_Master!$A$2:$A$4,MOD(ROW()-2,3)+1)</f>
        <v>L03</v>
      </c>
      <c r="C94">
        <f>SUMIFS(Weekly_Inventory_Flow!$I:$I,Weekly_Inventory_Flow!$A:$A,A94,Weekly_Inventory_Flow!$R:$R,B94)</f>
        <v>21600</v>
      </c>
      <c r="D94">
        <f>_xlfn.XLOOKUP(B94,Production_Line_Master!$A$2:$A$4,Production_Line_Master!$C$2:$C$4)</f>
        <v>1200</v>
      </c>
      <c r="E94">
        <f t="shared" si="7"/>
        <v>18</v>
      </c>
      <c r="F94">
        <f>_xlfn.XLOOKUP(B94,Weekly_Capacity!$B$2:$B$4,Weekly_Capacity!$E$2:$E$4)</f>
        <v>35</v>
      </c>
      <c r="G94">
        <f t="shared" si="8"/>
        <v>0</v>
      </c>
      <c r="H94">
        <f t="shared" si="9"/>
        <v>35</v>
      </c>
      <c r="I94">
        <f t="shared" si="10"/>
        <v>42000</v>
      </c>
      <c r="J94">
        <f t="shared" si="11"/>
        <v>0.51428571428571423</v>
      </c>
      <c r="K94">
        <f t="shared" si="12"/>
        <v>0</v>
      </c>
      <c r="L94" t="str">
        <f t="shared" si="13"/>
        <v>WITHIN CAPACITY</v>
      </c>
    </row>
    <row r="95" spans="1:12">
      <c r="A95" s="1" cm="1">
        <f t="array" ref="A95">INDEX(Calendar_Weeks!$A$2:$A$53,INT((ROW()-2)/3)+1)</f>
        <v>46244</v>
      </c>
      <c r="B95" t="str" cm="1">
        <f t="array" ref="B95">INDEX(Production_Line_Master!$A$2:$A$4,MOD(ROW()-2,3)+1)</f>
        <v>L01</v>
      </c>
      <c r="C95">
        <f>SUMIFS(Weekly_Inventory_Flow!$I:$I,Weekly_Inventory_Flow!$A:$A,A95,Weekly_Inventory_Flow!$R:$R,B95)</f>
        <v>15400</v>
      </c>
      <c r="D95">
        <f>_xlfn.XLOOKUP(B95,Production_Line_Master!$A$2:$A$4,Production_Line_Master!$C$2:$C$4)</f>
        <v>1800</v>
      </c>
      <c r="E95">
        <f t="shared" si="7"/>
        <v>8.5555555555555554</v>
      </c>
      <c r="F95">
        <f>_xlfn.XLOOKUP(B95,Weekly_Capacity!$B$2:$B$4,Weekly_Capacity!$E$2:$E$4)</f>
        <v>38</v>
      </c>
      <c r="G95">
        <f t="shared" si="8"/>
        <v>0</v>
      </c>
      <c r="H95">
        <f t="shared" si="9"/>
        <v>38</v>
      </c>
      <c r="I95">
        <f t="shared" si="10"/>
        <v>68400</v>
      </c>
      <c r="J95">
        <f t="shared" si="11"/>
        <v>0.22514619883040934</v>
      </c>
      <c r="K95">
        <f t="shared" si="12"/>
        <v>0</v>
      </c>
      <c r="L95" t="str">
        <f t="shared" si="13"/>
        <v>WITHIN CAPACITY</v>
      </c>
    </row>
    <row r="96" spans="1:12">
      <c r="A96" s="1" cm="1">
        <f t="array" ref="A96">INDEX(Calendar_Weeks!$A$2:$A$53,INT((ROW()-2)/3)+1)</f>
        <v>46244</v>
      </c>
      <c r="B96" t="str" cm="1">
        <f t="array" ref="B96">INDEX(Production_Line_Master!$A$2:$A$4,MOD(ROW()-2,3)+1)</f>
        <v>L02</v>
      </c>
      <c r="C96">
        <f>SUMIFS(Weekly_Inventory_Flow!$I:$I,Weekly_Inventory_Flow!$A:$A,A96,Weekly_Inventory_Flow!$R:$R,B96)</f>
        <v>26700</v>
      </c>
      <c r="D96">
        <f>_xlfn.XLOOKUP(B96,Production_Line_Master!$A$2:$A$4,Production_Line_Master!$C$2:$C$4)</f>
        <v>1500</v>
      </c>
      <c r="E96">
        <f t="shared" si="7"/>
        <v>17.8</v>
      </c>
      <c r="F96">
        <f>_xlfn.XLOOKUP(B96,Weekly_Capacity!$B$2:$B$4,Weekly_Capacity!$E$2:$E$4)</f>
        <v>35</v>
      </c>
      <c r="G96">
        <f t="shared" si="8"/>
        <v>0</v>
      </c>
      <c r="H96">
        <f t="shared" si="9"/>
        <v>35</v>
      </c>
      <c r="I96">
        <f t="shared" si="10"/>
        <v>52500</v>
      </c>
      <c r="J96">
        <f t="shared" si="11"/>
        <v>0.50857142857142856</v>
      </c>
      <c r="K96">
        <f t="shared" si="12"/>
        <v>0</v>
      </c>
      <c r="L96" t="str">
        <f t="shared" si="13"/>
        <v>WITHIN CAPACITY</v>
      </c>
    </row>
    <row r="97" spans="1:12">
      <c r="A97" s="1" cm="1">
        <f t="array" ref="A97">INDEX(Calendar_Weeks!$A$2:$A$53,INT((ROW()-2)/3)+1)</f>
        <v>46244</v>
      </c>
      <c r="B97" t="str" cm="1">
        <f t="array" ref="B97">INDEX(Production_Line_Master!$A$2:$A$4,MOD(ROW()-2,3)+1)</f>
        <v>L03</v>
      </c>
      <c r="C97">
        <f>SUMIFS(Weekly_Inventory_Flow!$I:$I,Weekly_Inventory_Flow!$A:$A,A97,Weekly_Inventory_Flow!$R:$R,B97)</f>
        <v>21300</v>
      </c>
      <c r="D97">
        <f>_xlfn.XLOOKUP(B97,Production_Line_Master!$A$2:$A$4,Production_Line_Master!$C$2:$C$4)</f>
        <v>1200</v>
      </c>
      <c r="E97">
        <f t="shared" si="7"/>
        <v>17.75</v>
      </c>
      <c r="F97">
        <f>_xlfn.XLOOKUP(B97,Weekly_Capacity!$B$2:$B$4,Weekly_Capacity!$E$2:$E$4)</f>
        <v>35</v>
      </c>
      <c r="G97">
        <f t="shared" si="8"/>
        <v>0</v>
      </c>
      <c r="H97">
        <f t="shared" si="9"/>
        <v>35</v>
      </c>
      <c r="I97">
        <f t="shared" si="10"/>
        <v>42000</v>
      </c>
      <c r="J97">
        <f t="shared" si="11"/>
        <v>0.50714285714285712</v>
      </c>
      <c r="K97">
        <f t="shared" si="12"/>
        <v>0</v>
      </c>
      <c r="L97" t="str">
        <f t="shared" si="13"/>
        <v>WITHIN CAPACITY</v>
      </c>
    </row>
    <row r="98" spans="1:12">
      <c r="A98" s="1" cm="1">
        <f t="array" ref="A98">INDEX(Calendar_Weeks!$A$2:$A$53,INT((ROW()-2)/3)+1)</f>
        <v>46251</v>
      </c>
      <c r="B98" t="str" cm="1">
        <f t="array" ref="B98">INDEX(Production_Line_Master!$A$2:$A$4,MOD(ROW()-2,3)+1)</f>
        <v>L01</v>
      </c>
      <c r="C98">
        <f>SUMIFS(Weekly_Inventory_Flow!$I:$I,Weekly_Inventory_Flow!$A:$A,A98,Weekly_Inventory_Flow!$R:$R,B98)</f>
        <v>16600</v>
      </c>
      <c r="D98">
        <f>_xlfn.XLOOKUP(B98,Production_Line_Master!$A$2:$A$4,Production_Line_Master!$C$2:$C$4)</f>
        <v>1800</v>
      </c>
      <c r="E98">
        <f t="shared" si="7"/>
        <v>9.2222222222222214</v>
      </c>
      <c r="F98">
        <f>_xlfn.XLOOKUP(B98,Weekly_Capacity!$B$2:$B$4,Weekly_Capacity!$E$2:$E$4)</f>
        <v>38</v>
      </c>
      <c r="G98">
        <f t="shared" si="8"/>
        <v>0</v>
      </c>
      <c r="H98">
        <f t="shared" si="9"/>
        <v>38</v>
      </c>
      <c r="I98">
        <f t="shared" si="10"/>
        <v>68400</v>
      </c>
      <c r="J98">
        <f t="shared" si="11"/>
        <v>0.24269005847953215</v>
      </c>
      <c r="K98">
        <f t="shared" si="12"/>
        <v>0</v>
      </c>
      <c r="L98" t="str">
        <f t="shared" si="13"/>
        <v>WITHIN CAPACITY</v>
      </c>
    </row>
    <row r="99" spans="1:12">
      <c r="A99" s="1" cm="1">
        <f t="array" ref="A99">INDEX(Calendar_Weeks!$A$2:$A$53,INT((ROW()-2)/3)+1)</f>
        <v>46251</v>
      </c>
      <c r="B99" t="str" cm="1">
        <f t="array" ref="B99">INDEX(Production_Line_Master!$A$2:$A$4,MOD(ROW()-2,3)+1)</f>
        <v>L02</v>
      </c>
      <c r="C99">
        <f>SUMIFS(Weekly_Inventory_Flow!$I:$I,Weekly_Inventory_Flow!$A:$A,A99,Weekly_Inventory_Flow!$R:$R,B99)</f>
        <v>26000</v>
      </c>
      <c r="D99">
        <f>_xlfn.XLOOKUP(B99,Production_Line_Master!$A$2:$A$4,Production_Line_Master!$C$2:$C$4)</f>
        <v>1500</v>
      </c>
      <c r="E99">
        <f t="shared" si="7"/>
        <v>17.333333333333332</v>
      </c>
      <c r="F99">
        <f>_xlfn.XLOOKUP(B99,Weekly_Capacity!$B$2:$B$4,Weekly_Capacity!$E$2:$E$4)</f>
        <v>35</v>
      </c>
      <c r="G99">
        <f t="shared" si="8"/>
        <v>0</v>
      </c>
      <c r="H99">
        <f t="shared" si="9"/>
        <v>35</v>
      </c>
      <c r="I99">
        <f t="shared" si="10"/>
        <v>52500</v>
      </c>
      <c r="J99">
        <f t="shared" si="11"/>
        <v>0.4952380952380952</v>
      </c>
      <c r="K99">
        <f t="shared" si="12"/>
        <v>0</v>
      </c>
      <c r="L99" t="str">
        <f t="shared" si="13"/>
        <v>WITHIN CAPACITY</v>
      </c>
    </row>
    <row r="100" spans="1:12">
      <c r="A100" s="1" cm="1">
        <f t="array" ref="A100">INDEX(Calendar_Weeks!$A$2:$A$53,INT((ROW()-2)/3)+1)</f>
        <v>46251</v>
      </c>
      <c r="B100" t="str" cm="1">
        <f t="array" ref="B100">INDEX(Production_Line_Master!$A$2:$A$4,MOD(ROW()-2,3)+1)</f>
        <v>L03</v>
      </c>
      <c r="C100">
        <f>SUMIFS(Weekly_Inventory_Flow!$I:$I,Weekly_Inventory_Flow!$A:$A,A100,Weekly_Inventory_Flow!$R:$R,B100)</f>
        <v>21000</v>
      </c>
      <c r="D100">
        <f>_xlfn.XLOOKUP(B100,Production_Line_Master!$A$2:$A$4,Production_Line_Master!$C$2:$C$4)</f>
        <v>1200</v>
      </c>
      <c r="E100">
        <f t="shared" si="7"/>
        <v>17.5</v>
      </c>
      <c r="F100">
        <f>_xlfn.XLOOKUP(B100,Weekly_Capacity!$B$2:$B$4,Weekly_Capacity!$E$2:$E$4)</f>
        <v>35</v>
      </c>
      <c r="G100">
        <f t="shared" si="8"/>
        <v>0</v>
      </c>
      <c r="H100">
        <f t="shared" si="9"/>
        <v>35</v>
      </c>
      <c r="I100">
        <f t="shared" si="10"/>
        <v>42000</v>
      </c>
      <c r="J100">
        <f t="shared" si="11"/>
        <v>0.5</v>
      </c>
      <c r="K100">
        <f t="shared" si="12"/>
        <v>0</v>
      </c>
      <c r="L100" t="str">
        <f t="shared" si="13"/>
        <v>WITHIN CAPACITY</v>
      </c>
    </row>
    <row r="101" spans="1:12">
      <c r="A101" s="1" cm="1">
        <f t="array" ref="A101">INDEX(Calendar_Weeks!$A$2:$A$53,INT((ROW()-2)/3)+1)</f>
        <v>46258</v>
      </c>
      <c r="B101" t="str" cm="1">
        <f t="array" ref="B101">INDEX(Production_Line_Master!$A$2:$A$4,MOD(ROW()-2,3)+1)</f>
        <v>L01</v>
      </c>
      <c r="C101">
        <f>SUMIFS(Weekly_Inventory_Flow!$I:$I,Weekly_Inventory_Flow!$A:$A,A101,Weekly_Inventory_Flow!$R:$R,B101)</f>
        <v>15400</v>
      </c>
      <c r="D101">
        <f>_xlfn.XLOOKUP(B101,Production_Line_Master!$A$2:$A$4,Production_Line_Master!$C$2:$C$4)</f>
        <v>1800</v>
      </c>
      <c r="E101">
        <f t="shared" si="7"/>
        <v>8.5555555555555554</v>
      </c>
      <c r="F101">
        <f>_xlfn.XLOOKUP(B101,Weekly_Capacity!$B$2:$B$4,Weekly_Capacity!$E$2:$E$4)</f>
        <v>38</v>
      </c>
      <c r="G101">
        <f t="shared" si="8"/>
        <v>0</v>
      </c>
      <c r="H101">
        <f t="shared" si="9"/>
        <v>38</v>
      </c>
      <c r="I101">
        <f t="shared" si="10"/>
        <v>68400</v>
      </c>
      <c r="J101">
        <f t="shared" si="11"/>
        <v>0.22514619883040934</v>
      </c>
      <c r="K101">
        <f t="shared" si="12"/>
        <v>0</v>
      </c>
      <c r="L101" t="str">
        <f t="shared" si="13"/>
        <v>WITHIN CAPACITY</v>
      </c>
    </row>
    <row r="102" spans="1:12">
      <c r="A102" s="1" cm="1">
        <f t="array" ref="A102">INDEX(Calendar_Weeks!$A$2:$A$53,INT((ROW()-2)/3)+1)</f>
        <v>46258</v>
      </c>
      <c r="B102" t="str" cm="1">
        <f t="array" ref="B102">INDEX(Production_Line_Master!$A$2:$A$4,MOD(ROW()-2,3)+1)</f>
        <v>L02</v>
      </c>
      <c r="C102">
        <f>SUMIFS(Weekly_Inventory_Flow!$I:$I,Weekly_Inventory_Flow!$A:$A,A102,Weekly_Inventory_Flow!$R:$R,B102)</f>
        <v>26000</v>
      </c>
      <c r="D102">
        <f>_xlfn.XLOOKUP(B102,Production_Line_Master!$A$2:$A$4,Production_Line_Master!$C$2:$C$4)</f>
        <v>1500</v>
      </c>
      <c r="E102">
        <f t="shared" si="7"/>
        <v>17.333333333333332</v>
      </c>
      <c r="F102">
        <f>_xlfn.XLOOKUP(B102,Weekly_Capacity!$B$2:$B$4,Weekly_Capacity!$E$2:$E$4)</f>
        <v>35</v>
      </c>
      <c r="G102">
        <f t="shared" si="8"/>
        <v>0</v>
      </c>
      <c r="H102">
        <f t="shared" si="9"/>
        <v>35</v>
      </c>
      <c r="I102">
        <f t="shared" si="10"/>
        <v>52500</v>
      </c>
      <c r="J102">
        <f t="shared" si="11"/>
        <v>0.4952380952380952</v>
      </c>
      <c r="K102">
        <f t="shared" si="12"/>
        <v>0</v>
      </c>
      <c r="L102" t="str">
        <f t="shared" si="13"/>
        <v>WITHIN CAPACITY</v>
      </c>
    </row>
    <row r="103" spans="1:12">
      <c r="A103" s="1" cm="1">
        <f t="array" ref="A103">INDEX(Calendar_Weeks!$A$2:$A$53,INT((ROW()-2)/3)+1)</f>
        <v>46258</v>
      </c>
      <c r="B103" t="str" cm="1">
        <f t="array" ref="B103">INDEX(Production_Line_Master!$A$2:$A$4,MOD(ROW()-2,3)+1)</f>
        <v>L03</v>
      </c>
      <c r="C103">
        <f>SUMIFS(Weekly_Inventory_Flow!$I:$I,Weekly_Inventory_Flow!$A:$A,A103,Weekly_Inventory_Flow!$R:$R,B103)</f>
        <v>21800</v>
      </c>
      <c r="D103">
        <f>_xlfn.XLOOKUP(B103,Production_Line_Master!$A$2:$A$4,Production_Line_Master!$C$2:$C$4)</f>
        <v>1200</v>
      </c>
      <c r="E103">
        <f t="shared" si="7"/>
        <v>18.166666666666668</v>
      </c>
      <c r="F103">
        <f>_xlfn.XLOOKUP(B103,Weekly_Capacity!$B$2:$B$4,Weekly_Capacity!$E$2:$E$4)</f>
        <v>35</v>
      </c>
      <c r="G103">
        <f t="shared" si="8"/>
        <v>0</v>
      </c>
      <c r="H103">
        <f t="shared" si="9"/>
        <v>35</v>
      </c>
      <c r="I103">
        <f t="shared" si="10"/>
        <v>42000</v>
      </c>
      <c r="J103">
        <f t="shared" si="11"/>
        <v>0.51904761904761909</v>
      </c>
      <c r="K103">
        <f t="shared" si="12"/>
        <v>0</v>
      </c>
      <c r="L103" t="str">
        <f t="shared" si="13"/>
        <v>WITHIN CAPACITY</v>
      </c>
    </row>
    <row r="104" spans="1:12">
      <c r="A104" s="1" cm="1">
        <f t="array" ref="A104">INDEX(Calendar_Weeks!$A$2:$A$53,INT((ROW()-2)/3)+1)</f>
        <v>46265</v>
      </c>
      <c r="B104" t="str" cm="1">
        <f t="array" ref="B104">INDEX(Production_Line_Master!$A$2:$A$4,MOD(ROW()-2,3)+1)</f>
        <v>L01</v>
      </c>
      <c r="C104">
        <f>SUMIFS(Weekly_Inventory_Flow!$I:$I,Weekly_Inventory_Flow!$A:$A,A104,Weekly_Inventory_Flow!$R:$R,B104)</f>
        <v>15500</v>
      </c>
      <c r="D104">
        <f>_xlfn.XLOOKUP(B104,Production_Line_Master!$A$2:$A$4,Production_Line_Master!$C$2:$C$4)</f>
        <v>1800</v>
      </c>
      <c r="E104">
        <f t="shared" si="7"/>
        <v>8.6111111111111107</v>
      </c>
      <c r="F104">
        <f>_xlfn.XLOOKUP(B104,Weekly_Capacity!$B$2:$B$4,Weekly_Capacity!$E$2:$E$4)</f>
        <v>38</v>
      </c>
      <c r="G104">
        <f t="shared" si="8"/>
        <v>0</v>
      </c>
      <c r="H104">
        <f t="shared" si="9"/>
        <v>38</v>
      </c>
      <c r="I104">
        <f t="shared" si="10"/>
        <v>68400</v>
      </c>
      <c r="J104">
        <f t="shared" si="11"/>
        <v>0.22660818713450293</v>
      </c>
      <c r="K104">
        <f t="shared" si="12"/>
        <v>0</v>
      </c>
      <c r="L104" t="str">
        <f t="shared" si="13"/>
        <v>WITHIN CAPACITY</v>
      </c>
    </row>
    <row r="105" spans="1:12">
      <c r="A105" s="1" cm="1">
        <f t="array" ref="A105">INDEX(Calendar_Weeks!$A$2:$A$53,INT((ROW()-2)/3)+1)</f>
        <v>46265</v>
      </c>
      <c r="B105" t="str" cm="1">
        <f t="array" ref="B105">INDEX(Production_Line_Master!$A$2:$A$4,MOD(ROW()-2,3)+1)</f>
        <v>L02</v>
      </c>
      <c r="C105">
        <f>SUMIFS(Weekly_Inventory_Flow!$I:$I,Weekly_Inventory_Flow!$A:$A,A105,Weekly_Inventory_Flow!$R:$R,B105)</f>
        <v>26400</v>
      </c>
      <c r="D105">
        <f>_xlfn.XLOOKUP(B105,Production_Line_Master!$A$2:$A$4,Production_Line_Master!$C$2:$C$4)</f>
        <v>1500</v>
      </c>
      <c r="E105">
        <f t="shared" si="7"/>
        <v>17.600000000000001</v>
      </c>
      <c r="F105">
        <f>_xlfn.XLOOKUP(B105,Weekly_Capacity!$B$2:$B$4,Weekly_Capacity!$E$2:$E$4)</f>
        <v>35</v>
      </c>
      <c r="G105">
        <f t="shared" si="8"/>
        <v>0</v>
      </c>
      <c r="H105">
        <f t="shared" si="9"/>
        <v>35</v>
      </c>
      <c r="I105">
        <f t="shared" si="10"/>
        <v>52500</v>
      </c>
      <c r="J105">
        <f t="shared" si="11"/>
        <v>0.50285714285714289</v>
      </c>
      <c r="K105">
        <f t="shared" si="12"/>
        <v>0</v>
      </c>
      <c r="L105" t="str">
        <f t="shared" si="13"/>
        <v>WITHIN CAPACITY</v>
      </c>
    </row>
    <row r="106" spans="1:12">
      <c r="A106" s="1" cm="1">
        <f t="array" ref="A106">INDEX(Calendar_Weeks!$A$2:$A$53,INT((ROW()-2)/3)+1)</f>
        <v>46265</v>
      </c>
      <c r="B106" t="str" cm="1">
        <f t="array" ref="B106">INDEX(Production_Line_Master!$A$2:$A$4,MOD(ROW()-2,3)+1)</f>
        <v>L03</v>
      </c>
      <c r="C106">
        <f>SUMIFS(Weekly_Inventory_Flow!$I:$I,Weekly_Inventory_Flow!$A:$A,A106,Weekly_Inventory_Flow!$R:$R,B106)</f>
        <v>21300</v>
      </c>
      <c r="D106">
        <f>_xlfn.XLOOKUP(B106,Production_Line_Master!$A$2:$A$4,Production_Line_Master!$C$2:$C$4)</f>
        <v>1200</v>
      </c>
      <c r="E106">
        <f t="shared" si="7"/>
        <v>17.75</v>
      </c>
      <c r="F106">
        <f>_xlfn.XLOOKUP(B106,Weekly_Capacity!$B$2:$B$4,Weekly_Capacity!$E$2:$E$4)</f>
        <v>35</v>
      </c>
      <c r="G106">
        <f t="shared" si="8"/>
        <v>0</v>
      </c>
      <c r="H106">
        <f t="shared" si="9"/>
        <v>35</v>
      </c>
      <c r="I106">
        <f t="shared" si="10"/>
        <v>42000</v>
      </c>
      <c r="J106">
        <f t="shared" si="11"/>
        <v>0.50714285714285712</v>
      </c>
      <c r="K106">
        <f t="shared" si="12"/>
        <v>0</v>
      </c>
      <c r="L106" t="str">
        <f t="shared" si="13"/>
        <v>WITHIN CAPACITY</v>
      </c>
    </row>
    <row r="107" spans="1:12">
      <c r="A107" s="1" cm="1">
        <f t="array" ref="A107">INDEX(Calendar_Weeks!$A$2:$A$53,INT((ROW()-2)/3)+1)</f>
        <v>46272</v>
      </c>
      <c r="B107" t="str" cm="1">
        <f t="array" ref="B107">INDEX(Production_Line_Master!$A$2:$A$4,MOD(ROW()-2,3)+1)</f>
        <v>L01</v>
      </c>
      <c r="C107">
        <f>SUMIFS(Weekly_Inventory_Flow!$I:$I,Weekly_Inventory_Flow!$A:$A,A107,Weekly_Inventory_Flow!$R:$R,B107)</f>
        <v>14800</v>
      </c>
      <c r="D107">
        <f>_xlfn.XLOOKUP(B107,Production_Line_Master!$A$2:$A$4,Production_Line_Master!$C$2:$C$4)</f>
        <v>1800</v>
      </c>
      <c r="E107">
        <f t="shared" si="7"/>
        <v>8.2222222222222214</v>
      </c>
      <c r="F107">
        <f>_xlfn.XLOOKUP(B107,Weekly_Capacity!$B$2:$B$4,Weekly_Capacity!$E$2:$E$4)</f>
        <v>38</v>
      </c>
      <c r="G107">
        <f t="shared" si="8"/>
        <v>0</v>
      </c>
      <c r="H107">
        <f t="shared" si="9"/>
        <v>38</v>
      </c>
      <c r="I107">
        <f t="shared" si="10"/>
        <v>68400</v>
      </c>
      <c r="J107">
        <f t="shared" si="11"/>
        <v>0.21637426900584794</v>
      </c>
      <c r="K107">
        <f t="shared" si="12"/>
        <v>0</v>
      </c>
      <c r="L107" t="str">
        <f t="shared" si="13"/>
        <v>WITHIN CAPACITY</v>
      </c>
    </row>
    <row r="108" spans="1:12">
      <c r="A108" s="1" cm="1">
        <f t="array" ref="A108">INDEX(Calendar_Weeks!$A$2:$A$53,INT((ROW()-2)/3)+1)</f>
        <v>46272</v>
      </c>
      <c r="B108" t="str" cm="1">
        <f t="array" ref="B108">INDEX(Production_Line_Master!$A$2:$A$4,MOD(ROW()-2,3)+1)</f>
        <v>L02</v>
      </c>
      <c r="C108">
        <f>SUMIFS(Weekly_Inventory_Flow!$I:$I,Weekly_Inventory_Flow!$A:$A,A108,Weekly_Inventory_Flow!$R:$R,B108)</f>
        <v>23700</v>
      </c>
      <c r="D108">
        <f>_xlfn.XLOOKUP(B108,Production_Line_Master!$A$2:$A$4,Production_Line_Master!$C$2:$C$4)</f>
        <v>1500</v>
      </c>
      <c r="E108">
        <f t="shared" si="7"/>
        <v>15.8</v>
      </c>
      <c r="F108">
        <f>_xlfn.XLOOKUP(B108,Weekly_Capacity!$B$2:$B$4,Weekly_Capacity!$E$2:$E$4)</f>
        <v>35</v>
      </c>
      <c r="G108">
        <f t="shared" si="8"/>
        <v>0</v>
      </c>
      <c r="H108">
        <f t="shared" si="9"/>
        <v>35</v>
      </c>
      <c r="I108">
        <f t="shared" si="10"/>
        <v>52500</v>
      </c>
      <c r="J108">
        <f t="shared" si="11"/>
        <v>0.45142857142857146</v>
      </c>
      <c r="K108">
        <f t="shared" si="12"/>
        <v>0</v>
      </c>
      <c r="L108" t="str">
        <f t="shared" si="13"/>
        <v>WITHIN CAPACITY</v>
      </c>
    </row>
    <row r="109" spans="1:12">
      <c r="A109" s="1" cm="1">
        <f t="array" ref="A109">INDEX(Calendar_Weeks!$A$2:$A$53,INT((ROW()-2)/3)+1)</f>
        <v>46272</v>
      </c>
      <c r="B109" t="str" cm="1">
        <f t="array" ref="B109">INDEX(Production_Line_Master!$A$2:$A$4,MOD(ROW()-2,3)+1)</f>
        <v>L03</v>
      </c>
      <c r="C109">
        <f>SUMIFS(Weekly_Inventory_Flow!$I:$I,Weekly_Inventory_Flow!$A:$A,A109,Weekly_Inventory_Flow!$R:$R,B109)</f>
        <v>18900</v>
      </c>
      <c r="D109">
        <f>_xlfn.XLOOKUP(B109,Production_Line_Master!$A$2:$A$4,Production_Line_Master!$C$2:$C$4)</f>
        <v>1200</v>
      </c>
      <c r="E109">
        <f t="shared" si="7"/>
        <v>15.75</v>
      </c>
      <c r="F109">
        <f>_xlfn.XLOOKUP(B109,Weekly_Capacity!$B$2:$B$4,Weekly_Capacity!$E$2:$E$4)</f>
        <v>35</v>
      </c>
      <c r="G109">
        <f t="shared" si="8"/>
        <v>0</v>
      </c>
      <c r="H109">
        <f t="shared" si="9"/>
        <v>35</v>
      </c>
      <c r="I109">
        <f t="shared" si="10"/>
        <v>42000</v>
      </c>
      <c r="J109">
        <f t="shared" si="11"/>
        <v>0.45</v>
      </c>
      <c r="K109">
        <f t="shared" si="12"/>
        <v>0</v>
      </c>
      <c r="L109" t="str">
        <f t="shared" si="13"/>
        <v>WITHIN CAPACITY</v>
      </c>
    </row>
    <row r="110" spans="1:12">
      <c r="A110" s="1" cm="1">
        <f t="array" ref="A110">INDEX(Calendar_Weeks!$A$2:$A$53,INT((ROW()-2)/3)+1)</f>
        <v>46279</v>
      </c>
      <c r="B110" t="str" cm="1">
        <f t="array" ref="B110">INDEX(Production_Line_Master!$A$2:$A$4,MOD(ROW()-2,3)+1)</f>
        <v>L01</v>
      </c>
      <c r="C110">
        <f>SUMIFS(Weekly_Inventory_Flow!$I:$I,Weekly_Inventory_Flow!$A:$A,A110,Weekly_Inventory_Flow!$R:$R,B110)</f>
        <v>14100</v>
      </c>
      <c r="D110">
        <f>_xlfn.XLOOKUP(B110,Production_Line_Master!$A$2:$A$4,Production_Line_Master!$C$2:$C$4)</f>
        <v>1800</v>
      </c>
      <c r="E110">
        <f t="shared" si="7"/>
        <v>7.833333333333333</v>
      </c>
      <c r="F110">
        <f>_xlfn.XLOOKUP(B110,Weekly_Capacity!$B$2:$B$4,Weekly_Capacity!$E$2:$E$4)</f>
        <v>38</v>
      </c>
      <c r="G110">
        <f t="shared" si="8"/>
        <v>0</v>
      </c>
      <c r="H110">
        <f t="shared" si="9"/>
        <v>38</v>
      </c>
      <c r="I110">
        <f t="shared" si="10"/>
        <v>68400</v>
      </c>
      <c r="J110">
        <f t="shared" si="11"/>
        <v>0.20614035087719298</v>
      </c>
      <c r="K110">
        <f t="shared" si="12"/>
        <v>0</v>
      </c>
      <c r="L110" t="str">
        <f t="shared" si="13"/>
        <v>WITHIN CAPACITY</v>
      </c>
    </row>
    <row r="111" spans="1:12">
      <c r="A111" s="1" cm="1">
        <f t="array" ref="A111">INDEX(Calendar_Weeks!$A$2:$A$53,INT((ROW()-2)/3)+1)</f>
        <v>46279</v>
      </c>
      <c r="B111" t="str" cm="1">
        <f t="array" ref="B111">INDEX(Production_Line_Master!$A$2:$A$4,MOD(ROW()-2,3)+1)</f>
        <v>L02</v>
      </c>
      <c r="C111">
        <f>SUMIFS(Weekly_Inventory_Flow!$I:$I,Weekly_Inventory_Flow!$A:$A,A111,Weekly_Inventory_Flow!$R:$R,B111)</f>
        <v>23800</v>
      </c>
      <c r="D111">
        <f>_xlfn.XLOOKUP(B111,Production_Line_Master!$A$2:$A$4,Production_Line_Master!$C$2:$C$4)</f>
        <v>1500</v>
      </c>
      <c r="E111">
        <f t="shared" si="7"/>
        <v>15.866666666666667</v>
      </c>
      <c r="F111">
        <f>_xlfn.XLOOKUP(B111,Weekly_Capacity!$B$2:$B$4,Weekly_Capacity!$E$2:$E$4)</f>
        <v>35</v>
      </c>
      <c r="G111">
        <f t="shared" si="8"/>
        <v>0</v>
      </c>
      <c r="H111">
        <f t="shared" si="9"/>
        <v>35</v>
      </c>
      <c r="I111">
        <f t="shared" si="10"/>
        <v>52500</v>
      </c>
      <c r="J111">
        <f t="shared" si="11"/>
        <v>0.45333333333333337</v>
      </c>
      <c r="K111">
        <f t="shared" si="12"/>
        <v>0</v>
      </c>
      <c r="L111" t="str">
        <f t="shared" si="13"/>
        <v>WITHIN CAPACITY</v>
      </c>
    </row>
    <row r="112" spans="1:12">
      <c r="A112" s="1" cm="1">
        <f t="array" ref="A112">INDEX(Calendar_Weeks!$A$2:$A$53,INT((ROW()-2)/3)+1)</f>
        <v>46279</v>
      </c>
      <c r="B112" t="str" cm="1">
        <f t="array" ref="B112">INDEX(Production_Line_Master!$A$2:$A$4,MOD(ROW()-2,3)+1)</f>
        <v>L03</v>
      </c>
      <c r="C112">
        <f>SUMIFS(Weekly_Inventory_Flow!$I:$I,Weekly_Inventory_Flow!$A:$A,A112,Weekly_Inventory_Flow!$R:$R,B112)</f>
        <v>19600</v>
      </c>
      <c r="D112">
        <f>_xlfn.XLOOKUP(B112,Production_Line_Master!$A$2:$A$4,Production_Line_Master!$C$2:$C$4)</f>
        <v>1200</v>
      </c>
      <c r="E112">
        <f t="shared" si="7"/>
        <v>16.333333333333332</v>
      </c>
      <c r="F112">
        <f>_xlfn.XLOOKUP(B112,Weekly_Capacity!$B$2:$B$4,Weekly_Capacity!$E$2:$E$4)</f>
        <v>35</v>
      </c>
      <c r="G112">
        <f t="shared" si="8"/>
        <v>0</v>
      </c>
      <c r="H112">
        <f t="shared" si="9"/>
        <v>35</v>
      </c>
      <c r="I112">
        <f t="shared" si="10"/>
        <v>42000</v>
      </c>
      <c r="J112">
        <f t="shared" si="11"/>
        <v>0.46666666666666662</v>
      </c>
      <c r="K112">
        <f t="shared" si="12"/>
        <v>0</v>
      </c>
      <c r="L112" t="str">
        <f t="shared" si="13"/>
        <v>WITHIN CAPACITY</v>
      </c>
    </row>
    <row r="113" spans="1:12">
      <c r="A113" s="1" cm="1">
        <f t="array" ref="A113">INDEX(Calendar_Weeks!$A$2:$A$53,INT((ROW()-2)/3)+1)</f>
        <v>46286</v>
      </c>
      <c r="B113" t="str" cm="1">
        <f t="array" ref="B113">INDEX(Production_Line_Master!$A$2:$A$4,MOD(ROW()-2,3)+1)</f>
        <v>L01</v>
      </c>
      <c r="C113">
        <f>SUMIFS(Weekly_Inventory_Flow!$I:$I,Weekly_Inventory_Flow!$A:$A,A113,Weekly_Inventory_Flow!$R:$R,B113)</f>
        <v>14300</v>
      </c>
      <c r="D113">
        <f>_xlfn.XLOOKUP(B113,Production_Line_Master!$A$2:$A$4,Production_Line_Master!$C$2:$C$4)</f>
        <v>1800</v>
      </c>
      <c r="E113">
        <f t="shared" si="7"/>
        <v>7.9444444444444446</v>
      </c>
      <c r="F113">
        <f>_xlfn.XLOOKUP(B113,Weekly_Capacity!$B$2:$B$4,Weekly_Capacity!$E$2:$E$4)</f>
        <v>38</v>
      </c>
      <c r="G113">
        <f t="shared" si="8"/>
        <v>0</v>
      </c>
      <c r="H113">
        <f t="shared" si="9"/>
        <v>38</v>
      </c>
      <c r="I113">
        <f t="shared" si="10"/>
        <v>68400</v>
      </c>
      <c r="J113">
        <f t="shared" si="11"/>
        <v>0.20906432748538012</v>
      </c>
      <c r="K113">
        <f t="shared" si="12"/>
        <v>0</v>
      </c>
      <c r="L113" t="str">
        <f t="shared" si="13"/>
        <v>WITHIN CAPACITY</v>
      </c>
    </row>
    <row r="114" spans="1:12">
      <c r="A114" s="1" cm="1">
        <f t="array" ref="A114">INDEX(Calendar_Weeks!$A$2:$A$53,INT((ROW()-2)/3)+1)</f>
        <v>46286</v>
      </c>
      <c r="B114" t="str" cm="1">
        <f t="array" ref="B114">INDEX(Production_Line_Master!$A$2:$A$4,MOD(ROW()-2,3)+1)</f>
        <v>L02</v>
      </c>
      <c r="C114">
        <f>SUMIFS(Weekly_Inventory_Flow!$I:$I,Weekly_Inventory_Flow!$A:$A,A114,Weekly_Inventory_Flow!$R:$R,B114)</f>
        <v>24600</v>
      </c>
      <c r="D114">
        <f>_xlfn.XLOOKUP(B114,Production_Line_Master!$A$2:$A$4,Production_Line_Master!$C$2:$C$4)</f>
        <v>1500</v>
      </c>
      <c r="E114">
        <f t="shared" si="7"/>
        <v>16.399999999999999</v>
      </c>
      <c r="F114">
        <f>_xlfn.XLOOKUP(B114,Weekly_Capacity!$B$2:$B$4,Weekly_Capacity!$E$2:$E$4)</f>
        <v>35</v>
      </c>
      <c r="G114">
        <f t="shared" si="8"/>
        <v>0</v>
      </c>
      <c r="H114">
        <f t="shared" si="9"/>
        <v>35</v>
      </c>
      <c r="I114">
        <f t="shared" si="10"/>
        <v>52500</v>
      </c>
      <c r="J114">
        <f t="shared" si="11"/>
        <v>0.46857142857142853</v>
      </c>
      <c r="K114">
        <f t="shared" si="12"/>
        <v>0</v>
      </c>
      <c r="L114" t="str">
        <f t="shared" si="13"/>
        <v>WITHIN CAPACITY</v>
      </c>
    </row>
    <row r="115" spans="1:12">
      <c r="A115" s="1" cm="1">
        <f t="array" ref="A115">INDEX(Calendar_Weeks!$A$2:$A$53,INT((ROW()-2)/3)+1)</f>
        <v>46286</v>
      </c>
      <c r="B115" t="str" cm="1">
        <f t="array" ref="B115">INDEX(Production_Line_Master!$A$2:$A$4,MOD(ROW()-2,3)+1)</f>
        <v>L03</v>
      </c>
      <c r="C115">
        <f>SUMIFS(Weekly_Inventory_Flow!$I:$I,Weekly_Inventory_Flow!$A:$A,A115,Weekly_Inventory_Flow!$R:$R,B115)</f>
        <v>20200</v>
      </c>
      <c r="D115">
        <f>_xlfn.XLOOKUP(B115,Production_Line_Master!$A$2:$A$4,Production_Line_Master!$C$2:$C$4)</f>
        <v>1200</v>
      </c>
      <c r="E115">
        <f t="shared" si="7"/>
        <v>16.833333333333332</v>
      </c>
      <c r="F115">
        <f>_xlfn.XLOOKUP(B115,Weekly_Capacity!$B$2:$B$4,Weekly_Capacity!$E$2:$E$4)</f>
        <v>35</v>
      </c>
      <c r="G115">
        <f t="shared" si="8"/>
        <v>0</v>
      </c>
      <c r="H115">
        <f t="shared" si="9"/>
        <v>35</v>
      </c>
      <c r="I115">
        <f t="shared" si="10"/>
        <v>42000</v>
      </c>
      <c r="J115">
        <f t="shared" si="11"/>
        <v>0.48095238095238091</v>
      </c>
      <c r="K115">
        <f t="shared" si="12"/>
        <v>0</v>
      </c>
      <c r="L115" t="str">
        <f t="shared" si="13"/>
        <v>WITHIN CAPACITY</v>
      </c>
    </row>
    <row r="116" spans="1:12">
      <c r="A116" s="1" cm="1">
        <f t="array" ref="A116">INDEX(Calendar_Weeks!$A$2:$A$53,INT((ROW()-2)/3)+1)</f>
        <v>46293</v>
      </c>
      <c r="B116" t="str" cm="1">
        <f t="array" ref="B116">INDEX(Production_Line_Master!$A$2:$A$4,MOD(ROW()-2,3)+1)</f>
        <v>L01</v>
      </c>
      <c r="C116">
        <f>SUMIFS(Weekly_Inventory_Flow!$I:$I,Weekly_Inventory_Flow!$A:$A,A116,Weekly_Inventory_Flow!$R:$R,B116)</f>
        <v>14700</v>
      </c>
      <c r="D116">
        <f>_xlfn.XLOOKUP(B116,Production_Line_Master!$A$2:$A$4,Production_Line_Master!$C$2:$C$4)</f>
        <v>1800</v>
      </c>
      <c r="E116">
        <f t="shared" si="7"/>
        <v>8.1666666666666661</v>
      </c>
      <c r="F116">
        <f>_xlfn.XLOOKUP(B116,Weekly_Capacity!$B$2:$B$4,Weekly_Capacity!$E$2:$E$4)</f>
        <v>38</v>
      </c>
      <c r="G116">
        <f t="shared" si="8"/>
        <v>0</v>
      </c>
      <c r="H116">
        <f t="shared" si="9"/>
        <v>38</v>
      </c>
      <c r="I116">
        <f t="shared" si="10"/>
        <v>68400</v>
      </c>
      <c r="J116">
        <f t="shared" si="11"/>
        <v>0.21491228070175436</v>
      </c>
      <c r="K116">
        <f t="shared" si="12"/>
        <v>0</v>
      </c>
      <c r="L116" t="str">
        <f t="shared" si="13"/>
        <v>WITHIN CAPACITY</v>
      </c>
    </row>
    <row r="117" spans="1:12">
      <c r="A117" s="1" cm="1">
        <f t="array" ref="A117">INDEX(Calendar_Weeks!$A$2:$A$53,INT((ROW()-2)/3)+1)</f>
        <v>46293</v>
      </c>
      <c r="B117" t="str" cm="1">
        <f t="array" ref="B117">INDEX(Production_Line_Master!$A$2:$A$4,MOD(ROW()-2,3)+1)</f>
        <v>L02</v>
      </c>
      <c r="C117">
        <f>SUMIFS(Weekly_Inventory_Flow!$I:$I,Weekly_Inventory_Flow!$A:$A,A117,Weekly_Inventory_Flow!$R:$R,B117)</f>
        <v>24200</v>
      </c>
      <c r="D117">
        <f>_xlfn.XLOOKUP(B117,Production_Line_Master!$A$2:$A$4,Production_Line_Master!$C$2:$C$4)</f>
        <v>1500</v>
      </c>
      <c r="E117">
        <f t="shared" si="7"/>
        <v>16.133333333333333</v>
      </c>
      <c r="F117">
        <f>_xlfn.XLOOKUP(B117,Weekly_Capacity!$B$2:$B$4,Weekly_Capacity!$E$2:$E$4)</f>
        <v>35</v>
      </c>
      <c r="G117">
        <f t="shared" si="8"/>
        <v>0</v>
      </c>
      <c r="H117">
        <f t="shared" si="9"/>
        <v>35</v>
      </c>
      <c r="I117">
        <f t="shared" si="10"/>
        <v>52500</v>
      </c>
      <c r="J117">
        <f t="shared" si="11"/>
        <v>0.46095238095238095</v>
      </c>
      <c r="K117">
        <f t="shared" si="12"/>
        <v>0</v>
      </c>
      <c r="L117" t="str">
        <f t="shared" si="13"/>
        <v>WITHIN CAPACITY</v>
      </c>
    </row>
    <row r="118" spans="1:12">
      <c r="A118" s="1" cm="1">
        <f t="array" ref="A118">INDEX(Calendar_Weeks!$A$2:$A$53,INT((ROW()-2)/3)+1)</f>
        <v>46293</v>
      </c>
      <c r="B118" t="str" cm="1">
        <f t="array" ref="B118">INDEX(Production_Line_Master!$A$2:$A$4,MOD(ROW()-2,3)+1)</f>
        <v>L03</v>
      </c>
      <c r="C118">
        <f>SUMIFS(Weekly_Inventory_Flow!$I:$I,Weekly_Inventory_Flow!$A:$A,A118,Weekly_Inventory_Flow!$R:$R,B118)</f>
        <v>19800</v>
      </c>
      <c r="D118">
        <f>_xlfn.XLOOKUP(B118,Production_Line_Master!$A$2:$A$4,Production_Line_Master!$C$2:$C$4)</f>
        <v>1200</v>
      </c>
      <c r="E118">
        <f t="shared" si="7"/>
        <v>16.5</v>
      </c>
      <c r="F118">
        <f>_xlfn.XLOOKUP(B118,Weekly_Capacity!$B$2:$B$4,Weekly_Capacity!$E$2:$E$4)</f>
        <v>35</v>
      </c>
      <c r="G118">
        <f t="shared" si="8"/>
        <v>0</v>
      </c>
      <c r="H118">
        <f t="shared" si="9"/>
        <v>35</v>
      </c>
      <c r="I118">
        <f t="shared" si="10"/>
        <v>42000</v>
      </c>
      <c r="J118">
        <f t="shared" si="11"/>
        <v>0.47142857142857142</v>
      </c>
      <c r="K118">
        <f t="shared" si="12"/>
        <v>0</v>
      </c>
      <c r="L118" t="str">
        <f t="shared" si="13"/>
        <v>WITHIN CAPACITY</v>
      </c>
    </row>
    <row r="119" spans="1:12">
      <c r="A119" s="1" cm="1">
        <f t="array" ref="A119">INDEX(Calendar_Weeks!$A$2:$A$53,INT((ROW()-2)/3)+1)</f>
        <v>46300</v>
      </c>
      <c r="B119" t="str" cm="1">
        <f t="array" ref="B119">INDEX(Production_Line_Master!$A$2:$A$4,MOD(ROW()-2,3)+1)</f>
        <v>L01</v>
      </c>
      <c r="C119">
        <f>SUMIFS(Weekly_Inventory_Flow!$I:$I,Weekly_Inventory_Flow!$A:$A,A119,Weekly_Inventory_Flow!$R:$R,B119)</f>
        <v>15000</v>
      </c>
      <c r="D119">
        <f>_xlfn.XLOOKUP(B119,Production_Line_Master!$A$2:$A$4,Production_Line_Master!$C$2:$C$4)</f>
        <v>1800</v>
      </c>
      <c r="E119">
        <f t="shared" si="7"/>
        <v>8.3333333333333339</v>
      </c>
      <c r="F119">
        <f>_xlfn.XLOOKUP(B119,Weekly_Capacity!$B$2:$B$4,Weekly_Capacity!$E$2:$E$4)</f>
        <v>38</v>
      </c>
      <c r="G119">
        <f t="shared" si="8"/>
        <v>0</v>
      </c>
      <c r="H119">
        <f t="shared" si="9"/>
        <v>38</v>
      </c>
      <c r="I119">
        <f t="shared" si="10"/>
        <v>68400</v>
      </c>
      <c r="J119">
        <f t="shared" si="11"/>
        <v>0.2192982456140351</v>
      </c>
      <c r="K119">
        <f t="shared" si="12"/>
        <v>0</v>
      </c>
      <c r="L119" t="str">
        <f t="shared" si="13"/>
        <v>WITHIN CAPACITY</v>
      </c>
    </row>
    <row r="120" spans="1:12">
      <c r="A120" s="1" cm="1">
        <f t="array" ref="A120">INDEX(Calendar_Weeks!$A$2:$A$53,INT((ROW()-2)/3)+1)</f>
        <v>46300</v>
      </c>
      <c r="B120" t="str" cm="1">
        <f t="array" ref="B120">INDEX(Production_Line_Master!$A$2:$A$4,MOD(ROW()-2,3)+1)</f>
        <v>L02</v>
      </c>
      <c r="C120">
        <f>SUMIFS(Weekly_Inventory_Flow!$I:$I,Weekly_Inventory_Flow!$A:$A,A120,Weekly_Inventory_Flow!$R:$R,B120)</f>
        <v>24400</v>
      </c>
      <c r="D120">
        <f>_xlfn.XLOOKUP(B120,Production_Line_Master!$A$2:$A$4,Production_Line_Master!$C$2:$C$4)</f>
        <v>1500</v>
      </c>
      <c r="E120">
        <f t="shared" si="7"/>
        <v>16.266666666666666</v>
      </c>
      <c r="F120">
        <f>_xlfn.XLOOKUP(B120,Weekly_Capacity!$B$2:$B$4,Weekly_Capacity!$E$2:$E$4)</f>
        <v>35</v>
      </c>
      <c r="G120">
        <f t="shared" si="8"/>
        <v>0</v>
      </c>
      <c r="H120">
        <f t="shared" si="9"/>
        <v>35</v>
      </c>
      <c r="I120">
        <f t="shared" si="10"/>
        <v>52500</v>
      </c>
      <c r="J120">
        <f t="shared" si="11"/>
        <v>0.46476190476190471</v>
      </c>
      <c r="K120">
        <f t="shared" si="12"/>
        <v>0</v>
      </c>
      <c r="L120" t="str">
        <f t="shared" si="13"/>
        <v>WITHIN CAPACITY</v>
      </c>
    </row>
    <row r="121" spans="1:12">
      <c r="A121" s="1" cm="1">
        <f t="array" ref="A121">INDEX(Calendar_Weeks!$A$2:$A$53,INT((ROW()-2)/3)+1)</f>
        <v>46300</v>
      </c>
      <c r="B121" t="str" cm="1">
        <f t="array" ref="B121">INDEX(Production_Line_Master!$A$2:$A$4,MOD(ROW()-2,3)+1)</f>
        <v>L03</v>
      </c>
      <c r="C121">
        <f>SUMIFS(Weekly_Inventory_Flow!$I:$I,Weekly_Inventory_Flow!$A:$A,A121,Weekly_Inventory_Flow!$R:$R,B121)</f>
        <v>19700</v>
      </c>
      <c r="D121">
        <f>_xlfn.XLOOKUP(B121,Production_Line_Master!$A$2:$A$4,Production_Line_Master!$C$2:$C$4)</f>
        <v>1200</v>
      </c>
      <c r="E121">
        <f t="shared" si="7"/>
        <v>16.416666666666668</v>
      </c>
      <c r="F121">
        <f>_xlfn.XLOOKUP(B121,Weekly_Capacity!$B$2:$B$4,Weekly_Capacity!$E$2:$E$4)</f>
        <v>35</v>
      </c>
      <c r="G121">
        <f t="shared" si="8"/>
        <v>0</v>
      </c>
      <c r="H121">
        <f t="shared" si="9"/>
        <v>35</v>
      </c>
      <c r="I121">
        <f t="shared" si="10"/>
        <v>42000</v>
      </c>
      <c r="J121">
        <f t="shared" si="11"/>
        <v>0.4690476190476191</v>
      </c>
      <c r="K121">
        <f t="shared" si="12"/>
        <v>0</v>
      </c>
      <c r="L121" t="str">
        <f t="shared" si="13"/>
        <v>WITHIN CAPACITY</v>
      </c>
    </row>
    <row r="122" spans="1:12">
      <c r="A122" s="1" cm="1">
        <f t="array" ref="A122">INDEX(Calendar_Weeks!$A$2:$A$53,INT((ROW()-2)/3)+1)</f>
        <v>46307</v>
      </c>
      <c r="B122" t="str" cm="1">
        <f t="array" ref="B122">INDEX(Production_Line_Master!$A$2:$A$4,MOD(ROW()-2,3)+1)</f>
        <v>L01</v>
      </c>
      <c r="C122">
        <f>SUMIFS(Weekly_Inventory_Flow!$I:$I,Weekly_Inventory_Flow!$A:$A,A122,Weekly_Inventory_Flow!$R:$R,B122)</f>
        <v>14100</v>
      </c>
      <c r="D122">
        <f>_xlfn.XLOOKUP(B122,Production_Line_Master!$A$2:$A$4,Production_Line_Master!$C$2:$C$4)</f>
        <v>1800</v>
      </c>
      <c r="E122">
        <f t="shared" si="7"/>
        <v>7.833333333333333</v>
      </c>
      <c r="F122">
        <f>_xlfn.XLOOKUP(B122,Weekly_Capacity!$B$2:$B$4,Weekly_Capacity!$E$2:$E$4)</f>
        <v>38</v>
      </c>
      <c r="G122">
        <f t="shared" si="8"/>
        <v>0</v>
      </c>
      <c r="H122">
        <f t="shared" si="9"/>
        <v>38</v>
      </c>
      <c r="I122">
        <f t="shared" si="10"/>
        <v>68400</v>
      </c>
      <c r="J122">
        <f t="shared" si="11"/>
        <v>0.20614035087719298</v>
      </c>
      <c r="K122">
        <f t="shared" si="12"/>
        <v>0</v>
      </c>
      <c r="L122" t="str">
        <f t="shared" si="13"/>
        <v>WITHIN CAPACITY</v>
      </c>
    </row>
    <row r="123" spans="1:12">
      <c r="A123" s="1" cm="1">
        <f t="array" ref="A123">INDEX(Calendar_Weeks!$A$2:$A$53,INT((ROW()-2)/3)+1)</f>
        <v>46307</v>
      </c>
      <c r="B123" t="str" cm="1">
        <f t="array" ref="B123">INDEX(Production_Line_Master!$A$2:$A$4,MOD(ROW()-2,3)+1)</f>
        <v>L02</v>
      </c>
      <c r="C123">
        <f>SUMIFS(Weekly_Inventory_Flow!$I:$I,Weekly_Inventory_Flow!$A:$A,A123,Weekly_Inventory_Flow!$R:$R,B123)</f>
        <v>23300</v>
      </c>
      <c r="D123">
        <f>_xlfn.XLOOKUP(B123,Production_Line_Master!$A$2:$A$4,Production_Line_Master!$C$2:$C$4)</f>
        <v>1500</v>
      </c>
      <c r="E123">
        <f t="shared" si="7"/>
        <v>15.533333333333333</v>
      </c>
      <c r="F123">
        <f>_xlfn.XLOOKUP(B123,Weekly_Capacity!$B$2:$B$4,Weekly_Capacity!$E$2:$E$4)</f>
        <v>35</v>
      </c>
      <c r="G123">
        <f t="shared" si="8"/>
        <v>0</v>
      </c>
      <c r="H123">
        <f t="shared" si="9"/>
        <v>35</v>
      </c>
      <c r="I123">
        <f t="shared" si="10"/>
        <v>52500</v>
      </c>
      <c r="J123">
        <f t="shared" si="11"/>
        <v>0.44380952380952382</v>
      </c>
      <c r="K123">
        <f t="shared" si="12"/>
        <v>0</v>
      </c>
      <c r="L123" t="str">
        <f t="shared" si="13"/>
        <v>WITHIN CAPACITY</v>
      </c>
    </row>
    <row r="124" spans="1:12">
      <c r="A124" s="1" cm="1">
        <f t="array" ref="A124">INDEX(Calendar_Weeks!$A$2:$A$53,INT((ROW()-2)/3)+1)</f>
        <v>46307</v>
      </c>
      <c r="B124" t="str" cm="1">
        <f t="array" ref="B124">INDEX(Production_Line_Master!$A$2:$A$4,MOD(ROW()-2,3)+1)</f>
        <v>L03</v>
      </c>
      <c r="C124">
        <f>SUMIFS(Weekly_Inventory_Flow!$I:$I,Weekly_Inventory_Flow!$A:$A,A124,Weekly_Inventory_Flow!$R:$R,B124)</f>
        <v>19000</v>
      </c>
      <c r="D124">
        <f>_xlfn.XLOOKUP(B124,Production_Line_Master!$A$2:$A$4,Production_Line_Master!$C$2:$C$4)</f>
        <v>1200</v>
      </c>
      <c r="E124">
        <f t="shared" si="7"/>
        <v>15.833333333333334</v>
      </c>
      <c r="F124">
        <f>_xlfn.XLOOKUP(B124,Weekly_Capacity!$B$2:$B$4,Weekly_Capacity!$E$2:$E$4)</f>
        <v>35</v>
      </c>
      <c r="G124">
        <f t="shared" si="8"/>
        <v>0</v>
      </c>
      <c r="H124">
        <f t="shared" si="9"/>
        <v>35</v>
      </c>
      <c r="I124">
        <f t="shared" si="10"/>
        <v>42000</v>
      </c>
      <c r="J124">
        <f t="shared" si="11"/>
        <v>0.45238095238095238</v>
      </c>
      <c r="K124">
        <f t="shared" si="12"/>
        <v>0</v>
      </c>
      <c r="L124" t="str">
        <f t="shared" si="13"/>
        <v>WITHIN CAPACITY</v>
      </c>
    </row>
    <row r="125" spans="1:12">
      <c r="A125" s="1" cm="1">
        <f t="array" ref="A125">INDEX(Calendar_Weeks!$A$2:$A$53,INT((ROW()-2)/3)+1)</f>
        <v>46314</v>
      </c>
      <c r="B125" t="str" cm="1">
        <f t="array" ref="B125">INDEX(Production_Line_Master!$A$2:$A$4,MOD(ROW()-2,3)+1)</f>
        <v>L01</v>
      </c>
      <c r="C125">
        <f>SUMIFS(Weekly_Inventory_Flow!$I:$I,Weekly_Inventory_Flow!$A:$A,A125,Weekly_Inventory_Flow!$R:$R,B125)</f>
        <v>14500</v>
      </c>
      <c r="D125">
        <f>_xlfn.XLOOKUP(B125,Production_Line_Master!$A$2:$A$4,Production_Line_Master!$C$2:$C$4)</f>
        <v>1800</v>
      </c>
      <c r="E125">
        <f t="shared" si="7"/>
        <v>8.0555555555555554</v>
      </c>
      <c r="F125">
        <f>_xlfn.XLOOKUP(B125,Weekly_Capacity!$B$2:$B$4,Weekly_Capacity!$E$2:$E$4)</f>
        <v>38</v>
      </c>
      <c r="G125">
        <f t="shared" si="8"/>
        <v>0</v>
      </c>
      <c r="H125">
        <f t="shared" si="9"/>
        <v>38</v>
      </c>
      <c r="I125">
        <f t="shared" si="10"/>
        <v>68400</v>
      </c>
      <c r="J125">
        <f t="shared" si="11"/>
        <v>0.21198830409356725</v>
      </c>
      <c r="K125">
        <f t="shared" si="12"/>
        <v>0</v>
      </c>
      <c r="L125" t="str">
        <f t="shared" si="13"/>
        <v>WITHIN CAPACITY</v>
      </c>
    </row>
    <row r="126" spans="1:12">
      <c r="A126" s="1" cm="1">
        <f t="array" ref="A126">INDEX(Calendar_Weeks!$A$2:$A$53,INT((ROW()-2)/3)+1)</f>
        <v>46314</v>
      </c>
      <c r="B126" t="str" cm="1">
        <f t="array" ref="B126">INDEX(Production_Line_Master!$A$2:$A$4,MOD(ROW()-2,3)+1)</f>
        <v>L02</v>
      </c>
      <c r="C126">
        <f>SUMIFS(Weekly_Inventory_Flow!$I:$I,Weekly_Inventory_Flow!$A:$A,A126,Weekly_Inventory_Flow!$R:$R,B126)</f>
        <v>23900</v>
      </c>
      <c r="D126">
        <f>_xlfn.XLOOKUP(B126,Production_Line_Master!$A$2:$A$4,Production_Line_Master!$C$2:$C$4)</f>
        <v>1500</v>
      </c>
      <c r="E126">
        <f t="shared" si="7"/>
        <v>15.933333333333334</v>
      </c>
      <c r="F126">
        <f>_xlfn.XLOOKUP(B126,Weekly_Capacity!$B$2:$B$4,Weekly_Capacity!$E$2:$E$4)</f>
        <v>35</v>
      </c>
      <c r="G126">
        <f t="shared" si="8"/>
        <v>0</v>
      </c>
      <c r="H126">
        <f t="shared" si="9"/>
        <v>35</v>
      </c>
      <c r="I126">
        <f t="shared" si="10"/>
        <v>52500</v>
      </c>
      <c r="J126">
        <f t="shared" si="11"/>
        <v>0.45523809523809522</v>
      </c>
      <c r="K126">
        <f t="shared" si="12"/>
        <v>0</v>
      </c>
      <c r="L126" t="str">
        <f t="shared" si="13"/>
        <v>WITHIN CAPACITY</v>
      </c>
    </row>
    <row r="127" spans="1:12">
      <c r="A127" s="1" cm="1">
        <f t="array" ref="A127">INDEX(Calendar_Weeks!$A$2:$A$53,INT((ROW()-2)/3)+1)</f>
        <v>46314</v>
      </c>
      <c r="B127" t="str" cm="1">
        <f t="array" ref="B127">INDEX(Production_Line_Master!$A$2:$A$4,MOD(ROW()-2,3)+1)</f>
        <v>L03</v>
      </c>
      <c r="C127">
        <f>SUMIFS(Weekly_Inventory_Flow!$I:$I,Weekly_Inventory_Flow!$A:$A,A127,Weekly_Inventory_Flow!$R:$R,B127)</f>
        <v>19200</v>
      </c>
      <c r="D127">
        <f>_xlfn.XLOOKUP(B127,Production_Line_Master!$A$2:$A$4,Production_Line_Master!$C$2:$C$4)</f>
        <v>1200</v>
      </c>
      <c r="E127">
        <f t="shared" si="7"/>
        <v>16</v>
      </c>
      <c r="F127">
        <f>_xlfn.XLOOKUP(B127,Weekly_Capacity!$B$2:$B$4,Weekly_Capacity!$E$2:$E$4)</f>
        <v>35</v>
      </c>
      <c r="G127">
        <f t="shared" si="8"/>
        <v>0</v>
      </c>
      <c r="H127">
        <f t="shared" si="9"/>
        <v>35</v>
      </c>
      <c r="I127">
        <f t="shared" si="10"/>
        <v>42000</v>
      </c>
      <c r="J127">
        <f t="shared" si="11"/>
        <v>0.45714285714285713</v>
      </c>
      <c r="K127">
        <f t="shared" si="12"/>
        <v>0</v>
      </c>
      <c r="L127" t="str">
        <f t="shared" si="13"/>
        <v>WITHIN CAPACITY</v>
      </c>
    </row>
    <row r="128" spans="1:12">
      <c r="A128" s="1" cm="1">
        <f t="array" ref="A128">INDEX(Calendar_Weeks!$A$2:$A$53,INT((ROW()-2)/3)+1)</f>
        <v>46321</v>
      </c>
      <c r="B128" t="str" cm="1">
        <f t="array" ref="B128">INDEX(Production_Line_Master!$A$2:$A$4,MOD(ROW()-2,3)+1)</f>
        <v>L01</v>
      </c>
      <c r="C128">
        <f>SUMIFS(Weekly_Inventory_Flow!$I:$I,Weekly_Inventory_Flow!$A:$A,A128,Weekly_Inventory_Flow!$R:$R,B128)</f>
        <v>13700</v>
      </c>
      <c r="D128">
        <f>_xlfn.XLOOKUP(B128,Production_Line_Master!$A$2:$A$4,Production_Line_Master!$C$2:$C$4)</f>
        <v>1800</v>
      </c>
      <c r="E128">
        <f t="shared" si="7"/>
        <v>7.6111111111111107</v>
      </c>
      <c r="F128">
        <f>_xlfn.XLOOKUP(B128,Weekly_Capacity!$B$2:$B$4,Weekly_Capacity!$E$2:$E$4)</f>
        <v>38</v>
      </c>
      <c r="G128">
        <f t="shared" si="8"/>
        <v>0</v>
      </c>
      <c r="H128">
        <f t="shared" si="9"/>
        <v>38</v>
      </c>
      <c r="I128">
        <f t="shared" si="10"/>
        <v>68400</v>
      </c>
      <c r="J128">
        <f t="shared" si="11"/>
        <v>0.20029239766081872</v>
      </c>
      <c r="K128">
        <f t="shared" si="12"/>
        <v>0</v>
      </c>
      <c r="L128" t="str">
        <f t="shared" si="13"/>
        <v>WITHIN CAPACITY</v>
      </c>
    </row>
    <row r="129" spans="1:12">
      <c r="A129" s="1" cm="1">
        <f t="array" ref="A129">INDEX(Calendar_Weeks!$A$2:$A$53,INT((ROW()-2)/3)+1)</f>
        <v>46321</v>
      </c>
      <c r="B129" t="str" cm="1">
        <f t="array" ref="B129">INDEX(Production_Line_Master!$A$2:$A$4,MOD(ROW()-2,3)+1)</f>
        <v>L02</v>
      </c>
      <c r="C129">
        <f>SUMIFS(Weekly_Inventory_Flow!$I:$I,Weekly_Inventory_Flow!$A:$A,A129,Weekly_Inventory_Flow!$R:$R,B129)</f>
        <v>24000</v>
      </c>
      <c r="D129">
        <f>_xlfn.XLOOKUP(B129,Production_Line_Master!$A$2:$A$4,Production_Line_Master!$C$2:$C$4)</f>
        <v>1500</v>
      </c>
      <c r="E129">
        <f t="shared" si="7"/>
        <v>16</v>
      </c>
      <c r="F129">
        <f>_xlfn.XLOOKUP(B129,Weekly_Capacity!$B$2:$B$4,Weekly_Capacity!$E$2:$E$4)</f>
        <v>35</v>
      </c>
      <c r="G129">
        <f t="shared" si="8"/>
        <v>0</v>
      </c>
      <c r="H129">
        <f t="shared" si="9"/>
        <v>35</v>
      </c>
      <c r="I129">
        <f t="shared" si="10"/>
        <v>52500</v>
      </c>
      <c r="J129">
        <f t="shared" si="11"/>
        <v>0.45714285714285713</v>
      </c>
      <c r="K129">
        <f t="shared" si="12"/>
        <v>0</v>
      </c>
      <c r="L129" t="str">
        <f t="shared" si="13"/>
        <v>WITHIN CAPACITY</v>
      </c>
    </row>
    <row r="130" spans="1:12">
      <c r="A130" s="1" cm="1">
        <f t="array" ref="A130">INDEX(Calendar_Weeks!$A$2:$A$53,INT((ROW()-2)/3)+1)</f>
        <v>46321</v>
      </c>
      <c r="B130" t="str" cm="1">
        <f t="array" ref="B130">INDEX(Production_Line_Master!$A$2:$A$4,MOD(ROW()-2,3)+1)</f>
        <v>L03</v>
      </c>
      <c r="C130">
        <f>SUMIFS(Weekly_Inventory_Flow!$I:$I,Weekly_Inventory_Flow!$A:$A,A130,Weekly_Inventory_Flow!$R:$R,B130)</f>
        <v>20200</v>
      </c>
      <c r="D130">
        <f>_xlfn.XLOOKUP(B130,Production_Line_Master!$A$2:$A$4,Production_Line_Master!$C$2:$C$4)</f>
        <v>1200</v>
      </c>
      <c r="E130">
        <f t="shared" si="7"/>
        <v>16.833333333333332</v>
      </c>
      <c r="F130">
        <f>_xlfn.XLOOKUP(B130,Weekly_Capacity!$B$2:$B$4,Weekly_Capacity!$E$2:$E$4)</f>
        <v>35</v>
      </c>
      <c r="G130">
        <f t="shared" si="8"/>
        <v>0</v>
      </c>
      <c r="H130">
        <f t="shared" si="9"/>
        <v>35</v>
      </c>
      <c r="I130">
        <f t="shared" si="10"/>
        <v>42000</v>
      </c>
      <c r="J130">
        <f t="shared" si="11"/>
        <v>0.48095238095238091</v>
      </c>
      <c r="K130">
        <f t="shared" si="12"/>
        <v>0</v>
      </c>
      <c r="L130" t="str">
        <f t="shared" si="13"/>
        <v>WITHIN CAPACITY</v>
      </c>
    </row>
    <row r="131" spans="1:12">
      <c r="A131" s="1" cm="1">
        <f t="array" ref="A131">INDEX(Calendar_Weeks!$A$2:$A$53,INT((ROW()-2)/3)+1)</f>
        <v>46328</v>
      </c>
      <c r="B131" t="str" cm="1">
        <f t="array" ref="B131">INDEX(Production_Line_Master!$A$2:$A$4,MOD(ROW()-2,3)+1)</f>
        <v>L01</v>
      </c>
      <c r="C131">
        <f>SUMIFS(Weekly_Inventory_Flow!$I:$I,Weekly_Inventory_Flow!$A:$A,A131,Weekly_Inventory_Flow!$R:$R,B131)</f>
        <v>16000</v>
      </c>
      <c r="D131">
        <f>_xlfn.XLOOKUP(B131,Production_Line_Master!$A$2:$A$4,Production_Line_Master!$C$2:$C$4)</f>
        <v>1800</v>
      </c>
      <c r="E131">
        <f t="shared" ref="E131:E157" si="14">C131/D131</f>
        <v>8.8888888888888893</v>
      </c>
      <c r="F131">
        <f>_xlfn.XLOOKUP(B131,Weekly_Capacity!$B$2:$B$4,Weekly_Capacity!$E$2:$E$4)</f>
        <v>38</v>
      </c>
      <c r="G131">
        <f t="shared" ref="G131:G157" si="15">IF(AND(A131=DATE(2026,11,2),B131="L02"),0.7,0)</f>
        <v>0</v>
      </c>
      <c r="H131">
        <f t="shared" ref="H131:H157" si="16">F131*(1-G131)</f>
        <v>38</v>
      </c>
      <c r="I131">
        <f t="shared" ref="I131:I157" si="17">H131*D131</f>
        <v>68400</v>
      </c>
      <c r="J131">
        <f t="shared" ref="J131:J157" si="18">IF(H131=0,0,E131/H131)</f>
        <v>0.23391812865497078</v>
      </c>
      <c r="K131">
        <f t="shared" ref="K131:K157" si="19">MAX(0,C131-I131)</f>
        <v>0</v>
      </c>
      <c r="L131" t="str">
        <f t="shared" ref="L131:L157" si="20">IF(K131&gt;0,"OVER CAPACITY",IF(J131&gt;=0.85,"HIGH UTILISATION","WITHIN CAPACITY"))</f>
        <v>WITHIN CAPACITY</v>
      </c>
    </row>
    <row r="132" spans="1:12">
      <c r="A132" s="1" cm="1">
        <f t="array" ref="A132">INDEX(Calendar_Weeks!$A$2:$A$53,INT((ROW()-2)/3)+1)</f>
        <v>46328</v>
      </c>
      <c r="B132" t="str" cm="1">
        <f t="array" ref="B132">INDEX(Production_Line_Master!$A$2:$A$4,MOD(ROW()-2,3)+1)</f>
        <v>L02</v>
      </c>
      <c r="C132">
        <f>SUMIFS(Weekly_Inventory_Flow!$I:$I,Weekly_Inventory_Flow!$A:$A,A132,Weekly_Inventory_Flow!$R:$R,B132)</f>
        <v>25500</v>
      </c>
      <c r="D132">
        <f>_xlfn.XLOOKUP(B132,Production_Line_Master!$A$2:$A$4,Production_Line_Master!$C$2:$C$4)</f>
        <v>1500</v>
      </c>
      <c r="E132">
        <f t="shared" si="14"/>
        <v>17</v>
      </c>
      <c r="F132">
        <f>_xlfn.XLOOKUP(B132,Weekly_Capacity!$B$2:$B$4,Weekly_Capacity!$E$2:$E$4)</f>
        <v>35</v>
      </c>
      <c r="G132">
        <f t="shared" si="15"/>
        <v>0.7</v>
      </c>
      <c r="H132">
        <f t="shared" si="16"/>
        <v>10.500000000000002</v>
      </c>
      <c r="I132">
        <f t="shared" si="17"/>
        <v>15750.000000000002</v>
      </c>
      <c r="J132">
        <f t="shared" si="18"/>
        <v>1.6190476190476188</v>
      </c>
      <c r="K132">
        <f t="shared" si="19"/>
        <v>9749.9999999999982</v>
      </c>
      <c r="L132" t="str">
        <f t="shared" si="20"/>
        <v>OVER CAPACITY</v>
      </c>
    </row>
    <row r="133" spans="1:12">
      <c r="A133" s="1" cm="1">
        <f t="array" ref="A133">INDEX(Calendar_Weeks!$A$2:$A$53,INT((ROW()-2)/3)+1)</f>
        <v>46328</v>
      </c>
      <c r="B133" t="str" cm="1">
        <f t="array" ref="B133">INDEX(Production_Line_Master!$A$2:$A$4,MOD(ROW()-2,3)+1)</f>
        <v>L03</v>
      </c>
      <c r="C133">
        <f>SUMIFS(Weekly_Inventory_Flow!$I:$I,Weekly_Inventory_Flow!$A:$A,A133,Weekly_Inventory_Flow!$R:$R,B133)</f>
        <v>20700</v>
      </c>
      <c r="D133">
        <f>_xlfn.XLOOKUP(B133,Production_Line_Master!$A$2:$A$4,Production_Line_Master!$C$2:$C$4)</f>
        <v>1200</v>
      </c>
      <c r="E133">
        <f t="shared" si="14"/>
        <v>17.25</v>
      </c>
      <c r="F133">
        <f>_xlfn.XLOOKUP(B133,Weekly_Capacity!$B$2:$B$4,Weekly_Capacity!$E$2:$E$4)</f>
        <v>35</v>
      </c>
      <c r="G133">
        <f t="shared" si="15"/>
        <v>0</v>
      </c>
      <c r="H133">
        <f t="shared" si="16"/>
        <v>35</v>
      </c>
      <c r="I133">
        <f t="shared" si="17"/>
        <v>42000</v>
      </c>
      <c r="J133">
        <f t="shared" si="18"/>
        <v>0.49285714285714288</v>
      </c>
      <c r="K133">
        <f t="shared" si="19"/>
        <v>0</v>
      </c>
      <c r="L133" t="str">
        <f t="shared" si="20"/>
        <v>WITHIN CAPACITY</v>
      </c>
    </row>
    <row r="134" spans="1:12">
      <c r="A134" s="1" cm="1">
        <f t="array" ref="A134">INDEX(Calendar_Weeks!$A$2:$A$53,INT((ROW()-2)/3)+1)</f>
        <v>46335</v>
      </c>
      <c r="B134" t="str" cm="1">
        <f t="array" ref="B134">INDEX(Production_Line_Master!$A$2:$A$4,MOD(ROW()-2,3)+1)</f>
        <v>L01</v>
      </c>
      <c r="C134">
        <f>SUMIFS(Weekly_Inventory_Flow!$I:$I,Weekly_Inventory_Flow!$A:$A,A134,Weekly_Inventory_Flow!$R:$R,B134)</f>
        <v>14200</v>
      </c>
      <c r="D134">
        <f>_xlfn.XLOOKUP(B134,Production_Line_Master!$A$2:$A$4,Production_Line_Master!$C$2:$C$4)</f>
        <v>1800</v>
      </c>
      <c r="E134">
        <f t="shared" si="14"/>
        <v>7.8888888888888893</v>
      </c>
      <c r="F134">
        <f>_xlfn.XLOOKUP(B134,Weekly_Capacity!$B$2:$B$4,Weekly_Capacity!$E$2:$E$4)</f>
        <v>38</v>
      </c>
      <c r="G134">
        <f t="shared" si="15"/>
        <v>0</v>
      </c>
      <c r="H134">
        <f t="shared" si="16"/>
        <v>38</v>
      </c>
      <c r="I134">
        <f t="shared" si="17"/>
        <v>68400</v>
      </c>
      <c r="J134">
        <f t="shared" si="18"/>
        <v>0.20760233918128657</v>
      </c>
      <c r="K134">
        <f t="shared" si="19"/>
        <v>0</v>
      </c>
      <c r="L134" t="str">
        <f t="shared" si="20"/>
        <v>WITHIN CAPACITY</v>
      </c>
    </row>
    <row r="135" spans="1:12">
      <c r="A135" s="1" cm="1">
        <f t="array" ref="A135">INDEX(Calendar_Weeks!$A$2:$A$53,INT((ROW()-2)/3)+1)</f>
        <v>46335</v>
      </c>
      <c r="B135" t="str" cm="1">
        <f t="array" ref="B135">INDEX(Production_Line_Master!$A$2:$A$4,MOD(ROW()-2,3)+1)</f>
        <v>L02</v>
      </c>
      <c r="C135">
        <f>SUMIFS(Weekly_Inventory_Flow!$I:$I,Weekly_Inventory_Flow!$A:$A,A135,Weekly_Inventory_Flow!$R:$R,B135)</f>
        <v>25000</v>
      </c>
      <c r="D135">
        <f>_xlfn.XLOOKUP(B135,Production_Line_Master!$A$2:$A$4,Production_Line_Master!$C$2:$C$4)</f>
        <v>1500</v>
      </c>
      <c r="E135">
        <f t="shared" si="14"/>
        <v>16.666666666666668</v>
      </c>
      <c r="F135">
        <f>_xlfn.XLOOKUP(B135,Weekly_Capacity!$B$2:$B$4,Weekly_Capacity!$E$2:$E$4)</f>
        <v>35</v>
      </c>
      <c r="G135">
        <f t="shared" si="15"/>
        <v>0</v>
      </c>
      <c r="H135">
        <f t="shared" si="16"/>
        <v>35</v>
      </c>
      <c r="I135">
        <f t="shared" si="17"/>
        <v>52500</v>
      </c>
      <c r="J135">
        <f t="shared" si="18"/>
        <v>0.47619047619047622</v>
      </c>
      <c r="K135">
        <f t="shared" si="19"/>
        <v>0</v>
      </c>
      <c r="L135" t="str">
        <f t="shared" si="20"/>
        <v>WITHIN CAPACITY</v>
      </c>
    </row>
    <row r="136" spans="1:12">
      <c r="A136" s="1" cm="1">
        <f t="array" ref="A136">INDEX(Calendar_Weeks!$A$2:$A$53,INT((ROW()-2)/3)+1)</f>
        <v>46335</v>
      </c>
      <c r="B136" t="str" cm="1">
        <f t="array" ref="B136">INDEX(Production_Line_Master!$A$2:$A$4,MOD(ROW()-2,3)+1)</f>
        <v>L03</v>
      </c>
      <c r="C136">
        <f>SUMIFS(Weekly_Inventory_Flow!$I:$I,Weekly_Inventory_Flow!$A:$A,A136,Weekly_Inventory_Flow!$R:$R,B136)</f>
        <v>21100</v>
      </c>
      <c r="D136">
        <f>_xlfn.XLOOKUP(B136,Production_Line_Master!$A$2:$A$4,Production_Line_Master!$C$2:$C$4)</f>
        <v>1200</v>
      </c>
      <c r="E136">
        <f t="shared" si="14"/>
        <v>17.583333333333332</v>
      </c>
      <c r="F136">
        <f>_xlfn.XLOOKUP(B136,Weekly_Capacity!$B$2:$B$4,Weekly_Capacity!$E$2:$E$4)</f>
        <v>35</v>
      </c>
      <c r="G136">
        <f t="shared" si="15"/>
        <v>0</v>
      </c>
      <c r="H136">
        <f t="shared" si="16"/>
        <v>35</v>
      </c>
      <c r="I136">
        <f t="shared" si="17"/>
        <v>42000</v>
      </c>
      <c r="J136">
        <f t="shared" si="18"/>
        <v>0.50238095238095237</v>
      </c>
      <c r="K136">
        <f t="shared" si="19"/>
        <v>0</v>
      </c>
      <c r="L136" t="str">
        <f t="shared" si="20"/>
        <v>WITHIN CAPACITY</v>
      </c>
    </row>
    <row r="137" spans="1:12">
      <c r="A137" s="1" cm="1">
        <f t="array" ref="A137">INDEX(Calendar_Weeks!$A$2:$A$53,INT((ROW()-2)/3)+1)</f>
        <v>46342</v>
      </c>
      <c r="B137" t="str" cm="1">
        <f t="array" ref="B137">INDEX(Production_Line_Master!$A$2:$A$4,MOD(ROW()-2,3)+1)</f>
        <v>L01</v>
      </c>
      <c r="C137">
        <f>SUMIFS(Weekly_Inventory_Flow!$I:$I,Weekly_Inventory_Flow!$A:$A,A137,Weekly_Inventory_Flow!$R:$R,B137)</f>
        <v>16000</v>
      </c>
      <c r="D137">
        <f>_xlfn.XLOOKUP(B137,Production_Line_Master!$A$2:$A$4,Production_Line_Master!$C$2:$C$4)</f>
        <v>1800</v>
      </c>
      <c r="E137">
        <f t="shared" si="14"/>
        <v>8.8888888888888893</v>
      </c>
      <c r="F137">
        <f>_xlfn.XLOOKUP(B137,Weekly_Capacity!$B$2:$B$4,Weekly_Capacity!$E$2:$E$4)</f>
        <v>38</v>
      </c>
      <c r="G137">
        <f t="shared" si="15"/>
        <v>0</v>
      </c>
      <c r="H137">
        <f t="shared" si="16"/>
        <v>38</v>
      </c>
      <c r="I137">
        <f t="shared" si="17"/>
        <v>68400</v>
      </c>
      <c r="J137">
        <f t="shared" si="18"/>
        <v>0.23391812865497078</v>
      </c>
      <c r="K137">
        <f t="shared" si="19"/>
        <v>0</v>
      </c>
      <c r="L137" t="str">
        <f t="shared" si="20"/>
        <v>WITHIN CAPACITY</v>
      </c>
    </row>
    <row r="138" spans="1:12">
      <c r="A138" s="1" cm="1">
        <f t="array" ref="A138">INDEX(Calendar_Weeks!$A$2:$A$53,INT((ROW()-2)/3)+1)</f>
        <v>46342</v>
      </c>
      <c r="B138" t="str" cm="1">
        <f t="array" ref="B138">INDEX(Production_Line_Master!$A$2:$A$4,MOD(ROW()-2,3)+1)</f>
        <v>L02</v>
      </c>
      <c r="C138">
        <f>SUMIFS(Weekly_Inventory_Flow!$I:$I,Weekly_Inventory_Flow!$A:$A,A138,Weekly_Inventory_Flow!$R:$R,B138)</f>
        <v>25500</v>
      </c>
      <c r="D138">
        <f>_xlfn.XLOOKUP(B138,Production_Line_Master!$A$2:$A$4,Production_Line_Master!$C$2:$C$4)</f>
        <v>1500</v>
      </c>
      <c r="E138">
        <f t="shared" si="14"/>
        <v>17</v>
      </c>
      <c r="F138">
        <f>_xlfn.XLOOKUP(B138,Weekly_Capacity!$B$2:$B$4,Weekly_Capacity!$E$2:$E$4)</f>
        <v>35</v>
      </c>
      <c r="G138">
        <f t="shared" si="15"/>
        <v>0</v>
      </c>
      <c r="H138">
        <f t="shared" si="16"/>
        <v>35</v>
      </c>
      <c r="I138">
        <f t="shared" si="17"/>
        <v>52500</v>
      </c>
      <c r="J138">
        <f t="shared" si="18"/>
        <v>0.48571428571428571</v>
      </c>
      <c r="K138">
        <f t="shared" si="19"/>
        <v>0</v>
      </c>
      <c r="L138" t="str">
        <f t="shared" si="20"/>
        <v>WITHIN CAPACITY</v>
      </c>
    </row>
    <row r="139" spans="1:12">
      <c r="A139" s="1" cm="1">
        <f t="array" ref="A139">INDEX(Calendar_Weeks!$A$2:$A$53,INT((ROW()-2)/3)+1)</f>
        <v>46342</v>
      </c>
      <c r="B139" t="str" cm="1">
        <f t="array" ref="B139">INDEX(Production_Line_Master!$A$2:$A$4,MOD(ROW()-2,3)+1)</f>
        <v>L03</v>
      </c>
      <c r="C139">
        <f>SUMIFS(Weekly_Inventory_Flow!$I:$I,Weekly_Inventory_Flow!$A:$A,A139,Weekly_Inventory_Flow!$R:$R,B139)</f>
        <v>21200</v>
      </c>
      <c r="D139">
        <f>_xlfn.XLOOKUP(B139,Production_Line_Master!$A$2:$A$4,Production_Line_Master!$C$2:$C$4)</f>
        <v>1200</v>
      </c>
      <c r="E139">
        <f t="shared" si="14"/>
        <v>17.666666666666668</v>
      </c>
      <c r="F139">
        <f>_xlfn.XLOOKUP(B139,Weekly_Capacity!$B$2:$B$4,Weekly_Capacity!$E$2:$E$4)</f>
        <v>35</v>
      </c>
      <c r="G139">
        <f t="shared" si="15"/>
        <v>0</v>
      </c>
      <c r="H139">
        <f t="shared" si="16"/>
        <v>35</v>
      </c>
      <c r="I139">
        <f t="shared" si="17"/>
        <v>42000</v>
      </c>
      <c r="J139">
        <f t="shared" si="18"/>
        <v>0.50476190476190474</v>
      </c>
      <c r="K139">
        <f t="shared" si="19"/>
        <v>0</v>
      </c>
      <c r="L139" t="str">
        <f t="shared" si="20"/>
        <v>WITHIN CAPACITY</v>
      </c>
    </row>
    <row r="140" spans="1:12">
      <c r="A140" s="1" cm="1">
        <f t="array" ref="A140">INDEX(Calendar_Weeks!$A$2:$A$53,INT((ROW()-2)/3)+1)</f>
        <v>46349</v>
      </c>
      <c r="B140" t="str" cm="1">
        <f t="array" ref="B140">INDEX(Production_Line_Master!$A$2:$A$4,MOD(ROW()-2,3)+1)</f>
        <v>L01</v>
      </c>
      <c r="C140">
        <f>SUMIFS(Weekly_Inventory_Flow!$I:$I,Weekly_Inventory_Flow!$A:$A,A140,Weekly_Inventory_Flow!$R:$R,B140)</f>
        <v>15300</v>
      </c>
      <c r="D140">
        <f>_xlfn.XLOOKUP(B140,Production_Line_Master!$A$2:$A$4,Production_Line_Master!$C$2:$C$4)</f>
        <v>1800</v>
      </c>
      <c r="E140">
        <f t="shared" si="14"/>
        <v>8.5</v>
      </c>
      <c r="F140">
        <f>_xlfn.XLOOKUP(B140,Weekly_Capacity!$B$2:$B$4,Weekly_Capacity!$E$2:$E$4)</f>
        <v>38</v>
      </c>
      <c r="G140">
        <f t="shared" si="15"/>
        <v>0</v>
      </c>
      <c r="H140">
        <f t="shared" si="16"/>
        <v>38</v>
      </c>
      <c r="I140">
        <f t="shared" si="17"/>
        <v>68400</v>
      </c>
      <c r="J140">
        <f t="shared" si="18"/>
        <v>0.22368421052631579</v>
      </c>
      <c r="K140">
        <f t="shared" si="19"/>
        <v>0</v>
      </c>
      <c r="L140" t="str">
        <f t="shared" si="20"/>
        <v>WITHIN CAPACITY</v>
      </c>
    </row>
    <row r="141" spans="1:12">
      <c r="A141" s="1" cm="1">
        <f t="array" ref="A141">INDEX(Calendar_Weeks!$A$2:$A$53,INT((ROW()-2)/3)+1)</f>
        <v>46349</v>
      </c>
      <c r="B141" t="str" cm="1">
        <f t="array" ref="B141">INDEX(Production_Line_Master!$A$2:$A$4,MOD(ROW()-2,3)+1)</f>
        <v>L02</v>
      </c>
      <c r="C141">
        <f>SUMIFS(Weekly_Inventory_Flow!$I:$I,Weekly_Inventory_Flow!$A:$A,A141,Weekly_Inventory_Flow!$R:$R,B141)</f>
        <v>24600</v>
      </c>
      <c r="D141">
        <f>_xlfn.XLOOKUP(B141,Production_Line_Master!$A$2:$A$4,Production_Line_Master!$C$2:$C$4)</f>
        <v>1500</v>
      </c>
      <c r="E141">
        <f t="shared" si="14"/>
        <v>16.399999999999999</v>
      </c>
      <c r="F141">
        <f>_xlfn.XLOOKUP(B141,Weekly_Capacity!$B$2:$B$4,Weekly_Capacity!$E$2:$E$4)</f>
        <v>35</v>
      </c>
      <c r="G141">
        <f t="shared" si="15"/>
        <v>0</v>
      </c>
      <c r="H141">
        <f t="shared" si="16"/>
        <v>35</v>
      </c>
      <c r="I141">
        <f t="shared" si="17"/>
        <v>52500</v>
      </c>
      <c r="J141">
        <f t="shared" si="18"/>
        <v>0.46857142857142853</v>
      </c>
      <c r="K141">
        <f t="shared" si="19"/>
        <v>0</v>
      </c>
      <c r="L141" t="str">
        <f t="shared" si="20"/>
        <v>WITHIN CAPACITY</v>
      </c>
    </row>
    <row r="142" spans="1:12">
      <c r="A142" s="1" cm="1">
        <f t="array" ref="A142">INDEX(Calendar_Weeks!$A$2:$A$53,INT((ROW()-2)/3)+1)</f>
        <v>46349</v>
      </c>
      <c r="B142" t="str" cm="1">
        <f t="array" ref="B142">INDEX(Production_Line_Master!$A$2:$A$4,MOD(ROW()-2,3)+1)</f>
        <v>L03</v>
      </c>
      <c r="C142">
        <f>SUMIFS(Weekly_Inventory_Flow!$I:$I,Weekly_Inventory_Flow!$A:$A,A142,Weekly_Inventory_Flow!$R:$R,B142)</f>
        <v>20800</v>
      </c>
      <c r="D142">
        <f>_xlfn.XLOOKUP(B142,Production_Line_Master!$A$2:$A$4,Production_Line_Master!$C$2:$C$4)</f>
        <v>1200</v>
      </c>
      <c r="E142">
        <f t="shared" si="14"/>
        <v>17.333333333333332</v>
      </c>
      <c r="F142">
        <f>_xlfn.XLOOKUP(B142,Weekly_Capacity!$B$2:$B$4,Weekly_Capacity!$E$2:$E$4)</f>
        <v>35</v>
      </c>
      <c r="G142">
        <f t="shared" si="15"/>
        <v>0</v>
      </c>
      <c r="H142">
        <f t="shared" si="16"/>
        <v>35</v>
      </c>
      <c r="I142">
        <f t="shared" si="17"/>
        <v>42000</v>
      </c>
      <c r="J142">
        <f t="shared" si="18"/>
        <v>0.4952380952380952</v>
      </c>
      <c r="K142">
        <f t="shared" si="19"/>
        <v>0</v>
      </c>
      <c r="L142" t="str">
        <f t="shared" si="20"/>
        <v>WITHIN CAPACITY</v>
      </c>
    </row>
    <row r="143" spans="1:12">
      <c r="A143" s="1" cm="1">
        <f t="array" ref="A143">INDEX(Calendar_Weeks!$A$2:$A$53,INT((ROW()-2)/3)+1)</f>
        <v>46356</v>
      </c>
      <c r="B143" t="str" cm="1">
        <f t="array" ref="B143">INDEX(Production_Line_Master!$A$2:$A$4,MOD(ROW()-2,3)+1)</f>
        <v>L01</v>
      </c>
      <c r="C143">
        <f>SUMIFS(Weekly_Inventory_Flow!$I:$I,Weekly_Inventory_Flow!$A:$A,A143,Weekly_Inventory_Flow!$R:$R,B143)</f>
        <v>15300</v>
      </c>
      <c r="D143">
        <f>_xlfn.XLOOKUP(B143,Production_Line_Master!$A$2:$A$4,Production_Line_Master!$C$2:$C$4)</f>
        <v>1800</v>
      </c>
      <c r="E143">
        <f t="shared" si="14"/>
        <v>8.5</v>
      </c>
      <c r="F143">
        <f>_xlfn.XLOOKUP(B143,Weekly_Capacity!$B$2:$B$4,Weekly_Capacity!$E$2:$E$4)</f>
        <v>38</v>
      </c>
      <c r="G143">
        <f t="shared" si="15"/>
        <v>0</v>
      </c>
      <c r="H143">
        <f t="shared" si="16"/>
        <v>38</v>
      </c>
      <c r="I143">
        <f t="shared" si="17"/>
        <v>68400</v>
      </c>
      <c r="J143">
        <f t="shared" si="18"/>
        <v>0.22368421052631579</v>
      </c>
      <c r="K143">
        <f t="shared" si="19"/>
        <v>0</v>
      </c>
      <c r="L143" t="str">
        <f t="shared" si="20"/>
        <v>WITHIN CAPACITY</v>
      </c>
    </row>
    <row r="144" spans="1:12">
      <c r="A144" s="1" cm="1">
        <f t="array" ref="A144">INDEX(Calendar_Weeks!$A$2:$A$53,INT((ROW()-2)/3)+1)</f>
        <v>46356</v>
      </c>
      <c r="B144" t="str" cm="1">
        <f t="array" ref="B144">INDEX(Production_Line_Master!$A$2:$A$4,MOD(ROW()-2,3)+1)</f>
        <v>L02</v>
      </c>
      <c r="C144">
        <f>SUMIFS(Weekly_Inventory_Flow!$I:$I,Weekly_Inventory_Flow!$A:$A,A144,Weekly_Inventory_Flow!$R:$R,B144)</f>
        <v>25400</v>
      </c>
      <c r="D144">
        <f>_xlfn.XLOOKUP(B144,Production_Line_Master!$A$2:$A$4,Production_Line_Master!$C$2:$C$4)</f>
        <v>1500</v>
      </c>
      <c r="E144">
        <f t="shared" si="14"/>
        <v>16.933333333333334</v>
      </c>
      <c r="F144">
        <f>_xlfn.XLOOKUP(B144,Weekly_Capacity!$B$2:$B$4,Weekly_Capacity!$E$2:$E$4)</f>
        <v>35</v>
      </c>
      <c r="G144">
        <f t="shared" si="15"/>
        <v>0</v>
      </c>
      <c r="H144">
        <f t="shared" si="16"/>
        <v>35</v>
      </c>
      <c r="I144">
        <f t="shared" si="17"/>
        <v>52500</v>
      </c>
      <c r="J144">
        <f t="shared" si="18"/>
        <v>0.4838095238095238</v>
      </c>
      <c r="K144">
        <f t="shared" si="19"/>
        <v>0</v>
      </c>
      <c r="L144" t="str">
        <f t="shared" si="20"/>
        <v>WITHIN CAPACITY</v>
      </c>
    </row>
    <row r="145" spans="1:12">
      <c r="A145" s="1" cm="1">
        <f t="array" ref="A145">INDEX(Calendar_Weeks!$A$2:$A$53,INT((ROW()-2)/3)+1)</f>
        <v>46356</v>
      </c>
      <c r="B145" t="str" cm="1">
        <f t="array" ref="B145">INDEX(Production_Line_Master!$A$2:$A$4,MOD(ROW()-2,3)+1)</f>
        <v>L03</v>
      </c>
      <c r="C145">
        <f>SUMIFS(Weekly_Inventory_Flow!$I:$I,Weekly_Inventory_Flow!$A:$A,A145,Weekly_Inventory_Flow!$R:$R,B145)</f>
        <v>20900</v>
      </c>
      <c r="D145">
        <f>_xlfn.XLOOKUP(B145,Production_Line_Master!$A$2:$A$4,Production_Line_Master!$C$2:$C$4)</f>
        <v>1200</v>
      </c>
      <c r="E145">
        <f t="shared" si="14"/>
        <v>17.416666666666668</v>
      </c>
      <c r="F145">
        <f>_xlfn.XLOOKUP(B145,Weekly_Capacity!$B$2:$B$4,Weekly_Capacity!$E$2:$E$4)</f>
        <v>35</v>
      </c>
      <c r="G145">
        <f t="shared" si="15"/>
        <v>0</v>
      </c>
      <c r="H145">
        <f t="shared" si="16"/>
        <v>35</v>
      </c>
      <c r="I145">
        <f t="shared" si="17"/>
        <v>42000</v>
      </c>
      <c r="J145">
        <f t="shared" si="18"/>
        <v>0.49761904761904763</v>
      </c>
      <c r="K145">
        <f t="shared" si="19"/>
        <v>0</v>
      </c>
      <c r="L145" t="str">
        <f t="shared" si="20"/>
        <v>WITHIN CAPACITY</v>
      </c>
    </row>
    <row r="146" spans="1:12">
      <c r="A146" s="1" cm="1">
        <f t="array" ref="A146">INDEX(Calendar_Weeks!$A$2:$A$53,INT((ROW()-2)/3)+1)</f>
        <v>46363</v>
      </c>
      <c r="B146" t="str" cm="1">
        <f t="array" ref="B146">INDEX(Production_Line_Master!$A$2:$A$4,MOD(ROW()-2,3)+1)</f>
        <v>L01</v>
      </c>
      <c r="C146">
        <f>SUMIFS(Weekly_Inventory_Flow!$I:$I,Weekly_Inventory_Flow!$A:$A,A146,Weekly_Inventory_Flow!$R:$R,B146)</f>
        <v>17400</v>
      </c>
      <c r="D146">
        <f>_xlfn.XLOOKUP(B146,Production_Line_Master!$A$2:$A$4,Production_Line_Master!$C$2:$C$4)</f>
        <v>1800</v>
      </c>
      <c r="E146">
        <f t="shared" si="14"/>
        <v>9.6666666666666661</v>
      </c>
      <c r="F146">
        <f>_xlfn.XLOOKUP(B146,Weekly_Capacity!$B$2:$B$4,Weekly_Capacity!$E$2:$E$4)</f>
        <v>38</v>
      </c>
      <c r="G146">
        <f t="shared" si="15"/>
        <v>0</v>
      </c>
      <c r="H146">
        <f t="shared" si="16"/>
        <v>38</v>
      </c>
      <c r="I146">
        <f t="shared" si="17"/>
        <v>68400</v>
      </c>
      <c r="J146">
        <f t="shared" si="18"/>
        <v>0.25438596491228066</v>
      </c>
      <c r="K146">
        <f t="shared" si="19"/>
        <v>0</v>
      </c>
      <c r="L146" t="str">
        <f t="shared" si="20"/>
        <v>WITHIN CAPACITY</v>
      </c>
    </row>
    <row r="147" spans="1:12">
      <c r="A147" s="1" cm="1">
        <f t="array" ref="A147">INDEX(Calendar_Weeks!$A$2:$A$53,INT((ROW()-2)/3)+1)</f>
        <v>46363</v>
      </c>
      <c r="B147" t="str" cm="1">
        <f t="array" ref="B147">INDEX(Production_Line_Master!$A$2:$A$4,MOD(ROW()-2,3)+1)</f>
        <v>L02</v>
      </c>
      <c r="C147">
        <f>SUMIFS(Weekly_Inventory_Flow!$I:$I,Weekly_Inventory_Flow!$A:$A,A147,Weekly_Inventory_Flow!$R:$R,B147)</f>
        <v>29800</v>
      </c>
      <c r="D147">
        <f>_xlfn.XLOOKUP(B147,Production_Line_Master!$A$2:$A$4,Production_Line_Master!$C$2:$C$4)</f>
        <v>1500</v>
      </c>
      <c r="E147">
        <f t="shared" si="14"/>
        <v>19.866666666666667</v>
      </c>
      <c r="F147">
        <f>_xlfn.XLOOKUP(B147,Weekly_Capacity!$B$2:$B$4,Weekly_Capacity!$E$2:$E$4)</f>
        <v>35</v>
      </c>
      <c r="G147">
        <f t="shared" si="15"/>
        <v>0</v>
      </c>
      <c r="H147">
        <f t="shared" si="16"/>
        <v>35</v>
      </c>
      <c r="I147">
        <f t="shared" si="17"/>
        <v>52500</v>
      </c>
      <c r="J147">
        <f t="shared" si="18"/>
        <v>0.56761904761904758</v>
      </c>
      <c r="K147">
        <f t="shared" si="19"/>
        <v>0</v>
      </c>
      <c r="L147" t="str">
        <f t="shared" si="20"/>
        <v>WITHIN CAPACITY</v>
      </c>
    </row>
    <row r="148" spans="1:12">
      <c r="A148" s="1" cm="1">
        <f t="array" ref="A148">INDEX(Calendar_Weeks!$A$2:$A$53,INT((ROW()-2)/3)+1)</f>
        <v>46363</v>
      </c>
      <c r="B148" t="str" cm="1">
        <f t="array" ref="B148">INDEX(Production_Line_Master!$A$2:$A$4,MOD(ROW()-2,3)+1)</f>
        <v>L03</v>
      </c>
      <c r="C148">
        <f>SUMIFS(Weekly_Inventory_Flow!$I:$I,Weekly_Inventory_Flow!$A:$A,A148,Weekly_Inventory_Flow!$R:$R,B148)</f>
        <v>24500</v>
      </c>
      <c r="D148">
        <f>_xlfn.XLOOKUP(B148,Production_Line_Master!$A$2:$A$4,Production_Line_Master!$C$2:$C$4)</f>
        <v>1200</v>
      </c>
      <c r="E148">
        <f t="shared" si="14"/>
        <v>20.416666666666668</v>
      </c>
      <c r="F148">
        <f>_xlfn.XLOOKUP(B148,Weekly_Capacity!$B$2:$B$4,Weekly_Capacity!$E$2:$E$4)</f>
        <v>35</v>
      </c>
      <c r="G148">
        <f t="shared" si="15"/>
        <v>0</v>
      </c>
      <c r="H148">
        <f t="shared" si="16"/>
        <v>35</v>
      </c>
      <c r="I148">
        <f t="shared" si="17"/>
        <v>42000</v>
      </c>
      <c r="J148">
        <f t="shared" si="18"/>
        <v>0.58333333333333337</v>
      </c>
      <c r="K148">
        <f t="shared" si="19"/>
        <v>0</v>
      </c>
      <c r="L148" t="str">
        <f t="shared" si="20"/>
        <v>WITHIN CAPACITY</v>
      </c>
    </row>
    <row r="149" spans="1:12">
      <c r="A149" s="1" cm="1">
        <f t="array" ref="A149">INDEX(Calendar_Weeks!$A$2:$A$53,INT((ROW()-2)/3)+1)</f>
        <v>46370</v>
      </c>
      <c r="B149" t="str" cm="1">
        <f t="array" ref="B149">INDEX(Production_Line_Master!$A$2:$A$4,MOD(ROW()-2,3)+1)</f>
        <v>L01</v>
      </c>
      <c r="C149">
        <f>SUMIFS(Weekly_Inventory_Flow!$I:$I,Weekly_Inventory_Flow!$A:$A,A149,Weekly_Inventory_Flow!$R:$R,B149)</f>
        <v>16800</v>
      </c>
      <c r="D149">
        <f>_xlfn.XLOOKUP(B149,Production_Line_Master!$A$2:$A$4,Production_Line_Master!$C$2:$C$4)</f>
        <v>1800</v>
      </c>
      <c r="E149">
        <f t="shared" si="14"/>
        <v>9.3333333333333339</v>
      </c>
      <c r="F149">
        <f>_xlfn.XLOOKUP(B149,Weekly_Capacity!$B$2:$B$4,Weekly_Capacity!$E$2:$E$4)</f>
        <v>38</v>
      </c>
      <c r="G149">
        <f t="shared" si="15"/>
        <v>0</v>
      </c>
      <c r="H149">
        <f t="shared" si="16"/>
        <v>38</v>
      </c>
      <c r="I149">
        <f t="shared" si="17"/>
        <v>68400</v>
      </c>
      <c r="J149">
        <f t="shared" si="18"/>
        <v>0.24561403508771931</v>
      </c>
      <c r="K149">
        <f t="shared" si="19"/>
        <v>0</v>
      </c>
      <c r="L149" t="str">
        <f t="shared" si="20"/>
        <v>WITHIN CAPACITY</v>
      </c>
    </row>
    <row r="150" spans="1:12">
      <c r="A150" s="1" cm="1">
        <f t="array" ref="A150">INDEX(Calendar_Weeks!$A$2:$A$53,INT((ROW()-2)/3)+1)</f>
        <v>46370</v>
      </c>
      <c r="B150" t="str" cm="1">
        <f t="array" ref="B150">INDEX(Production_Line_Master!$A$2:$A$4,MOD(ROW()-2,3)+1)</f>
        <v>L02</v>
      </c>
      <c r="C150">
        <f>SUMIFS(Weekly_Inventory_Flow!$I:$I,Weekly_Inventory_Flow!$A:$A,A150,Weekly_Inventory_Flow!$R:$R,B150)</f>
        <v>29300</v>
      </c>
      <c r="D150">
        <f>_xlfn.XLOOKUP(B150,Production_Line_Master!$A$2:$A$4,Production_Line_Master!$C$2:$C$4)</f>
        <v>1500</v>
      </c>
      <c r="E150">
        <f t="shared" si="14"/>
        <v>19.533333333333335</v>
      </c>
      <c r="F150">
        <f>_xlfn.XLOOKUP(B150,Weekly_Capacity!$B$2:$B$4,Weekly_Capacity!$E$2:$E$4)</f>
        <v>35</v>
      </c>
      <c r="G150">
        <f t="shared" si="15"/>
        <v>0</v>
      </c>
      <c r="H150">
        <f t="shared" si="16"/>
        <v>35</v>
      </c>
      <c r="I150">
        <f t="shared" si="17"/>
        <v>52500</v>
      </c>
      <c r="J150">
        <f t="shared" si="18"/>
        <v>0.55809523809523809</v>
      </c>
      <c r="K150">
        <f t="shared" si="19"/>
        <v>0</v>
      </c>
      <c r="L150" t="str">
        <f t="shared" si="20"/>
        <v>WITHIN CAPACITY</v>
      </c>
    </row>
    <row r="151" spans="1:12">
      <c r="A151" s="1" cm="1">
        <f t="array" ref="A151">INDEX(Calendar_Weeks!$A$2:$A$53,INT((ROW()-2)/3)+1)</f>
        <v>46370</v>
      </c>
      <c r="B151" t="str" cm="1">
        <f t="array" ref="B151">INDEX(Production_Line_Master!$A$2:$A$4,MOD(ROW()-2,3)+1)</f>
        <v>L03</v>
      </c>
      <c r="C151">
        <f>SUMIFS(Weekly_Inventory_Flow!$I:$I,Weekly_Inventory_Flow!$A:$A,A151,Weekly_Inventory_Flow!$R:$R,B151)</f>
        <v>25800</v>
      </c>
      <c r="D151">
        <f>_xlfn.XLOOKUP(B151,Production_Line_Master!$A$2:$A$4,Production_Line_Master!$C$2:$C$4)</f>
        <v>1200</v>
      </c>
      <c r="E151">
        <f t="shared" si="14"/>
        <v>21.5</v>
      </c>
      <c r="F151">
        <f>_xlfn.XLOOKUP(B151,Weekly_Capacity!$B$2:$B$4,Weekly_Capacity!$E$2:$E$4)</f>
        <v>35</v>
      </c>
      <c r="G151">
        <f t="shared" si="15"/>
        <v>0</v>
      </c>
      <c r="H151">
        <f t="shared" si="16"/>
        <v>35</v>
      </c>
      <c r="I151">
        <f t="shared" si="17"/>
        <v>42000</v>
      </c>
      <c r="J151">
        <f t="shared" si="18"/>
        <v>0.61428571428571432</v>
      </c>
      <c r="K151">
        <f t="shared" si="19"/>
        <v>0</v>
      </c>
      <c r="L151" t="str">
        <f t="shared" si="20"/>
        <v>WITHIN CAPACITY</v>
      </c>
    </row>
    <row r="152" spans="1:12">
      <c r="A152" s="1" cm="1">
        <f t="array" ref="A152">INDEX(Calendar_Weeks!$A$2:$A$53,INT((ROW()-2)/3)+1)</f>
        <v>46377</v>
      </c>
      <c r="B152" t="str" cm="1">
        <f t="array" ref="B152">INDEX(Production_Line_Master!$A$2:$A$4,MOD(ROW()-2,3)+1)</f>
        <v>L01</v>
      </c>
      <c r="C152">
        <f>SUMIFS(Weekly_Inventory_Flow!$I:$I,Weekly_Inventory_Flow!$A:$A,A152,Weekly_Inventory_Flow!$R:$R,B152)</f>
        <v>17900</v>
      </c>
      <c r="D152">
        <f>_xlfn.XLOOKUP(B152,Production_Line_Master!$A$2:$A$4,Production_Line_Master!$C$2:$C$4)</f>
        <v>1800</v>
      </c>
      <c r="E152">
        <f t="shared" si="14"/>
        <v>9.9444444444444446</v>
      </c>
      <c r="F152">
        <f>_xlfn.XLOOKUP(B152,Weekly_Capacity!$B$2:$B$4,Weekly_Capacity!$E$2:$E$4)</f>
        <v>38</v>
      </c>
      <c r="G152">
        <f t="shared" si="15"/>
        <v>0</v>
      </c>
      <c r="H152">
        <f t="shared" si="16"/>
        <v>38</v>
      </c>
      <c r="I152">
        <f t="shared" si="17"/>
        <v>68400</v>
      </c>
      <c r="J152">
        <f t="shared" si="18"/>
        <v>0.26169590643274854</v>
      </c>
      <c r="K152">
        <f t="shared" si="19"/>
        <v>0</v>
      </c>
      <c r="L152" t="str">
        <f t="shared" si="20"/>
        <v>WITHIN CAPACITY</v>
      </c>
    </row>
    <row r="153" spans="1:12">
      <c r="A153" s="1" cm="1">
        <f t="array" ref="A153">INDEX(Calendar_Weeks!$A$2:$A$53,INT((ROW()-2)/3)+1)</f>
        <v>46377</v>
      </c>
      <c r="B153" t="str" cm="1">
        <f t="array" ref="B153">INDEX(Production_Line_Master!$A$2:$A$4,MOD(ROW()-2,3)+1)</f>
        <v>L02</v>
      </c>
      <c r="C153">
        <f>SUMIFS(Weekly_Inventory_Flow!$I:$I,Weekly_Inventory_Flow!$A:$A,A153,Weekly_Inventory_Flow!$R:$R,B153)</f>
        <v>28900</v>
      </c>
      <c r="D153">
        <f>_xlfn.XLOOKUP(B153,Production_Line_Master!$A$2:$A$4,Production_Line_Master!$C$2:$C$4)</f>
        <v>1500</v>
      </c>
      <c r="E153">
        <f t="shared" si="14"/>
        <v>19.266666666666666</v>
      </c>
      <c r="F153">
        <f>_xlfn.XLOOKUP(B153,Weekly_Capacity!$B$2:$B$4,Weekly_Capacity!$E$2:$E$4)</f>
        <v>35</v>
      </c>
      <c r="G153">
        <f t="shared" si="15"/>
        <v>0</v>
      </c>
      <c r="H153">
        <f t="shared" si="16"/>
        <v>35</v>
      </c>
      <c r="I153">
        <f t="shared" si="17"/>
        <v>52500</v>
      </c>
      <c r="J153">
        <f t="shared" si="18"/>
        <v>0.55047619047619045</v>
      </c>
      <c r="K153">
        <f t="shared" si="19"/>
        <v>0</v>
      </c>
      <c r="L153" t="str">
        <f t="shared" si="20"/>
        <v>WITHIN CAPACITY</v>
      </c>
    </row>
    <row r="154" spans="1:12">
      <c r="A154" s="1" cm="1">
        <f t="array" ref="A154">INDEX(Calendar_Weeks!$A$2:$A$53,INT((ROW()-2)/3)+1)</f>
        <v>46377</v>
      </c>
      <c r="B154" t="str" cm="1">
        <f t="array" ref="B154">INDEX(Production_Line_Master!$A$2:$A$4,MOD(ROW()-2,3)+1)</f>
        <v>L03</v>
      </c>
      <c r="C154">
        <f>SUMIFS(Weekly_Inventory_Flow!$I:$I,Weekly_Inventory_Flow!$A:$A,A154,Weekly_Inventory_Flow!$R:$R,B154)</f>
        <v>22900</v>
      </c>
      <c r="D154">
        <f>_xlfn.XLOOKUP(B154,Production_Line_Master!$A$2:$A$4,Production_Line_Master!$C$2:$C$4)</f>
        <v>1200</v>
      </c>
      <c r="E154">
        <f t="shared" si="14"/>
        <v>19.083333333333332</v>
      </c>
      <c r="F154">
        <f>_xlfn.XLOOKUP(B154,Weekly_Capacity!$B$2:$B$4,Weekly_Capacity!$E$2:$E$4)</f>
        <v>35</v>
      </c>
      <c r="G154">
        <f t="shared" si="15"/>
        <v>0</v>
      </c>
      <c r="H154">
        <f t="shared" si="16"/>
        <v>35</v>
      </c>
      <c r="I154">
        <f t="shared" si="17"/>
        <v>42000</v>
      </c>
      <c r="J154">
        <f t="shared" si="18"/>
        <v>0.54523809523809519</v>
      </c>
      <c r="K154">
        <f t="shared" si="19"/>
        <v>0</v>
      </c>
      <c r="L154" t="str">
        <f t="shared" si="20"/>
        <v>WITHIN CAPACITY</v>
      </c>
    </row>
    <row r="155" spans="1:12">
      <c r="A155" s="1" cm="1">
        <f t="array" ref="A155">INDEX(Calendar_Weeks!$A$2:$A$53,INT((ROW()-2)/3)+1)</f>
        <v>46384</v>
      </c>
      <c r="B155" t="str" cm="1">
        <f t="array" ref="B155">INDEX(Production_Line_Master!$A$2:$A$4,MOD(ROW()-2,3)+1)</f>
        <v>L01</v>
      </c>
      <c r="C155">
        <f>SUMIFS(Weekly_Inventory_Flow!$I:$I,Weekly_Inventory_Flow!$A:$A,A155,Weekly_Inventory_Flow!$R:$R,B155)</f>
        <v>17700</v>
      </c>
      <c r="D155">
        <f>_xlfn.XLOOKUP(B155,Production_Line_Master!$A$2:$A$4,Production_Line_Master!$C$2:$C$4)</f>
        <v>1800</v>
      </c>
      <c r="E155">
        <f t="shared" si="14"/>
        <v>9.8333333333333339</v>
      </c>
      <c r="F155">
        <f>_xlfn.XLOOKUP(B155,Weekly_Capacity!$B$2:$B$4,Weekly_Capacity!$E$2:$E$4)</f>
        <v>38</v>
      </c>
      <c r="G155">
        <f t="shared" si="15"/>
        <v>0</v>
      </c>
      <c r="H155">
        <f t="shared" si="16"/>
        <v>38</v>
      </c>
      <c r="I155">
        <f t="shared" si="17"/>
        <v>68400</v>
      </c>
      <c r="J155">
        <f t="shared" si="18"/>
        <v>0.25877192982456143</v>
      </c>
      <c r="K155">
        <f t="shared" si="19"/>
        <v>0</v>
      </c>
      <c r="L155" t="str">
        <f t="shared" si="20"/>
        <v>WITHIN CAPACITY</v>
      </c>
    </row>
    <row r="156" spans="1:12">
      <c r="A156" s="1" cm="1">
        <f t="array" ref="A156">INDEX(Calendar_Weeks!$A$2:$A$53,INT((ROW()-2)/3)+1)</f>
        <v>46384</v>
      </c>
      <c r="B156" t="str" cm="1">
        <f t="array" ref="B156">INDEX(Production_Line_Master!$A$2:$A$4,MOD(ROW()-2,3)+1)</f>
        <v>L02</v>
      </c>
      <c r="C156">
        <f>SUMIFS(Weekly_Inventory_Flow!$I:$I,Weekly_Inventory_Flow!$A:$A,A156,Weekly_Inventory_Flow!$R:$R,B156)</f>
        <v>29200</v>
      </c>
      <c r="D156">
        <f>_xlfn.XLOOKUP(B156,Production_Line_Master!$A$2:$A$4,Production_Line_Master!$C$2:$C$4)</f>
        <v>1500</v>
      </c>
      <c r="E156">
        <f t="shared" si="14"/>
        <v>19.466666666666665</v>
      </c>
      <c r="F156">
        <f>_xlfn.XLOOKUP(B156,Weekly_Capacity!$B$2:$B$4,Weekly_Capacity!$E$2:$E$4)</f>
        <v>35</v>
      </c>
      <c r="G156">
        <f t="shared" si="15"/>
        <v>0</v>
      </c>
      <c r="H156">
        <f t="shared" si="16"/>
        <v>35</v>
      </c>
      <c r="I156">
        <f t="shared" si="17"/>
        <v>52500</v>
      </c>
      <c r="J156">
        <f t="shared" si="18"/>
        <v>0.55619047619047612</v>
      </c>
      <c r="K156">
        <f t="shared" si="19"/>
        <v>0</v>
      </c>
      <c r="L156" t="str">
        <f t="shared" si="20"/>
        <v>WITHIN CAPACITY</v>
      </c>
    </row>
    <row r="157" spans="1:12">
      <c r="A157" s="1" cm="1">
        <f t="array" ref="A157">INDEX(Calendar_Weeks!$A$2:$A$53,INT((ROW()-2)/3)+1)</f>
        <v>46384</v>
      </c>
      <c r="B157" t="str" cm="1">
        <f t="array" ref="B157">INDEX(Production_Line_Master!$A$2:$A$4,MOD(ROW()-2,3)+1)</f>
        <v>L03</v>
      </c>
      <c r="C157">
        <f>SUMIFS(Weekly_Inventory_Flow!$I:$I,Weekly_Inventory_Flow!$A:$A,A157,Weekly_Inventory_Flow!$R:$R,B157)</f>
        <v>23400</v>
      </c>
      <c r="D157">
        <f>_xlfn.XLOOKUP(B157,Production_Line_Master!$A$2:$A$4,Production_Line_Master!$C$2:$C$4)</f>
        <v>1200</v>
      </c>
      <c r="E157">
        <f t="shared" si="14"/>
        <v>19.5</v>
      </c>
      <c r="F157">
        <f>_xlfn.XLOOKUP(B157,Weekly_Capacity!$B$2:$B$4,Weekly_Capacity!$E$2:$E$4)</f>
        <v>35</v>
      </c>
      <c r="G157">
        <f t="shared" si="15"/>
        <v>0</v>
      </c>
      <c r="H157">
        <f t="shared" si="16"/>
        <v>35</v>
      </c>
      <c r="I157">
        <f t="shared" si="17"/>
        <v>42000</v>
      </c>
      <c r="J157">
        <f t="shared" si="18"/>
        <v>0.55714285714285716</v>
      </c>
      <c r="K157">
        <f t="shared" si="19"/>
        <v>0</v>
      </c>
      <c r="L157" t="str">
        <f t="shared" si="20"/>
        <v>WITHIN CAPACITY</v>
      </c>
    </row>
    <row r="158" spans="1:12">
      <c r="A158" s="1"/>
    </row>
    <row r="159" spans="1:12">
      <c r="A159" s="1"/>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3516-1F35-4C47-A30E-E58D1EECDF45}">
  <dimension ref="A1:C12"/>
  <sheetViews>
    <sheetView workbookViewId="0">
      <selection activeCell="J16" sqref="J16"/>
    </sheetView>
  </sheetViews>
  <sheetFormatPr defaultRowHeight="14.4"/>
  <cols>
    <col min="1" max="1" width="32.44140625" bestFit="1" customWidth="1"/>
    <col min="3" max="3" width="10.5546875" customWidth="1"/>
  </cols>
  <sheetData>
    <row r="1" spans="1:3">
      <c r="A1" t="s">
        <v>137</v>
      </c>
      <c r="B1" t="s">
        <v>138</v>
      </c>
      <c r="C1" t="s">
        <v>139</v>
      </c>
    </row>
    <row r="2" spans="1:3">
      <c r="A2" t="s">
        <v>140</v>
      </c>
      <c r="B2">
        <f>COUNTA(Demand_Base!A:A)-1</f>
        <v>1040</v>
      </c>
      <c r="C2">
        <v>1040</v>
      </c>
    </row>
    <row r="3" spans="1:3">
      <c r="A3" t="s">
        <v>141</v>
      </c>
      <c r="B3">
        <f>COUNTA(Weekly_Product_Demand!A:A)-1</f>
        <v>260</v>
      </c>
      <c r="C3">
        <v>260</v>
      </c>
    </row>
    <row r="4" spans="1:3">
      <c r="A4" t="s">
        <v>142</v>
      </c>
      <c r="B4">
        <f>COUNTA(Weekly_Inventory_Flow!A:A)-1</f>
        <v>260</v>
      </c>
      <c r="C4">
        <v>260</v>
      </c>
    </row>
    <row r="5" spans="1:3">
      <c r="A5" t="s">
        <v>143</v>
      </c>
      <c r="B5">
        <f>COUNTA(Weekly_Material_Requirements!A:A)-1</f>
        <v>1040</v>
      </c>
      <c r="C5">
        <v>1040</v>
      </c>
    </row>
    <row r="6" spans="1:3">
      <c r="A6" t="s">
        <v>144</v>
      </c>
      <c r="B6">
        <f>COUNTA(Weekly_Material_Summary!A:A)-1</f>
        <v>416</v>
      </c>
      <c r="C6">
        <v>416</v>
      </c>
    </row>
    <row r="7" spans="1:3">
      <c r="A7" t="s">
        <v>145</v>
      </c>
      <c r="B7">
        <f>COUNTA(Weekly_Material_Inventory!A:A)-1</f>
        <v>416</v>
      </c>
      <c r="C7">
        <v>416</v>
      </c>
    </row>
    <row r="8" spans="1:3">
      <c r="A8" t="s">
        <v>146</v>
      </c>
      <c r="B8">
        <f>COUNTA(Weekly_Line_Capacity!A:A)-1</f>
        <v>156</v>
      </c>
      <c r="C8">
        <v>156</v>
      </c>
    </row>
    <row r="9" spans="1:3">
      <c r="A9" t="s">
        <v>147</v>
      </c>
      <c r="B9" cm="1">
        <f t="array" ref="B9">SUMPRODUCT(--(Weekly_Inventory_Flow!C7:C261&lt;&gt;Weekly_Inventory_Flow!O2:O256))</f>
        <v>0</v>
      </c>
      <c r="C9">
        <v>0</v>
      </c>
    </row>
    <row r="10" spans="1:3">
      <c r="A10" t="s">
        <v>148</v>
      </c>
      <c r="B10" cm="1">
        <f t="array" ref="B10">SUMPRODUCT(--(Weekly_Material_Inventory!C10:C417&lt;&gt;Weekly_Material_Inventory!L2:L409))</f>
        <v>0</v>
      </c>
      <c r="C10">
        <v>0</v>
      </c>
    </row>
    <row r="11" spans="1:3">
      <c r="A11" t="s">
        <v>149</v>
      </c>
      <c r="B11">
        <f>COUNTIFS(Weekly_Inventory_Flow!A:A,DATE(2026,12,7),Weekly_Inventory_Flow!B:B,"P005",Weekly_Inventory_Flow!K:K,0.78)</f>
        <v>0</v>
      </c>
      <c r="C11">
        <v>1</v>
      </c>
    </row>
    <row r="12" spans="1:3">
      <c r="A12" t="s">
        <v>150</v>
      </c>
      <c r="B12">
        <f>COUNTIFS(Weekly_Material_Inventory!A:A,DATE(2026,9,14),Weekly_Material_Inventory!B:B,"M002",Weekly_Material_Inventory!G:G,0.65)</f>
        <v>1</v>
      </c>
      <c r="C12">
        <v>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87C4-A95E-489C-90A3-500D8869EA99}">
  <dimension ref="A1:H19"/>
  <sheetViews>
    <sheetView workbookViewId="0">
      <selection activeCell="C22" sqref="C22"/>
    </sheetView>
  </sheetViews>
  <sheetFormatPr defaultRowHeight="14.4"/>
  <cols>
    <col min="1" max="1" width="24.5546875" bestFit="1" customWidth="1"/>
    <col min="2" max="2" width="12.21875" style="7" bestFit="1" customWidth="1"/>
    <col min="4" max="4" width="22.77734375" bestFit="1" customWidth="1"/>
    <col min="5" max="5" width="23.21875" style="6" bestFit="1" customWidth="1"/>
    <col min="7" max="7" width="28.5546875" bestFit="1" customWidth="1"/>
    <col min="8" max="8" width="12.109375" bestFit="1" customWidth="1"/>
  </cols>
  <sheetData>
    <row r="1" spans="1:8">
      <c r="A1" s="8" t="s">
        <v>151</v>
      </c>
      <c r="B1" s="9">
        <v>46328</v>
      </c>
    </row>
    <row r="2" spans="1:8">
      <c r="A2" s="8" t="s">
        <v>152</v>
      </c>
      <c r="B2" s="10" t="s">
        <v>2</v>
      </c>
    </row>
    <row r="4" spans="1:8" ht="18">
      <c r="A4" s="31" t="s">
        <v>179</v>
      </c>
      <c r="B4" s="32"/>
      <c r="C4" s="32"/>
      <c r="D4" s="32"/>
      <c r="E4" s="32"/>
    </row>
    <row r="5" spans="1:8" ht="15.6">
      <c r="A5" s="36" t="s">
        <v>180</v>
      </c>
      <c r="B5" s="36"/>
      <c r="C5" s="12"/>
      <c r="D5" s="33" t="s">
        <v>181</v>
      </c>
      <c r="E5" s="34"/>
    </row>
    <row r="6" spans="1:8">
      <c r="A6" s="14" t="s">
        <v>153</v>
      </c>
      <c r="B6" s="20" t="s">
        <v>154</v>
      </c>
      <c r="D6" s="14" t="s">
        <v>168</v>
      </c>
      <c r="E6" s="15" t="s">
        <v>154</v>
      </c>
      <c r="G6" s="14" t="s">
        <v>183</v>
      </c>
      <c r="H6" s="14" t="s">
        <v>184</v>
      </c>
    </row>
    <row r="7" spans="1:8">
      <c r="A7" s="16" t="s">
        <v>155</v>
      </c>
      <c r="B7" s="21">
        <f>SUMIFS(Weekly_Product_Demand!$C:$C,Weekly_Product_Demand!$A:$A,$B$1,Weekly_Product_Demand!$B:$B,$B$2)</f>
        <v>12886</v>
      </c>
      <c r="D7" s="16" t="s">
        <v>169</v>
      </c>
      <c r="E7" s="17" t="str">
        <f>_xlfn.XLOOKUP($B$2,BOM!$A$2:$A$21,BOM!$B$2:$B$21,"")</f>
        <v>M002</v>
      </c>
      <c r="G7" s="16" t="s">
        <v>185</v>
      </c>
      <c r="H7" s="17">
        <f>COUNTIFS(Weekly_Inventory_Flow!$A:$A,$B$1,Weekly_Inventory_Flow!$N:$N,"&gt;0")</f>
        <v>0</v>
      </c>
    </row>
    <row r="8" spans="1:8">
      <c r="A8" s="16" t="s">
        <v>156</v>
      </c>
      <c r="B8" s="21">
        <f>SUMIFS(Weekly_Product_Demand!$D:$D,Weekly_Product_Demand!$A:$A,$B$1,Weekly_Product_Demand!$B:$B,$B$2)</f>
        <v>12764</v>
      </c>
      <c r="D8" s="16" t="s">
        <v>170</v>
      </c>
      <c r="E8" s="18">
        <f>SUMIFS(Weekly_Material_Requirements!$F:$F,Weekly_Material_Requirements!$A:$A,$B$1,Weekly_Material_Requirements!$B:$B,$B$2,Weekly_Material_Requirements!$C:$C,E7)</f>
        <v>3870</v>
      </c>
      <c r="G8" s="16" t="s">
        <v>186</v>
      </c>
      <c r="H8" s="17">
        <f>COUNTIFS(Weekly_Material_Inventory!$A:$A,$B$1,Weekly_Material_Inventory!$K:$K,"&gt;0")</f>
        <v>0</v>
      </c>
    </row>
    <row r="9" spans="1:8">
      <c r="A9" s="16" t="s">
        <v>157</v>
      </c>
      <c r="B9" s="21">
        <f>B8-B7</f>
        <v>-122</v>
      </c>
      <c r="D9" s="16" t="s">
        <v>171</v>
      </c>
      <c r="E9" s="17">
        <f>SUMIFS(Weekly_Material_Inventory!$K:$K,Weekly_Material_Inventory!$A:$A,$B$1,Weekly_Material_Inventory!$B:$B,E7)</f>
        <v>0</v>
      </c>
      <c r="G9" s="16" t="s">
        <v>187</v>
      </c>
      <c r="H9" s="17">
        <f>COUNTIFS(Weekly_Line_Capacity!$A:$A,$B$1,Weekly_Line_Capacity!$L:$L,"OVER CAPACITY")</f>
        <v>1</v>
      </c>
    </row>
    <row r="10" spans="1:8">
      <c r="A10" s="16" t="s">
        <v>158</v>
      </c>
      <c r="B10" s="21">
        <f>SUMIFS(Weekly_Inventory_Flow!$E:$E,Weekly_Inventory_Flow!$A:$A,$B$1,Weekly_Inventory_Flow!$B:$B,$B$2)</f>
        <v>3565</v>
      </c>
      <c r="D10" s="16" t="s">
        <v>172</v>
      </c>
      <c r="E10" s="17" t="str">
        <f>IF(E9&gt;0,"MATERIAL SHORTAGE","OK")</f>
        <v>OK</v>
      </c>
      <c r="G10" s="16" t="s">
        <v>188</v>
      </c>
      <c r="H10" s="17">
        <f>COUNTIFS(Weekly_Inventory_Flow!$A:$A,$B$1,Weekly_Inventory_Flow!$Q:$Q,"&lt;0.95")</f>
        <v>0</v>
      </c>
    </row>
    <row r="11" spans="1:8">
      <c r="A11" s="16" t="s">
        <v>159</v>
      </c>
      <c r="B11" s="21">
        <f>SUMIFS(Weekly_Inventory_Flow!$G:$G,Weekly_Inventory_Flow!$A:$A,$B$1,Weekly_Inventory_Flow!$B:$B,$B$2)</f>
        <v>3647</v>
      </c>
      <c r="D11" s="16" t="s">
        <v>173</v>
      </c>
      <c r="E11" s="19">
        <f>SUMIFS(Weekly_Line_Capacity!$J:$J,Weekly_Line_Capacity!$A:$A,$B$1,Weekly_Line_Capacity!$B:$B,$B$19)</f>
        <v>1.6190476190476188</v>
      </c>
      <c r="G11" s="16" t="s">
        <v>189</v>
      </c>
      <c r="H11" s="17">
        <f>SUMIFS(Weekly_Line_Capacity!$K:$K,Weekly_Line_Capacity!$A:$A,$B$1)</f>
        <v>9749.9999999999982</v>
      </c>
    </row>
    <row r="12" spans="1:8">
      <c r="A12" s="16" t="s">
        <v>160</v>
      </c>
      <c r="B12" s="21">
        <f>SUMIFS(Weekly_Inventory_Flow!$H:$H,Weekly_Inventory_Flow!$A:$A,$B$1,Weekly_Inventory_Flow!$B:$B,$B$2)</f>
        <v>12846</v>
      </c>
      <c r="D12" s="16" t="s">
        <v>174</v>
      </c>
      <c r="E12" s="17">
        <f>SUMIFS(Weekly_Line_Capacity!$K:$K,Weekly_Line_Capacity!$A:$A,$B$1,Weekly_Line_Capacity!$B:$B,$B$19)</f>
        <v>9749.9999999999982</v>
      </c>
    </row>
    <row r="13" spans="1:8">
      <c r="A13" s="16" t="s">
        <v>161</v>
      </c>
      <c r="B13" s="21">
        <f>SUMIFS(Weekly_Inventory_Flow!$I:$I,Weekly_Inventory_Flow!$A:$A,$B$1,Weekly_Inventory_Flow!$B:$B,$B$2)</f>
        <v>12900</v>
      </c>
      <c r="D13" s="16" t="s">
        <v>175</v>
      </c>
      <c r="E13" s="17" t="str" cm="1">
        <f t="array" ref="E13">_xlfn.XLOOKUP(1,(Weekly_Line_Capacity!$A$2:$A$157=$B$1)*(Weekly_Line_Capacity!$B$2:$B$157=$B$19),Weekly_Line_Capacity!$L$2:$L$157,"")</f>
        <v>OVER CAPACITY</v>
      </c>
    </row>
    <row r="14" spans="1:8">
      <c r="A14" s="16" t="s">
        <v>162</v>
      </c>
      <c r="B14" s="21">
        <f>SUMIFS(Weekly_Inventory_Flow!$L:$L,Weekly_Inventory_Flow!$A:$A,$B$1,Weekly_Inventory_Flow!$B:$B,$B$2)</f>
        <v>12771</v>
      </c>
    </row>
    <row r="15" spans="1:8">
      <c r="A15" s="16" t="s">
        <v>163</v>
      </c>
      <c r="B15" s="21">
        <f>SUMIFS(Weekly_Inventory_Flow!$P:$P,Weekly_Inventory_Flow!$A:$A,$B$1,Weekly_Inventory_Flow!$B:$B,$B$2)</f>
        <v>-129</v>
      </c>
    </row>
    <row r="16" spans="1:8">
      <c r="A16" s="16" t="s">
        <v>164</v>
      </c>
      <c r="B16" s="22">
        <f>SUMIFS(Weekly_Inventory_Flow!$Q:$Q,Weekly_Inventory_Flow!$A:$A,$B$1,Weekly_Inventory_Flow!$B:$B,$B$2)</f>
        <v>0.99</v>
      </c>
      <c r="D16" s="35" t="s">
        <v>182</v>
      </c>
      <c r="E16" s="35"/>
    </row>
    <row r="17" spans="1:5">
      <c r="A17" s="16" t="s">
        <v>165</v>
      </c>
      <c r="B17" s="21">
        <f>SUMIFS(Weekly_Inventory_Flow!$O:$O,Weekly_Inventory_Flow!$A:$A,$B$1,Weekly_Inventory_Flow!$B:$B,$B$2)</f>
        <v>3572</v>
      </c>
      <c r="D17" s="14" t="s">
        <v>176</v>
      </c>
      <c r="E17" s="17"/>
    </row>
    <row r="18" spans="1:5">
      <c r="A18" s="16" t="s">
        <v>166</v>
      </c>
      <c r="B18" s="23">
        <f>SUMIFS(Weekly_Inventory_Flow!$N:$N,Weekly_Inventory_Flow!$A:$A,$B$1,Weekly_Inventory_Flow!$B:$B,$B$2)</f>
        <v>0</v>
      </c>
      <c r="D18" s="16" t="s">
        <v>177</v>
      </c>
      <c r="E18" s="17" t="str">
        <f>IF(OR(B18&gt;0,E10="MATERIAL SHORTAGE",E13="OVER CAPACITY"),"CRITICAL",IF(OR(B16&lt;0.95,ABS(B9/B7)&gt;=0.1,E11&gt;=0.85),"WARNING","OK"))</f>
        <v>CRITICAL</v>
      </c>
    </row>
    <row r="19" spans="1:5">
      <c r="A19" s="16" t="s">
        <v>167</v>
      </c>
      <c r="B19" s="23" t="str" cm="1">
        <f t="array" ref="B19">_xlfn.XLOOKUP(1,(Weekly_Inventory_Flow!$A$2:$A$261=$B$1)*(Weekly_Inventory_Flow!$B$2:$B$261=$B$2),Weekly_Inventory_Flow!$R$2:$R$261,"")</f>
        <v>L02</v>
      </c>
      <c r="D19" s="16" t="s">
        <v>178</v>
      </c>
      <c r="E19" s="17" t="str">
        <f>IF(E18="CRITICAL","Immediate review required",IF(E18="WARNING","Monitor and investigate","No immediate action"))</f>
        <v>Immediate review required</v>
      </c>
    </row>
  </sheetData>
  <mergeCells count="4">
    <mergeCell ref="A4:E4"/>
    <mergeCell ref="D5:E5"/>
    <mergeCell ref="D16:E16"/>
    <mergeCell ref="A5:B5"/>
  </mergeCells>
  <conditionalFormatting sqref="E9 E12 B18">
    <cfRule type="cellIs" dxfId="15" priority="1" operator="greaterThan">
      <formula>0</formula>
    </cfRule>
  </conditionalFormatting>
  <conditionalFormatting sqref="E18">
    <cfRule type="containsText" dxfId="14" priority="2" operator="containsText" text="OK">
      <formula>NOT(ISERROR(SEARCH("OK",E18)))</formula>
    </cfRule>
    <cfRule type="containsText" dxfId="13" priority="3" operator="containsText" text="WARNING">
      <formula>NOT(ISERROR(SEARCH("WARNING",E18)))</formula>
    </cfRule>
    <cfRule type="containsText" dxfId="12" priority="4" operator="containsText" text="CRITICAL">
      <formula>NOT(ISERROR(SEARCH("CRITICAL",E18)))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80A4DBC-9E82-4E98-8562-795CCB5B59EA}">
          <x14:formula1>
            <xm:f>Calendar_Weeks!$A$2:$A$53</xm:f>
          </x14:formula1>
          <xm:sqref>B1</xm:sqref>
        </x14:dataValidation>
        <x14:dataValidation type="list" allowBlank="1" showInputMessage="1" showErrorMessage="1" xr:uid="{DFD3D9F9-7366-47F2-BE11-654603E1FA0F}">
          <x14:formula1>
            <xm:f>Product_Master!$A$2:$A$6</xm:f>
          </x14:formula1>
          <xm:sqref>B2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AB6B-4BB3-4911-85B9-043110BD2A86}">
  <dimension ref="A1:C14"/>
  <sheetViews>
    <sheetView workbookViewId="0">
      <selection activeCell="G11" sqref="G11"/>
    </sheetView>
  </sheetViews>
  <sheetFormatPr defaultRowHeight="14.4"/>
  <cols>
    <col min="1" max="1" width="27.33203125" style="6" bestFit="1" customWidth="1"/>
    <col min="2" max="2" width="12.109375" style="6" customWidth="1"/>
    <col min="3" max="3" width="38.88671875" style="6" customWidth="1"/>
    <col min="4" max="16384" width="8.88671875" style="6"/>
  </cols>
  <sheetData>
    <row r="1" spans="1:3">
      <c r="A1" s="37" t="s">
        <v>190</v>
      </c>
      <c r="B1" s="38" t="s">
        <v>154</v>
      </c>
      <c r="C1" s="39" t="s">
        <v>191</v>
      </c>
    </row>
    <row r="2" spans="1:3">
      <c r="A2" s="40" t="s">
        <v>192</v>
      </c>
      <c r="B2" s="41">
        <f>SUM(Weekly_Product_Demand!$C:$C)</f>
        <v>3119718</v>
      </c>
      <c r="C2" s="42" t="s">
        <v>193</v>
      </c>
    </row>
    <row r="3" spans="1:3">
      <c r="A3" s="40" t="s">
        <v>194</v>
      </c>
      <c r="B3" s="41">
        <f>SUM(Weekly_Product_Demand!$D:$D)</f>
        <v>3118347</v>
      </c>
      <c r="C3" s="42" t="s">
        <v>195</v>
      </c>
    </row>
    <row r="4" spans="1:3">
      <c r="A4" s="40" t="s">
        <v>196</v>
      </c>
      <c r="B4" s="41">
        <f>IF(B2=0,0,(B3-B2)/B2)</f>
        <v>-4.3946279759901375E-4</v>
      </c>
      <c r="C4" s="42"/>
    </row>
    <row r="5" spans="1:3">
      <c r="A5" s="40" t="s">
        <v>197</v>
      </c>
      <c r="B5" s="41">
        <f>SUM(Demand_Base!$N:$N)/SUM(Demand_Base!$K:$K)</f>
        <v>3.436339830044572E-2</v>
      </c>
      <c r="C5" s="42"/>
    </row>
    <row r="6" spans="1:3">
      <c r="A6" s="40" t="s">
        <v>198</v>
      </c>
      <c r="B6" s="41">
        <f>MAX(0,1-B5)</f>
        <v>0.96563660169955423</v>
      </c>
      <c r="C6" s="42"/>
    </row>
    <row r="7" spans="1:3">
      <c r="A7" s="40" t="s">
        <v>164</v>
      </c>
      <c r="B7" s="41">
        <f>IF(SUM(Weekly_Inventory_Flow!$I:$I)=0,0,SUM(Weekly_Inventory_Flow!$L:$L)/SUM(Weekly_Inventory_Flow!$I:$I))</f>
        <v>0.99347577528664044</v>
      </c>
      <c r="C7" s="42"/>
    </row>
    <row r="8" spans="1:3">
      <c r="A8" s="40" t="s">
        <v>199</v>
      </c>
      <c r="B8" s="41">
        <f>SUM(Weekly_Inventory_Flow!$P:$P)</f>
        <v>-20428</v>
      </c>
      <c r="C8" s="42"/>
    </row>
    <row r="9" spans="1:3">
      <c r="A9" s="40" t="s">
        <v>200</v>
      </c>
      <c r="B9" s="41">
        <f>COUNTIF(Weekly_Inventory_Flow!$N:$N,"&gt;0")</f>
        <v>1</v>
      </c>
      <c r="C9" s="42"/>
    </row>
    <row r="10" spans="1:3">
      <c r="A10" s="40" t="s">
        <v>201</v>
      </c>
      <c r="B10" s="41">
        <f>COUNTIF(Weekly_Material_Inventory!$K:$K,"&gt;0")</f>
        <v>1</v>
      </c>
      <c r="C10" s="42"/>
    </row>
    <row r="11" spans="1:3">
      <c r="A11" s="40" t="s">
        <v>202</v>
      </c>
      <c r="B11" s="41">
        <f>COUNTIF(Weekly_Line_Capacity!$L:$L,"OVER CAPACITY")</f>
        <v>1</v>
      </c>
      <c r="C11" s="42"/>
    </row>
    <row r="12" spans="1:3">
      <c r="A12" s="40" t="s">
        <v>203</v>
      </c>
      <c r="B12" s="41">
        <f>IF(SUM(Weekly_Line_Capacity!$H:$H)=0,0,SUM(Weekly_Line_Capacity!$E:$E)/SUM(Weekly_Line_Capacity!$H:$H))</f>
        <v>0.38937971325523862</v>
      </c>
      <c r="C12" s="42"/>
    </row>
    <row r="13" spans="1:3">
      <c r="A13" s="40" t="s">
        <v>206</v>
      </c>
      <c r="B13" s="41">
        <f>AVERAGE(Weekly_Inventory_Flow!$S$2:$S$261)</f>
        <v>1.9857532507242039</v>
      </c>
      <c r="C13" s="42"/>
    </row>
    <row r="14" spans="1:3">
      <c r="A14" s="43" t="s">
        <v>207</v>
      </c>
      <c r="B14" s="44">
        <f>COUNTIFS(Weekly_Inventory_Flow!$T$2:$T$261,"&lt;&gt;OK")</f>
        <v>131</v>
      </c>
      <c r="C14" s="45"/>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55EF-0803-45B8-B5A4-A186B511BF52}">
  <dimension ref="A1:J6"/>
  <sheetViews>
    <sheetView workbookViewId="0">
      <selection sqref="A1:J6"/>
    </sheetView>
  </sheetViews>
  <sheetFormatPr defaultRowHeight="14.4"/>
  <cols>
    <col min="1" max="1" width="12.33203125" style="6" customWidth="1"/>
    <col min="2" max="2" width="19.109375" style="6" customWidth="1"/>
    <col min="3" max="3" width="23.21875" style="6" customWidth="1"/>
    <col min="4" max="4" width="16.6640625" style="6" customWidth="1"/>
    <col min="5" max="5" width="10.44140625" style="6" customWidth="1"/>
    <col min="6" max="6" width="21" style="6" bestFit="1" customWidth="1"/>
    <col min="7" max="7" width="26.33203125" style="6" bestFit="1" customWidth="1"/>
    <col min="8" max="8" width="22.6640625" style="6" customWidth="1"/>
    <col min="9" max="9" width="22.109375" style="6" customWidth="1"/>
    <col min="10" max="10" width="20.21875" style="6" bestFit="1" customWidth="1"/>
    <col min="11" max="16384" width="8.88671875" style="6"/>
  </cols>
  <sheetData>
    <row r="1" spans="1:10">
      <c r="A1" t="s">
        <v>24</v>
      </c>
      <c r="B1" t="s">
        <v>105</v>
      </c>
      <c r="C1" t="s">
        <v>106</v>
      </c>
      <c r="D1" t="s">
        <v>208</v>
      </c>
      <c r="E1" t="s">
        <v>209</v>
      </c>
      <c r="F1" t="s">
        <v>210</v>
      </c>
      <c r="G1" t="s">
        <v>117</v>
      </c>
      <c r="H1" t="s">
        <v>211</v>
      </c>
      <c r="I1" t="s">
        <v>212</v>
      </c>
      <c r="J1" t="s">
        <v>213</v>
      </c>
    </row>
    <row r="2" spans="1:10">
      <c r="A2" t="str">
        <f>Product_Master!A2</f>
        <v>P001</v>
      </c>
      <c r="B2">
        <f>SUMIFS(Demand_Base!$I:$I,Demand_Base!$C:$C,$A2)</f>
        <v>775747</v>
      </c>
      <c r="C2">
        <f>SUMIFS(Demand_Base!$K:$K,Demand_Base!$C:$C,$A2)</f>
        <v>773115</v>
      </c>
      <c r="D2">
        <f>IF(B2=0,0,(C2-B2)/B2)</f>
        <v>-3.3928587542072352E-3</v>
      </c>
      <c r="E2">
        <f>IF(C2=0,0,SUMIFS(Demand_Base!$N:$N,Demand_Base!$C:$C,$A2)/C2)</f>
        <v>3.4168267334096482E-2</v>
      </c>
      <c r="F2">
        <f>MAX(0,1-E2)</f>
        <v>0.9658317326659035</v>
      </c>
      <c r="G2">
        <f>IF(SUMIFS(Weekly_Inventory_Flow!$I:$I,Weekly_Inventory_Flow!$B:$B,$A2)=0,0,
SUMIFS(Weekly_Inventory_Flow!$L:$L,Weekly_Inventory_Flow!$B:$B,$A2)/
SUMIFS(Weekly_Inventory_Flow!$I:$I,Weekly_Inventory_Flow!$B:$B,$A2))</f>
        <v>0.99151936189373469</v>
      </c>
      <c r="H2">
        <f>AVERAGEIFS(Weekly_Inventory_Flow!$S:$S,Weekly_Inventory_Flow!$B:$B,$A2)</f>
        <v>1.9648932516831896</v>
      </c>
      <c r="I2">
        <f>COUNTIFS(Weekly_Inventory_Flow!$B:$B,$A2,Weekly_Inventory_Flow!$T:$T,"&lt;&gt;OK")</f>
        <v>31</v>
      </c>
      <c r="J2">
        <f>COUNTIFS(Weekly_Inventory_Flow!$B:$B,$A2,Weekly_Inventory_Flow!$N:$N,"&gt;0")</f>
        <v>0</v>
      </c>
    </row>
    <row r="3" spans="1:10">
      <c r="A3" t="str">
        <f>Product_Master!A3</f>
        <v>P002</v>
      </c>
      <c r="B3">
        <f>SUMIFS(Demand_Base!$I:$I,Demand_Base!$C:$C,$A3)</f>
        <v>668640</v>
      </c>
      <c r="C3">
        <f>SUMIFS(Demand_Base!$K:$K,Demand_Base!$C:$C,$A3)</f>
        <v>669755</v>
      </c>
      <c r="D3">
        <f t="shared" ref="D3:D6" si="0">IF(B3=0,0,(C3-B3)/B3)</f>
        <v>1.6675640105288346E-3</v>
      </c>
      <c r="E3">
        <f>IF(C3=0,0,SUMIFS(Demand_Base!$N:$N,Demand_Base!$C:$C,$A3)/C3)</f>
        <v>3.3273361154452001E-2</v>
      </c>
      <c r="F3">
        <f t="shared" ref="F3:F6" si="1">MAX(0,1-E3)</f>
        <v>0.96672663884554799</v>
      </c>
      <c r="G3">
        <f>IF(SUMIFS(Weekly_Inventory_Flow!$I:$I,Weekly_Inventory_Flow!$B:$B,$A3)=0,0,
SUMIFS(Weekly_Inventory_Flow!$L:$L,Weekly_Inventory_Flow!$B:$B,$A3)/
SUMIFS(Weekly_Inventory_Flow!$I:$I,Weekly_Inventory_Flow!$B:$B,$A3))</f>
        <v>0.99437527922561431</v>
      </c>
      <c r="H3">
        <f>AVERAGEIFS(Weekly_Inventory_Flow!$S:$S,Weekly_Inventory_Flow!$B:$B,$A3)</f>
        <v>1.9857727362047106</v>
      </c>
      <c r="I3">
        <f>COUNTIFS(Weekly_Inventory_Flow!$B:$B,$A3,Weekly_Inventory_Flow!$T:$T,"&lt;&gt;OK")</f>
        <v>25</v>
      </c>
      <c r="J3">
        <f>COUNTIFS(Weekly_Inventory_Flow!$B:$B,$A3,Weekly_Inventory_Flow!$N:$N,"&gt;0")</f>
        <v>0</v>
      </c>
    </row>
    <row r="4" spans="1:10">
      <c r="A4" t="str">
        <f>Product_Master!A4</f>
        <v>P003</v>
      </c>
      <c r="B4">
        <f>SUMIFS(Demand_Base!$I:$I,Demand_Base!$C:$C,$A4)</f>
        <v>584109</v>
      </c>
      <c r="C4">
        <f>SUMIFS(Demand_Base!$K:$K,Demand_Base!$C:$C,$A4)</f>
        <v>582439</v>
      </c>
      <c r="D4">
        <f t="shared" si="0"/>
        <v>-2.8590554160268034E-3</v>
      </c>
      <c r="E4">
        <f>IF(C4=0,0,SUMIFS(Demand_Base!$N:$N,Demand_Base!$C:$C,$A4)/C4)</f>
        <v>3.942730483363923E-2</v>
      </c>
      <c r="F4">
        <f t="shared" si="1"/>
        <v>0.96057269516636079</v>
      </c>
      <c r="G4">
        <f>IF(SUMIFS(Weekly_Inventory_Flow!$I:$I,Weekly_Inventory_Flow!$B:$B,$A4)=0,0,
SUMIFS(Weekly_Inventory_Flow!$L:$L,Weekly_Inventory_Flow!$B:$B,$A4)/
SUMIFS(Weekly_Inventory_Flow!$I:$I,Weekly_Inventory_Flow!$B:$B,$A4))</f>
        <v>0.99693891557995884</v>
      </c>
      <c r="H4">
        <f>AVERAGEIFS(Weekly_Inventory_Flow!$S:$S,Weekly_Inventory_Flow!$B:$B,$A4)</f>
        <v>2.0101968493824476</v>
      </c>
      <c r="I4">
        <f>COUNTIFS(Weekly_Inventory_Flow!$B:$B,$A4,Weekly_Inventory_Flow!$T:$T,"&lt;&gt;OK")</f>
        <v>22</v>
      </c>
      <c r="J4">
        <f>COUNTIFS(Weekly_Inventory_Flow!$B:$B,$A4,Weekly_Inventory_Flow!$N:$N,"&gt;0")</f>
        <v>0</v>
      </c>
    </row>
    <row r="5" spans="1:10">
      <c r="A5" t="str">
        <f>Product_Master!A5</f>
        <v>P004</v>
      </c>
      <c r="B5">
        <f>SUMIFS(Demand_Base!$I:$I,Demand_Base!$C:$C,$A5)</f>
        <v>621726</v>
      </c>
      <c r="C5">
        <f>SUMIFS(Demand_Base!$K:$K,Demand_Base!$C:$C,$A5)</f>
        <v>623019</v>
      </c>
      <c r="D5">
        <f t="shared" si="0"/>
        <v>2.0796942704664114E-3</v>
      </c>
      <c r="E5">
        <f>IF(C5=0,0,SUMIFS(Demand_Base!$N:$N,Demand_Base!$C:$C,$A5)/C5)</f>
        <v>3.4077612400263878E-2</v>
      </c>
      <c r="F5">
        <f t="shared" si="1"/>
        <v>0.96592238759973614</v>
      </c>
      <c r="G5">
        <f>IF(SUMIFS(Weekly_Inventory_Flow!$I:$I,Weekly_Inventory_Flow!$B:$B,$A5)=0,0,
SUMIFS(Weekly_Inventory_Flow!$L:$L,Weekly_Inventory_Flow!$B:$B,$A5)/
SUMIFS(Weekly_Inventory_Flow!$I:$I,Weekly_Inventory_Flow!$B:$B,$A5))</f>
        <v>0.99507197696737049</v>
      </c>
      <c r="H5">
        <f>AVERAGEIFS(Weekly_Inventory_Flow!$S:$S,Weekly_Inventory_Flow!$B:$B,$A5)</f>
        <v>1.9945312679704057</v>
      </c>
      <c r="I5">
        <f>COUNTIFS(Weekly_Inventory_Flow!$B:$B,$A5,Weekly_Inventory_Flow!$T:$T,"&lt;&gt;OK")</f>
        <v>29</v>
      </c>
      <c r="J5">
        <f>COUNTIFS(Weekly_Inventory_Flow!$B:$B,$A5,Weekly_Inventory_Flow!$N:$N,"&gt;0")</f>
        <v>0</v>
      </c>
    </row>
    <row r="6" spans="1:10">
      <c r="A6" t="str">
        <f>Product_Master!A6</f>
        <v>P005</v>
      </c>
      <c r="B6">
        <f>SUMIFS(Demand_Base!$I:$I,Demand_Base!$C:$C,$A6)</f>
        <v>469496</v>
      </c>
      <c r="C6">
        <f>SUMIFS(Demand_Base!$K:$K,Demand_Base!$C:$C,$A6)</f>
        <v>470019</v>
      </c>
      <c r="D6">
        <f t="shared" si="0"/>
        <v>1.1139605023258983E-3</v>
      </c>
      <c r="E6">
        <f>IF(C6=0,0,SUMIFS(Demand_Base!$N:$N,Demand_Base!$C:$C,$A6)/C6)</f>
        <v>3.0341326627221454E-2</v>
      </c>
      <c r="F6">
        <f t="shared" si="1"/>
        <v>0.96965867337277856</v>
      </c>
      <c r="G6">
        <f>IF(SUMIFS(Weekly_Inventory_Flow!$I:$I,Weekly_Inventory_Flow!$B:$B,$A6)=0,0,
SUMIFS(Weekly_Inventory_Flow!$L:$L,Weekly_Inventory_Flow!$B:$B,$A6)/
SUMIFS(Weekly_Inventory_Flow!$I:$I,Weekly_Inventory_Flow!$B:$B,$A6))</f>
        <v>0.98904912502635467</v>
      </c>
      <c r="H6">
        <f>AVERAGEIFS(Weekly_Inventory_Flow!$S:$S,Weekly_Inventory_Flow!$B:$B,$A6)</f>
        <v>1.9733721483802618</v>
      </c>
      <c r="I6">
        <f>COUNTIFS(Weekly_Inventory_Flow!$B:$B,$A6,Weekly_Inventory_Flow!$T:$T,"&lt;&gt;OK")</f>
        <v>24</v>
      </c>
      <c r="J6">
        <f>COUNTIFS(Weekly_Inventory_Flow!$B:$B,$A6,Weekly_Inventory_Flow!$N:$N,"&gt;0")</f>
        <v>1</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097A-2539-4461-923C-C1BDA1B862BF}">
  <dimension ref="A1:I4"/>
  <sheetViews>
    <sheetView workbookViewId="0">
      <selection sqref="A1:H4"/>
    </sheetView>
  </sheetViews>
  <sheetFormatPr defaultRowHeight="14.4"/>
  <cols>
    <col min="1" max="1" width="9.109375" customWidth="1"/>
    <col min="2" max="2" width="25.33203125" customWidth="1"/>
    <col min="3" max="3" width="22.33203125" bestFit="1" customWidth="1"/>
    <col min="4" max="4" width="21.6640625" customWidth="1"/>
    <col min="5" max="5" width="31.88671875" customWidth="1"/>
    <col min="6" max="6" width="21.6640625" customWidth="1"/>
    <col min="7" max="7" width="25.5546875" customWidth="1"/>
    <col min="8" max="8" width="27.33203125" bestFit="1" customWidth="1"/>
  </cols>
  <sheetData>
    <row r="1" spans="1:9">
      <c r="A1" t="s">
        <v>32</v>
      </c>
      <c r="B1" t="s">
        <v>214</v>
      </c>
      <c r="C1" t="s">
        <v>215</v>
      </c>
      <c r="D1" t="s">
        <v>216</v>
      </c>
      <c r="E1" t="s">
        <v>217</v>
      </c>
      <c r="F1" t="s">
        <v>218</v>
      </c>
      <c r="G1" t="s">
        <v>219</v>
      </c>
      <c r="H1" t="s">
        <v>220</v>
      </c>
      <c r="I1" s="8"/>
    </row>
    <row r="2" spans="1:9">
      <c r="A2" t="str">
        <f>Production_Line_Master!A2</f>
        <v>L01</v>
      </c>
      <c r="B2">
        <f>SUMIFS(Weekly_Line_Capacity!$C:$C,Weekly_Line_Capacity!$B:$B,$A2)</f>
        <v>777300</v>
      </c>
      <c r="C2">
        <f>SUMIFS(Weekly_Line_Capacity!$E:$E,Weekly_Line_Capacity!$B:$B,$A2)</f>
        <v>431.83333333333331</v>
      </c>
      <c r="D2">
        <f>SUMIFS(Weekly_Line_Capacity!$H:$H,Weekly_Line_Capacity!$B:$B,$A2)</f>
        <v>1976</v>
      </c>
      <c r="E2">
        <f>IF(D2=0,0,C2/D2)</f>
        <v>0.21853913630229418</v>
      </c>
      <c r="F2">
        <f>COUNTIFS(Weekly_Line_Capacity!$B:$B,$A2,Weekly_Line_Capacity!$L:$L,"OVER CAPACITY")</f>
        <v>0</v>
      </c>
      <c r="G2">
        <f>SUMIFS(Weekly_Line_Capacity!$K:$K,Weekly_Line_Capacity!$B:$B,$A2)</f>
        <v>0</v>
      </c>
      <c r="H2">
        <f>AVERAGEIFS(Weekly_Line_Capacity!$J:$J,Weekly_Line_Capacity!$B:$B,$A2)</f>
        <v>0.21853913630229427</v>
      </c>
    </row>
    <row r="3" spans="1:9">
      <c r="A3" t="str">
        <f>Production_Line_Master!A3</f>
        <v>L02</v>
      </c>
      <c r="B3">
        <f>SUMIFS(Weekly_Line_Capacity!$C:$C,Weekly_Line_Capacity!$B:$B,$A3)</f>
        <v>1296700</v>
      </c>
      <c r="C3">
        <f>SUMIFS(Weekly_Line_Capacity!$E:$E,Weekly_Line_Capacity!$B:$B,$A3)</f>
        <v>864.46666666666647</v>
      </c>
      <c r="D3">
        <f>SUMIFS(Weekly_Line_Capacity!$H:$H,Weekly_Line_Capacity!$B:$B,$A3)</f>
        <v>1795.5</v>
      </c>
      <c r="E3">
        <f t="shared" ref="E3:E4" si="0">IF(D3=0,0,C3/D3)</f>
        <v>0.48146291655063572</v>
      </c>
      <c r="F3">
        <f>COUNTIFS(Weekly_Line_Capacity!$B:$B,$A3,Weekly_Line_Capacity!$L:$L,"OVER CAPACITY")</f>
        <v>1</v>
      </c>
      <c r="G3">
        <f>SUMIFS(Weekly_Line_Capacity!$K:$K,Weekly_Line_Capacity!$B:$B,$A3)</f>
        <v>9749.9999999999982</v>
      </c>
      <c r="H3">
        <f>AVERAGEIFS(Weekly_Line_Capacity!$J:$J,Weekly_Line_Capacity!$B:$B,$A3)</f>
        <v>0.49677655677655669</v>
      </c>
    </row>
    <row r="4" spans="1:9">
      <c r="A4" t="str">
        <f>Production_Line_Master!A4</f>
        <v>L03</v>
      </c>
      <c r="B4">
        <f>SUMIFS(Weekly_Line_Capacity!$C:$C,Weekly_Line_Capacity!$B:$B,$A4)</f>
        <v>1057100</v>
      </c>
      <c r="C4">
        <f>SUMIFS(Weekly_Line_Capacity!$E:$E,Weekly_Line_Capacity!$B:$B,$A4)</f>
        <v>880.91666666666674</v>
      </c>
      <c r="D4">
        <f>SUMIFS(Weekly_Line_Capacity!$H:$H,Weekly_Line_Capacity!$B:$B,$A4)</f>
        <v>1820</v>
      </c>
      <c r="E4">
        <f t="shared" si="0"/>
        <v>0.48402014652014658</v>
      </c>
      <c r="F4">
        <f>COUNTIFS(Weekly_Line_Capacity!$B:$B,$A4,Weekly_Line_Capacity!$L:$L,"OVER CAPACITY")</f>
        <v>0</v>
      </c>
      <c r="G4">
        <f>SUMIFS(Weekly_Line_Capacity!$K:$K,Weekly_Line_Capacity!$B:$B,$A4)</f>
        <v>0</v>
      </c>
      <c r="H4">
        <f>AVERAGEIFS(Weekly_Line_Capacity!$J:$J,Weekly_Line_Capacity!$B:$B,$A4)</f>
        <v>0.48402014652014635</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E8D3-CBFB-4FFD-8972-20A661C12EA7}">
  <dimension ref="A1:H9"/>
  <sheetViews>
    <sheetView workbookViewId="0">
      <selection sqref="A1:H9"/>
    </sheetView>
  </sheetViews>
  <sheetFormatPr defaultRowHeight="14.4"/>
  <cols>
    <col min="1" max="1" width="12.6640625" customWidth="1"/>
    <col min="2" max="2" width="20" bestFit="1" customWidth="1"/>
    <col min="3" max="3" width="27.44140625" bestFit="1" customWidth="1"/>
    <col min="4" max="4" width="25.6640625" bestFit="1" customWidth="1"/>
    <col min="5" max="5" width="22.77734375" bestFit="1" customWidth="1"/>
    <col min="6" max="6" width="25.88671875" bestFit="1" customWidth="1"/>
    <col min="7" max="7" width="19.77734375" bestFit="1" customWidth="1"/>
    <col min="8" max="8" width="18.77734375" customWidth="1"/>
  </cols>
  <sheetData>
    <row r="1" spans="1:8">
      <c r="A1" t="s">
        <v>43</v>
      </c>
      <c r="B1" t="s">
        <v>221</v>
      </c>
      <c r="C1" t="s">
        <v>222</v>
      </c>
      <c r="D1" t="s">
        <v>223</v>
      </c>
      <c r="E1" t="s">
        <v>224</v>
      </c>
      <c r="F1" t="s">
        <v>225</v>
      </c>
      <c r="G1" t="s">
        <v>226</v>
      </c>
      <c r="H1" t="s">
        <v>227</v>
      </c>
    </row>
    <row r="2" spans="1:8">
      <c r="A2" t="str">
        <f>Material_Master!A2</f>
        <v>M001</v>
      </c>
      <c r="B2">
        <f>SUMIFS(Weekly_Material_Inventory!$D:$D,Weekly_Material_Inventory!$B:$B,$A2)</f>
        <v>272055</v>
      </c>
      <c r="C2">
        <f>SUMIFS(Weekly_Material_Inventory!$F:$F,Weekly_Material_Inventory!$B:$B,$A2)</f>
        <v>270378</v>
      </c>
      <c r="D2">
        <f>SUMIFS(Weekly_Material_Inventory!$H:$H,Weekly_Material_Inventory!$B:$B,$A2)</f>
        <v>269466</v>
      </c>
      <c r="E2">
        <f>IF(C2=0,0,D2/C2)</f>
        <v>0.99662694449992228</v>
      </c>
      <c r="F2">
        <f>COUNTIFS(Weekly_Material_Inventory!$B:$B,$A2,Weekly_Material_Inventory!$K:$K,"&gt;0")</f>
        <v>0</v>
      </c>
      <c r="G2">
        <f>SUMIFS(Weekly_Material_Inventory!$K:$K,Weekly_Material_Inventory!$B:$B,$A2)</f>
        <v>0</v>
      </c>
      <c r="H2">
        <f>AVERAGEIFS(Weekly_Material_Inventory!$L:$L,Weekly_Material_Inventory!$B:$B,$A2)</f>
        <v>1290.5769230769231</v>
      </c>
    </row>
    <row r="3" spans="1:8">
      <c r="A3" t="str">
        <f>Material_Master!A3</f>
        <v>M002</v>
      </c>
      <c r="B3">
        <f>SUMIFS(Weekly_Material_Inventory!$D:$D,Weekly_Material_Inventory!$B:$B,$A3)</f>
        <v>201450</v>
      </c>
      <c r="C3">
        <f>SUMIFS(Weekly_Material_Inventory!$F:$F,Weekly_Material_Inventory!$B:$B,$A3)</f>
        <v>200262</v>
      </c>
      <c r="D3">
        <f>SUMIFS(Weekly_Material_Inventory!$H:$H,Weekly_Material_Inventory!$B:$B,$A3)</f>
        <v>199077</v>
      </c>
      <c r="E3">
        <f t="shared" ref="E3:E9" si="0">IF(C3=0,0,D3/C3)</f>
        <v>0.99408275159541004</v>
      </c>
      <c r="F3">
        <f>COUNTIFS(Weekly_Material_Inventory!$B:$B,$A3,Weekly_Material_Inventory!$K:$K,"&gt;0")</f>
        <v>1</v>
      </c>
      <c r="G3">
        <f>SUMIFS(Weekly_Material_Inventory!$K:$K,Weekly_Material_Inventory!$B:$B,$A3)</f>
        <v>398</v>
      </c>
      <c r="H3">
        <f>AVERAGEIFS(Weekly_Material_Inventory!$L:$L,Weekly_Material_Inventory!$B:$B,$A3)</f>
        <v>953.67307692307691</v>
      </c>
    </row>
    <row r="4" spans="1:8">
      <c r="A4" t="str">
        <f>Material_Master!A4</f>
        <v>M003</v>
      </c>
      <c r="B4">
        <f>SUMIFS(Weekly_Material_Inventory!$D:$D,Weekly_Material_Inventory!$B:$B,$A4)</f>
        <v>145700</v>
      </c>
      <c r="C4">
        <f>SUMIFS(Weekly_Material_Inventory!$F:$F,Weekly_Material_Inventory!$B:$B,$A4)</f>
        <v>144845</v>
      </c>
      <c r="D4">
        <f>SUMIFS(Weekly_Material_Inventory!$H:$H,Weekly_Material_Inventory!$B:$B,$A4)</f>
        <v>144594</v>
      </c>
      <c r="E4">
        <f t="shared" si="0"/>
        <v>0.99826711312092231</v>
      </c>
      <c r="F4">
        <f>COUNTIFS(Weekly_Material_Inventory!$B:$B,$A4,Weekly_Material_Inventory!$K:$K,"&gt;0")</f>
        <v>0</v>
      </c>
      <c r="G4">
        <f>SUMIFS(Weekly_Material_Inventory!$K:$K,Weekly_Material_Inventory!$B:$B,$A4)</f>
        <v>0</v>
      </c>
      <c r="H4">
        <f>AVERAGEIFS(Weekly_Material_Inventory!$L:$L,Weekly_Material_Inventory!$B:$B,$A4)</f>
        <v>695.76923076923072</v>
      </c>
    </row>
    <row r="5" spans="1:8">
      <c r="A5" t="str">
        <f>Material_Master!A5</f>
        <v>M004</v>
      </c>
      <c r="B5">
        <f>SUMIFS(Weekly_Material_Inventory!$D:$D,Weekly_Material_Inventory!$B:$B,$A5)</f>
        <v>212568</v>
      </c>
      <c r="C5">
        <f>SUMIFS(Weekly_Material_Inventory!$F:$F,Weekly_Material_Inventory!$B:$B,$A5)</f>
        <v>210935</v>
      </c>
      <c r="D5">
        <f>SUMIFS(Weekly_Material_Inventory!$H:$H,Weekly_Material_Inventory!$B:$B,$A5)</f>
        <v>211377</v>
      </c>
      <c r="E5">
        <f t="shared" si="0"/>
        <v>1.0020954322421598</v>
      </c>
      <c r="F5">
        <f>COUNTIFS(Weekly_Material_Inventory!$B:$B,$A5,Weekly_Material_Inventory!$K:$K,"&gt;0")</f>
        <v>0</v>
      </c>
      <c r="G5">
        <f>SUMIFS(Weekly_Material_Inventory!$K:$K,Weekly_Material_Inventory!$B:$B,$A5)</f>
        <v>0</v>
      </c>
      <c r="H5">
        <f>AVERAGEIFS(Weekly_Material_Inventory!$L:$L,Weekly_Material_Inventory!$B:$B,$A5)</f>
        <v>1030.7307692307693</v>
      </c>
    </row>
    <row r="6" spans="1:8">
      <c r="A6" t="str">
        <f>Material_Master!A6</f>
        <v>M005</v>
      </c>
      <c r="B6">
        <f>SUMIFS(Weekly_Material_Inventory!$D:$D,Weekly_Material_Inventory!$B:$B,$A6)</f>
        <v>246636</v>
      </c>
      <c r="C6">
        <f>SUMIFS(Weekly_Material_Inventory!$F:$F,Weekly_Material_Inventory!$B:$B,$A6)</f>
        <v>245689</v>
      </c>
      <c r="D6">
        <f>SUMIFS(Weekly_Material_Inventory!$H:$H,Weekly_Material_Inventory!$B:$B,$A6)</f>
        <v>245227</v>
      </c>
      <c r="E6">
        <f t="shared" si="0"/>
        <v>0.99811957393289896</v>
      </c>
      <c r="F6">
        <f>COUNTIFS(Weekly_Material_Inventory!$B:$B,$A6,Weekly_Material_Inventory!$K:$K,"&gt;0")</f>
        <v>0</v>
      </c>
      <c r="G6">
        <f>SUMIFS(Weekly_Material_Inventory!$K:$K,Weekly_Material_Inventory!$B:$B,$A6)</f>
        <v>0</v>
      </c>
      <c r="H6">
        <f>AVERAGEIFS(Weekly_Material_Inventory!$L:$L,Weekly_Material_Inventory!$B:$B,$A6)</f>
        <v>1176.8653846153845</v>
      </c>
    </row>
    <row r="7" spans="1:8">
      <c r="A7" t="str">
        <f>Material_Master!A7</f>
        <v>M006</v>
      </c>
      <c r="B7">
        <f>SUMIFS(Weekly_Material_Inventory!$D:$D,Weekly_Material_Inventory!$B:$B,$A7)</f>
        <v>27960.199999999997</v>
      </c>
      <c r="C7">
        <f>SUMIFS(Weekly_Material_Inventory!$F:$F,Weekly_Material_Inventory!$B:$B,$A7)</f>
        <v>27736</v>
      </c>
      <c r="D7">
        <f>SUMIFS(Weekly_Material_Inventory!$H:$H,Weekly_Material_Inventory!$B:$B,$A7)</f>
        <v>27691</v>
      </c>
      <c r="E7">
        <f t="shared" si="0"/>
        <v>0.99837755985001442</v>
      </c>
      <c r="F7">
        <f>COUNTIFS(Weekly_Material_Inventory!$B:$B,$A7,Weekly_Material_Inventory!$K:$K,"&gt;0")</f>
        <v>0</v>
      </c>
      <c r="G7">
        <f>SUMIFS(Weekly_Material_Inventory!$K:$K,Weekly_Material_Inventory!$B:$B,$A7)</f>
        <v>0</v>
      </c>
      <c r="H7">
        <f>AVERAGEIFS(Weekly_Material_Inventory!$L:$L,Weekly_Material_Inventory!$B:$B,$A7)</f>
        <v>133.5788461538462</v>
      </c>
    </row>
    <row r="8" spans="1:8">
      <c r="A8" t="str">
        <f>Material_Master!A8</f>
        <v>M007</v>
      </c>
      <c r="B8">
        <f>SUMIFS(Weekly_Material_Inventory!$D:$D,Weekly_Material_Inventory!$B:$B,$A8)</f>
        <v>3131100</v>
      </c>
      <c r="C8">
        <f>SUMIFS(Weekly_Material_Inventory!$F:$F,Weekly_Material_Inventory!$B:$B,$A8)</f>
        <v>3118987</v>
      </c>
      <c r="D8">
        <f>SUMIFS(Weekly_Material_Inventory!$H:$H,Weekly_Material_Inventory!$B:$B,$A8)</f>
        <v>3118387</v>
      </c>
      <c r="E8">
        <f t="shared" si="0"/>
        <v>0.99980762984905036</v>
      </c>
      <c r="F8">
        <f>COUNTIFS(Weekly_Material_Inventory!$B:$B,$A8,Weekly_Material_Inventory!$K:$K,"&gt;0")</f>
        <v>0</v>
      </c>
      <c r="G8">
        <f>SUMIFS(Weekly_Material_Inventory!$K:$K,Weekly_Material_Inventory!$B:$B,$A8)</f>
        <v>0</v>
      </c>
      <c r="H8">
        <f>AVERAGEIFS(Weekly_Material_Inventory!$L:$L,Weekly_Material_Inventory!$B:$B,$A8)</f>
        <v>15041.826923076924</v>
      </c>
    </row>
    <row r="9" spans="1:8">
      <c r="A9" t="str">
        <f>Material_Master!A9</f>
        <v>M008</v>
      </c>
      <c r="B9">
        <f>SUMIFS(Weekly_Material_Inventory!$D:$D,Weekly_Material_Inventory!$B:$B,$A9)</f>
        <v>3131100</v>
      </c>
      <c r="C9">
        <f>SUMIFS(Weekly_Material_Inventory!$F:$F,Weekly_Material_Inventory!$B:$B,$A9)</f>
        <v>3120865</v>
      </c>
      <c r="D9">
        <f>SUMIFS(Weekly_Material_Inventory!$H:$H,Weekly_Material_Inventory!$B:$B,$A9)</f>
        <v>3115977</v>
      </c>
      <c r="E9">
        <f t="shared" si="0"/>
        <v>0.99843376756123703</v>
      </c>
      <c r="F9">
        <f>COUNTIFS(Weekly_Material_Inventory!$B:$B,$A9,Weekly_Material_Inventory!$K:$K,"&gt;0")</f>
        <v>0</v>
      </c>
      <c r="G9">
        <f>SUMIFS(Weekly_Material_Inventory!$K:$K,Weekly_Material_Inventory!$B:$B,$A9)</f>
        <v>0</v>
      </c>
      <c r="H9">
        <f>AVERAGEIFS(Weekly_Material_Inventory!$L:$L,Weekly_Material_Inventory!$B:$B,$A9)</f>
        <v>14959.365384615385</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0FDEB-1A9D-4763-97FE-1A8ED6A66E68}">
  <dimension ref="A1:C8"/>
  <sheetViews>
    <sheetView workbookViewId="0">
      <selection activeCell="G13" sqref="G13"/>
    </sheetView>
  </sheetViews>
  <sheetFormatPr defaultRowHeight="14.4"/>
  <cols>
    <col min="1" max="1" width="26.21875" bestFit="1" customWidth="1"/>
    <col min="2" max="2" width="23.88671875" customWidth="1"/>
  </cols>
  <sheetData>
    <row r="1" spans="1:3">
      <c r="A1" t="s">
        <v>228</v>
      </c>
      <c r="B1" t="s">
        <v>229</v>
      </c>
      <c r="C1" t="s">
        <v>154</v>
      </c>
    </row>
    <row r="2" spans="1:3">
      <c r="A2" t="s">
        <v>230</v>
      </c>
      <c r="B2" t="str">
        <f>_xlfn.XLOOKUP(MAX(Product_KPI_Summary!$E$2:$E$6),Product_KPI_Summary!$E$2:$E$6,Product_KPI_Summary!$A$2:$A$6)</f>
        <v>P003</v>
      </c>
      <c r="C2">
        <f>MAX(Product_KPI_Summary!$E$2:$E$6)</f>
        <v>3.942730483363923E-2</v>
      </c>
    </row>
    <row r="3" spans="1:3">
      <c r="A3" t="s">
        <v>231</v>
      </c>
      <c r="B3" t="str">
        <f>_xlfn.XLOOKUP(MIN(Product_KPI_Summary!$G$2:$G$6),Product_KPI_Summary!$G$2:$G$6,Product_KPI_Summary!$A$2:$A$6)</f>
        <v>P005</v>
      </c>
      <c r="C3">
        <f>MIN(Product_KPI_Summary!$G$2:$G$6)</f>
        <v>0.98904912502635467</v>
      </c>
    </row>
    <row r="4" spans="1:3">
      <c r="A4" t="s">
        <v>232</v>
      </c>
      <c r="B4" t="str">
        <f>_xlfn.XLOOKUP(MIN(Product_KPI_Summary!$H$2:$H$6),Product_KPI_Summary!$H$2:$H$6,Product_KPI_Summary!$A$2:$A$6)</f>
        <v>P001</v>
      </c>
      <c r="C4">
        <f>MIN(Product_KPI_Summary!$H$2:$H$6)</f>
        <v>1.9648932516831896</v>
      </c>
    </row>
    <row r="5" spans="1:3">
      <c r="A5" t="s">
        <v>233</v>
      </c>
      <c r="B5" t="str">
        <f>_xlfn.XLOOKUP(MAX(Line_KPI_Summary!$E$2:$E$4),Line_KPI_Summary!$E$2:$E$4,Line_KPI_Summary!$A$2:$A$4)</f>
        <v>L03</v>
      </c>
      <c r="C5">
        <f>MAX(Line_KPI_Summary!$E$2:$E$4)</f>
        <v>0.48402014652014658</v>
      </c>
    </row>
    <row r="6" spans="1:3">
      <c r="A6" t="s">
        <v>234</v>
      </c>
      <c r="B6" t="str">
        <f>_xlfn.XLOOKUP(MAX(Line_KPI_Summary!$F$2:$F$4),Line_KPI_Summary!$F$2:$F$4,Line_KPI_Summary!$A$2:$A$4)</f>
        <v>L02</v>
      </c>
      <c r="C6">
        <f>MAX(Line_KPI_Summary!$F$2:$F$4)</f>
        <v>1</v>
      </c>
    </row>
    <row r="7" spans="1:3">
      <c r="A7" t="s">
        <v>235</v>
      </c>
      <c r="B7" t="str">
        <f>_xlfn.XLOOKUP(MAX(Material_KPI_Summary!$F$2:$F$9),Material_KPI_Summary!$F$2:$F$9,Material_KPI_Summary!$A$2:$A$9)</f>
        <v>M002</v>
      </c>
      <c r="C7">
        <f>MAX(Material_KPI_Summary!$F$2:$F$9)</f>
        <v>1</v>
      </c>
    </row>
    <row r="8" spans="1:3">
      <c r="A8" t="s">
        <v>236</v>
      </c>
      <c r="B8" t="str">
        <f>_xlfn.XLOOKUP(MIN(Material_KPI_Summary!$E$2:$E$9),Material_KPI_Summary!$E$2:$E$9,Material_KPI_Summary!$A$2:$A$9)</f>
        <v>M002</v>
      </c>
      <c r="C8">
        <f>MIN(Material_KPI_Summary!$E$2:$E$9)</f>
        <v>0.99408275159541004</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FA67-B96C-4594-BA2D-A43867D9D676}">
  <dimension ref="A1:R270"/>
  <sheetViews>
    <sheetView workbookViewId="0">
      <selection activeCell="F9" sqref="F9"/>
    </sheetView>
  </sheetViews>
  <sheetFormatPr defaultRowHeight="14.4"/>
  <cols>
    <col min="1" max="1" width="12.6640625" customWidth="1"/>
    <col min="2" max="2" width="12.33203125" customWidth="1"/>
    <col min="3" max="3" width="20.6640625" customWidth="1"/>
    <col min="4" max="4" width="25.21875" customWidth="1"/>
    <col min="5" max="5" width="18.44140625" customWidth="1"/>
    <col min="6" max="6" width="17.5546875" customWidth="1"/>
    <col min="7" max="7" width="9.109375" customWidth="1"/>
    <col min="8" max="8" width="22" customWidth="1"/>
    <col min="9" max="9" width="20.21875" customWidth="1"/>
    <col min="10" max="10" width="16.33203125" customWidth="1"/>
    <col min="11" max="11" width="20.21875" customWidth="1"/>
    <col min="12" max="12" width="22.44140625" customWidth="1"/>
    <col min="13" max="13" width="16.77734375" customWidth="1"/>
    <col min="14" max="14" width="9.6640625" customWidth="1"/>
    <col min="15" max="15" width="29.109375" bestFit="1" customWidth="1"/>
    <col min="16" max="16" width="21.44140625" customWidth="1"/>
    <col min="17" max="17" width="52.109375" bestFit="1" customWidth="1"/>
    <col min="18" max="18" width="18.6640625" bestFit="1" customWidth="1"/>
  </cols>
  <sheetData>
    <row r="1" spans="1:18">
      <c r="A1" s="29" t="s">
        <v>68</v>
      </c>
      <c r="B1" s="11" t="s">
        <v>24</v>
      </c>
      <c r="C1" s="11" t="s">
        <v>103</v>
      </c>
      <c r="D1" s="11" t="s">
        <v>117</v>
      </c>
      <c r="E1" s="11" t="s">
        <v>204</v>
      </c>
      <c r="F1" s="11" t="s">
        <v>237</v>
      </c>
      <c r="G1" s="11" t="s">
        <v>32</v>
      </c>
      <c r="H1" s="11" t="s">
        <v>134</v>
      </c>
      <c r="I1" s="11" t="s">
        <v>135</v>
      </c>
      <c r="J1" s="11" t="s">
        <v>136</v>
      </c>
      <c r="K1" s="11" t="s">
        <v>238</v>
      </c>
      <c r="L1" s="11" t="s">
        <v>127</v>
      </c>
      <c r="M1" s="28" t="s">
        <v>239</v>
      </c>
      <c r="N1" s="28" t="s">
        <v>240</v>
      </c>
      <c r="O1" s="28" t="s">
        <v>241</v>
      </c>
      <c r="P1" s="28" t="s">
        <v>242</v>
      </c>
      <c r="Q1" s="28" t="s">
        <v>243</v>
      </c>
      <c r="R1" s="28" t="s">
        <v>244</v>
      </c>
    </row>
    <row r="2" spans="1:18">
      <c r="A2" s="30">
        <f>Weekly_Inventory_Flow!A2</f>
        <v>46027</v>
      </c>
      <c r="B2" s="13" t="str">
        <f>Weekly_Inventory_Flow!B2</f>
        <v>P001</v>
      </c>
      <c r="C2" s="25">
        <f>IF(SUMIFS(Weekly_Product_Demand!$C:$C,Weekly_Product_Demand!$A:$A,A2,Weekly_Product_Demand!$B:$B,B2)=0,0,
(SUMIFS(Weekly_Product_Demand!$D:$D,Weekly_Product_Demand!$A:$A,A2,Weekly_Product_Demand!$B:$B,B2)-
SUMIFS(Weekly_Product_Demand!$C:$C,Weekly_Product_Demand!$A:$A,A2,Weekly_Product_Demand!$B:$B,B2))/
SUMIFS(Weekly_Product_Demand!$C:$C,Weekly_Product_Demand!$A:$A,A2,Weekly_Product_Demand!$B:$B,B2))</f>
        <v>1.4049097900029578E-3</v>
      </c>
      <c r="D2" s="25">
        <f>SUMIFS(Weekly_Inventory_Flow!$Q:$Q,Weekly_Inventory_Flow!$A:$A,A2,Weekly_Inventory_Flow!$B:$B,B2)</f>
        <v>0.97</v>
      </c>
      <c r="E2" s="26">
        <f>SUMIFS(Weekly_Inventory_Flow!$S:$S,Weekly_Inventory_Flow!$A:$A,A2,Weekly_Inventory_Flow!$B:$B,B2)</f>
        <v>1.8824484973787197</v>
      </c>
      <c r="F2" s="27">
        <f>SUMIFS(Weekly_Inventory_Flow!$N:$N,Weekly_Inventory_Flow!$A:$A,A2,Weekly_Inventory_Flow!$B:$B,B2)</f>
        <v>0</v>
      </c>
      <c r="G2" s="13" t="str">
        <f>_xlfn.XLOOKUP(B2,Product_Line_Map!$A$2:$A$6,Product_Line_Map!$B$2:$B$6,"")</f>
        <v>L01</v>
      </c>
      <c r="H2" s="25">
        <f>SUMIFS(Weekly_Line_Capacity!$J:$J,Weekly_Line_Capacity!$A:$A,A2,Weekly_Line_Capacity!$B:$B,G2)</f>
        <v>0.15350877192982457</v>
      </c>
      <c r="I2" s="27">
        <f>SUMIFS(Weekly_Line_Capacity!$K:$K,Weekly_Line_Capacity!$A:$A,A2,Weekly_Line_Capacity!$B:$B,G2)</f>
        <v>0</v>
      </c>
      <c r="J2" s="13" t="str" cm="1">
        <f t="array" ref="J2">_xlfn.XLOOKUP(1,(Weekly_Line_Capacity!$A$2:$A$157=A2)*(Weekly_Line_Capacity!$B$2:$B$157=G2),Weekly_Line_Capacity!$L$2:$L$157,"")</f>
        <v>WITHIN CAPACITY</v>
      </c>
      <c r="K2" s="13" t="str">
        <f>_xlfn.XLOOKUP(B2,BOM!$A$2:$A$21,BOM!$B$2:$B$21,"")</f>
        <v>M001</v>
      </c>
      <c r="L2" s="27">
        <f>SUMIFS(Weekly_Material_Inventory!$K:$K,Weekly_Material_Inventory!$A:$A,A2,Weekly_Material_Inventory!$B:$B,K2)</f>
        <v>0</v>
      </c>
      <c r="M2">
        <f>IF(F2&gt;0,5,0)
+IF(L2&gt;0,5,0)
+IF(J2="OVER CAPACITY",5,IF(H2&gt;=0.85,1,0))
+IF(D2&lt;0.9,3,IF(D2&lt;0.95,2,0))
+IF(E2&lt;1,3,IF(E2&lt;2,1,0))
+IF(ABS(C2)&gt;=0.1,2,IF(ABS(C2)&gt;=0.05,1,0))</f>
        <v>1</v>
      </c>
      <c r="N2" t="str">
        <f>IF(OR(F2&gt;0,L2&gt;0,J2="OVER CAPACITY",M2&gt;=5),"CRITICAL",IF(M2&gt;=1,"WARNING","OK"))</f>
        <v>WARNING</v>
      </c>
      <c r="O2" t="str">
        <f>IF(F2&gt;0,"FINISHED GOODS SHORTAGE",
IF(L2&gt;0,"MATERIAL SHORTAGE",
IF(J2="OVER CAPACITY","CAPACITY CONSTRAINT",
IF(D2&lt;0.9,"SEVERE PRODUCTION SHORTFALL",
IF(E2&lt;1,"CRITICAL LOW STOCK COVER",
IF(D2&lt;0.95,"LOW PRODUCTION ATTAINMENT",
IF(ABS(C2)&gt;=0.1,"HIGH FORECAST VARIANCE",
IF(E2&lt;2,"LOW STOCK COVER",
IF(H2&gt;=0.85,"HIGH CAPACITY UTILISATION",
IF(ABS(C2)&gt;=0.05,"FORECAST VARIANCE","NONE"))))))))))</f>
        <v>LOW STOCK COVER</v>
      </c>
      <c r="P2" t="str" cm="1">
        <f t="array" ref="P2">_xlfn.SWITCH(O2,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 t="str" cm="1">
        <f t="array" ref="Q2">_xlfn.SWITCH(O2,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 t="str" cm="1">
        <f t="array" ref="R2">_xlfn.SWITCH(P2,
"Inventory / Service","Operations / Planning",
"Material Supply","Materials / Procurement",
"Capacity","Production / Planning",
"Production Execution","Production",
"Inventory","Operations / Planning",
"Demand Planning","Commercial / Planning",
"None","None",
"Operations")</f>
        <v>Operations / Planning</v>
      </c>
    </row>
    <row r="3" spans="1:18">
      <c r="A3" s="30">
        <f>Weekly_Inventory_Flow!A3</f>
        <v>46027</v>
      </c>
      <c r="B3" s="13" t="str">
        <f>Weekly_Inventory_Flow!B3</f>
        <v>P002</v>
      </c>
      <c r="C3" s="25">
        <f>IF(SUMIFS(Weekly_Product_Demand!$C:$C,Weekly_Product_Demand!$A:$A,A3,Weekly_Product_Demand!$B:$B,B3)=0,0,
(SUMIFS(Weekly_Product_Demand!$D:$D,Weekly_Product_Demand!$A:$A,A3,Weekly_Product_Demand!$B:$B,B3)-
SUMIFS(Weekly_Product_Demand!$C:$C,Weekly_Product_Demand!$A:$A,A3,Weekly_Product_Demand!$B:$B,B3))/
SUMIFS(Weekly_Product_Demand!$C:$C,Weekly_Product_Demand!$A:$A,A3,Weekly_Product_Demand!$B:$B,B3))</f>
        <v>4.2136292699843939E-2</v>
      </c>
      <c r="D3" s="25">
        <f>SUMIFS(Weekly_Inventory_Flow!$Q:$Q,Weekly_Inventory_Flow!$A:$A,A3,Weekly_Inventory_Flow!$B:$B,B3)</f>
        <v>1</v>
      </c>
      <c r="E3" s="26">
        <f>SUMIFS(Weekly_Inventory_Flow!$S:$S,Weekly_Inventory_Flow!$A:$A,A3,Weekly_Inventory_Flow!$B:$B,B3)</f>
        <v>2.0266222961730449</v>
      </c>
      <c r="F3" s="27">
        <f>SUMIFS(Weekly_Inventory_Flow!$N:$N,Weekly_Inventory_Flow!$A:$A,A3,Weekly_Inventory_Flow!$B:$B,B3)</f>
        <v>0</v>
      </c>
      <c r="G3" s="13" t="str">
        <f>_xlfn.XLOOKUP(B3,Product_Line_Map!$A$2:$A$6,Product_Line_Map!$B$2:$B$6,"")</f>
        <v>L02</v>
      </c>
      <c r="H3" s="25">
        <f>SUMIFS(Weekly_Line_Capacity!$J:$J,Weekly_Line_Capacity!$A:$A,A3,Weekly_Line_Capacity!$B:$B,G3)</f>
        <v>0.34857142857142853</v>
      </c>
      <c r="I3" s="27">
        <f>SUMIFS(Weekly_Line_Capacity!$K:$K,Weekly_Line_Capacity!$A:$A,A3,Weekly_Line_Capacity!$B:$B,G3)</f>
        <v>0</v>
      </c>
      <c r="J3" s="13" t="str" cm="1">
        <f t="array" ref="J3">_xlfn.XLOOKUP(1,(Weekly_Line_Capacity!$A$2:$A$157=A3)*(Weekly_Line_Capacity!$B$2:$B$157=G3),Weekly_Line_Capacity!$L$2:$L$157,"")</f>
        <v>WITHIN CAPACITY</v>
      </c>
      <c r="K3" s="13" t="str">
        <f>_xlfn.XLOOKUP(B3,BOM!$A$2:$A$21,BOM!$B$2:$B$21,"")</f>
        <v>M002</v>
      </c>
      <c r="L3" s="27">
        <f>SUMIFS(Weekly_Material_Inventory!$K:$K,Weekly_Material_Inventory!$A:$A,A3,Weekly_Material_Inventory!$B:$B,K3)</f>
        <v>0</v>
      </c>
      <c r="M3">
        <f t="shared" ref="M3:M66" si="0">IF(F3&gt;0,5,0)
+IF(L3&gt;0,5,0)
+IF(J3="OVER CAPACITY",5,IF(H3&gt;=0.85,1,0))
+IF(D3&lt;0.9,3,IF(D3&lt;0.95,2,0))
+IF(E3&lt;1,3,IF(E3&lt;2,1,0))
+IF(ABS(C3)&gt;=0.1,2,IF(ABS(C3)&gt;=0.05,1,0))</f>
        <v>0</v>
      </c>
      <c r="N3" t="str">
        <f t="shared" ref="N3:N66" si="1">IF(OR(F3&gt;0,L3&gt;0,J3="OVER CAPACITY",M3&gt;=5),"CRITICAL",IF(M3&gt;=1,"WARNING","OK"))</f>
        <v>OK</v>
      </c>
      <c r="O3" t="str">
        <f t="shared" ref="O3:O66" si="2">IF(F3&gt;0,"FINISHED GOODS SHORTAGE",
IF(L3&gt;0,"MATERIAL SHORTAGE",
IF(J3="OVER CAPACITY","CAPACITY CONSTRAINT",
IF(D3&lt;0.9,"SEVERE PRODUCTION SHORTFALL",
IF(E3&lt;1,"CRITICAL LOW STOCK COVER",
IF(D3&lt;0.95,"LOW PRODUCTION ATTAINMENT",
IF(ABS(C3)&gt;=0.1,"HIGH FORECAST VARIANCE",
IF(E3&lt;2,"LOW STOCK COVER",
IF(H3&gt;=0.85,"HIGH CAPACITY UTILISATION",
IF(ABS(C3)&gt;=0.05,"FORECAST VARIANCE","NONE"))))))))))</f>
        <v>NONE</v>
      </c>
      <c r="P3" t="str" cm="1">
        <f t="array" ref="P3">_xlfn.SWITCH(O3,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3" t="str" cm="1">
        <f t="array" ref="Q3">_xlfn.SWITCH(O3,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3" t="str" cm="1">
        <f t="array" ref="R3">_xlfn.SWITCH(P3,
"Inventory / Service","Operations / Planning",
"Material Supply","Materials / Procurement",
"Capacity","Production / Planning",
"Production Execution","Production",
"Inventory","Operations / Planning",
"Demand Planning","Commercial / Planning",
"None","None",
"Operations")</f>
        <v>None</v>
      </c>
    </row>
    <row r="4" spans="1:18">
      <c r="A4" s="30">
        <f>Weekly_Inventory_Flow!A4</f>
        <v>46027</v>
      </c>
      <c r="B4" s="13" t="str">
        <f>Weekly_Inventory_Flow!B4</f>
        <v>P003</v>
      </c>
      <c r="C4" s="25">
        <f>IF(SUMIFS(Weekly_Product_Demand!$C:$C,Weekly_Product_Demand!$A:$A,A4,Weekly_Product_Demand!$B:$B,B4)=0,0,
(SUMIFS(Weekly_Product_Demand!$D:$D,Weekly_Product_Demand!$A:$A,A4,Weekly_Product_Demand!$B:$B,B4)-
SUMIFS(Weekly_Product_Demand!$C:$C,Weekly_Product_Demand!$A:$A,A4,Weekly_Product_Demand!$B:$B,B4))/
SUMIFS(Weekly_Product_Demand!$C:$C,Weekly_Product_Demand!$A:$A,A4,Weekly_Product_Demand!$B:$B,B4))</f>
        <v>-3.1235029222956789E-2</v>
      </c>
      <c r="D4" s="25">
        <f>SUMIFS(Weekly_Inventory_Flow!$Q:$Q,Weekly_Inventory_Flow!$A:$A,A4,Weekly_Inventory_Flow!$B:$B,B4)</f>
        <v>0.97</v>
      </c>
      <c r="E4" s="26">
        <f>SUMIFS(Weekly_Inventory_Flow!$S:$S,Weekly_Inventory_Flow!$A:$A,A4,Weekly_Inventory_Flow!$B:$B,B4)</f>
        <v>1.8297893383443775</v>
      </c>
      <c r="F4" s="27">
        <f>SUMIFS(Weekly_Inventory_Flow!$N:$N,Weekly_Inventory_Flow!$A:$A,A4,Weekly_Inventory_Flow!$B:$B,B4)</f>
        <v>0</v>
      </c>
      <c r="G4" s="13" t="str">
        <f>_xlfn.XLOOKUP(B4,Product_Line_Map!$A$2:$A$6,Product_Line_Map!$B$2:$B$6,"")</f>
        <v>L03</v>
      </c>
      <c r="H4" s="25">
        <f>SUMIFS(Weekly_Line_Capacity!$J:$J,Weekly_Line_Capacity!$A:$A,A4,Weekly_Line_Capacity!$B:$B,G4)</f>
        <v>0.35476190476190472</v>
      </c>
      <c r="I4" s="27">
        <f>SUMIFS(Weekly_Line_Capacity!$K:$K,Weekly_Line_Capacity!$A:$A,A4,Weekly_Line_Capacity!$B:$B,G4)</f>
        <v>0</v>
      </c>
      <c r="J4" s="13" t="str" cm="1">
        <f t="array" ref="J4">_xlfn.XLOOKUP(1,(Weekly_Line_Capacity!$A$2:$A$157=A4)*(Weekly_Line_Capacity!$B$2:$B$157=G4),Weekly_Line_Capacity!$L$2:$L$157,"")</f>
        <v>WITHIN CAPACITY</v>
      </c>
      <c r="K4" s="13" t="str">
        <f>_xlfn.XLOOKUP(B4,BOM!$A$2:$A$21,BOM!$B$2:$B$21,"")</f>
        <v>M003</v>
      </c>
      <c r="L4" s="27">
        <f>SUMIFS(Weekly_Material_Inventory!$K:$K,Weekly_Material_Inventory!$A:$A,A4,Weekly_Material_Inventory!$B:$B,K4)</f>
        <v>0</v>
      </c>
      <c r="M4">
        <f t="shared" si="0"/>
        <v>1</v>
      </c>
      <c r="N4" t="str">
        <f t="shared" si="1"/>
        <v>WARNING</v>
      </c>
      <c r="O4" t="str">
        <f t="shared" si="2"/>
        <v>LOW STOCK COVER</v>
      </c>
      <c r="P4" t="str" cm="1">
        <f t="array" ref="P4">_xlfn.SWITCH(O4,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 t="str" cm="1">
        <f t="array" ref="Q4">_xlfn.SWITCH(O4,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 t="str" cm="1">
        <f t="array" ref="R4">_xlfn.SWITCH(P4,
"Inventory / Service","Operations / Planning",
"Material Supply","Materials / Procurement",
"Capacity","Production / Planning",
"Production Execution","Production",
"Inventory","Operations / Planning",
"Demand Planning","Commercial / Planning",
"None","None",
"Operations")</f>
        <v>Operations / Planning</v>
      </c>
    </row>
    <row r="5" spans="1:18">
      <c r="A5" s="30">
        <f>Weekly_Inventory_Flow!A5</f>
        <v>46027</v>
      </c>
      <c r="B5" s="13" t="str">
        <f>Weekly_Inventory_Flow!B5</f>
        <v>P004</v>
      </c>
      <c r="C5" s="25">
        <f>IF(SUMIFS(Weekly_Product_Demand!$C:$C,Weekly_Product_Demand!$A:$A,A5,Weekly_Product_Demand!$B:$B,B5)=0,0,
(SUMIFS(Weekly_Product_Demand!$D:$D,Weekly_Product_Demand!$A:$A,A5,Weekly_Product_Demand!$B:$B,B5)-
SUMIFS(Weekly_Product_Demand!$C:$C,Weekly_Product_Demand!$A:$A,A5,Weekly_Product_Demand!$B:$B,B5))/
SUMIFS(Weekly_Product_Demand!$C:$C,Weekly_Product_Demand!$A:$A,A5,Weekly_Product_Demand!$B:$B,B5))</f>
        <v>-1.4885355029585799E-2</v>
      </c>
      <c r="D5" s="25">
        <f>SUMIFS(Weekly_Inventory_Flow!$Q:$Q,Weekly_Inventory_Flow!$A:$A,A5,Weekly_Inventory_Flow!$B:$B,B5)</f>
        <v>1</v>
      </c>
      <c r="E5" s="26">
        <f>SUMIFS(Weekly_Inventory_Flow!$S:$S,Weekly_Inventory_Flow!$A:$A,A5,Weekly_Inventory_Flow!$B:$B,B5)</f>
        <v>2.0004692632566869</v>
      </c>
      <c r="F5" s="27">
        <f>SUMIFS(Weekly_Inventory_Flow!$N:$N,Weekly_Inventory_Flow!$A:$A,A5,Weekly_Inventory_Flow!$B:$B,B5)</f>
        <v>0</v>
      </c>
      <c r="G5" s="13" t="str">
        <f>_xlfn.XLOOKUP(B5,Product_Line_Map!$A$2:$A$6,Product_Line_Map!$B$2:$B$6,"")</f>
        <v>L02</v>
      </c>
      <c r="H5" s="25">
        <f>SUMIFS(Weekly_Line_Capacity!$J:$J,Weekly_Line_Capacity!$A:$A,A5,Weekly_Line_Capacity!$B:$B,G5)</f>
        <v>0.34857142857142853</v>
      </c>
      <c r="I5" s="27">
        <f>SUMIFS(Weekly_Line_Capacity!$K:$K,Weekly_Line_Capacity!$A:$A,A5,Weekly_Line_Capacity!$B:$B,G5)</f>
        <v>0</v>
      </c>
      <c r="J5" s="13" t="str" cm="1">
        <f t="array" ref="J5">_xlfn.XLOOKUP(1,(Weekly_Line_Capacity!$A$2:$A$157=A5)*(Weekly_Line_Capacity!$B$2:$B$157=G5),Weekly_Line_Capacity!$L$2:$L$157,"")</f>
        <v>WITHIN CAPACITY</v>
      </c>
      <c r="K5" s="13" t="str">
        <f>_xlfn.XLOOKUP(B5,BOM!$A$2:$A$21,BOM!$B$2:$B$21,"")</f>
        <v>M004</v>
      </c>
      <c r="L5" s="27">
        <f>SUMIFS(Weekly_Material_Inventory!$K:$K,Weekly_Material_Inventory!$A:$A,A5,Weekly_Material_Inventory!$B:$B,K5)</f>
        <v>0</v>
      </c>
      <c r="M5">
        <f t="shared" si="0"/>
        <v>0</v>
      </c>
      <c r="N5" t="str">
        <f t="shared" si="1"/>
        <v>OK</v>
      </c>
      <c r="O5" t="str">
        <f t="shared" si="2"/>
        <v>NONE</v>
      </c>
      <c r="P5" t="str" cm="1">
        <f t="array" ref="P5">_xlfn.SWITCH(O5,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5" t="str" cm="1">
        <f t="array" ref="Q5">_xlfn.SWITCH(O5,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5" t="str" cm="1">
        <f t="array" ref="R5">_xlfn.SWITCH(P5,
"Inventory / Service","Operations / Planning",
"Material Supply","Materials / Procurement",
"Capacity","Production / Planning",
"Production Execution","Production",
"Inventory","Operations / Planning",
"Demand Planning","Commercial / Planning",
"None","None",
"Operations")</f>
        <v>None</v>
      </c>
    </row>
    <row r="6" spans="1:18">
      <c r="A6" s="30">
        <f>Weekly_Inventory_Flow!A6</f>
        <v>46027</v>
      </c>
      <c r="B6" s="13" t="str">
        <f>Weekly_Inventory_Flow!B6</f>
        <v>P005</v>
      </c>
      <c r="C6" s="25">
        <f>IF(SUMIFS(Weekly_Product_Demand!$C:$C,Weekly_Product_Demand!$A:$A,A6,Weekly_Product_Demand!$B:$B,B6)=0,0,
(SUMIFS(Weekly_Product_Demand!$D:$D,Weekly_Product_Demand!$A:$A,A6,Weekly_Product_Demand!$B:$B,B6)-
SUMIFS(Weekly_Product_Demand!$C:$C,Weekly_Product_Demand!$A:$A,A6,Weekly_Product_Demand!$B:$B,B6))/
SUMIFS(Weekly_Product_Demand!$C:$C,Weekly_Product_Demand!$A:$A,A6,Weekly_Product_Demand!$B:$B,B6))</f>
        <v>-2.2288795686039545E-2</v>
      </c>
      <c r="D6" s="25">
        <f>SUMIFS(Weekly_Inventory_Flow!$Q:$Q,Weekly_Inventory_Flow!$A:$A,A6,Weekly_Inventory_Flow!$B:$B,B6)</f>
        <v>0.99</v>
      </c>
      <c r="E6" s="26">
        <f>SUMIFS(Weekly_Inventory_Flow!$S:$S,Weekly_Inventory_Flow!$A:$A,A6,Weekly_Inventory_Flow!$B:$B,B6)</f>
        <v>1.9509743841157003</v>
      </c>
      <c r="F6" s="27">
        <f>SUMIFS(Weekly_Inventory_Flow!$N:$N,Weekly_Inventory_Flow!$A:$A,A6,Weekly_Inventory_Flow!$B:$B,B6)</f>
        <v>0</v>
      </c>
      <c r="G6" s="13" t="str">
        <f>_xlfn.XLOOKUP(B6,Product_Line_Map!$A$2:$A$6,Product_Line_Map!$B$2:$B$6,"")</f>
        <v>L03</v>
      </c>
      <c r="H6" s="25">
        <f>SUMIFS(Weekly_Line_Capacity!$J:$J,Weekly_Line_Capacity!$A:$A,A6,Weekly_Line_Capacity!$B:$B,G6)</f>
        <v>0.35476190476190472</v>
      </c>
      <c r="I6" s="27">
        <f>SUMIFS(Weekly_Line_Capacity!$K:$K,Weekly_Line_Capacity!$A:$A,A6,Weekly_Line_Capacity!$B:$B,G6)</f>
        <v>0</v>
      </c>
      <c r="J6" s="13" t="str" cm="1">
        <f t="array" ref="J6">_xlfn.XLOOKUP(1,(Weekly_Line_Capacity!$A$2:$A$157=A6)*(Weekly_Line_Capacity!$B$2:$B$157=G6),Weekly_Line_Capacity!$L$2:$L$157,"")</f>
        <v>WITHIN CAPACITY</v>
      </c>
      <c r="K6" s="13" t="str">
        <f>_xlfn.XLOOKUP(B6,BOM!$A$2:$A$21,BOM!$B$2:$B$21,"")</f>
        <v>M005</v>
      </c>
      <c r="L6" s="27">
        <f>SUMIFS(Weekly_Material_Inventory!$K:$K,Weekly_Material_Inventory!$A:$A,A6,Weekly_Material_Inventory!$B:$B,K6)</f>
        <v>0</v>
      </c>
      <c r="M6">
        <f t="shared" si="0"/>
        <v>1</v>
      </c>
      <c r="N6" t="str">
        <f t="shared" si="1"/>
        <v>WARNING</v>
      </c>
      <c r="O6" t="str">
        <f t="shared" si="2"/>
        <v>LOW STOCK COVER</v>
      </c>
      <c r="P6" t="str" cm="1">
        <f t="array" ref="P6">_xlfn.SWITCH(O6,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6" t="str" cm="1">
        <f t="array" ref="Q6">_xlfn.SWITCH(O6,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6" t="str" cm="1">
        <f t="array" ref="R6">_xlfn.SWITCH(P6,
"Inventory / Service","Operations / Planning",
"Material Supply","Materials / Procurement",
"Capacity","Production / Planning",
"Production Execution","Production",
"Inventory","Operations / Planning",
"Demand Planning","Commercial / Planning",
"None","None",
"Operations")</f>
        <v>Operations / Planning</v>
      </c>
    </row>
    <row r="7" spans="1:18">
      <c r="A7" s="30">
        <f>Weekly_Inventory_Flow!A7</f>
        <v>46034</v>
      </c>
      <c r="B7" s="13" t="str">
        <f>Weekly_Inventory_Flow!B7</f>
        <v>P001</v>
      </c>
      <c r="C7" s="25">
        <f>IF(SUMIFS(Weekly_Product_Demand!$C:$C,Weekly_Product_Demand!$A:$A,A7,Weekly_Product_Demand!$B:$B,B7)=0,0,
(SUMIFS(Weekly_Product_Demand!$D:$D,Weekly_Product_Demand!$A:$A,A7,Weekly_Product_Demand!$B:$B,B7)-
SUMIFS(Weekly_Product_Demand!$C:$C,Weekly_Product_Demand!$A:$A,A7,Weekly_Product_Demand!$B:$B,B7))/
SUMIFS(Weekly_Product_Demand!$C:$C,Weekly_Product_Demand!$A:$A,A7,Weekly_Product_Demand!$B:$B,B7))</f>
        <v>-2.197319270490002E-3</v>
      </c>
      <c r="D7" s="25">
        <f>SUMIFS(Weekly_Inventory_Flow!$Q:$Q,Weekly_Inventory_Flow!$A:$A,A7,Weekly_Inventory_Flow!$B:$B,B7)</f>
        <v>1</v>
      </c>
      <c r="E7" s="26">
        <f>SUMIFS(Weekly_Inventory_Flow!$S:$S,Weekly_Inventory_Flow!$A:$A,A7,Weekly_Inventory_Flow!$B:$B,B7)</f>
        <v>2.0137267855832048</v>
      </c>
      <c r="F7" s="27">
        <f>SUMIFS(Weekly_Inventory_Flow!$N:$N,Weekly_Inventory_Flow!$A:$A,A7,Weekly_Inventory_Flow!$B:$B,B7)</f>
        <v>0</v>
      </c>
      <c r="G7" s="13" t="str">
        <f>_xlfn.XLOOKUP(B7,Product_Line_Map!$A$2:$A$6,Product_Line_Map!$B$2:$B$6,"")</f>
        <v>L01</v>
      </c>
      <c r="H7" s="25">
        <f>SUMIFS(Weekly_Line_Capacity!$J:$J,Weekly_Line_Capacity!$A:$A,A7,Weekly_Line_Capacity!$B:$B,G7)</f>
        <v>0.20321637426900585</v>
      </c>
      <c r="I7" s="27">
        <f>SUMIFS(Weekly_Line_Capacity!$K:$K,Weekly_Line_Capacity!$A:$A,A7,Weekly_Line_Capacity!$B:$B,G7)</f>
        <v>0</v>
      </c>
      <c r="J7" s="13" t="str" cm="1">
        <f t="array" ref="J7">_xlfn.XLOOKUP(1,(Weekly_Line_Capacity!$A$2:$A$157=A7)*(Weekly_Line_Capacity!$B$2:$B$157=G7),Weekly_Line_Capacity!$L$2:$L$157,"")</f>
        <v>WITHIN CAPACITY</v>
      </c>
      <c r="K7" s="13" t="str">
        <f>_xlfn.XLOOKUP(B7,BOM!$A$2:$A$21,BOM!$B$2:$B$21,"")</f>
        <v>M001</v>
      </c>
      <c r="L7" s="27">
        <f>SUMIFS(Weekly_Material_Inventory!$K:$K,Weekly_Material_Inventory!$A:$A,A7,Weekly_Material_Inventory!$B:$B,K7)</f>
        <v>0</v>
      </c>
      <c r="M7">
        <f t="shared" si="0"/>
        <v>0</v>
      </c>
      <c r="N7" t="str">
        <f t="shared" si="1"/>
        <v>OK</v>
      </c>
      <c r="O7" t="str">
        <f t="shared" si="2"/>
        <v>NONE</v>
      </c>
      <c r="P7" t="str" cm="1">
        <f t="array" ref="P7">_xlfn.SWITCH(O7,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 t="str" cm="1">
        <f t="array" ref="Q7">_xlfn.SWITCH(O7,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 t="str" cm="1">
        <f t="array" ref="R7">_xlfn.SWITCH(P7,
"Inventory / Service","Operations / Planning",
"Material Supply","Materials / Procurement",
"Capacity","Production / Planning",
"Production Execution","Production",
"Inventory","Operations / Planning",
"Demand Planning","Commercial / Planning",
"None","None",
"Operations")</f>
        <v>None</v>
      </c>
    </row>
    <row r="8" spans="1:18">
      <c r="A8" s="30">
        <f>Weekly_Inventory_Flow!A8</f>
        <v>46034</v>
      </c>
      <c r="B8" s="13" t="str">
        <f>Weekly_Inventory_Flow!B8</f>
        <v>P002</v>
      </c>
      <c r="C8" s="25">
        <f>IF(SUMIFS(Weekly_Product_Demand!$C:$C,Weekly_Product_Demand!$A:$A,A8,Weekly_Product_Demand!$B:$B,B8)=0,0,
(SUMIFS(Weekly_Product_Demand!$D:$D,Weekly_Product_Demand!$A:$A,A8,Weekly_Product_Demand!$B:$B,B8)-
SUMIFS(Weekly_Product_Demand!$C:$C,Weekly_Product_Demand!$A:$A,A8,Weekly_Product_Demand!$B:$B,B8))/
SUMIFS(Weekly_Product_Demand!$C:$C,Weekly_Product_Demand!$A:$A,A8,Weekly_Product_Demand!$B:$B,B8))</f>
        <v>-1.4406566714130162E-2</v>
      </c>
      <c r="D8" s="25">
        <f>SUMIFS(Weekly_Inventory_Flow!$Q:$Q,Weekly_Inventory_Flow!$A:$A,A8,Weekly_Inventory_Flow!$B:$B,B8)</f>
        <v>0.97</v>
      </c>
      <c r="E8" s="26">
        <f>SUMIFS(Weekly_Inventory_Flow!$S:$S,Weekly_Inventory_Flow!$A:$A,A8,Weekly_Inventory_Flow!$B:$B,B8)</f>
        <v>1.8215348007138608</v>
      </c>
      <c r="F8" s="27">
        <f>SUMIFS(Weekly_Inventory_Flow!$N:$N,Weekly_Inventory_Flow!$A:$A,A8,Weekly_Inventory_Flow!$B:$B,B8)</f>
        <v>0</v>
      </c>
      <c r="G8" s="13" t="str">
        <f>_xlfn.XLOOKUP(B8,Product_Line_Map!$A$2:$A$6,Product_Line_Map!$B$2:$B$6,"")</f>
        <v>L02</v>
      </c>
      <c r="H8" s="25">
        <f>SUMIFS(Weekly_Line_Capacity!$J:$J,Weekly_Line_Capacity!$A:$A,A8,Weekly_Line_Capacity!$B:$B,G8)</f>
        <v>0.42857142857142855</v>
      </c>
      <c r="I8" s="27">
        <f>SUMIFS(Weekly_Line_Capacity!$K:$K,Weekly_Line_Capacity!$A:$A,A8,Weekly_Line_Capacity!$B:$B,G8)</f>
        <v>0</v>
      </c>
      <c r="J8" s="13" t="str" cm="1">
        <f t="array" ref="J8">_xlfn.XLOOKUP(1,(Weekly_Line_Capacity!$A$2:$A$157=A8)*(Weekly_Line_Capacity!$B$2:$B$157=G8),Weekly_Line_Capacity!$L$2:$L$157,"")</f>
        <v>WITHIN CAPACITY</v>
      </c>
      <c r="K8" s="13" t="str">
        <f>_xlfn.XLOOKUP(B8,BOM!$A$2:$A$21,BOM!$B$2:$B$21,"")</f>
        <v>M002</v>
      </c>
      <c r="L8" s="27">
        <f>SUMIFS(Weekly_Material_Inventory!$K:$K,Weekly_Material_Inventory!$A:$A,A8,Weekly_Material_Inventory!$B:$B,K8)</f>
        <v>0</v>
      </c>
      <c r="M8">
        <f t="shared" si="0"/>
        <v>1</v>
      </c>
      <c r="N8" t="str">
        <f t="shared" si="1"/>
        <v>WARNING</v>
      </c>
      <c r="O8" t="str">
        <f t="shared" si="2"/>
        <v>LOW STOCK COVER</v>
      </c>
      <c r="P8" t="str" cm="1">
        <f t="array" ref="P8">_xlfn.SWITCH(O8,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8" t="str" cm="1">
        <f t="array" ref="Q8">_xlfn.SWITCH(O8,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8" t="str" cm="1">
        <f t="array" ref="R8">_xlfn.SWITCH(P8,
"Inventory / Service","Operations / Planning",
"Material Supply","Materials / Procurement",
"Capacity","Production / Planning",
"Production Execution","Production",
"Inventory","Operations / Planning",
"Demand Planning","Commercial / Planning",
"None","None",
"Operations")</f>
        <v>Operations / Planning</v>
      </c>
    </row>
    <row r="9" spans="1:18">
      <c r="A9" s="30">
        <f>Weekly_Inventory_Flow!A9</f>
        <v>46034</v>
      </c>
      <c r="B9" s="13" t="str">
        <f>Weekly_Inventory_Flow!B9</f>
        <v>P003</v>
      </c>
      <c r="C9" s="25">
        <f>IF(SUMIFS(Weekly_Product_Demand!$C:$C,Weekly_Product_Demand!$A:$A,A9,Weekly_Product_Demand!$B:$B,B9)=0,0,
(SUMIFS(Weekly_Product_Demand!$D:$D,Weekly_Product_Demand!$A:$A,A9,Weekly_Product_Demand!$B:$B,B9)-
SUMIFS(Weekly_Product_Demand!$C:$C,Weekly_Product_Demand!$A:$A,A9,Weekly_Product_Demand!$B:$B,B9))/
SUMIFS(Weekly_Product_Demand!$C:$C,Weekly_Product_Demand!$A:$A,A9,Weekly_Product_Demand!$B:$B,B9))</f>
        <v>-2.1141448615851346E-2</v>
      </c>
      <c r="D9" s="25">
        <f>SUMIFS(Weekly_Inventory_Flow!$Q:$Q,Weekly_Inventory_Flow!$A:$A,A9,Weekly_Inventory_Flow!$B:$B,B9)</f>
        <v>1.01</v>
      </c>
      <c r="E9" s="26">
        <f>SUMIFS(Weekly_Inventory_Flow!$S:$S,Weekly_Inventory_Flow!$A:$A,A9,Weekly_Inventory_Flow!$B:$B,B9)</f>
        <v>2.1186440677966103</v>
      </c>
      <c r="F9" s="27">
        <f>SUMIFS(Weekly_Inventory_Flow!$N:$N,Weekly_Inventory_Flow!$A:$A,A9,Weekly_Inventory_Flow!$B:$B,B9)</f>
        <v>0</v>
      </c>
      <c r="G9" s="13" t="str">
        <f>_xlfn.XLOOKUP(B9,Product_Line_Map!$A$2:$A$6,Product_Line_Map!$B$2:$B$6,"")</f>
        <v>L03</v>
      </c>
      <c r="H9" s="25">
        <f>SUMIFS(Weekly_Line_Capacity!$J:$J,Weekly_Line_Capacity!$A:$A,A9,Weekly_Line_Capacity!$B:$B,G9)</f>
        <v>0.45238095238095238</v>
      </c>
      <c r="I9" s="27">
        <f>SUMIFS(Weekly_Line_Capacity!$K:$K,Weekly_Line_Capacity!$A:$A,A9,Weekly_Line_Capacity!$B:$B,G9)</f>
        <v>0</v>
      </c>
      <c r="J9" s="13" t="str" cm="1">
        <f t="array" ref="J9">_xlfn.XLOOKUP(1,(Weekly_Line_Capacity!$A$2:$A$157=A9)*(Weekly_Line_Capacity!$B$2:$B$157=G9),Weekly_Line_Capacity!$L$2:$L$157,"")</f>
        <v>WITHIN CAPACITY</v>
      </c>
      <c r="K9" s="13" t="str">
        <f>_xlfn.XLOOKUP(B9,BOM!$A$2:$A$21,BOM!$B$2:$B$21,"")</f>
        <v>M003</v>
      </c>
      <c r="L9" s="27">
        <f>SUMIFS(Weekly_Material_Inventory!$K:$K,Weekly_Material_Inventory!$A:$A,A9,Weekly_Material_Inventory!$B:$B,K9)</f>
        <v>0</v>
      </c>
      <c r="M9">
        <f t="shared" si="0"/>
        <v>0</v>
      </c>
      <c r="N9" t="str">
        <f t="shared" si="1"/>
        <v>OK</v>
      </c>
      <c r="O9" t="str">
        <f t="shared" si="2"/>
        <v>NONE</v>
      </c>
      <c r="P9" t="str" cm="1">
        <f t="array" ref="P9">_xlfn.SWITCH(O9,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 t="str" cm="1">
        <f t="array" ref="Q9">_xlfn.SWITCH(O9,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 t="str" cm="1">
        <f t="array" ref="R9">_xlfn.SWITCH(P9,
"Inventory / Service","Operations / Planning",
"Material Supply","Materials / Procurement",
"Capacity","Production / Planning",
"Production Execution","Production",
"Inventory","Operations / Planning",
"Demand Planning","Commercial / Planning",
"None","None",
"Operations")</f>
        <v>None</v>
      </c>
    </row>
    <row r="10" spans="1:18">
      <c r="A10" s="30">
        <f>Weekly_Inventory_Flow!A10</f>
        <v>46034</v>
      </c>
      <c r="B10" s="13" t="str">
        <f>Weekly_Inventory_Flow!B10</f>
        <v>P004</v>
      </c>
      <c r="C10" s="25">
        <f>IF(SUMIFS(Weekly_Product_Demand!$C:$C,Weekly_Product_Demand!$A:$A,A10,Weekly_Product_Demand!$B:$B,B10)=0,0,
(SUMIFS(Weekly_Product_Demand!$D:$D,Weekly_Product_Demand!$A:$A,A10,Weekly_Product_Demand!$B:$B,B10)-
SUMIFS(Weekly_Product_Demand!$C:$C,Weekly_Product_Demand!$A:$A,A10,Weekly_Product_Demand!$B:$B,B10))/
SUMIFS(Weekly_Product_Demand!$C:$C,Weekly_Product_Demand!$A:$A,A10,Weekly_Product_Demand!$B:$B,B10))</f>
        <v>-3.8313144908030505E-2</v>
      </c>
      <c r="D10" s="25">
        <f>SUMIFS(Weekly_Inventory_Flow!$Q:$Q,Weekly_Inventory_Flow!$A:$A,A10,Weekly_Inventory_Flow!$B:$B,B10)</f>
        <v>0.97</v>
      </c>
      <c r="E10" s="26">
        <f>SUMIFS(Weekly_Inventory_Flow!$S:$S,Weekly_Inventory_Flow!$A:$A,A10,Weekly_Inventory_Flow!$B:$B,B10)</f>
        <v>1.8306587049822729</v>
      </c>
      <c r="F10" s="27">
        <f>SUMIFS(Weekly_Inventory_Flow!$N:$N,Weekly_Inventory_Flow!$A:$A,A10,Weekly_Inventory_Flow!$B:$B,B10)</f>
        <v>0</v>
      </c>
      <c r="G10" s="13" t="str">
        <f>_xlfn.XLOOKUP(B10,Product_Line_Map!$A$2:$A$6,Product_Line_Map!$B$2:$B$6,"")</f>
        <v>L02</v>
      </c>
      <c r="H10" s="25">
        <f>SUMIFS(Weekly_Line_Capacity!$J:$J,Weekly_Line_Capacity!$A:$A,A10,Weekly_Line_Capacity!$B:$B,G10)</f>
        <v>0.42857142857142855</v>
      </c>
      <c r="I10" s="27">
        <f>SUMIFS(Weekly_Line_Capacity!$K:$K,Weekly_Line_Capacity!$A:$A,A10,Weekly_Line_Capacity!$B:$B,G10)</f>
        <v>0</v>
      </c>
      <c r="J10" s="13" t="str" cm="1">
        <f t="array" ref="J10">_xlfn.XLOOKUP(1,(Weekly_Line_Capacity!$A$2:$A$157=A10)*(Weekly_Line_Capacity!$B$2:$B$157=G10),Weekly_Line_Capacity!$L$2:$L$157,"")</f>
        <v>WITHIN CAPACITY</v>
      </c>
      <c r="K10" s="13" t="str">
        <f>_xlfn.XLOOKUP(B10,BOM!$A$2:$A$21,BOM!$B$2:$B$21,"")</f>
        <v>M004</v>
      </c>
      <c r="L10" s="27">
        <f>SUMIFS(Weekly_Material_Inventory!$K:$K,Weekly_Material_Inventory!$A:$A,A10,Weekly_Material_Inventory!$B:$B,K10)</f>
        <v>0</v>
      </c>
      <c r="M10">
        <f t="shared" si="0"/>
        <v>1</v>
      </c>
      <c r="N10" t="str">
        <f t="shared" si="1"/>
        <v>WARNING</v>
      </c>
      <c r="O10" t="str">
        <f t="shared" si="2"/>
        <v>LOW STOCK COVER</v>
      </c>
      <c r="P10" t="str" cm="1">
        <f t="array" ref="P10">_xlfn.SWITCH(O10,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0" t="str" cm="1">
        <f t="array" ref="Q10">_xlfn.SWITCH(O10,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0" t="str" cm="1">
        <f t="array" ref="R10">_xlfn.SWITCH(P10,
"Inventory / Service","Operations / Planning",
"Material Supply","Materials / Procurement",
"Capacity","Production / Planning",
"Production Execution","Production",
"Inventory","Operations / Planning",
"Demand Planning","Commercial / Planning",
"None","None",
"Operations")</f>
        <v>Operations / Planning</v>
      </c>
    </row>
    <row r="11" spans="1:18">
      <c r="A11" s="30">
        <f>Weekly_Inventory_Flow!A11</f>
        <v>46034</v>
      </c>
      <c r="B11" s="13" t="str">
        <f>Weekly_Inventory_Flow!B11</f>
        <v>P005</v>
      </c>
      <c r="C11" s="25">
        <f>IF(SUMIFS(Weekly_Product_Demand!$C:$C,Weekly_Product_Demand!$A:$A,A11,Weekly_Product_Demand!$B:$B,B11)=0,0,
(SUMIFS(Weekly_Product_Demand!$D:$D,Weekly_Product_Demand!$A:$A,A11,Weekly_Product_Demand!$B:$B,B11)-
SUMIFS(Weekly_Product_Demand!$C:$C,Weekly_Product_Demand!$A:$A,A11,Weekly_Product_Demand!$B:$B,B11))/
SUMIFS(Weekly_Product_Demand!$C:$C,Weekly_Product_Demand!$A:$A,A11,Weekly_Product_Demand!$B:$B,B11))</f>
        <v>-5.5947458039406466E-3</v>
      </c>
      <c r="D11" s="25">
        <f>SUMIFS(Weekly_Inventory_Flow!$Q:$Q,Weekly_Inventory_Flow!$A:$A,A11,Weekly_Inventory_Flow!$B:$B,B11)</f>
        <v>1.02</v>
      </c>
      <c r="E11" s="26">
        <f>SUMIFS(Weekly_Inventory_Flow!$S:$S,Weekly_Inventory_Flow!$A:$A,A11,Weekly_Inventory_Flow!$B:$B,B11)</f>
        <v>2.1952054794520546</v>
      </c>
      <c r="F11" s="27">
        <f>SUMIFS(Weekly_Inventory_Flow!$N:$N,Weekly_Inventory_Flow!$A:$A,A11,Weekly_Inventory_Flow!$B:$B,B11)</f>
        <v>0</v>
      </c>
      <c r="G11" s="13" t="str">
        <f>_xlfn.XLOOKUP(B11,Product_Line_Map!$A$2:$A$6,Product_Line_Map!$B$2:$B$6,"")</f>
        <v>L03</v>
      </c>
      <c r="H11" s="25">
        <f>SUMIFS(Weekly_Line_Capacity!$J:$J,Weekly_Line_Capacity!$A:$A,A11,Weekly_Line_Capacity!$B:$B,G11)</f>
        <v>0.45238095238095238</v>
      </c>
      <c r="I11" s="27">
        <f>SUMIFS(Weekly_Line_Capacity!$K:$K,Weekly_Line_Capacity!$A:$A,A11,Weekly_Line_Capacity!$B:$B,G11)</f>
        <v>0</v>
      </c>
      <c r="J11" s="13" t="str" cm="1">
        <f t="array" ref="J11">_xlfn.XLOOKUP(1,(Weekly_Line_Capacity!$A$2:$A$157=A11)*(Weekly_Line_Capacity!$B$2:$B$157=G11),Weekly_Line_Capacity!$L$2:$L$157,"")</f>
        <v>WITHIN CAPACITY</v>
      </c>
      <c r="K11" s="13" t="str">
        <f>_xlfn.XLOOKUP(B11,BOM!$A$2:$A$21,BOM!$B$2:$B$21,"")</f>
        <v>M005</v>
      </c>
      <c r="L11" s="27">
        <f>SUMIFS(Weekly_Material_Inventory!$K:$K,Weekly_Material_Inventory!$A:$A,A11,Weekly_Material_Inventory!$B:$B,K11)</f>
        <v>0</v>
      </c>
      <c r="M11">
        <f t="shared" si="0"/>
        <v>0</v>
      </c>
      <c r="N11" t="str">
        <f t="shared" si="1"/>
        <v>OK</v>
      </c>
      <c r="O11" t="str">
        <f t="shared" si="2"/>
        <v>NONE</v>
      </c>
      <c r="P11" t="str" cm="1">
        <f t="array" ref="P11">_xlfn.SWITCH(O11,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1" t="str" cm="1">
        <f t="array" ref="Q11">_xlfn.SWITCH(O11,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1" t="str" cm="1">
        <f t="array" ref="R11">_xlfn.SWITCH(P11,
"Inventory / Service","Operations / Planning",
"Material Supply","Materials / Procurement",
"Capacity","Production / Planning",
"Production Execution","Production",
"Inventory","Operations / Planning",
"Demand Planning","Commercial / Planning",
"None","None",
"Operations")</f>
        <v>None</v>
      </c>
    </row>
    <row r="12" spans="1:18">
      <c r="A12" s="30">
        <f>Weekly_Inventory_Flow!A12</f>
        <v>46041</v>
      </c>
      <c r="B12" s="13" t="str">
        <f>Weekly_Inventory_Flow!B12</f>
        <v>P001</v>
      </c>
      <c r="C12" s="25">
        <f>IF(SUMIFS(Weekly_Product_Demand!$C:$C,Weekly_Product_Demand!$A:$A,A12,Weekly_Product_Demand!$B:$B,B12)=0,0,
(SUMIFS(Weekly_Product_Demand!$D:$D,Weekly_Product_Demand!$A:$A,A12,Weekly_Product_Demand!$B:$B,B12)-
SUMIFS(Weekly_Product_Demand!$C:$C,Weekly_Product_Demand!$A:$A,A12,Weekly_Product_Demand!$B:$B,B12))/
SUMIFS(Weekly_Product_Demand!$C:$C,Weekly_Product_Demand!$A:$A,A12,Weekly_Product_Demand!$B:$B,B12))</f>
        <v>3.2210834553440702E-3</v>
      </c>
      <c r="D12" s="25">
        <f>SUMIFS(Weekly_Inventory_Flow!$Q:$Q,Weekly_Inventory_Flow!$A:$A,A12,Weekly_Inventory_Flow!$B:$B,B12)</f>
        <v>1.01</v>
      </c>
      <c r="E12" s="26">
        <f>SUMIFS(Weekly_Inventory_Flow!$S:$S,Weekly_Inventory_Flow!$A:$A,A12,Weekly_Inventory_Flow!$B:$B,B12)</f>
        <v>2.069760653823701</v>
      </c>
      <c r="F12" s="27">
        <f>SUMIFS(Weekly_Inventory_Flow!$N:$N,Weekly_Inventory_Flow!$A:$A,A12,Weekly_Inventory_Flow!$B:$B,B12)</f>
        <v>0</v>
      </c>
      <c r="G12" s="13" t="str">
        <f>_xlfn.XLOOKUP(B12,Product_Line_Map!$A$2:$A$6,Product_Line_Map!$B$2:$B$6,"")</f>
        <v>L01</v>
      </c>
      <c r="H12" s="25">
        <f>SUMIFS(Weekly_Line_Capacity!$J:$J,Weekly_Line_Capacity!$A:$A,A12,Weekly_Line_Capacity!$B:$B,G12)</f>
        <v>0.20029239766081872</v>
      </c>
      <c r="I12" s="27">
        <f>SUMIFS(Weekly_Line_Capacity!$K:$K,Weekly_Line_Capacity!$A:$A,A12,Weekly_Line_Capacity!$B:$B,G12)</f>
        <v>0</v>
      </c>
      <c r="J12" s="13" t="str" cm="1">
        <f t="array" ref="J12">_xlfn.XLOOKUP(1,(Weekly_Line_Capacity!$A$2:$A$157=A12)*(Weekly_Line_Capacity!$B$2:$B$157=G12),Weekly_Line_Capacity!$L$2:$L$157,"")</f>
        <v>WITHIN CAPACITY</v>
      </c>
      <c r="K12" s="13" t="str">
        <f>_xlfn.XLOOKUP(B12,BOM!$A$2:$A$21,BOM!$B$2:$B$21,"")</f>
        <v>M001</v>
      </c>
      <c r="L12" s="27">
        <f>SUMIFS(Weekly_Material_Inventory!$K:$K,Weekly_Material_Inventory!$A:$A,A12,Weekly_Material_Inventory!$B:$B,K12)</f>
        <v>0</v>
      </c>
      <c r="M12">
        <f t="shared" si="0"/>
        <v>0</v>
      </c>
      <c r="N12" t="str">
        <f t="shared" si="1"/>
        <v>OK</v>
      </c>
      <c r="O12" t="str">
        <f t="shared" si="2"/>
        <v>NONE</v>
      </c>
      <c r="P12" t="str" cm="1">
        <f t="array" ref="P12">_xlfn.SWITCH(O12,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2" t="str" cm="1">
        <f t="array" ref="Q12">_xlfn.SWITCH(O12,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2" t="str" cm="1">
        <f t="array" ref="R12">_xlfn.SWITCH(P12,
"Inventory / Service","Operations / Planning",
"Material Supply","Materials / Procurement",
"Capacity","Production / Planning",
"Production Execution","Production",
"Inventory","Operations / Planning",
"Demand Planning","Commercial / Planning",
"None","None",
"Operations")</f>
        <v>None</v>
      </c>
    </row>
    <row r="13" spans="1:18">
      <c r="A13" s="30">
        <f>Weekly_Inventory_Flow!A13</f>
        <v>46041</v>
      </c>
      <c r="B13" s="13" t="str">
        <f>Weekly_Inventory_Flow!B13</f>
        <v>P002</v>
      </c>
      <c r="C13" s="25">
        <f>IF(SUMIFS(Weekly_Product_Demand!$C:$C,Weekly_Product_Demand!$A:$A,A13,Weekly_Product_Demand!$B:$B,B13)=0,0,
(SUMIFS(Weekly_Product_Demand!$D:$D,Weekly_Product_Demand!$A:$A,A13,Weekly_Product_Demand!$B:$B,B13)-
SUMIFS(Weekly_Product_Demand!$C:$C,Weekly_Product_Demand!$A:$A,A13,Weekly_Product_Demand!$B:$B,B13))/
SUMIFS(Weekly_Product_Demand!$C:$C,Weekly_Product_Demand!$A:$A,A13,Weekly_Product_Demand!$B:$B,B13))</f>
        <v>-7.823918837589202E-3</v>
      </c>
      <c r="D13" s="25">
        <f>SUMIFS(Weekly_Inventory_Flow!$Q:$Q,Weekly_Inventory_Flow!$A:$A,A13,Weekly_Inventory_Flow!$B:$B,B13)</f>
        <v>1.02</v>
      </c>
      <c r="E13" s="26">
        <f>SUMIFS(Weekly_Inventory_Flow!$S:$S,Weekly_Inventory_Flow!$A:$A,A13,Weekly_Inventory_Flow!$B:$B,B13)</f>
        <v>2.1582322357019064</v>
      </c>
      <c r="F13" s="27">
        <f>SUMIFS(Weekly_Inventory_Flow!$N:$N,Weekly_Inventory_Flow!$A:$A,A13,Weekly_Inventory_Flow!$B:$B,B13)</f>
        <v>0</v>
      </c>
      <c r="G13" s="13" t="str">
        <f>_xlfn.XLOOKUP(B13,Product_Line_Map!$A$2:$A$6,Product_Line_Map!$B$2:$B$6,"")</f>
        <v>L02</v>
      </c>
      <c r="H13" s="25">
        <f>SUMIFS(Weekly_Line_Capacity!$J:$J,Weekly_Line_Capacity!$A:$A,A13,Weekly_Line_Capacity!$B:$B,G13)</f>
        <v>0.44380952380952382</v>
      </c>
      <c r="I13" s="27">
        <f>SUMIFS(Weekly_Line_Capacity!$K:$K,Weekly_Line_Capacity!$A:$A,A13,Weekly_Line_Capacity!$B:$B,G13)</f>
        <v>0</v>
      </c>
      <c r="J13" s="13" t="str" cm="1">
        <f t="array" ref="J13">_xlfn.XLOOKUP(1,(Weekly_Line_Capacity!$A$2:$A$157=A13)*(Weekly_Line_Capacity!$B$2:$B$157=G13),Weekly_Line_Capacity!$L$2:$L$157,"")</f>
        <v>WITHIN CAPACITY</v>
      </c>
      <c r="K13" s="13" t="str">
        <f>_xlfn.XLOOKUP(B13,BOM!$A$2:$A$21,BOM!$B$2:$B$21,"")</f>
        <v>M002</v>
      </c>
      <c r="L13" s="27">
        <f>SUMIFS(Weekly_Material_Inventory!$K:$K,Weekly_Material_Inventory!$A:$A,A13,Weekly_Material_Inventory!$B:$B,K13)</f>
        <v>0</v>
      </c>
      <c r="M13">
        <f t="shared" si="0"/>
        <v>0</v>
      </c>
      <c r="N13" t="str">
        <f t="shared" si="1"/>
        <v>OK</v>
      </c>
      <c r="O13" t="str">
        <f t="shared" si="2"/>
        <v>NONE</v>
      </c>
      <c r="P13" t="str" cm="1">
        <f t="array" ref="P13">_xlfn.SWITCH(O13,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 t="str" cm="1">
        <f t="array" ref="Q13">_xlfn.SWITCH(O13,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 t="str" cm="1">
        <f t="array" ref="R13">_xlfn.SWITCH(P13,
"Inventory / Service","Operations / Planning",
"Material Supply","Materials / Procurement",
"Capacity","Production / Planning",
"Production Execution","Production",
"Inventory","Operations / Planning",
"Demand Planning","Commercial / Planning",
"None","None",
"Operations")</f>
        <v>None</v>
      </c>
    </row>
    <row r="14" spans="1:18">
      <c r="A14" s="30">
        <f>Weekly_Inventory_Flow!A14</f>
        <v>46041</v>
      </c>
      <c r="B14" s="13" t="str">
        <f>Weekly_Inventory_Flow!B14</f>
        <v>P003</v>
      </c>
      <c r="C14" s="25">
        <f>IF(SUMIFS(Weekly_Product_Demand!$C:$C,Weekly_Product_Demand!$A:$A,A14,Weekly_Product_Demand!$B:$B,B14)=0,0,
(SUMIFS(Weekly_Product_Demand!$D:$D,Weekly_Product_Demand!$A:$A,A14,Weekly_Product_Demand!$B:$B,B14)-
SUMIFS(Weekly_Product_Demand!$C:$C,Weekly_Product_Demand!$A:$A,A14,Weekly_Product_Demand!$B:$B,B14))/
SUMIFS(Weekly_Product_Demand!$C:$C,Weekly_Product_Demand!$A:$A,A14,Weekly_Product_Demand!$B:$B,B14))</f>
        <v>2.4214271595176914E-2</v>
      </c>
      <c r="D14" s="25">
        <f>SUMIFS(Weekly_Inventory_Flow!$Q:$Q,Weekly_Inventory_Flow!$A:$A,A14,Weekly_Inventory_Flow!$B:$B,B14)</f>
        <v>0.99</v>
      </c>
      <c r="E14" s="26">
        <f>SUMIFS(Weekly_Inventory_Flow!$S:$S,Weekly_Inventory_Flow!$A:$A,A14,Weekly_Inventory_Flow!$B:$B,B14)</f>
        <v>1.9318730097462127</v>
      </c>
      <c r="F14" s="27">
        <f>SUMIFS(Weekly_Inventory_Flow!$N:$N,Weekly_Inventory_Flow!$A:$A,A14,Weekly_Inventory_Flow!$B:$B,B14)</f>
        <v>0</v>
      </c>
      <c r="G14" s="13" t="str">
        <f>_xlfn.XLOOKUP(B14,Product_Line_Map!$A$2:$A$6,Product_Line_Map!$B$2:$B$6,"")</f>
        <v>L03</v>
      </c>
      <c r="H14" s="25">
        <f>SUMIFS(Weekly_Line_Capacity!$J:$J,Weekly_Line_Capacity!$A:$A,A14,Weekly_Line_Capacity!$B:$B,G14)</f>
        <v>0.43809523809523809</v>
      </c>
      <c r="I14" s="27">
        <f>SUMIFS(Weekly_Line_Capacity!$K:$K,Weekly_Line_Capacity!$A:$A,A14,Weekly_Line_Capacity!$B:$B,G14)</f>
        <v>0</v>
      </c>
      <c r="J14" s="13" t="str" cm="1">
        <f t="array" ref="J14">_xlfn.XLOOKUP(1,(Weekly_Line_Capacity!$A$2:$A$157=A14)*(Weekly_Line_Capacity!$B$2:$B$157=G14),Weekly_Line_Capacity!$L$2:$L$157,"")</f>
        <v>WITHIN CAPACITY</v>
      </c>
      <c r="K14" s="13" t="str">
        <f>_xlfn.XLOOKUP(B14,BOM!$A$2:$A$21,BOM!$B$2:$B$21,"")</f>
        <v>M003</v>
      </c>
      <c r="L14" s="27">
        <f>SUMIFS(Weekly_Material_Inventory!$K:$K,Weekly_Material_Inventory!$A:$A,A14,Weekly_Material_Inventory!$B:$B,K14)</f>
        <v>0</v>
      </c>
      <c r="M14">
        <f t="shared" si="0"/>
        <v>1</v>
      </c>
      <c r="N14" t="str">
        <f t="shared" si="1"/>
        <v>WARNING</v>
      </c>
      <c r="O14" t="str">
        <f t="shared" si="2"/>
        <v>LOW STOCK COVER</v>
      </c>
      <c r="P14" t="str" cm="1">
        <f t="array" ref="P14">_xlfn.SWITCH(O14,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4" t="str" cm="1">
        <f t="array" ref="Q14">_xlfn.SWITCH(O14,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4" t="str" cm="1">
        <f t="array" ref="R14">_xlfn.SWITCH(P14,
"Inventory / Service","Operations / Planning",
"Material Supply","Materials / Procurement",
"Capacity","Production / Planning",
"Production Execution","Production",
"Inventory","Operations / Planning",
"Demand Planning","Commercial / Planning",
"None","None",
"Operations")</f>
        <v>Operations / Planning</v>
      </c>
    </row>
    <row r="15" spans="1:18">
      <c r="A15" s="30">
        <f>Weekly_Inventory_Flow!A15</f>
        <v>46041</v>
      </c>
      <c r="B15" s="13" t="str">
        <f>Weekly_Inventory_Flow!B15</f>
        <v>P004</v>
      </c>
      <c r="C15" s="25">
        <f>IF(SUMIFS(Weekly_Product_Demand!$C:$C,Weekly_Product_Demand!$A:$A,A15,Weekly_Product_Demand!$B:$B,B15)=0,0,
(SUMIFS(Weekly_Product_Demand!$D:$D,Weekly_Product_Demand!$A:$A,A15,Weekly_Product_Demand!$B:$B,B15)-
SUMIFS(Weekly_Product_Demand!$C:$C,Weekly_Product_Demand!$A:$A,A15,Weekly_Product_Demand!$B:$B,B15))/
SUMIFS(Weekly_Product_Demand!$C:$C,Weekly_Product_Demand!$A:$A,A15,Weekly_Product_Demand!$B:$B,B15))</f>
        <v>-1.4414414414414415E-3</v>
      </c>
      <c r="D15" s="25">
        <f>SUMIFS(Weekly_Inventory_Flow!$Q:$Q,Weekly_Inventory_Flow!$A:$A,A15,Weekly_Inventory_Flow!$B:$B,B15)</f>
        <v>0.99</v>
      </c>
      <c r="E15" s="26">
        <f>SUMIFS(Weekly_Inventory_Flow!$S:$S,Weekly_Inventory_Flow!$A:$A,A15,Weekly_Inventory_Flow!$B:$B,B15)</f>
        <v>1.9603031396607724</v>
      </c>
      <c r="F15" s="27">
        <f>SUMIFS(Weekly_Inventory_Flow!$N:$N,Weekly_Inventory_Flow!$A:$A,A15,Weekly_Inventory_Flow!$B:$B,B15)</f>
        <v>0</v>
      </c>
      <c r="G15" s="13" t="str">
        <f>_xlfn.XLOOKUP(B15,Product_Line_Map!$A$2:$A$6,Product_Line_Map!$B$2:$B$6,"")</f>
        <v>L02</v>
      </c>
      <c r="H15" s="25">
        <f>SUMIFS(Weekly_Line_Capacity!$J:$J,Weekly_Line_Capacity!$A:$A,A15,Weekly_Line_Capacity!$B:$B,G15)</f>
        <v>0.44380952380952382</v>
      </c>
      <c r="I15" s="27">
        <f>SUMIFS(Weekly_Line_Capacity!$K:$K,Weekly_Line_Capacity!$A:$A,A15,Weekly_Line_Capacity!$B:$B,G15)</f>
        <v>0</v>
      </c>
      <c r="J15" s="13" t="str" cm="1">
        <f t="array" ref="J15">_xlfn.XLOOKUP(1,(Weekly_Line_Capacity!$A$2:$A$157=A15)*(Weekly_Line_Capacity!$B$2:$B$157=G15),Weekly_Line_Capacity!$L$2:$L$157,"")</f>
        <v>WITHIN CAPACITY</v>
      </c>
      <c r="K15" s="13" t="str">
        <f>_xlfn.XLOOKUP(B15,BOM!$A$2:$A$21,BOM!$B$2:$B$21,"")</f>
        <v>M004</v>
      </c>
      <c r="L15" s="27">
        <f>SUMIFS(Weekly_Material_Inventory!$K:$K,Weekly_Material_Inventory!$A:$A,A15,Weekly_Material_Inventory!$B:$B,K15)</f>
        <v>0</v>
      </c>
      <c r="M15">
        <f t="shared" si="0"/>
        <v>1</v>
      </c>
      <c r="N15" t="str">
        <f t="shared" si="1"/>
        <v>WARNING</v>
      </c>
      <c r="O15" t="str">
        <f t="shared" si="2"/>
        <v>LOW STOCK COVER</v>
      </c>
      <c r="P15" t="str" cm="1">
        <f t="array" ref="P15">_xlfn.SWITCH(O15,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5" t="str" cm="1">
        <f t="array" ref="Q15">_xlfn.SWITCH(O15,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5" t="str" cm="1">
        <f t="array" ref="R15">_xlfn.SWITCH(P15,
"Inventory / Service","Operations / Planning",
"Material Supply","Materials / Procurement",
"Capacity","Production / Planning",
"Production Execution","Production",
"Inventory","Operations / Planning",
"Demand Planning","Commercial / Planning",
"None","None",
"Operations")</f>
        <v>Operations / Planning</v>
      </c>
    </row>
    <row r="16" spans="1:18">
      <c r="A16" s="30">
        <f>Weekly_Inventory_Flow!A16</f>
        <v>46041</v>
      </c>
      <c r="B16" s="13" t="str">
        <f>Weekly_Inventory_Flow!B16</f>
        <v>P005</v>
      </c>
      <c r="C16" s="25">
        <f>IF(SUMIFS(Weekly_Product_Demand!$C:$C,Weekly_Product_Demand!$A:$A,A16,Weekly_Product_Demand!$B:$B,B16)=0,0,
(SUMIFS(Weekly_Product_Demand!$D:$D,Weekly_Product_Demand!$A:$A,A16,Weekly_Product_Demand!$B:$B,B16)-
SUMIFS(Weekly_Product_Demand!$C:$C,Weekly_Product_Demand!$A:$A,A16,Weekly_Product_Demand!$B:$B,B16))/
SUMIFS(Weekly_Product_Demand!$C:$C,Weekly_Product_Demand!$A:$A,A16,Weekly_Product_Demand!$B:$B,B16))</f>
        <v>3.9778206364513022E-3</v>
      </c>
      <c r="D16" s="25">
        <f>SUMIFS(Weekly_Inventory_Flow!$Q:$Q,Weekly_Inventory_Flow!$A:$A,A16,Weekly_Inventory_Flow!$B:$B,B16)</f>
        <v>0.97</v>
      </c>
      <c r="E16" s="26">
        <f>SUMIFS(Weekly_Inventory_Flow!$S:$S,Weekly_Inventory_Flow!$A:$A,A16,Weekly_Inventory_Flow!$B:$B,B16)</f>
        <v>1.8397166526593829</v>
      </c>
      <c r="F16" s="27">
        <f>SUMIFS(Weekly_Inventory_Flow!$N:$N,Weekly_Inventory_Flow!$A:$A,A16,Weekly_Inventory_Flow!$B:$B,B16)</f>
        <v>0</v>
      </c>
      <c r="G16" s="13" t="str">
        <f>_xlfn.XLOOKUP(B16,Product_Line_Map!$A$2:$A$6,Product_Line_Map!$B$2:$B$6,"")</f>
        <v>L03</v>
      </c>
      <c r="H16" s="25">
        <f>SUMIFS(Weekly_Line_Capacity!$J:$J,Weekly_Line_Capacity!$A:$A,A16,Weekly_Line_Capacity!$B:$B,G16)</f>
        <v>0.43809523809523809</v>
      </c>
      <c r="I16" s="27">
        <f>SUMIFS(Weekly_Line_Capacity!$K:$K,Weekly_Line_Capacity!$A:$A,A16,Weekly_Line_Capacity!$B:$B,G16)</f>
        <v>0</v>
      </c>
      <c r="J16" s="13" t="str" cm="1">
        <f t="array" ref="J16">_xlfn.XLOOKUP(1,(Weekly_Line_Capacity!$A$2:$A$157=A16)*(Weekly_Line_Capacity!$B$2:$B$157=G16),Weekly_Line_Capacity!$L$2:$L$157,"")</f>
        <v>WITHIN CAPACITY</v>
      </c>
      <c r="K16" s="13" t="str">
        <f>_xlfn.XLOOKUP(B16,BOM!$A$2:$A$21,BOM!$B$2:$B$21,"")</f>
        <v>M005</v>
      </c>
      <c r="L16" s="27">
        <f>SUMIFS(Weekly_Material_Inventory!$K:$K,Weekly_Material_Inventory!$A:$A,A16,Weekly_Material_Inventory!$B:$B,K16)</f>
        <v>0</v>
      </c>
      <c r="M16">
        <f t="shared" si="0"/>
        <v>1</v>
      </c>
      <c r="N16" t="str">
        <f t="shared" si="1"/>
        <v>WARNING</v>
      </c>
      <c r="O16" t="str">
        <f t="shared" si="2"/>
        <v>LOW STOCK COVER</v>
      </c>
      <c r="P16" t="str" cm="1">
        <f t="array" ref="P16">_xlfn.SWITCH(O16,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 t="str" cm="1">
        <f t="array" ref="Q16">_xlfn.SWITCH(O16,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 t="str" cm="1">
        <f t="array" ref="R16">_xlfn.SWITCH(P16,
"Inventory / Service","Operations / Planning",
"Material Supply","Materials / Procurement",
"Capacity","Production / Planning",
"Production Execution","Production",
"Inventory","Operations / Planning",
"Demand Planning","Commercial / Planning",
"None","None",
"Operations")</f>
        <v>Operations / Planning</v>
      </c>
    </row>
    <row r="17" spans="1:18">
      <c r="A17" s="30">
        <f>Weekly_Inventory_Flow!A17</f>
        <v>46048</v>
      </c>
      <c r="B17" s="13" t="str">
        <f>Weekly_Inventory_Flow!B17</f>
        <v>P001</v>
      </c>
      <c r="C17" s="25">
        <f>IF(SUMIFS(Weekly_Product_Demand!$C:$C,Weekly_Product_Demand!$A:$A,A17,Weekly_Product_Demand!$B:$B,B17)=0,0,
(SUMIFS(Weekly_Product_Demand!$D:$D,Weekly_Product_Demand!$A:$A,A17,Weekly_Product_Demand!$B:$B,B17)-
SUMIFS(Weekly_Product_Demand!$C:$C,Weekly_Product_Demand!$A:$A,A17,Weekly_Product_Demand!$B:$B,B17))/
SUMIFS(Weekly_Product_Demand!$C:$C,Weekly_Product_Demand!$A:$A,A17,Weekly_Product_Demand!$B:$B,B17))</f>
        <v>-1.890909090909091E-2</v>
      </c>
      <c r="D17" s="25">
        <f>SUMIFS(Weekly_Inventory_Flow!$Q:$Q,Weekly_Inventory_Flow!$A:$A,A17,Weekly_Inventory_Flow!$B:$B,B17)</f>
        <v>0.99</v>
      </c>
      <c r="E17" s="26">
        <f>SUMIFS(Weekly_Inventory_Flow!$S:$S,Weekly_Inventory_Flow!$A:$A,A17,Weekly_Inventory_Flow!$B:$B,B17)</f>
        <v>1.934988880652335</v>
      </c>
      <c r="F17" s="27">
        <f>SUMIFS(Weekly_Inventory_Flow!$N:$N,Weekly_Inventory_Flow!$A:$A,A17,Weekly_Inventory_Flow!$B:$B,B17)</f>
        <v>0</v>
      </c>
      <c r="G17" s="13" t="str">
        <f>_xlfn.XLOOKUP(B17,Product_Line_Map!$A$2:$A$6,Product_Line_Map!$B$2:$B$6,"")</f>
        <v>L01</v>
      </c>
      <c r="H17" s="25">
        <f>SUMIFS(Weekly_Line_Capacity!$J:$J,Weekly_Line_Capacity!$A:$A,A17,Weekly_Line_Capacity!$B:$B,G17)</f>
        <v>0.19444444444444445</v>
      </c>
      <c r="I17" s="27">
        <f>SUMIFS(Weekly_Line_Capacity!$K:$K,Weekly_Line_Capacity!$A:$A,A17,Weekly_Line_Capacity!$B:$B,G17)</f>
        <v>0</v>
      </c>
      <c r="J17" s="13" t="str" cm="1">
        <f t="array" ref="J17">_xlfn.XLOOKUP(1,(Weekly_Line_Capacity!$A$2:$A$157=A17)*(Weekly_Line_Capacity!$B$2:$B$157=G17),Weekly_Line_Capacity!$L$2:$L$157,"")</f>
        <v>WITHIN CAPACITY</v>
      </c>
      <c r="K17" s="13" t="str">
        <f>_xlfn.XLOOKUP(B17,BOM!$A$2:$A$21,BOM!$B$2:$B$21,"")</f>
        <v>M001</v>
      </c>
      <c r="L17" s="27">
        <f>SUMIFS(Weekly_Material_Inventory!$K:$K,Weekly_Material_Inventory!$A:$A,A17,Weekly_Material_Inventory!$B:$B,K17)</f>
        <v>0</v>
      </c>
      <c r="M17">
        <f t="shared" si="0"/>
        <v>1</v>
      </c>
      <c r="N17" t="str">
        <f t="shared" si="1"/>
        <v>WARNING</v>
      </c>
      <c r="O17" t="str">
        <f t="shared" si="2"/>
        <v>LOW STOCK COVER</v>
      </c>
      <c r="P17" t="str" cm="1">
        <f t="array" ref="P17">_xlfn.SWITCH(O17,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 t="str" cm="1">
        <f t="array" ref="Q17">_xlfn.SWITCH(O17,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 t="str" cm="1">
        <f t="array" ref="R17">_xlfn.SWITCH(P17,
"Inventory / Service","Operations / Planning",
"Material Supply","Materials / Procurement",
"Capacity","Production / Planning",
"Production Execution","Production",
"Inventory","Operations / Planning",
"Demand Planning","Commercial / Planning",
"None","None",
"Operations")</f>
        <v>Operations / Planning</v>
      </c>
    </row>
    <row r="18" spans="1:18">
      <c r="A18" s="30">
        <f>Weekly_Inventory_Flow!A18</f>
        <v>46048</v>
      </c>
      <c r="B18" s="13" t="str">
        <f>Weekly_Inventory_Flow!B18</f>
        <v>P002</v>
      </c>
      <c r="C18" s="25">
        <f>IF(SUMIFS(Weekly_Product_Demand!$C:$C,Weekly_Product_Demand!$A:$A,A18,Weekly_Product_Demand!$B:$B,B18)=0,0,
(SUMIFS(Weekly_Product_Demand!$D:$D,Weekly_Product_Demand!$A:$A,A18,Weekly_Product_Demand!$B:$B,B18)-
SUMIFS(Weekly_Product_Demand!$C:$C,Weekly_Product_Demand!$A:$A,A18,Weekly_Product_Demand!$B:$B,B18))/
SUMIFS(Weekly_Product_Demand!$C:$C,Weekly_Product_Demand!$A:$A,A18,Weekly_Product_Demand!$B:$B,B18))</f>
        <v>3.4571062740076826E-2</v>
      </c>
      <c r="D18" s="25">
        <f>SUMIFS(Weekly_Inventory_Flow!$Q:$Q,Weekly_Inventory_Flow!$A:$A,A18,Weekly_Inventory_Flow!$B:$B,B18)</f>
        <v>1.01</v>
      </c>
      <c r="E18" s="26">
        <f>SUMIFS(Weekly_Inventory_Flow!$S:$S,Weekly_Inventory_Flow!$A:$A,A18,Weekly_Inventory_Flow!$B:$B,B18)</f>
        <v>2.1132838283828383</v>
      </c>
      <c r="F18" s="27">
        <f>SUMIFS(Weekly_Inventory_Flow!$N:$N,Weekly_Inventory_Flow!$A:$A,A18,Weekly_Inventory_Flow!$B:$B,B18)</f>
        <v>0</v>
      </c>
      <c r="G18" s="13" t="str">
        <f>_xlfn.XLOOKUP(B18,Product_Line_Map!$A$2:$A$6,Product_Line_Map!$B$2:$B$6,"")</f>
        <v>L02</v>
      </c>
      <c r="H18" s="25">
        <f>SUMIFS(Weekly_Line_Capacity!$J:$J,Weekly_Line_Capacity!$A:$A,A18,Weekly_Line_Capacity!$B:$B,G18)</f>
        <v>0.43809523809523809</v>
      </c>
      <c r="I18" s="27">
        <f>SUMIFS(Weekly_Line_Capacity!$K:$K,Weekly_Line_Capacity!$A:$A,A18,Weekly_Line_Capacity!$B:$B,G18)</f>
        <v>0</v>
      </c>
      <c r="J18" s="13" t="str" cm="1">
        <f t="array" ref="J18">_xlfn.XLOOKUP(1,(Weekly_Line_Capacity!$A$2:$A$157=A18)*(Weekly_Line_Capacity!$B$2:$B$157=G18),Weekly_Line_Capacity!$L$2:$L$157,"")</f>
        <v>WITHIN CAPACITY</v>
      </c>
      <c r="K18" s="13" t="str">
        <f>_xlfn.XLOOKUP(B18,BOM!$A$2:$A$21,BOM!$B$2:$B$21,"")</f>
        <v>M002</v>
      </c>
      <c r="L18" s="27">
        <f>SUMIFS(Weekly_Material_Inventory!$K:$K,Weekly_Material_Inventory!$A:$A,A18,Weekly_Material_Inventory!$B:$B,K18)</f>
        <v>0</v>
      </c>
      <c r="M18">
        <f t="shared" si="0"/>
        <v>0</v>
      </c>
      <c r="N18" t="str">
        <f t="shared" si="1"/>
        <v>OK</v>
      </c>
      <c r="O18" t="str">
        <f t="shared" si="2"/>
        <v>NONE</v>
      </c>
      <c r="P18" t="str" cm="1">
        <f t="array" ref="P18">_xlfn.SWITCH(O18,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8" t="str" cm="1">
        <f t="array" ref="Q18">_xlfn.SWITCH(O18,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8" t="str" cm="1">
        <f t="array" ref="R18">_xlfn.SWITCH(P18,
"Inventory / Service","Operations / Planning",
"Material Supply","Materials / Procurement",
"Capacity","Production / Planning",
"Production Execution","Production",
"Inventory","Operations / Planning",
"Demand Planning","Commercial / Planning",
"None","None",
"Operations")</f>
        <v>None</v>
      </c>
    </row>
    <row r="19" spans="1:18">
      <c r="A19" s="30">
        <f>Weekly_Inventory_Flow!A19</f>
        <v>46048</v>
      </c>
      <c r="B19" s="13" t="str">
        <f>Weekly_Inventory_Flow!B19</f>
        <v>P003</v>
      </c>
      <c r="C19" s="25">
        <f>IF(SUMIFS(Weekly_Product_Demand!$C:$C,Weekly_Product_Demand!$A:$A,A19,Weekly_Product_Demand!$B:$B,B19)=0,0,
(SUMIFS(Weekly_Product_Demand!$D:$D,Weekly_Product_Demand!$A:$A,A19,Weekly_Product_Demand!$B:$B,B19)-
SUMIFS(Weekly_Product_Demand!$C:$C,Weekly_Product_Demand!$A:$A,A19,Weekly_Product_Demand!$B:$B,B19))/
SUMIFS(Weekly_Product_Demand!$C:$C,Weekly_Product_Demand!$A:$A,A19,Weekly_Product_Demand!$B:$B,B19))</f>
        <v>-4.2602633617350892E-3</v>
      </c>
      <c r="D19" s="25">
        <f>SUMIFS(Weekly_Inventory_Flow!$Q:$Q,Weekly_Inventory_Flow!$A:$A,A19,Weekly_Inventory_Flow!$B:$B,B19)</f>
        <v>1</v>
      </c>
      <c r="E19" s="26">
        <f>SUMIFS(Weekly_Inventory_Flow!$S:$S,Weekly_Inventory_Flow!$A:$A,A19,Weekly_Inventory_Flow!$B:$B,B19)</f>
        <v>2.0256709451575263</v>
      </c>
      <c r="F19" s="27">
        <f>SUMIFS(Weekly_Inventory_Flow!$N:$N,Weekly_Inventory_Flow!$A:$A,A19,Weekly_Inventory_Flow!$B:$B,B19)</f>
        <v>0</v>
      </c>
      <c r="G19" s="13" t="str">
        <f>_xlfn.XLOOKUP(B19,Product_Line_Map!$A$2:$A$6,Product_Line_Map!$B$2:$B$6,"")</f>
        <v>L03</v>
      </c>
      <c r="H19" s="25">
        <f>SUMIFS(Weekly_Line_Capacity!$J:$J,Weekly_Line_Capacity!$A:$A,A19,Weekly_Line_Capacity!$B:$B,G19)</f>
        <v>0.45476190476190476</v>
      </c>
      <c r="I19" s="27">
        <f>SUMIFS(Weekly_Line_Capacity!$K:$K,Weekly_Line_Capacity!$A:$A,A19,Weekly_Line_Capacity!$B:$B,G19)</f>
        <v>0</v>
      </c>
      <c r="J19" s="13" t="str" cm="1">
        <f t="array" ref="J19">_xlfn.XLOOKUP(1,(Weekly_Line_Capacity!$A$2:$A$157=A19)*(Weekly_Line_Capacity!$B$2:$B$157=G19),Weekly_Line_Capacity!$L$2:$L$157,"")</f>
        <v>WITHIN CAPACITY</v>
      </c>
      <c r="K19" s="13" t="str">
        <f>_xlfn.XLOOKUP(B19,BOM!$A$2:$A$21,BOM!$B$2:$B$21,"")</f>
        <v>M003</v>
      </c>
      <c r="L19" s="27">
        <f>SUMIFS(Weekly_Material_Inventory!$K:$K,Weekly_Material_Inventory!$A:$A,A19,Weekly_Material_Inventory!$B:$B,K19)</f>
        <v>0</v>
      </c>
      <c r="M19">
        <f t="shared" si="0"/>
        <v>0</v>
      </c>
      <c r="N19" t="str">
        <f t="shared" si="1"/>
        <v>OK</v>
      </c>
      <c r="O19" t="str">
        <f t="shared" si="2"/>
        <v>NONE</v>
      </c>
      <c r="P19" t="str" cm="1">
        <f t="array" ref="P19">_xlfn.SWITCH(O19,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9" t="str" cm="1">
        <f t="array" ref="Q19">_xlfn.SWITCH(O19,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9" t="str" cm="1">
        <f t="array" ref="R19">_xlfn.SWITCH(P19,
"Inventory / Service","Operations / Planning",
"Material Supply","Materials / Procurement",
"Capacity","Production / Planning",
"Production Execution","Production",
"Inventory","Operations / Planning",
"Demand Planning","Commercial / Planning",
"None","None",
"Operations")</f>
        <v>None</v>
      </c>
    </row>
    <row r="20" spans="1:18">
      <c r="A20" s="30">
        <f>Weekly_Inventory_Flow!A20</f>
        <v>46048</v>
      </c>
      <c r="B20" s="13" t="str">
        <f>Weekly_Inventory_Flow!B20</f>
        <v>P004</v>
      </c>
      <c r="C20" s="25">
        <f>IF(SUMIFS(Weekly_Product_Demand!$C:$C,Weekly_Product_Demand!$A:$A,A20,Weekly_Product_Demand!$B:$B,B20)=0,0,
(SUMIFS(Weekly_Product_Demand!$D:$D,Weekly_Product_Demand!$A:$A,A20,Weekly_Product_Demand!$B:$B,B20)-
SUMIFS(Weekly_Product_Demand!$C:$C,Weekly_Product_Demand!$A:$A,A20,Weekly_Product_Demand!$B:$B,B20))/
SUMIFS(Weekly_Product_Demand!$C:$C,Weekly_Product_Demand!$A:$A,A20,Weekly_Product_Demand!$B:$B,B20))</f>
        <v>-1.050996161579236E-2</v>
      </c>
      <c r="D20" s="25">
        <f>SUMIFS(Weekly_Inventory_Flow!$Q:$Q,Weekly_Inventory_Flow!$A:$A,A20,Weekly_Inventory_Flow!$B:$B,B20)</f>
        <v>0.97</v>
      </c>
      <c r="E20" s="26">
        <f>SUMIFS(Weekly_Inventory_Flow!$S:$S,Weekly_Inventory_Flow!$A:$A,A20,Weekly_Inventory_Flow!$B:$B,B20)</f>
        <v>1.8426156830146854</v>
      </c>
      <c r="F20" s="27">
        <f>SUMIFS(Weekly_Inventory_Flow!$N:$N,Weekly_Inventory_Flow!$A:$A,A20,Weekly_Inventory_Flow!$B:$B,B20)</f>
        <v>0</v>
      </c>
      <c r="G20" s="13" t="str">
        <f>_xlfn.XLOOKUP(B20,Product_Line_Map!$A$2:$A$6,Product_Line_Map!$B$2:$B$6,"")</f>
        <v>L02</v>
      </c>
      <c r="H20" s="25">
        <f>SUMIFS(Weekly_Line_Capacity!$J:$J,Weekly_Line_Capacity!$A:$A,A20,Weekly_Line_Capacity!$B:$B,G20)</f>
        <v>0.43809523809523809</v>
      </c>
      <c r="I20" s="27">
        <f>SUMIFS(Weekly_Line_Capacity!$K:$K,Weekly_Line_Capacity!$A:$A,A20,Weekly_Line_Capacity!$B:$B,G20)</f>
        <v>0</v>
      </c>
      <c r="J20" s="13" t="str" cm="1">
        <f t="array" ref="J20">_xlfn.XLOOKUP(1,(Weekly_Line_Capacity!$A$2:$A$157=A20)*(Weekly_Line_Capacity!$B$2:$B$157=G20),Weekly_Line_Capacity!$L$2:$L$157,"")</f>
        <v>WITHIN CAPACITY</v>
      </c>
      <c r="K20" s="13" t="str">
        <f>_xlfn.XLOOKUP(B20,BOM!$A$2:$A$21,BOM!$B$2:$B$21,"")</f>
        <v>M004</v>
      </c>
      <c r="L20" s="27">
        <f>SUMIFS(Weekly_Material_Inventory!$K:$K,Weekly_Material_Inventory!$A:$A,A20,Weekly_Material_Inventory!$B:$B,K20)</f>
        <v>0</v>
      </c>
      <c r="M20">
        <f t="shared" si="0"/>
        <v>1</v>
      </c>
      <c r="N20" t="str">
        <f t="shared" si="1"/>
        <v>WARNING</v>
      </c>
      <c r="O20" t="str">
        <f t="shared" si="2"/>
        <v>LOW STOCK COVER</v>
      </c>
      <c r="P20" t="str" cm="1">
        <f t="array" ref="P20">_xlfn.SWITCH(O20,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 t="str" cm="1">
        <f t="array" ref="Q20">_xlfn.SWITCH(O20,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 t="str" cm="1">
        <f t="array" ref="R20">_xlfn.SWITCH(P20,
"Inventory / Service","Operations / Planning",
"Material Supply","Materials / Procurement",
"Capacity","Production / Planning",
"Production Execution","Production",
"Inventory","Operations / Planning",
"Demand Planning","Commercial / Planning",
"None","None",
"Operations")</f>
        <v>Operations / Planning</v>
      </c>
    </row>
    <row r="21" spans="1:18">
      <c r="A21" s="30">
        <f>Weekly_Inventory_Flow!A21</f>
        <v>46048</v>
      </c>
      <c r="B21" s="13" t="str">
        <f>Weekly_Inventory_Flow!B21</f>
        <v>P005</v>
      </c>
      <c r="C21" s="25">
        <f>IF(SUMIFS(Weekly_Product_Demand!$C:$C,Weekly_Product_Demand!$A:$A,A21,Weekly_Product_Demand!$B:$B,B21)=0,0,
(SUMIFS(Weekly_Product_Demand!$D:$D,Weekly_Product_Demand!$A:$A,A21,Weekly_Product_Demand!$B:$B,B21)-
SUMIFS(Weekly_Product_Demand!$C:$C,Weekly_Product_Demand!$A:$A,A21,Weekly_Product_Demand!$B:$B,B21))/
SUMIFS(Weekly_Product_Demand!$C:$C,Weekly_Product_Demand!$A:$A,A21,Weekly_Product_Demand!$B:$B,B21))</f>
        <v>3.3587598425196853E-2</v>
      </c>
      <c r="D21" s="25">
        <f>SUMIFS(Weekly_Inventory_Flow!$Q:$Q,Weekly_Inventory_Flow!$A:$A,A21,Weekly_Inventory_Flow!$B:$B,B21)</f>
        <v>0.97</v>
      </c>
      <c r="E21" s="26">
        <f>SUMIFS(Weekly_Inventory_Flow!$S:$S,Weekly_Inventory_Flow!$A:$A,A21,Weekly_Inventory_Flow!$B:$B,B21)</f>
        <v>1.8556124270920129</v>
      </c>
      <c r="F21" s="27">
        <f>SUMIFS(Weekly_Inventory_Flow!$N:$N,Weekly_Inventory_Flow!$A:$A,A21,Weekly_Inventory_Flow!$B:$B,B21)</f>
        <v>0</v>
      </c>
      <c r="G21" s="13" t="str">
        <f>_xlfn.XLOOKUP(B21,Product_Line_Map!$A$2:$A$6,Product_Line_Map!$B$2:$B$6,"")</f>
        <v>L03</v>
      </c>
      <c r="H21" s="25">
        <f>SUMIFS(Weekly_Line_Capacity!$J:$J,Weekly_Line_Capacity!$A:$A,A21,Weekly_Line_Capacity!$B:$B,G21)</f>
        <v>0.45476190476190476</v>
      </c>
      <c r="I21" s="27">
        <f>SUMIFS(Weekly_Line_Capacity!$K:$K,Weekly_Line_Capacity!$A:$A,A21,Weekly_Line_Capacity!$B:$B,G21)</f>
        <v>0</v>
      </c>
      <c r="J21" s="13" t="str" cm="1">
        <f t="array" ref="J21">_xlfn.XLOOKUP(1,(Weekly_Line_Capacity!$A$2:$A$157=A21)*(Weekly_Line_Capacity!$B$2:$B$157=G21),Weekly_Line_Capacity!$L$2:$L$157,"")</f>
        <v>WITHIN CAPACITY</v>
      </c>
      <c r="K21" s="13" t="str">
        <f>_xlfn.XLOOKUP(B21,BOM!$A$2:$A$21,BOM!$B$2:$B$21,"")</f>
        <v>M005</v>
      </c>
      <c r="L21" s="27">
        <f>SUMIFS(Weekly_Material_Inventory!$K:$K,Weekly_Material_Inventory!$A:$A,A21,Weekly_Material_Inventory!$B:$B,K21)</f>
        <v>0</v>
      </c>
      <c r="M21">
        <f t="shared" si="0"/>
        <v>1</v>
      </c>
      <c r="N21" t="str">
        <f t="shared" si="1"/>
        <v>WARNING</v>
      </c>
      <c r="O21" t="str">
        <f t="shared" si="2"/>
        <v>LOW STOCK COVER</v>
      </c>
      <c r="P21" t="str" cm="1">
        <f t="array" ref="P21">_xlfn.SWITCH(O21,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 t="str" cm="1">
        <f t="array" ref="Q21">_xlfn.SWITCH(O21,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 t="str" cm="1">
        <f t="array" ref="R21">_xlfn.SWITCH(P21,
"Inventory / Service","Operations / Planning",
"Material Supply","Materials / Procurement",
"Capacity","Production / Planning",
"Production Execution","Production",
"Inventory","Operations / Planning",
"Demand Planning","Commercial / Planning",
"None","None",
"Operations")</f>
        <v>Operations / Planning</v>
      </c>
    </row>
    <row r="22" spans="1:18">
      <c r="A22" s="30">
        <f>Weekly_Inventory_Flow!A22</f>
        <v>46055</v>
      </c>
      <c r="B22" s="13" t="str">
        <f>Weekly_Inventory_Flow!B22</f>
        <v>P001</v>
      </c>
      <c r="C22" s="25">
        <f>IF(SUMIFS(Weekly_Product_Demand!$C:$C,Weekly_Product_Demand!$A:$A,A22,Weekly_Product_Demand!$B:$B,B22)=0,0,
(SUMIFS(Weekly_Product_Demand!$D:$D,Weekly_Product_Demand!$A:$A,A22,Weekly_Product_Demand!$B:$B,B22)-
SUMIFS(Weekly_Product_Demand!$C:$C,Weekly_Product_Demand!$A:$A,A22,Weekly_Product_Demand!$B:$B,B22))/
SUMIFS(Weekly_Product_Demand!$C:$C,Weekly_Product_Demand!$A:$A,A22,Weekly_Product_Demand!$B:$B,B22))</f>
        <v>-1.8232004067698118E-2</v>
      </c>
      <c r="D22" s="25">
        <f>SUMIFS(Weekly_Inventory_Flow!$Q:$Q,Weekly_Inventory_Flow!$A:$A,A22,Weekly_Inventory_Flow!$B:$B,B22)</f>
        <v>0.98</v>
      </c>
      <c r="E22" s="26">
        <f>SUMIFS(Weekly_Inventory_Flow!$S:$S,Weekly_Inventory_Flow!$A:$A,A22,Weekly_Inventory_Flow!$B:$B,B22)</f>
        <v>1.8846552234388871</v>
      </c>
      <c r="F22" s="27">
        <f>SUMIFS(Weekly_Inventory_Flow!$N:$N,Weekly_Inventory_Flow!$A:$A,A22,Weekly_Inventory_Flow!$B:$B,B22)</f>
        <v>0</v>
      </c>
      <c r="G22" s="13" t="str">
        <f>_xlfn.XLOOKUP(B22,Product_Line_Map!$A$2:$A$6,Product_Line_Map!$B$2:$B$6,"")</f>
        <v>L01</v>
      </c>
      <c r="H22" s="25">
        <f>SUMIFS(Weekly_Line_Capacity!$J:$J,Weekly_Line_Capacity!$A:$A,A22,Weekly_Line_Capacity!$B:$B,G22)</f>
        <v>0.20029239766081872</v>
      </c>
      <c r="I22" s="27">
        <f>SUMIFS(Weekly_Line_Capacity!$K:$K,Weekly_Line_Capacity!$A:$A,A22,Weekly_Line_Capacity!$B:$B,G22)</f>
        <v>0</v>
      </c>
      <c r="J22" s="13" t="str" cm="1">
        <f t="array" ref="J22">_xlfn.XLOOKUP(1,(Weekly_Line_Capacity!$A$2:$A$157=A22)*(Weekly_Line_Capacity!$B$2:$B$157=G22),Weekly_Line_Capacity!$L$2:$L$157,"")</f>
        <v>WITHIN CAPACITY</v>
      </c>
      <c r="K22" s="13" t="str">
        <f>_xlfn.XLOOKUP(B22,BOM!$A$2:$A$21,BOM!$B$2:$B$21,"")</f>
        <v>M001</v>
      </c>
      <c r="L22" s="27">
        <f>SUMIFS(Weekly_Material_Inventory!$K:$K,Weekly_Material_Inventory!$A:$A,A22,Weekly_Material_Inventory!$B:$B,K22)</f>
        <v>0</v>
      </c>
      <c r="M22">
        <f t="shared" si="0"/>
        <v>1</v>
      </c>
      <c r="N22" t="str">
        <f t="shared" si="1"/>
        <v>WARNING</v>
      </c>
      <c r="O22" t="str">
        <f t="shared" si="2"/>
        <v>LOW STOCK COVER</v>
      </c>
      <c r="P22" t="str" cm="1">
        <f t="array" ref="P22">_xlfn.SWITCH(O22,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 t="str" cm="1">
        <f t="array" ref="Q22">_xlfn.SWITCH(O22,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 t="str" cm="1">
        <f t="array" ref="R22">_xlfn.SWITCH(P22,
"Inventory / Service","Operations / Planning",
"Material Supply","Materials / Procurement",
"Capacity","Production / Planning",
"Production Execution","Production",
"Inventory","Operations / Planning",
"Demand Planning","Commercial / Planning",
"None","None",
"Operations")</f>
        <v>Operations / Planning</v>
      </c>
    </row>
    <row r="23" spans="1:18">
      <c r="A23" s="30">
        <f>Weekly_Inventory_Flow!A23</f>
        <v>46055</v>
      </c>
      <c r="B23" s="13" t="str">
        <f>Weekly_Inventory_Flow!B23</f>
        <v>P002</v>
      </c>
      <c r="C23" s="25">
        <f>IF(SUMIFS(Weekly_Product_Demand!$C:$C,Weekly_Product_Demand!$A:$A,A23,Weekly_Product_Demand!$B:$B,B23)=0,0,
(SUMIFS(Weekly_Product_Demand!$D:$D,Weekly_Product_Demand!$A:$A,A23,Weekly_Product_Demand!$B:$B,B23)-
SUMIFS(Weekly_Product_Demand!$C:$C,Weekly_Product_Demand!$A:$A,A23,Weekly_Product_Demand!$B:$B,B23))/
SUMIFS(Weekly_Product_Demand!$C:$C,Weekly_Product_Demand!$A:$A,A23,Weekly_Product_Demand!$B:$B,B23))</f>
        <v>2.6711042840075097E-2</v>
      </c>
      <c r="D23" s="25">
        <f>SUMIFS(Weekly_Inventory_Flow!$Q:$Q,Weekly_Inventory_Flow!$A:$A,A23,Weekly_Inventory_Flow!$B:$B,B23)</f>
        <v>0.99</v>
      </c>
      <c r="E23" s="26">
        <f>SUMIFS(Weekly_Inventory_Flow!$S:$S,Weekly_Inventory_Flow!$A:$A,A23,Weekly_Inventory_Flow!$B:$B,B23)</f>
        <v>1.9834593965588894</v>
      </c>
      <c r="F23" s="27">
        <f>SUMIFS(Weekly_Inventory_Flow!$N:$N,Weekly_Inventory_Flow!$A:$A,A23,Weekly_Inventory_Flow!$B:$B,B23)</f>
        <v>0</v>
      </c>
      <c r="G23" s="13" t="str">
        <f>_xlfn.XLOOKUP(B23,Product_Line_Map!$A$2:$A$6,Product_Line_Map!$B$2:$B$6,"")</f>
        <v>L02</v>
      </c>
      <c r="H23" s="25">
        <f>SUMIFS(Weekly_Line_Capacity!$J:$J,Weekly_Line_Capacity!$A:$A,A23,Weekly_Line_Capacity!$B:$B,G23)</f>
        <v>0.44190476190476191</v>
      </c>
      <c r="I23" s="27">
        <f>SUMIFS(Weekly_Line_Capacity!$K:$K,Weekly_Line_Capacity!$A:$A,A23,Weekly_Line_Capacity!$B:$B,G23)</f>
        <v>0</v>
      </c>
      <c r="J23" s="13" t="str" cm="1">
        <f t="array" ref="J23">_xlfn.XLOOKUP(1,(Weekly_Line_Capacity!$A$2:$A$157=A23)*(Weekly_Line_Capacity!$B$2:$B$157=G23),Weekly_Line_Capacity!$L$2:$L$157,"")</f>
        <v>WITHIN CAPACITY</v>
      </c>
      <c r="K23" s="13" t="str">
        <f>_xlfn.XLOOKUP(B23,BOM!$A$2:$A$21,BOM!$B$2:$B$21,"")</f>
        <v>M002</v>
      </c>
      <c r="L23" s="27">
        <f>SUMIFS(Weekly_Material_Inventory!$K:$K,Weekly_Material_Inventory!$A:$A,A23,Weekly_Material_Inventory!$B:$B,K23)</f>
        <v>0</v>
      </c>
      <c r="M23">
        <f t="shared" si="0"/>
        <v>1</v>
      </c>
      <c r="N23" t="str">
        <f t="shared" si="1"/>
        <v>WARNING</v>
      </c>
      <c r="O23" t="str">
        <f t="shared" si="2"/>
        <v>LOW STOCK COVER</v>
      </c>
      <c r="P23" t="str" cm="1">
        <f t="array" ref="P23">_xlfn.SWITCH(O23,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3" t="str" cm="1">
        <f t="array" ref="Q23">_xlfn.SWITCH(O23,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3" t="str" cm="1">
        <f t="array" ref="R23">_xlfn.SWITCH(P23,
"Inventory / Service","Operations / Planning",
"Material Supply","Materials / Procurement",
"Capacity","Production / Planning",
"Production Execution","Production",
"Inventory","Operations / Planning",
"Demand Planning","Commercial / Planning",
"None","None",
"Operations")</f>
        <v>Operations / Planning</v>
      </c>
    </row>
    <row r="24" spans="1:18">
      <c r="A24" s="30">
        <f>Weekly_Inventory_Flow!A24</f>
        <v>46055</v>
      </c>
      <c r="B24" s="13" t="str">
        <f>Weekly_Inventory_Flow!B24</f>
        <v>P003</v>
      </c>
      <c r="C24" s="25">
        <f>IF(SUMIFS(Weekly_Product_Demand!$C:$C,Weekly_Product_Demand!$A:$A,A24,Weekly_Product_Demand!$B:$B,B24)=0,0,
(SUMIFS(Weekly_Product_Demand!$D:$D,Weekly_Product_Demand!$A:$A,A24,Weekly_Product_Demand!$B:$B,B24)-
SUMIFS(Weekly_Product_Demand!$C:$C,Weekly_Product_Demand!$A:$A,A24,Weekly_Product_Demand!$B:$B,B24))/
SUMIFS(Weekly_Product_Demand!$C:$C,Weekly_Product_Demand!$A:$A,A24,Weekly_Product_Demand!$B:$B,B24))</f>
        <v>1.0004856726566294E-2</v>
      </c>
      <c r="D24" s="25">
        <f>SUMIFS(Weekly_Inventory_Flow!$Q:$Q,Weekly_Inventory_Flow!$A:$A,A24,Weekly_Inventory_Flow!$B:$B,B24)</f>
        <v>1</v>
      </c>
      <c r="E24" s="26">
        <f>SUMIFS(Weekly_Inventory_Flow!$S:$S,Weekly_Inventory_Flow!$A:$A,A24,Weekly_Inventory_Flow!$B:$B,B24)</f>
        <v>2.0048086170417387</v>
      </c>
      <c r="F24" s="27">
        <f>SUMIFS(Weekly_Inventory_Flow!$N:$N,Weekly_Inventory_Flow!$A:$A,A24,Weekly_Inventory_Flow!$B:$B,B24)</f>
        <v>0</v>
      </c>
      <c r="G24" s="13" t="str">
        <f>_xlfn.XLOOKUP(B24,Product_Line_Map!$A$2:$A$6,Product_Line_Map!$B$2:$B$6,"")</f>
        <v>L03</v>
      </c>
      <c r="H24" s="25">
        <f>SUMIFS(Weekly_Line_Capacity!$J:$J,Weekly_Line_Capacity!$A:$A,A24,Weekly_Line_Capacity!$B:$B,G24)</f>
        <v>0.45</v>
      </c>
      <c r="I24" s="27">
        <f>SUMIFS(Weekly_Line_Capacity!$K:$K,Weekly_Line_Capacity!$A:$A,A24,Weekly_Line_Capacity!$B:$B,G24)</f>
        <v>0</v>
      </c>
      <c r="J24" s="13" t="str" cm="1">
        <f t="array" ref="J24">_xlfn.XLOOKUP(1,(Weekly_Line_Capacity!$A$2:$A$157=A24)*(Weekly_Line_Capacity!$B$2:$B$157=G24),Weekly_Line_Capacity!$L$2:$L$157,"")</f>
        <v>WITHIN CAPACITY</v>
      </c>
      <c r="K24" s="13" t="str">
        <f>_xlfn.XLOOKUP(B24,BOM!$A$2:$A$21,BOM!$B$2:$B$21,"")</f>
        <v>M003</v>
      </c>
      <c r="L24" s="27">
        <f>SUMIFS(Weekly_Material_Inventory!$K:$K,Weekly_Material_Inventory!$A:$A,A24,Weekly_Material_Inventory!$B:$B,K24)</f>
        <v>0</v>
      </c>
      <c r="M24">
        <f t="shared" si="0"/>
        <v>0</v>
      </c>
      <c r="N24" t="str">
        <f t="shared" si="1"/>
        <v>OK</v>
      </c>
      <c r="O24" t="str">
        <f t="shared" si="2"/>
        <v>NONE</v>
      </c>
      <c r="P24" t="str" cm="1">
        <f t="array" ref="P24">_xlfn.SWITCH(O24,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4" t="str" cm="1">
        <f t="array" ref="Q24">_xlfn.SWITCH(O24,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4" t="str" cm="1">
        <f t="array" ref="R24">_xlfn.SWITCH(P24,
"Inventory / Service","Operations / Planning",
"Material Supply","Materials / Procurement",
"Capacity","Production / Planning",
"Production Execution","Production",
"Inventory","Operations / Planning",
"Demand Planning","Commercial / Planning",
"None","None",
"Operations")</f>
        <v>None</v>
      </c>
    </row>
    <row r="25" spans="1:18">
      <c r="A25" s="30">
        <f>Weekly_Inventory_Flow!A25</f>
        <v>46055</v>
      </c>
      <c r="B25" s="13" t="str">
        <f>Weekly_Inventory_Flow!B25</f>
        <v>P004</v>
      </c>
      <c r="C25" s="25">
        <f>IF(SUMIFS(Weekly_Product_Demand!$C:$C,Weekly_Product_Demand!$A:$A,A25,Weekly_Product_Demand!$B:$B,B25)=0,0,
(SUMIFS(Weekly_Product_Demand!$D:$D,Weekly_Product_Demand!$A:$A,A25,Weekly_Product_Demand!$B:$B,B25)-
SUMIFS(Weekly_Product_Demand!$C:$C,Weekly_Product_Demand!$A:$A,A25,Weekly_Product_Demand!$B:$B,B25))/
SUMIFS(Weekly_Product_Demand!$C:$C,Weekly_Product_Demand!$A:$A,A25,Weekly_Product_Demand!$B:$B,B25))</f>
        <v>-3.7310037310037312E-3</v>
      </c>
      <c r="D25" s="25">
        <f>SUMIFS(Weekly_Inventory_Flow!$Q:$Q,Weekly_Inventory_Flow!$A:$A,A25,Weekly_Inventory_Flow!$B:$B,B25)</f>
        <v>1</v>
      </c>
      <c r="E25" s="26">
        <f>SUMIFS(Weekly_Inventory_Flow!$S:$S,Weekly_Inventory_Flow!$A:$A,A25,Weekly_Inventory_Flow!$B:$B,B25)</f>
        <v>2.047314578005115</v>
      </c>
      <c r="F25" s="27">
        <f>SUMIFS(Weekly_Inventory_Flow!$N:$N,Weekly_Inventory_Flow!$A:$A,A25,Weekly_Inventory_Flow!$B:$B,B25)</f>
        <v>0</v>
      </c>
      <c r="G25" s="13" t="str">
        <f>_xlfn.XLOOKUP(B25,Product_Line_Map!$A$2:$A$6,Product_Line_Map!$B$2:$B$6,"")</f>
        <v>L02</v>
      </c>
      <c r="H25" s="25">
        <f>SUMIFS(Weekly_Line_Capacity!$J:$J,Weekly_Line_Capacity!$A:$A,A25,Weekly_Line_Capacity!$B:$B,G25)</f>
        <v>0.44190476190476191</v>
      </c>
      <c r="I25" s="27">
        <f>SUMIFS(Weekly_Line_Capacity!$K:$K,Weekly_Line_Capacity!$A:$A,A25,Weekly_Line_Capacity!$B:$B,G25)</f>
        <v>0</v>
      </c>
      <c r="J25" s="13" t="str" cm="1">
        <f t="array" ref="J25">_xlfn.XLOOKUP(1,(Weekly_Line_Capacity!$A$2:$A$157=A25)*(Weekly_Line_Capacity!$B$2:$B$157=G25),Weekly_Line_Capacity!$L$2:$L$157,"")</f>
        <v>WITHIN CAPACITY</v>
      </c>
      <c r="K25" s="13" t="str">
        <f>_xlfn.XLOOKUP(B25,BOM!$A$2:$A$21,BOM!$B$2:$B$21,"")</f>
        <v>M004</v>
      </c>
      <c r="L25" s="27">
        <f>SUMIFS(Weekly_Material_Inventory!$K:$K,Weekly_Material_Inventory!$A:$A,A25,Weekly_Material_Inventory!$B:$B,K25)</f>
        <v>0</v>
      </c>
      <c r="M25">
        <f t="shared" si="0"/>
        <v>0</v>
      </c>
      <c r="N25" t="str">
        <f t="shared" si="1"/>
        <v>OK</v>
      </c>
      <c r="O25" t="str">
        <f t="shared" si="2"/>
        <v>NONE</v>
      </c>
      <c r="P25" t="str" cm="1">
        <f t="array" ref="P25">_xlfn.SWITCH(O25,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5" t="str" cm="1">
        <f t="array" ref="Q25">_xlfn.SWITCH(O25,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5" t="str" cm="1">
        <f t="array" ref="R25">_xlfn.SWITCH(P25,
"Inventory / Service","Operations / Planning",
"Material Supply","Materials / Procurement",
"Capacity","Production / Planning",
"Production Execution","Production",
"Inventory","Operations / Planning",
"Demand Planning","Commercial / Planning",
"None","None",
"Operations")</f>
        <v>None</v>
      </c>
    </row>
    <row r="26" spans="1:18">
      <c r="A26" s="30">
        <f>Weekly_Inventory_Flow!A26</f>
        <v>46055</v>
      </c>
      <c r="B26" s="13" t="str">
        <f>Weekly_Inventory_Flow!B26</f>
        <v>P005</v>
      </c>
      <c r="C26" s="25">
        <f>IF(SUMIFS(Weekly_Product_Demand!$C:$C,Weekly_Product_Demand!$A:$A,A26,Weekly_Product_Demand!$B:$B,B26)=0,0,
(SUMIFS(Weekly_Product_Demand!$D:$D,Weekly_Product_Demand!$A:$A,A26,Weekly_Product_Demand!$B:$B,B26)-
SUMIFS(Weekly_Product_Demand!$C:$C,Weekly_Product_Demand!$A:$A,A26,Weekly_Product_Demand!$B:$B,B26))/
SUMIFS(Weekly_Product_Demand!$C:$C,Weekly_Product_Demand!$A:$A,A26,Weekly_Product_Demand!$B:$B,B26))</f>
        <v>-1.8607937816511599E-2</v>
      </c>
      <c r="D26" s="25">
        <f>SUMIFS(Weekly_Inventory_Flow!$Q:$Q,Weekly_Inventory_Flow!$A:$A,A26,Weekly_Inventory_Flow!$B:$B,B26)</f>
        <v>1.02</v>
      </c>
      <c r="E26" s="26">
        <f>SUMIFS(Weekly_Inventory_Flow!$S:$S,Weekly_Inventory_Flow!$A:$A,A26,Weekly_Inventory_Flow!$B:$B,B26)</f>
        <v>2.1538461538461542</v>
      </c>
      <c r="F26" s="27">
        <f>SUMIFS(Weekly_Inventory_Flow!$N:$N,Weekly_Inventory_Flow!$A:$A,A26,Weekly_Inventory_Flow!$B:$B,B26)</f>
        <v>0</v>
      </c>
      <c r="G26" s="13" t="str">
        <f>_xlfn.XLOOKUP(B26,Product_Line_Map!$A$2:$A$6,Product_Line_Map!$B$2:$B$6,"")</f>
        <v>L03</v>
      </c>
      <c r="H26" s="25">
        <f>SUMIFS(Weekly_Line_Capacity!$J:$J,Weekly_Line_Capacity!$A:$A,A26,Weekly_Line_Capacity!$B:$B,G26)</f>
        <v>0.45</v>
      </c>
      <c r="I26" s="27">
        <f>SUMIFS(Weekly_Line_Capacity!$K:$K,Weekly_Line_Capacity!$A:$A,A26,Weekly_Line_Capacity!$B:$B,G26)</f>
        <v>0</v>
      </c>
      <c r="J26" s="13" t="str" cm="1">
        <f t="array" ref="J26">_xlfn.XLOOKUP(1,(Weekly_Line_Capacity!$A$2:$A$157=A26)*(Weekly_Line_Capacity!$B$2:$B$157=G26),Weekly_Line_Capacity!$L$2:$L$157,"")</f>
        <v>WITHIN CAPACITY</v>
      </c>
      <c r="K26" s="13" t="str">
        <f>_xlfn.XLOOKUP(B26,BOM!$A$2:$A$21,BOM!$B$2:$B$21,"")</f>
        <v>M005</v>
      </c>
      <c r="L26" s="27">
        <f>SUMIFS(Weekly_Material_Inventory!$K:$K,Weekly_Material_Inventory!$A:$A,A26,Weekly_Material_Inventory!$B:$B,K26)</f>
        <v>0</v>
      </c>
      <c r="M26">
        <f t="shared" si="0"/>
        <v>0</v>
      </c>
      <c r="N26" t="str">
        <f t="shared" si="1"/>
        <v>OK</v>
      </c>
      <c r="O26" t="str">
        <f t="shared" si="2"/>
        <v>NONE</v>
      </c>
      <c r="P26" t="str" cm="1">
        <f t="array" ref="P26">_xlfn.SWITCH(O26,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6" t="str" cm="1">
        <f t="array" ref="Q26">_xlfn.SWITCH(O26,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6" t="str" cm="1">
        <f t="array" ref="R26">_xlfn.SWITCH(P26,
"Inventory / Service","Operations / Planning",
"Material Supply","Materials / Procurement",
"Capacity","Production / Planning",
"Production Execution","Production",
"Inventory","Operations / Planning",
"Demand Planning","Commercial / Planning",
"None","None",
"Operations")</f>
        <v>None</v>
      </c>
    </row>
    <row r="27" spans="1:18">
      <c r="A27" s="30">
        <f>Weekly_Inventory_Flow!A27</f>
        <v>46062</v>
      </c>
      <c r="B27" s="13" t="str">
        <f>Weekly_Inventory_Flow!B27</f>
        <v>P001</v>
      </c>
      <c r="C27" s="25">
        <f>IF(SUMIFS(Weekly_Product_Demand!$C:$C,Weekly_Product_Demand!$A:$A,A27,Weekly_Product_Demand!$B:$B,B27)=0,0,
(SUMIFS(Weekly_Product_Demand!$D:$D,Weekly_Product_Demand!$A:$A,A27,Weekly_Product_Demand!$B:$B,B27)-
SUMIFS(Weekly_Product_Demand!$C:$C,Weekly_Product_Demand!$A:$A,A27,Weekly_Product_Demand!$B:$B,B27))/
SUMIFS(Weekly_Product_Demand!$C:$C,Weekly_Product_Demand!$A:$A,A27,Weekly_Product_Demand!$B:$B,B27))</f>
        <v>8.2675405928794871E-3</v>
      </c>
      <c r="D27" s="25">
        <f>SUMIFS(Weekly_Inventory_Flow!$Q:$Q,Weekly_Inventory_Flow!$A:$A,A27,Weekly_Inventory_Flow!$B:$B,B27)</f>
        <v>1.02</v>
      </c>
      <c r="E27" s="26">
        <f>SUMIFS(Weekly_Inventory_Flow!$S:$S,Weekly_Inventory_Flow!$A:$A,A27,Weekly_Inventory_Flow!$B:$B,B27)</f>
        <v>2.1604491393957304</v>
      </c>
      <c r="F27" s="27">
        <f>SUMIFS(Weekly_Inventory_Flow!$N:$N,Weekly_Inventory_Flow!$A:$A,A27,Weekly_Inventory_Flow!$B:$B,B27)</f>
        <v>0</v>
      </c>
      <c r="G27" s="13" t="str">
        <f>_xlfn.XLOOKUP(B27,Product_Line_Map!$A$2:$A$6,Product_Line_Map!$B$2:$B$6,"")</f>
        <v>L01</v>
      </c>
      <c r="H27" s="25">
        <f>SUMIFS(Weekly_Line_Capacity!$J:$J,Weekly_Line_Capacity!$A:$A,A27,Weekly_Line_Capacity!$B:$B,G27)</f>
        <v>0.2017543859649123</v>
      </c>
      <c r="I27" s="27">
        <f>SUMIFS(Weekly_Line_Capacity!$K:$K,Weekly_Line_Capacity!$A:$A,A27,Weekly_Line_Capacity!$B:$B,G27)</f>
        <v>0</v>
      </c>
      <c r="J27" s="13" t="str" cm="1">
        <f t="array" ref="J27">_xlfn.XLOOKUP(1,(Weekly_Line_Capacity!$A$2:$A$157=A27)*(Weekly_Line_Capacity!$B$2:$B$157=G27),Weekly_Line_Capacity!$L$2:$L$157,"")</f>
        <v>WITHIN CAPACITY</v>
      </c>
      <c r="K27" s="13" t="str">
        <f>_xlfn.XLOOKUP(B27,BOM!$A$2:$A$21,BOM!$B$2:$B$21,"")</f>
        <v>M001</v>
      </c>
      <c r="L27" s="27">
        <f>SUMIFS(Weekly_Material_Inventory!$K:$K,Weekly_Material_Inventory!$A:$A,A27,Weekly_Material_Inventory!$B:$B,K27)</f>
        <v>0</v>
      </c>
      <c r="M27">
        <f t="shared" si="0"/>
        <v>0</v>
      </c>
      <c r="N27" t="str">
        <f t="shared" si="1"/>
        <v>OK</v>
      </c>
      <c r="O27" t="str">
        <f t="shared" si="2"/>
        <v>NONE</v>
      </c>
      <c r="P27" t="str" cm="1">
        <f t="array" ref="P27">_xlfn.SWITCH(O27,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7" t="str" cm="1">
        <f t="array" ref="Q27">_xlfn.SWITCH(O27,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7" t="str" cm="1">
        <f t="array" ref="R27">_xlfn.SWITCH(P27,
"Inventory / Service","Operations / Planning",
"Material Supply","Materials / Procurement",
"Capacity","Production / Planning",
"Production Execution","Production",
"Inventory","Operations / Planning",
"Demand Planning","Commercial / Planning",
"None","None",
"Operations")</f>
        <v>None</v>
      </c>
    </row>
    <row r="28" spans="1:18">
      <c r="A28" s="30">
        <f>Weekly_Inventory_Flow!A28</f>
        <v>46062</v>
      </c>
      <c r="B28" s="13" t="str">
        <f>Weekly_Inventory_Flow!B28</f>
        <v>P002</v>
      </c>
      <c r="C28" s="25">
        <f>IF(SUMIFS(Weekly_Product_Demand!$C:$C,Weekly_Product_Demand!$A:$A,A28,Weekly_Product_Demand!$B:$B,B28)=0,0,
(SUMIFS(Weekly_Product_Demand!$D:$D,Weekly_Product_Demand!$A:$A,A28,Weekly_Product_Demand!$B:$B,B28)-
SUMIFS(Weekly_Product_Demand!$C:$C,Weekly_Product_Demand!$A:$A,A28,Weekly_Product_Demand!$B:$B,B28))/
SUMIFS(Weekly_Product_Demand!$C:$C,Weekly_Product_Demand!$A:$A,A28,Weekly_Product_Demand!$B:$B,B28))</f>
        <v>2.6569019841607765E-2</v>
      </c>
      <c r="D28" s="25">
        <f>SUMIFS(Weekly_Inventory_Flow!$Q:$Q,Weekly_Inventory_Flow!$A:$A,A28,Weekly_Inventory_Flow!$B:$B,B28)</f>
        <v>1.02</v>
      </c>
      <c r="E28" s="26">
        <f>SUMIFS(Weekly_Inventory_Flow!$S:$S,Weekly_Inventory_Flow!$A:$A,A28,Weekly_Inventory_Flow!$B:$B,B28)</f>
        <v>2.1461634176690172</v>
      </c>
      <c r="F28" s="27">
        <f>SUMIFS(Weekly_Inventory_Flow!$N:$N,Weekly_Inventory_Flow!$A:$A,A28,Weekly_Inventory_Flow!$B:$B,B28)</f>
        <v>0</v>
      </c>
      <c r="G28" s="13" t="str">
        <f>_xlfn.XLOOKUP(B28,Product_Line_Map!$A$2:$A$6,Product_Line_Map!$B$2:$B$6,"")</f>
        <v>L02</v>
      </c>
      <c r="H28" s="25">
        <f>SUMIFS(Weekly_Line_Capacity!$J:$J,Weekly_Line_Capacity!$A:$A,A28,Weekly_Line_Capacity!$B:$B,G28)</f>
        <v>0.44190476190476191</v>
      </c>
      <c r="I28" s="27">
        <f>SUMIFS(Weekly_Line_Capacity!$K:$K,Weekly_Line_Capacity!$A:$A,A28,Weekly_Line_Capacity!$B:$B,G28)</f>
        <v>0</v>
      </c>
      <c r="J28" s="13" t="str" cm="1">
        <f t="array" ref="J28">_xlfn.XLOOKUP(1,(Weekly_Line_Capacity!$A$2:$A$157=A28)*(Weekly_Line_Capacity!$B$2:$B$157=G28),Weekly_Line_Capacity!$L$2:$L$157,"")</f>
        <v>WITHIN CAPACITY</v>
      </c>
      <c r="K28" s="13" t="str">
        <f>_xlfn.XLOOKUP(B28,BOM!$A$2:$A$21,BOM!$B$2:$B$21,"")</f>
        <v>M002</v>
      </c>
      <c r="L28" s="27">
        <f>SUMIFS(Weekly_Material_Inventory!$K:$K,Weekly_Material_Inventory!$A:$A,A28,Weekly_Material_Inventory!$B:$B,K28)</f>
        <v>0</v>
      </c>
      <c r="M28">
        <f t="shared" si="0"/>
        <v>0</v>
      </c>
      <c r="N28" t="str">
        <f t="shared" si="1"/>
        <v>OK</v>
      </c>
      <c r="O28" t="str">
        <f t="shared" si="2"/>
        <v>NONE</v>
      </c>
      <c r="P28" t="str" cm="1">
        <f t="array" ref="P28">_xlfn.SWITCH(O28,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8" t="str" cm="1">
        <f t="array" ref="Q28">_xlfn.SWITCH(O28,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8" t="str" cm="1">
        <f t="array" ref="R28">_xlfn.SWITCH(P28,
"Inventory / Service","Operations / Planning",
"Material Supply","Materials / Procurement",
"Capacity","Production / Planning",
"Production Execution","Production",
"Inventory","Operations / Planning",
"Demand Planning","Commercial / Planning",
"None","None",
"Operations")</f>
        <v>None</v>
      </c>
    </row>
    <row r="29" spans="1:18">
      <c r="A29" s="30">
        <f>Weekly_Inventory_Flow!A29</f>
        <v>46062</v>
      </c>
      <c r="B29" s="13" t="str">
        <f>Weekly_Inventory_Flow!B29</f>
        <v>P003</v>
      </c>
      <c r="C29" s="25">
        <f>IF(SUMIFS(Weekly_Product_Demand!$C:$C,Weekly_Product_Demand!$A:$A,A29,Weekly_Product_Demand!$B:$B,B29)=0,0,
(SUMIFS(Weekly_Product_Demand!$D:$D,Weekly_Product_Demand!$A:$A,A29,Weekly_Product_Demand!$B:$B,B29)-
SUMIFS(Weekly_Product_Demand!$C:$C,Weekly_Product_Demand!$A:$A,A29,Weekly_Product_Demand!$B:$B,B29))/
SUMIFS(Weekly_Product_Demand!$C:$C,Weekly_Product_Demand!$A:$A,A29,Weekly_Product_Demand!$B:$B,B29))</f>
        <v>-1.8486086787312707E-3</v>
      </c>
      <c r="D29" s="25">
        <f>SUMIFS(Weekly_Inventory_Flow!$Q:$Q,Weekly_Inventory_Flow!$A:$A,A29,Weekly_Inventory_Flow!$B:$B,B29)</f>
        <v>0.97</v>
      </c>
      <c r="E29" s="26">
        <f>SUMIFS(Weekly_Inventory_Flow!$S:$S,Weekly_Inventory_Flow!$A:$A,A29,Weekly_Inventory_Flow!$B:$B,B29)</f>
        <v>1.8491081002046983</v>
      </c>
      <c r="F29" s="27">
        <f>SUMIFS(Weekly_Inventory_Flow!$N:$N,Weekly_Inventory_Flow!$A:$A,A29,Weekly_Inventory_Flow!$B:$B,B29)</f>
        <v>0</v>
      </c>
      <c r="G29" s="13" t="str">
        <f>_xlfn.XLOOKUP(B29,Product_Line_Map!$A$2:$A$6,Product_Line_Map!$B$2:$B$6,"")</f>
        <v>L03</v>
      </c>
      <c r="H29" s="25">
        <f>SUMIFS(Weekly_Line_Capacity!$J:$J,Weekly_Line_Capacity!$A:$A,A29,Weekly_Line_Capacity!$B:$B,G29)</f>
        <v>0.43809523809523809</v>
      </c>
      <c r="I29" s="27">
        <f>SUMIFS(Weekly_Line_Capacity!$K:$K,Weekly_Line_Capacity!$A:$A,A29,Weekly_Line_Capacity!$B:$B,G29)</f>
        <v>0</v>
      </c>
      <c r="J29" s="13" t="str" cm="1">
        <f t="array" ref="J29">_xlfn.XLOOKUP(1,(Weekly_Line_Capacity!$A$2:$A$157=A29)*(Weekly_Line_Capacity!$B$2:$B$157=G29),Weekly_Line_Capacity!$L$2:$L$157,"")</f>
        <v>WITHIN CAPACITY</v>
      </c>
      <c r="K29" s="13" t="str">
        <f>_xlfn.XLOOKUP(B29,BOM!$A$2:$A$21,BOM!$B$2:$B$21,"")</f>
        <v>M003</v>
      </c>
      <c r="L29" s="27">
        <f>SUMIFS(Weekly_Material_Inventory!$K:$K,Weekly_Material_Inventory!$A:$A,A29,Weekly_Material_Inventory!$B:$B,K29)</f>
        <v>0</v>
      </c>
      <c r="M29">
        <f t="shared" si="0"/>
        <v>1</v>
      </c>
      <c r="N29" t="str">
        <f t="shared" si="1"/>
        <v>WARNING</v>
      </c>
      <c r="O29" t="str">
        <f t="shared" si="2"/>
        <v>LOW STOCK COVER</v>
      </c>
      <c r="P29" t="str" cm="1">
        <f t="array" ref="P29">_xlfn.SWITCH(O29,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9" t="str" cm="1">
        <f t="array" ref="Q29">_xlfn.SWITCH(O29,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9" t="str" cm="1">
        <f t="array" ref="R29">_xlfn.SWITCH(P29,
"Inventory / Service","Operations / Planning",
"Material Supply","Materials / Procurement",
"Capacity","Production / Planning",
"Production Execution","Production",
"Inventory","Operations / Planning",
"Demand Planning","Commercial / Planning",
"None","None",
"Operations")</f>
        <v>Operations / Planning</v>
      </c>
    </row>
    <row r="30" spans="1:18">
      <c r="A30" s="30">
        <f>Weekly_Inventory_Flow!A30</f>
        <v>46062</v>
      </c>
      <c r="B30" s="13" t="str">
        <f>Weekly_Inventory_Flow!B30</f>
        <v>P004</v>
      </c>
      <c r="C30" s="25">
        <f>IF(SUMIFS(Weekly_Product_Demand!$C:$C,Weekly_Product_Demand!$A:$A,A30,Weekly_Product_Demand!$B:$B,B30)=0,0,
(SUMIFS(Weekly_Product_Demand!$D:$D,Weekly_Product_Demand!$A:$A,A30,Weekly_Product_Demand!$B:$B,B30)-
SUMIFS(Weekly_Product_Demand!$C:$C,Weekly_Product_Demand!$A:$A,A30,Weekly_Product_Demand!$B:$B,B30))/
SUMIFS(Weekly_Product_Demand!$C:$C,Weekly_Product_Demand!$A:$A,A30,Weekly_Product_Demand!$B:$B,B30))</f>
        <v>1.6369321316902705E-2</v>
      </c>
      <c r="D30" s="25">
        <f>SUMIFS(Weekly_Inventory_Flow!$Q:$Q,Weekly_Inventory_Flow!$A:$A,A30,Weekly_Inventory_Flow!$B:$B,B30)</f>
        <v>0.99</v>
      </c>
      <c r="E30" s="26">
        <f>SUMIFS(Weekly_Inventory_Flow!$S:$S,Weekly_Inventory_Flow!$A:$A,A30,Weekly_Inventory_Flow!$B:$B,B30)</f>
        <v>1.9881469417300035</v>
      </c>
      <c r="F30" s="27">
        <f>SUMIFS(Weekly_Inventory_Flow!$N:$N,Weekly_Inventory_Flow!$A:$A,A30,Weekly_Inventory_Flow!$B:$B,B30)</f>
        <v>0</v>
      </c>
      <c r="G30" s="13" t="str">
        <f>_xlfn.XLOOKUP(B30,Product_Line_Map!$A$2:$A$6,Product_Line_Map!$B$2:$B$6,"")</f>
        <v>L02</v>
      </c>
      <c r="H30" s="25">
        <f>SUMIFS(Weekly_Line_Capacity!$J:$J,Weekly_Line_Capacity!$A:$A,A30,Weekly_Line_Capacity!$B:$B,G30)</f>
        <v>0.44190476190476191</v>
      </c>
      <c r="I30" s="27">
        <f>SUMIFS(Weekly_Line_Capacity!$K:$K,Weekly_Line_Capacity!$A:$A,A30,Weekly_Line_Capacity!$B:$B,G30)</f>
        <v>0</v>
      </c>
      <c r="J30" s="13" t="str" cm="1">
        <f t="array" ref="J30">_xlfn.XLOOKUP(1,(Weekly_Line_Capacity!$A$2:$A$157=A30)*(Weekly_Line_Capacity!$B$2:$B$157=G30),Weekly_Line_Capacity!$L$2:$L$157,"")</f>
        <v>WITHIN CAPACITY</v>
      </c>
      <c r="K30" s="13" t="str">
        <f>_xlfn.XLOOKUP(B30,BOM!$A$2:$A$21,BOM!$B$2:$B$21,"")</f>
        <v>M004</v>
      </c>
      <c r="L30" s="27">
        <f>SUMIFS(Weekly_Material_Inventory!$K:$K,Weekly_Material_Inventory!$A:$A,A30,Weekly_Material_Inventory!$B:$B,K30)</f>
        <v>0</v>
      </c>
      <c r="M30">
        <f t="shared" si="0"/>
        <v>1</v>
      </c>
      <c r="N30" t="str">
        <f t="shared" si="1"/>
        <v>WARNING</v>
      </c>
      <c r="O30" t="str">
        <f t="shared" si="2"/>
        <v>LOW STOCK COVER</v>
      </c>
      <c r="P30" t="str" cm="1">
        <f t="array" ref="P30">_xlfn.SWITCH(O30,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30" t="str" cm="1">
        <f t="array" ref="Q30">_xlfn.SWITCH(O30,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30" t="str" cm="1">
        <f t="array" ref="R30">_xlfn.SWITCH(P30,
"Inventory / Service","Operations / Planning",
"Material Supply","Materials / Procurement",
"Capacity","Production / Planning",
"Production Execution","Production",
"Inventory","Operations / Planning",
"Demand Planning","Commercial / Planning",
"None","None",
"Operations")</f>
        <v>Operations / Planning</v>
      </c>
    </row>
    <row r="31" spans="1:18">
      <c r="A31" s="30">
        <f>Weekly_Inventory_Flow!A31</f>
        <v>46062</v>
      </c>
      <c r="B31" s="13" t="str">
        <f>Weekly_Inventory_Flow!B31</f>
        <v>P005</v>
      </c>
      <c r="C31" s="25">
        <f>IF(SUMIFS(Weekly_Product_Demand!$C:$C,Weekly_Product_Demand!$A:$A,A31,Weekly_Product_Demand!$B:$B,B31)=0,0,
(SUMIFS(Weekly_Product_Demand!$D:$D,Weekly_Product_Demand!$A:$A,A31,Weekly_Product_Demand!$B:$B,B31)-
SUMIFS(Weekly_Product_Demand!$C:$C,Weekly_Product_Demand!$A:$A,A31,Weekly_Product_Demand!$B:$B,B31))/
SUMIFS(Weekly_Product_Demand!$C:$C,Weekly_Product_Demand!$A:$A,A31,Weekly_Product_Demand!$B:$B,B31))</f>
        <v>-1.3098356751607526E-2</v>
      </c>
      <c r="D31" s="25">
        <f>SUMIFS(Weekly_Inventory_Flow!$Q:$Q,Weekly_Inventory_Flow!$A:$A,A31,Weekly_Inventory_Flow!$B:$B,B31)</f>
        <v>1.02</v>
      </c>
      <c r="E31" s="26">
        <f>SUMIFS(Weekly_Inventory_Flow!$S:$S,Weekly_Inventory_Flow!$A:$A,A31,Weekly_Inventory_Flow!$B:$B,B31)</f>
        <v>2.1435810810810811</v>
      </c>
      <c r="F31" s="27">
        <f>SUMIFS(Weekly_Inventory_Flow!$N:$N,Weekly_Inventory_Flow!$A:$A,A31,Weekly_Inventory_Flow!$B:$B,B31)</f>
        <v>0</v>
      </c>
      <c r="G31" s="13" t="str">
        <f>_xlfn.XLOOKUP(B31,Product_Line_Map!$A$2:$A$6,Product_Line_Map!$B$2:$B$6,"")</f>
        <v>L03</v>
      </c>
      <c r="H31" s="25">
        <f>SUMIFS(Weekly_Line_Capacity!$J:$J,Weekly_Line_Capacity!$A:$A,A31,Weekly_Line_Capacity!$B:$B,G31)</f>
        <v>0.43809523809523809</v>
      </c>
      <c r="I31" s="27">
        <f>SUMIFS(Weekly_Line_Capacity!$K:$K,Weekly_Line_Capacity!$A:$A,A31,Weekly_Line_Capacity!$B:$B,G31)</f>
        <v>0</v>
      </c>
      <c r="J31" s="13" t="str" cm="1">
        <f t="array" ref="J31">_xlfn.XLOOKUP(1,(Weekly_Line_Capacity!$A$2:$A$157=A31)*(Weekly_Line_Capacity!$B$2:$B$157=G31),Weekly_Line_Capacity!$L$2:$L$157,"")</f>
        <v>WITHIN CAPACITY</v>
      </c>
      <c r="K31" s="13" t="str">
        <f>_xlfn.XLOOKUP(B31,BOM!$A$2:$A$21,BOM!$B$2:$B$21,"")</f>
        <v>M005</v>
      </c>
      <c r="L31" s="27">
        <f>SUMIFS(Weekly_Material_Inventory!$K:$K,Weekly_Material_Inventory!$A:$A,A31,Weekly_Material_Inventory!$B:$B,K31)</f>
        <v>0</v>
      </c>
      <c r="M31">
        <f t="shared" si="0"/>
        <v>0</v>
      </c>
      <c r="N31" t="str">
        <f t="shared" si="1"/>
        <v>OK</v>
      </c>
      <c r="O31" t="str">
        <f t="shared" si="2"/>
        <v>NONE</v>
      </c>
      <c r="P31" t="str" cm="1">
        <f t="array" ref="P31">_xlfn.SWITCH(O31,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31" t="str" cm="1">
        <f t="array" ref="Q31">_xlfn.SWITCH(O31,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31" t="str" cm="1">
        <f t="array" ref="R31">_xlfn.SWITCH(P31,
"Inventory / Service","Operations / Planning",
"Material Supply","Materials / Procurement",
"Capacity","Production / Planning",
"Production Execution","Production",
"Inventory","Operations / Planning",
"Demand Planning","Commercial / Planning",
"None","None",
"Operations")</f>
        <v>None</v>
      </c>
    </row>
    <row r="32" spans="1:18">
      <c r="A32" s="30">
        <f>Weekly_Inventory_Flow!A32</f>
        <v>46069</v>
      </c>
      <c r="B32" s="13" t="str">
        <f>Weekly_Inventory_Flow!B32</f>
        <v>P001</v>
      </c>
      <c r="C32" s="25">
        <f>IF(SUMIFS(Weekly_Product_Demand!$C:$C,Weekly_Product_Demand!$A:$A,A32,Weekly_Product_Demand!$B:$B,B32)=0,0,
(SUMIFS(Weekly_Product_Demand!$D:$D,Weekly_Product_Demand!$A:$A,A32,Weekly_Product_Demand!$B:$B,B32)-
SUMIFS(Weekly_Product_Demand!$C:$C,Weekly_Product_Demand!$A:$A,A32,Weekly_Product_Demand!$B:$B,B32))/
SUMIFS(Weekly_Product_Demand!$C:$C,Weekly_Product_Demand!$A:$A,A32,Weekly_Product_Demand!$B:$B,B32))</f>
        <v>9.5202677575306812E-3</v>
      </c>
      <c r="D32" s="25">
        <f>SUMIFS(Weekly_Inventory_Flow!$Q:$Q,Weekly_Inventory_Flow!$A:$A,A32,Weekly_Inventory_Flow!$B:$B,B32)</f>
        <v>0.98</v>
      </c>
      <c r="E32" s="26">
        <f>SUMIFS(Weekly_Inventory_Flow!$S:$S,Weekly_Inventory_Flow!$A:$A,A32,Weekly_Inventory_Flow!$B:$B,B32)</f>
        <v>1.8767405879319237</v>
      </c>
      <c r="F32" s="27">
        <f>SUMIFS(Weekly_Inventory_Flow!$N:$N,Weekly_Inventory_Flow!$A:$A,A32,Weekly_Inventory_Flow!$B:$B,B32)</f>
        <v>0</v>
      </c>
      <c r="G32" s="13" t="str">
        <f>_xlfn.XLOOKUP(B32,Product_Line_Map!$A$2:$A$6,Product_Line_Map!$B$2:$B$6,"")</f>
        <v>L01</v>
      </c>
      <c r="H32" s="25">
        <f>SUMIFS(Weekly_Line_Capacity!$J:$J,Weekly_Line_Capacity!$A:$A,A32,Weekly_Line_Capacity!$B:$B,G32)</f>
        <v>0.19444444444444445</v>
      </c>
      <c r="I32" s="27">
        <f>SUMIFS(Weekly_Line_Capacity!$K:$K,Weekly_Line_Capacity!$A:$A,A32,Weekly_Line_Capacity!$B:$B,G32)</f>
        <v>0</v>
      </c>
      <c r="J32" s="13" t="str" cm="1">
        <f t="array" ref="J32">_xlfn.XLOOKUP(1,(Weekly_Line_Capacity!$A$2:$A$157=A32)*(Weekly_Line_Capacity!$B$2:$B$157=G32),Weekly_Line_Capacity!$L$2:$L$157,"")</f>
        <v>WITHIN CAPACITY</v>
      </c>
      <c r="K32" s="13" t="str">
        <f>_xlfn.XLOOKUP(B32,BOM!$A$2:$A$21,BOM!$B$2:$B$21,"")</f>
        <v>M001</v>
      </c>
      <c r="L32" s="27">
        <f>SUMIFS(Weekly_Material_Inventory!$K:$K,Weekly_Material_Inventory!$A:$A,A32,Weekly_Material_Inventory!$B:$B,K32)</f>
        <v>0</v>
      </c>
      <c r="M32">
        <f t="shared" si="0"/>
        <v>1</v>
      </c>
      <c r="N32" t="str">
        <f t="shared" si="1"/>
        <v>WARNING</v>
      </c>
      <c r="O32" t="str">
        <f t="shared" si="2"/>
        <v>LOW STOCK COVER</v>
      </c>
      <c r="P32" t="str" cm="1">
        <f t="array" ref="P32">_xlfn.SWITCH(O32,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32" t="str" cm="1">
        <f t="array" ref="Q32">_xlfn.SWITCH(O32,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32" t="str" cm="1">
        <f t="array" ref="R32">_xlfn.SWITCH(P32,
"Inventory / Service","Operations / Planning",
"Material Supply","Materials / Procurement",
"Capacity","Production / Planning",
"Production Execution","Production",
"Inventory","Operations / Planning",
"Demand Planning","Commercial / Planning",
"None","None",
"Operations")</f>
        <v>Operations / Planning</v>
      </c>
    </row>
    <row r="33" spans="1:18">
      <c r="A33" s="30">
        <f>Weekly_Inventory_Flow!A33</f>
        <v>46069</v>
      </c>
      <c r="B33" s="13" t="str">
        <f>Weekly_Inventory_Flow!B33</f>
        <v>P002</v>
      </c>
      <c r="C33" s="25">
        <f>IF(SUMIFS(Weekly_Product_Demand!$C:$C,Weekly_Product_Demand!$A:$A,A33,Weekly_Product_Demand!$B:$B,B33)=0,0,
(SUMIFS(Weekly_Product_Demand!$D:$D,Weekly_Product_Demand!$A:$A,A33,Weekly_Product_Demand!$B:$B,B33)-
SUMIFS(Weekly_Product_Demand!$C:$C,Weekly_Product_Demand!$A:$A,A33,Weekly_Product_Demand!$B:$B,B33))/
SUMIFS(Weekly_Product_Demand!$C:$C,Weekly_Product_Demand!$A:$A,A33,Weekly_Product_Demand!$B:$B,B33))</f>
        <v>-1.8279661740838813E-2</v>
      </c>
      <c r="D33" s="25">
        <f>SUMIFS(Weekly_Inventory_Flow!$Q:$Q,Weekly_Inventory_Flow!$A:$A,A33,Weekly_Inventory_Flow!$B:$B,B33)</f>
        <v>0.98</v>
      </c>
      <c r="E33" s="26">
        <f>SUMIFS(Weekly_Inventory_Flow!$S:$S,Weekly_Inventory_Flow!$A:$A,A33,Weekly_Inventory_Flow!$B:$B,B33)</f>
        <v>1.8765335421560949</v>
      </c>
      <c r="F33" s="27">
        <f>SUMIFS(Weekly_Inventory_Flow!$N:$N,Weekly_Inventory_Flow!$A:$A,A33,Weekly_Inventory_Flow!$B:$B,B33)</f>
        <v>0</v>
      </c>
      <c r="G33" s="13" t="str">
        <f>_xlfn.XLOOKUP(B33,Product_Line_Map!$A$2:$A$6,Product_Line_Map!$B$2:$B$6,"")</f>
        <v>L02</v>
      </c>
      <c r="H33" s="25">
        <f>SUMIFS(Weekly_Line_Capacity!$J:$J,Weekly_Line_Capacity!$A:$A,A33,Weekly_Line_Capacity!$B:$B,G33)</f>
        <v>0.42476190476190478</v>
      </c>
      <c r="I33" s="27">
        <f>SUMIFS(Weekly_Line_Capacity!$K:$K,Weekly_Line_Capacity!$A:$A,A33,Weekly_Line_Capacity!$B:$B,G33)</f>
        <v>0</v>
      </c>
      <c r="J33" s="13" t="str" cm="1">
        <f t="array" ref="J33">_xlfn.XLOOKUP(1,(Weekly_Line_Capacity!$A$2:$A$157=A33)*(Weekly_Line_Capacity!$B$2:$B$157=G33),Weekly_Line_Capacity!$L$2:$L$157,"")</f>
        <v>WITHIN CAPACITY</v>
      </c>
      <c r="K33" s="13" t="str">
        <f>_xlfn.XLOOKUP(B33,BOM!$A$2:$A$21,BOM!$B$2:$B$21,"")</f>
        <v>M002</v>
      </c>
      <c r="L33" s="27">
        <f>SUMIFS(Weekly_Material_Inventory!$K:$K,Weekly_Material_Inventory!$A:$A,A33,Weekly_Material_Inventory!$B:$B,K33)</f>
        <v>0</v>
      </c>
      <c r="M33">
        <f t="shared" si="0"/>
        <v>1</v>
      </c>
      <c r="N33" t="str">
        <f t="shared" si="1"/>
        <v>WARNING</v>
      </c>
      <c r="O33" t="str">
        <f t="shared" si="2"/>
        <v>LOW STOCK COVER</v>
      </c>
      <c r="P33" t="str" cm="1">
        <f t="array" ref="P33">_xlfn.SWITCH(O33,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33" t="str" cm="1">
        <f t="array" ref="Q33">_xlfn.SWITCH(O33,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33" t="str" cm="1">
        <f t="array" ref="R33">_xlfn.SWITCH(P33,
"Inventory / Service","Operations / Planning",
"Material Supply","Materials / Procurement",
"Capacity","Production / Planning",
"Production Execution","Production",
"Inventory","Operations / Planning",
"Demand Planning","Commercial / Planning",
"None","None",
"Operations")</f>
        <v>Operations / Planning</v>
      </c>
    </row>
    <row r="34" spans="1:18">
      <c r="A34" s="30">
        <f>Weekly_Inventory_Flow!A34</f>
        <v>46069</v>
      </c>
      <c r="B34" s="13" t="str">
        <f>Weekly_Inventory_Flow!B34</f>
        <v>P003</v>
      </c>
      <c r="C34" s="25">
        <f>IF(SUMIFS(Weekly_Product_Demand!$C:$C,Weekly_Product_Demand!$A:$A,A34,Weekly_Product_Demand!$B:$B,B34)=0,0,
(SUMIFS(Weekly_Product_Demand!$D:$D,Weekly_Product_Demand!$A:$A,A34,Weekly_Product_Demand!$B:$B,B34)-
SUMIFS(Weekly_Product_Demand!$C:$C,Weekly_Product_Demand!$A:$A,A34,Weekly_Product_Demand!$B:$B,B34))/
SUMIFS(Weekly_Product_Demand!$C:$C,Weekly_Product_Demand!$A:$A,A34,Weekly_Product_Demand!$B:$B,B34))</f>
        <v>-4.3808242866749926E-2</v>
      </c>
      <c r="D34" s="25">
        <f>SUMIFS(Weekly_Inventory_Flow!$Q:$Q,Weekly_Inventory_Flow!$A:$A,A34,Weekly_Inventory_Flow!$B:$B,B34)</f>
        <v>1.02</v>
      </c>
      <c r="E34" s="26">
        <f>SUMIFS(Weekly_Inventory_Flow!$S:$S,Weekly_Inventory_Flow!$A:$A,A34,Weekly_Inventory_Flow!$B:$B,B34)</f>
        <v>2.1514116346830101</v>
      </c>
      <c r="F34" s="27">
        <f>SUMIFS(Weekly_Inventory_Flow!$N:$N,Weekly_Inventory_Flow!$A:$A,A34,Weekly_Inventory_Flow!$B:$B,B34)</f>
        <v>0</v>
      </c>
      <c r="G34" s="13" t="str">
        <f>_xlfn.XLOOKUP(B34,Product_Line_Map!$A$2:$A$6,Product_Line_Map!$B$2:$B$6,"")</f>
        <v>L03</v>
      </c>
      <c r="H34" s="25">
        <f>SUMIFS(Weekly_Line_Capacity!$J:$J,Weekly_Line_Capacity!$A:$A,A34,Weekly_Line_Capacity!$B:$B,G34)</f>
        <v>0.43809523809523809</v>
      </c>
      <c r="I34" s="27">
        <f>SUMIFS(Weekly_Line_Capacity!$K:$K,Weekly_Line_Capacity!$A:$A,A34,Weekly_Line_Capacity!$B:$B,G34)</f>
        <v>0</v>
      </c>
      <c r="J34" s="13" t="str" cm="1">
        <f t="array" ref="J34">_xlfn.XLOOKUP(1,(Weekly_Line_Capacity!$A$2:$A$157=A34)*(Weekly_Line_Capacity!$B$2:$B$157=G34),Weekly_Line_Capacity!$L$2:$L$157,"")</f>
        <v>WITHIN CAPACITY</v>
      </c>
      <c r="K34" s="13" t="str">
        <f>_xlfn.XLOOKUP(B34,BOM!$A$2:$A$21,BOM!$B$2:$B$21,"")</f>
        <v>M003</v>
      </c>
      <c r="L34" s="27">
        <f>SUMIFS(Weekly_Material_Inventory!$K:$K,Weekly_Material_Inventory!$A:$A,A34,Weekly_Material_Inventory!$B:$B,K34)</f>
        <v>0</v>
      </c>
      <c r="M34">
        <f t="shared" si="0"/>
        <v>0</v>
      </c>
      <c r="N34" t="str">
        <f t="shared" si="1"/>
        <v>OK</v>
      </c>
      <c r="O34" t="str">
        <f t="shared" si="2"/>
        <v>NONE</v>
      </c>
      <c r="P34" t="str" cm="1">
        <f t="array" ref="P34">_xlfn.SWITCH(O34,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34" t="str" cm="1">
        <f t="array" ref="Q34">_xlfn.SWITCH(O34,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34" t="str" cm="1">
        <f t="array" ref="R34">_xlfn.SWITCH(P34,
"Inventory / Service","Operations / Planning",
"Material Supply","Materials / Procurement",
"Capacity","Production / Planning",
"Production Execution","Production",
"Inventory","Operations / Planning",
"Demand Planning","Commercial / Planning",
"None","None",
"Operations")</f>
        <v>None</v>
      </c>
    </row>
    <row r="35" spans="1:18">
      <c r="A35" s="30">
        <f>Weekly_Inventory_Flow!A35</f>
        <v>46069</v>
      </c>
      <c r="B35" s="13" t="str">
        <f>Weekly_Inventory_Flow!B35</f>
        <v>P004</v>
      </c>
      <c r="C35" s="25">
        <f>IF(SUMIFS(Weekly_Product_Demand!$C:$C,Weekly_Product_Demand!$A:$A,A35,Weekly_Product_Demand!$B:$B,B35)=0,0,
(SUMIFS(Weekly_Product_Demand!$D:$D,Weekly_Product_Demand!$A:$A,A35,Weekly_Product_Demand!$B:$B,B35)-
SUMIFS(Weekly_Product_Demand!$C:$C,Weekly_Product_Demand!$A:$A,A35,Weekly_Product_Demand!$B:$B,B35))/
SUMIFS(Weekly_Product_Demand!$C:$C,Weekly_Product_Demand!$A:$A,A35,Weekly_Product_Demand!$B:$B,B35))</f>
        <v>2.856612873307364E-2</v>
      </c>
      <c r="D35" s="25">
        <f>SUMIFS(Weekly_Inventory_Flow!$Q:$Q,Weekly_Inventory_Flow!$A:$A,A35,Weekly_Inventory_Flow!$B:$B,B35)</f>
        <v>1.02</v>
      </c>
      <c r="E35" s="26">
        <f>SUMIFS(Weekly_Inventory_Flow!$S:$S,Weekly_Inventory_Flow!$A:$A,A35,Weekly_Inventory_Flow!$B:$B,B35)</f>
        <v>2.192155094679892</v>
      </c>
      <c r="F35" s="27">
        <f>SUMIFS(Weekly_Inventory_Flow!$N:$N,Weekly_Inventory_Flow!$A:$A,A35,Weekly_Inventory_Flow!$B:$B,B35)</f>
        <v>0</v>
      </c>
      <c r="G35" s="13" t="str">
        <f>_xlfn.XLOOKUP(B35,Product_Line_Map!$A$2:$A$6,Product_Line_Map!$B$2:$B$6,"")</f>
        <v>L02</v>
      </c>
      <c r="H35" s="25">
        <f>SUMIFS(Weekly_Line_Capacity!$J:$J,Weekly_Line_Capacity!$A:$A,A35,Weekly_Line_Capacity!$B:$B,G35)</f>
        <v>0.42476190476190478</v>
      </c>
      <c r="I35" s="27">
        <f>SUMIFS(Weekly_Line_Capacity!$K:$K,Weekly_Line_Capacity!$A:$A,A35,Weekly_Line_Capacity!$B:$B,G35)</f>
        <v>0</v>
      </c>
      <c r="J35" s="13" t="str" cm="1">
        <f t="array" ref="J35">_xlfn.XLOOKUP(1,(Weekly_Line_Capacity!$A$2:$A$157=A35)*(Weekly_Line_Capacity!$B$2:$B$157=G35),Weekly_Line_Capacity!$L$2:$L$157,"")</f>
        <v>WITHIN CAPACITY</v>
      </c>
      <c r="K35" s="13" t="str">
        <f>_xlfn.XLOOKUP(B35,BOM!$A$2:$A$21,BOM!$B$2:$B$21,"")</f>
        <v>M004</v>
      </c>
      <c r="L35" s="27">
        <f>SUMIFS(Weekly_Material_Inventory!$K:$K,Weekly_Material_Inventory!$A:$A,A35,Weekly_Material_Inventory!$B:$B,K35)</f>
        <v>0</v>
      </c>
      <c r="M35">
        <f t="shared" si="0"/>
        <v>0</v>
      </c>
      <c r="N35" t="str">
        <f t="shared" si="1"/>
        <v>OK</v>
      </c>
      <c r="O35" t="str">
        <f t="shared" si="2"/>
        <v>NONE</v>
      </c>
      <c r="P35" t="str" cm="1">
        <f t="array" ref="P35">_xlfn.SWITCH(O35,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35" t="str" cm="1">
        <f t="array" ref="Q35">_xlfn.SWITCH(O35,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35" t="str" cm="1">
        <f t="array" ref="R35">_xlfn.SWITCH(P35,
"Inventory / Service","Operations / Planning",
"Material Supply","Materials / Procurement",
"Capacity","Production / Planning",
"Production Execution","Production",
"Inventory","Operations / Planning",
"Demand Planning","Commercial / Planning",
"None","None",
"Operations")</f>
        <v>None</v>
      </c>
    </row>
    <row r="36" spans="1:18">
      <c r="A36" s="30">
        <f>Weekly_Inventory_Flow!A36</f>
        <v>46069</v>
      </c>
      <c r="B36" s="13" t="str">
        <f>Weekly_Inventory_Flow!B36</f>
        <v>P005</v>
      </c>
      <c r="C36" s="25">
        <f>IF(SUMIFS(Weekly_Product_Demand!$C:$C,Weekly_Product_Demand!$A:$A,A36,Weekly_Product_Demand!$B:$B,B36)=0,0,
(SUMIFS(Weekly_Product_Demand!$D:$D,Weekly_Product_Demand!$A:$A,A36,Weekly_Product_Demand!$B:$B,B36)-
SUMIFS(Weekly_Product_Demand!$C:$C,Weekly_Product_Demand!$A:$A,A36,Weekly_Product_Demand!$B:$B,B36))/
SUMIFS(Weekly_Product_Demand!$C:$C,Weekly_Product_Demand!$A:$A,A36,Weekly_Product_Demand!$B:$B,B36))</f>
        <v>3.5144165326073507E-2</v>
      </c>
      <c r="D36" s="25">
        <f>SUMIFS(Weekly_Inventory_Flow!$Q:$Q,Weekly_Inventory_Flow!$A:$A,A36,Weekly_Inventory_Flow!$B:$B,B36)</f>
        <v>0.97</v>
      </c>
      <c r="E36" s="26">
        <f>SUMIFS(Weekly_Inventory_Flow!$S:$S,Weekly_Inventory_Flow!$A:$A,A36,Weekly_Inventory_Flow!$B:$B,B36)</f>
        <v>1.8610878661087866</v>
      </c>
      <c r="F36" s="27">
        <f>SUMIFS(Weekly_Inventory_Flow!$N:$N,Weekly_Inventory_Flow!$A:$A,A36,Weekly_Inventory_Flow!$B:$B,B36)</f>
        <v>0</v>
      </c>
      <c r="G36" s="13" t="str">
        <f>_xlfn.XLOOKUP(B36,Product_Line_Map!$A$2:$A$6,Product_Line_Map!$B$2:$B$6,"")</f>
        <v>L03</v>
      </c>
      <c r="H36" s="25">
        <f>SUMIFS(Weekly_Line_Capacity!$J:$J,Weekly_Line_Capacity!$A:$A,A36,Weekly_Line_Capacity!$B:$B,G36)</f>
        <v>0.43809523809523809</v>
      </c>
      <c r="I36" s="27">
        <f>SUMIFS(Weekly_Line_Capacity!$K:$K,Weekly_Line_Capacity!$A:$A,A36,Weekly_Line_Capacity!$B:$B,G36)</f>
        <v>0</v>
      </c>
      <c r="J36" s="13" t="str" cm="1">
        <f t="array" ref="J36">_xlfn.XLOOKUP(1,(Weekly_Line_Capacity!$A$2:$A$157=A36)*(Weekly_Line_Capacity!$B$2:$B$157=G36),Weekly_Line_Capacity!$L$2:$L$157,"")</f>
        <v>WITHIN CAPACITY</v>
      </c>
      <c r="K36" s="13" t="str">
        <f>_xlfn.XLOOKUP(B36,BOM!$A$2:$A$21,BOM!$B$2:$B$21,"")</f>
        <v>M005</v>
      </c>
      <c r="L36" s="27">
        <f>SUMIFS(Weekly_Material_Inventory!$K:$K,Weekly_Material_Inventory!$A:$A,A36,Weekly_Material_Inventory!$B:$B,K36)</f>
        <v>0</v>
      </c>
      <c r="M36">
        <f t="shared" si="0"/>
        <v>1</v>
      </c>
      <c r="N36" t="str">
        <f t="shared" si="1"/>
        <v>WARNING</v>
      </c>
      <c r="O36" t="str">
        <f t="shared" si="2"/>
        <v>LOW STOCK COVER</v>
      </c>
      <c r="P36" t="str" cm="1">
        <f t="array" ref="P36">_xlfn.SWITCH(O36,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36" t="str" cm="1">
        <f t="array" ref="Q36">_xlfn.SWITCH(O36,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36" t="str" cm="1">
        <f t="array" ref="R36">_xlfn.SWITCH(P36,
"Inventory / Service","Operations / Planning",
"Material Supply","Materials / Procurement",
"Capacity","Production / Planning",
"Production Execution","Production",
"Inventory","Operations / Planning",
"Demand Planning","Commercial / Planning",
"None","None",
"Operations")</f>
        <v>Operations / Planning</v>
      </c>
    </row>
    <row r="37" spans="1:18">
      <c r="A37" s="30">
        <f>Weekly_Inventory_Flow!A37</f>
        <v>46076</v>
      </c>
      <c r="B37" s="13" t="str">
        <f>Weekly_Inventory_Flow!B37</f>
        <v>P001</v>
      </c>
      <c r="C37" s="25">
        <f>IF(SUMIFS(Weekly_Product_Demand!$C:$C,Weekly_Product_Demand!$A:$A,A37,Weekly_Product_Demand!$B:$B,B37)=0,0,
(SUMIFS(Weekly_Product_Demand!$D:$D,Weekly_Product_Demand!$A:$A,A37,Weekly_Product_Demand!$B:$B,B37)-
SUMIFS(Weekly_Product_Demand!$C:$C,Weekly_Product_Demand!$A:$A,A37,Weekly_Product_Demand!$B:$B,B37))/
SUMIFS(Weekly_Product_Demand!$C:$C,Weekly_Product_Demand!$A:$A,A37,Weekly_Product_Demand!$B:$B,B37))</f>
        <v>-2.7088533255028632E-2</v>
      </c>
      <c r="D37" s="25">
        <f>SUMIFS(Weekly_Inventory_Flow!$Q:$Q,Weekly_Inventory_Flow!$A:$A,A37,Weekly_Inventory_Flow!$B:$B,B37)</f>
        <v>1</v>
      </c>
      <c r="E37" s="26">
        <f>SUMIFS(Weekly_Inventory_Flow!$S:$S,Weekly_Inventory_Flow!$A:$A,A37,Weekly_Inventory_Flow!$B:$B,B37)</f>
        <v>2.0525164113785559</v>
      </c>
      <c r="F37" s="27">
        <f>SUMIFS(Weekly_Inventory_Flow!$N:$N,Weekly_Inventory_Flow!$A:$A,A37,Weekly_Inventory_Flow!$B:$B,B37)</f>
        <v>0</v>
      </c>
      <c r="G37" s="13" t="str">
        <f>_xlfn.XLOOKUP(B37,Product_Line_Map!$A$2:$A$6,Product_Line_Map!$B$2:$B$6,"")</f>
        <v>L01</v>
      </c>
      <c r="H37" s="25">
        <f>SUMIFS(Weekly_Line_Capacity!$J:$J,Weekly_Line_Capacity!$A:$A,A37,Weekly_Line_Capacity!$B:$B,G37)</f>
        <v>0.19736842105263158</v>
      </c>
      <c r="I37" s="27">
        <f>SUMIFS(Weekly_Line_Capacity!$K:$K,Weekly_Line_Capacity!$A:$A,A37,Weekly_Line_Capacity!$B:$B,G37)</f>
        <v>0</v>
      </c>
      <c r="J37" s="13" t="str" cm="1">
        <f t="array" ref="J37">_xlfn.XLOOKUP(1,(Weekly_Line_Capacity!$A$2:$A$157=A37)*(Weekly_Line_Capacity!$B$2:$B$157=G37),Weekly_Line_Capacity!$L$2:$L$157,"")</f>
        <v>WITHIN CAPACITY</v>
      </c>
      <c r="K37" s="13" t="str">
        <f>_xlfn.XLOOKUP(B37,BOM!$A$2:$A$21,BOM!$B$2:$B$21,"")</f>
        <v>M001</v>
      </c>
      <c r="L37" s="27">
        <f>SUMIFS(Weekly_Material_Inventory!$K:$K,Weekly_Material_Inventory!$A:$A,A37,Weekly_Material_Inventory!$B:$B,K37)</f>
        <v>0</v>
      </c>
      <c r="M37">
        <f t="shared" si="0"/>
        <v>0</v>
      </c>
      <c r="N37" t="str">
        <f t="shared" si="1"/>
        <v>OK</v>
      </c>
      <c r="O37" t="str">
        <f t="shared" si="2"/>
        <v>NONE</v>
      </c>
      <c r="P37" t="str" cm="1">
        <f t="array" ref="P37">_xlfn.SWITCH(O37,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37" t="str" cm="1">
        <f t="array" ref="Q37">_xlfn.SWITCH(O37,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37" t="str" cm="1">
        <f t="array" ref="R37">_xlfn.SWITCH(P37,
"Inventory / Service","Operations / Planning",
"Material Supply","Materials / Procurement",
"Capacity","Production / Planning",
"Production Execution","Production",
"Inventory","Operations / Planning",
"Demand Planning","Commercial / Planning",
"None","None",
"Operations")</f>
        <v>None</v>
      </c>
    </row>
    <row r="38" spans="1:18">
      <c r="A38" s="30">
        <f>Weekly_Inventory_Flow!A38</f>
        <v>46076</v>
      </c>
      <c r="B38" s="13" t="str">
        <f>Weekly_Inventory_Flow!B38</f>
        <v>P002</v>
      </c>
      <c r="C38" s="25">
        <f>IF(SUMIFS(Weekly_Product_Demand!$C:$C,Weekly_Product_Demand!$A:$A,A38,Weekly_Product_Demand!$B:$B,B38)=0,0,
(SUMIFS(Weekly_Product_Demand!$D:$D,Weekly_Product_Demand!$A:$A,A38,Weekly_Product_Demand!$B:$B,B38)-
SUMIFS(Weekly_Product_Demand!$C:$C,Weekly_Product_Demand!$A:$A,A38,Weekly_Product_Demand!$B:$B,B38))/
SUMIFS(Weekly_Product_Demand!$C:$C,Weekly_Product_Demand!$A:$A,A38,Weekly_Product_Demand!$B:$B,B38))</f>
        <v>9.0297299599625177E-3</v>
      </c>
      <c r="D38" s="25">
        <f>SUMIFS(Weekly_Inventory_Flow!$Q:$Q,Weekly_Inventory_Flow!$A:$A,A38,Weekly_Inventory_Flow!$B:$B,B38)</f>
        <v>0.98</v>
      </c>
      <c r="E38" s="26">
        <f>SUMIFS(Weekly_Inventory_Flow!$S:$S,Weekly_Inventory_Flow!$A:$A,A38,Weekly_Inventory_Flow!$B:$B,B38)</f>
        <v>1.8863655550865344</v>
      </c>
      <c r="F38" s="27">
        <f>SUMIFS(Weekly_Inventory_Flow!$N:$N,Weekly_Inventory_Flow!$A:$A,A38,Weekly_Inventory_Flow!$B:$B,B38)</f>
        <v>0</v>
      </c>
      <c r="G38" s="13" t="str">
        <f>_xlfn.XLOOKUP(B38,Product_Line_Map!$A$2:$A$6,Product_Line_Map!$B$2:$B$6,"")</f>
        <v>L02</v>
      </c>
      <c r="H38" s="25">
        <f>SUMIFS(Weekly_Line_Capacity!$J:$J,Weekly_Line_Capacity!$A:$A,A38,Weekly_Line_Capacity!$B:$B,G38)</f>
        <v>0.42857142857142855</v>
      </c>
      <c r="I38" s="27">
        <f>SUMIFS(Weekly_Line_Capacity!$K:$K,Weekly_Line_Capacity!$A:$A,A38,Weekly_Line_Capacity!$B:$B,G38)</f>
        <v>0</v>
      </c>
      <c r="J38" s="13" t="str" cm="1">
        <f t="array" ref="J38">_xlfn.XLOOKUP(1,(Weekly_Line_Capacity!$A$2:$A$157=A38)*(Weekly_Line_Capacity!$B$2:$B$157=G38),Weekly_Line_Capacity!$L$2:$L$157,"")</f>
        <v>WITHIN CAPACITY</v>
      </c>
      <c r="K38" s="13" t="str">
        <f>_xlfn.XLOOKUP(B38,BOM!$A$2:$A$21,BOM!$B$2:$B$21,"")</f>
        <v>M002</v>
      </c>
      <c r="L38" s="27">
        <f>SUMIFS(Weekly_Material_Inventory!$K:$K,Weekly_Material_Inventory!$A:$A,A38,Weekly_Material_Inventory!$B:$B,K38)</f>
        <v>0</v>
      </c>
      <c r="M38">
        <f t="shared" si="0"/>
        <v>1</v>
      </c>
      <c r="N38" t="str">
        <f t="shared" si="1"/>
        <v>WARNING</v>
      </c>
      <c r="O38" t="str">
        <f t="shared" si="2"/>
        <v>LOW STOCK COVER</v>
      </c>
      <c r="P38" t="str" cm="1">
        <f t="array" ref="P38">_xlfn.SWITCH(O38,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38" t="str" cm="1">
        <f t="array" ref="Q38">_xlfn.SWITCH(O38,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38" t="str" cm="1">
        <f t="array" ref="R38">_xlfn.SWITCH(P38,
"Inventory / Service","Operations / Planning",
"Material Supply","Materials / Procurement",
"Capacity","Production / Planning",
"Production Execution","Production",
"Inventory","Operations / Planning",
"Demand Planning","Commercial / Planning",
"None","None",
"Operations")</f>
        <v>Operations / Planning</v>
      </c>
    </row>
    <row r="39" spans="1:18">
      <c r="A39" s="30">
        <f>Weekly_Inventory_Flow!A39</f>
        <v>46076</v>
      </c>
      <c r="B39" s="13" t="str">
        <f>Weekly_Inventory_Flow!B39</f>
        <v>P003</v>
      </c>
      <c r="C39" s="25">
        <f>IF(SUMIFS(Weekly_Product_Demand!$C:$C,Weekly_Product_Demand!$A:$A,A39,Weekly_Product_Demand!$B:$B,B39)=0,0,
(SUMIFS(Weekly_Product_Demand!$D:$D,Weekly_Product_Demand!$A:$A,A39,Weekly_Product_Demand!$B:$B,B39)-
SUMIFS(Weekly_Product_Demand!$C:$C,Weekly_Product_Demand!$A:$A,A39,Weekly_Product_Demand!$B:$B,B39))/
SUMIFS(Weekly_Product_Demand!$C:$C,Weekly_Product_Demand!$A:$A,A39,Weekly_Product_Demand!$B:$B,B39))</f>
        <v>9.3078522626002577E-3</v>
      </c>
      <c r="D39" s="25">
        <f>SUMIFS(Weekly_Inventory_Flow!$Q:$Q,Weekly_Inventory_Flow!$A:$A,A39,Weekly_Inventory_Flow!$B:$B,B39)</f>
        <v>1</v>
      </c>
      <c r="E39" s="26">
        <f>SUMIFS(Weekly_Inventory_Flow!$S:$S,Weekly_Inventory_Flow!$A:$A,A39,Weekly_Inventory_Flow!$B:$B,B39)</f>
        <v>2.0368880604336308</v>
      </c>
      <c r="F39" s="27">
        <f>SUMIFS(Weekly_Inventory_Flow!$N:$N,Weekly_Inventory_Flow!$A:$A,A39,Weekly_Inventory_Flow!$B:$B,B39)</f>
        <v>0</v>
      </c>
      <c r="G39" s="13" t="str">
        <f>_xlfn.XLOOKUP(B39,Product_Line_Map!$A$2:$A$6,Product_Line_Map!$B$2:$B$6,"")</f>
        <v>L03</v>
      </c>
      <c r="H39" s="25">
        <f>SUMIFS(Weekly_Line_Capacity!$J:$J,Weekly_Line_Capacity!$A:$A,A39,Weekly_Line_Capacity!$B:$B,G39)</f>
        <v>0.44285714285714284</v>
      </c>
      <c r="I39" s="27">
        <f>SUMIFS(Weekly_Line_Capacity!$K:$K,Weekly_Line_Capacity!$A:$A,A39,Weekly_Line_Capacity!$B:$B,G39)</f>
        <v>0</v>
      </c>
      <c r="J39" s="13" t="str" cm="1">
        <f t="array" ref="J39">_xlfn.XLOOKUP(1,(Weekly_Line_Capacity!$A$2:$A$157=A39)*(Weekly_Line_Capacity!$B$2:$B$157=G39),Weekly_Line_Capacity!$L$2:$L$157,"")</f>
        <v>WITHIN CAPACITY</v>
      </c>
      <c r="K39" s="13" t="str">
        <f>_xlfn.XLOOKUP(B39,BOM!$A$2:$A$21,BOM!$B$2:$B$21,"")</f>
        <v>M003</v>
      </c>
      <c r="L39" s="27">
        <f>SUMIFS(Weekly_Material_Inventory!$K:$K,Weekly_Material_Inventory!$A:$A,A39,Weekly_Material_Inventory!$B:$B,K39)</f>
        <v>0</v>
      </c>
      <c r="M39">
        <f t="shared" si="0"/>
        <v>0</v>
      </c>
      <c r="N39" t="str">
        <f t="shared" si="1"/>
        <v>OK</v>
      </c>
      <c r="O39" t="str">
        <f t="shared" si="2"/>
        <v>NONE</v>
      </c>
      <c r="P39" t="str" cm="1">
        <f t="array" ref="P39">_xlfn.SWITCH(O39,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39" t="str" cm="1">
        <f t="array" ref="Q39">_xlfn.SWITCH(O39,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39" t="str" cm="1">
        <f t="array" ref="R39">_xlfn.SWITCH(P39,
"Inventory / Service","Operations / Planning",
"Material Supply","Materials / Procurement",
"Capacity","Production / Planning",
"Production Execution","Production",
"Inventory","Operations / Planning",
"Demand Planning","Commercial / Planning",
"None","None",
"Operations")</f>
        <v>None</v>
      </c>
    </row>
    <row r="40" spans="1:18">
      <c r="A40" s="30">
        <f>Weekly_Inventory_Flow!A40</f>
        <v>46076</v>
      </c>
      <c r="B40" s="13" t="str">
        <f>Weekly_Inventory_Flow!B40</f>
        <v>P004</v>
      </c>
      <c r="C40" s="25">
        <f>IF(SUMIFS(Weekly_Product_Demand!$C:$C,Weekly_Product_Demand!$A:$A,A40,Weekly_Product_Demand!$B:$B,B40)=0,0,
(SUMIFS(Weekly_Product_Demand!$D:$D,Weekly_Product_Demand!$A:$A,A40,Weekly_Product_Demand!$B:$B,B40)-
SUMIFS(Weekly_Product_Demand!$C:$C,Weekly_Product_Demand!$A:$A,A40,Weekly_Product_Demand!$B:$B,B40))/
SUMIFS(Weekly_Product_Demand!$C:$C,Weekly_Product_Demand!$A:$A,A40,Weekly_Product_Demand!$B:$B,B40))</f>
        <v>-2.654219293428519E-2</v>
      </c>
      <c r="D40" s="25">
        <f>SUMIFS(Weekly_Inventory_Flow!$Q:$Q,Weekly_Inventory_Flow!$A:$A,A40,Weekly_Inventory_Flow!$B:$B,B40)</f>
        <v>1.02</v>
      </c>
      <c r="E40" s="26">
        <f>SUMIFS(Weekly_Inventory_Flow!$S:$S,Weekly_Inventory_Flow!$A:$A,A40,Weekly_Inventory_Flow!$B:$B,B40)</f>
        <v>2.2001692365550962</v>
      </c>
      <c r="F40" s="27">
        <f>SUMIFS(Weekly_Inventory_Flow!$N:$N,Weekly_Inventory_Flow!$A:$A,A40,Weekly_Inventory_Flow!$B:$B,B40)</f>
        <v>0</v>
      </c>
      <c r="G40" s="13" t="str">
        <f>_xlfn.XLOOKUP(B40,Product_Line_Map!$A$2:$A$6,Product_Line_Map!$B$2:$B$6,"")</f>
        <v>L02</v>
      </c>
      <c r="H40" s="25">
        <f>SUMIFS(Weekly_Line_Capacity!$J:$J,Weekly_Line_Capacity!$A:$A,A40,Weekly_Line_Capacity!$B:$B,G40)</f>
        <v>0.42857142857142855</v>
      </c>
      <c r="I40" s="27">
        <f>SUMIFS(Weekly_Line_Capacity!$K:$K,Weekly_Line_Capacity!$A:$A,A40,Weekly_Line_Capacity!$B:$B,G40)</f>
        <v>0</v>
      </c>
      <c r="J40" s="13" t="str" cm="1">
        <f t="array" ref="J40">_xlfn.XLOOKUP(1,(Weekly_Line_Capacity!$A$2:$A$157=A40)*(Weekly_Line_Capacity!$B$2:$B$157=G40),Weekly_Line_Capacity!$L$2:$L$157,"")</f>
        <v>WITHIN CAPACITY</v>
      </c>
      <c r="K40" s="13" t="str">
        <f>_xlfn.XLOOKUP(B40,BOM!$A$2:$A$21,BOM!$B$2:$B$21,"")</f>
        <v>M004</v>
      </c>
      <c r="L40" s="27">
        <f>SUMIFS(Weekly_Material_Inventory!$K:$K,Weekly_Material_Inventory!$A:$A,A40,Weekly_Material_Inventory!$B:$B,K40)</f>
        <v>0</v>
      </c>
      <c r="M40">
        <f t="shared" si="0"/>
        <v>0</v>
      </c>
      <c r="N40" t="str">
        <f t="shared" si="1"/>
        <v>OK</v>
      </c>
      <c r="O40" t="str">
        <f t="shared" si="2"/>
        <v>NONE</v>
      </c>
      <c r="P40" t="str" cm="1">
        <f t="array" ref="P40">_xlfn.SWITCH(O40,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40" t="str" cm="1">
        <f t="array" ref="Q40">_xlfn.SWITCH(O40,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40" t="str" cm="1">
        <f t="array" ref="R40">_xlfn.SWITCH(P40,
"Inventory / Service","Operations / Planning",
"Material Supply","Materials / Procurement",
"Capacity","Production / Planning",
"Production Execution","Production",
"Inventory","Operations / Planning",
"Demand Planning","Commercial / Planning",
"None","None",
"Operations")</f>
        <v>None</v>
      </c>
    </row>
    <row r="41" spans="1:18">
      <c r="A41" s="30">
        <f>Weekly_Inventory_Flow!A41</f>
        <v>46076</v>
      </c>
      <c r="B41" s="13" t="str">
        <f>Weekly_Inventory_Flow!B41</f>
        <v>P005</v>
      </c>
      <c r="C41" s="25">
        <f>IF(SUMIFS(Weekly_Product_Demand!$C:$C,Weekly_Product_Demand!$A:$A,A41,Weekly_Product_Demand!$B:$B,B41)=0,0,
(SUMIFS(Weekly_Product_Demand!$D:$D,Weekly_Product_Demand!$A:$A,A41,Weekly_Product_Demand!$B:$B,B41)-
SUMIFS(Weekly_Product_Demand!$C:$C,Weekly_Product_Demand!$A:$A,A41,Weekly_Product_Demand!$B:$B,B41))/
SUMIFS(Weekly_Product_Demand!$C:$C,Weekly_Product_Demand!$A:$A,A41,Weekly_Product_Demand!$B:$B,B41))</f>
        <v>9.3594262793241772E-3</v>
      </c>
      <c r="D41" s="25">
        <f>SUMIFS(Weekly_Inventory_Flow!$Q:$Q,Weekly_Inventory_Flow!$A:$A,A41,Weekly_Inventory_Flow!$B:$B,B41)</f>
        <v>1</v>
      </c>
      <c r="E41" s="26">
        <f>SUMIFS(Weekly_Inventory_Flow!$S:$S,Weekly_Inventory_Flow!$A:$A,A41,Weekly_Inventory_Flow!$B:$B,B41)</f>
        <v>2.0399807321772641</v>
      </c>
      <c r="F41" s="27">
        <f>SUMIFS(Weekly_Inventory_Flow!$N:$N,Weekly_Inventory_Flow!$A:$A,A41,Weekly_Inventory_Flow!$B:$B,B41)</f>
        <v>0</v>
      </c>
      <c r="G41" s="13" t="str">
        <f>_xlfn.XLOOKUP(B41,Product_Line_Map!$A$2:$A$6,Product_Line_Map!$B$2:$B$6,"")</f>
        <v>L03</v>
      </c>
      <c r="H41" s="25">
        <f>SUMIFS(Weekly_Line_Capacity!$J:$J,Weekly_Line_Capacity!$A:$A,A41,Weekly_Line_Capacity!$B:$B,G41)</f>
        <v>0.44285714285714284</v>
      </c>
      <c r="I41" s="27">
        <f>SUMIFS(Weekly_Line_Capacity!$K:$K,Weekly_Line_Capacity!$A:$A,A41,Weekly_Line_Capacity!$B:$B,G41)</f>
        <v>0</v>
      </c>
      <c r="J41" s="13" t="str" cm="1">
        <f t="array" ref="J41">_xlfn.XLOOKUP(1,(Weekly_Line_Capacity!$A$2:$A$157=A41)*(Weekly_Line_Capacity!$B$2:$B$157=G41),Weekly_Line_Capacity!$L$2:$L$157,"")</f>
        <v>WITHIN CAPACITY</v>
      </c>
      <c r="K41" s="13" t="str">
        <f>_xlfn.XLOOKUP(B41,BOM!$A$2:$A$21,BOM!$B$2:$B$21,"")</f>
        <v>M005</v>
      </c>
      <c r="L41" s="27">
        <f>SUMIFS(Weekly_Material_Inventory!$K:$K,Weekly_Material_Inventory!$A:$A,A41,Weekly_Material_Inventory!$B:$B,K41)</f>
        <v>0</v>
      </c>
      <c r="M41">
        <f t="shared" si="0"/>
        <v>0</v>
      </c>
      <c r="N41" t="str">
        <f t="shared" si="1"/>
        <v>OK</v>
      </c>
      <c r="O41" t="str">
        <f t="shared" si="2"/>
        <v>NONE</v>
      </c>
      <c r="P41" t="str" cm="1">
        <f t="array" ref="P41">_xlfn.SWITCH(O41,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41" t="str" cm="1">
        <f t="array" ref="Q41">_xlfn.SWITCH(O41,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41" t="str" cm="1">
        <f t="array" ref="R41">_xlfn.SWITCH(P41,
"Inventory / Service","Operations / Planning",
"Material Supply","Materials / Procurement",
"Capacity","Production / Planning",
"Production Execution","Production",
"Inventory","Operations / Planning",
"Demand Planning","Commercial / Planning",
"None","None",
"Operations")</f>
        <v>None</v>
      </c>
    </row>
    <row r="42" spans="1:18">
      <c r="A42" s="30">
        <f>Weekly_Inventory_Flow!A42</f>
        <v>46083</v>
      </c>
      <c r="B42" s="13" t="str">
        <f>Weekly_Inventory_Flow!B42</f>
        <v>P001</v>
      </c>
      <c r="C42" s="25">
        <f>IF(SUMIFS(Weekly_Product_Demand!$C:$C,Weekly_Product_Demand!$A:$A,A42,Weekly_Product_Demand!$B:$B,B42)=0,0,
(SUMIFS(Weekly_Product_Demand!$D:$D,Weekly_Product_Demand!$A:$A,A42,Weekly_Product_Demand!$B:$B,B42)-
SUMIFS(Weekly_Product_Demand!$C:$C,Weekly_Product_Demand!$A:$A,A42,Weekly_Product_Demand!$B:$B,B42))/
SUMIFS(Weekly_Product_Demand!$C:$C,Weekly_Product_Demand!$A:$A,A42,Weekly_Product_Demand!$B:$B,B42))</f>
        <v>3.1345778768459183E-3</v>
      </c>
      <c r="D42" s="25">
        <f>SUMIFS(Weekly_Inventory_Flow!$Q:$Q,Weekly_Inventory_Flow!$A:$A,A42,Weekly_Inventory_Flow!$B:$B,B42)</f>
        <v>0.97</v>
      </c>
      <c r="E42" s="26">
        <f>SUMIFS(Weekly_Inventory_Flow!$S:$S,Weekly_Inventory_Flow!$A:$A,A42,Weekly_Inventory_Flow!$B:$B,B42)</f>
        <v>1.8198736198875078</v>
      </c>
      <c r="F42" s="27">
        <f>SUMIFS(Weekly_Inventory_Flow!$N:$N,Weekly_Inventory_Flow!$A:$A,A42,Weekly_Inventory_Flow!$B:$B,B42)</f>
        <v>0</v>
      </c>
      <c r="G42" s="13" t="str">
        <f>_xlfn.XLOOKUP(B42,Product_Line_Map!$A$2:$A$6,Product_Line_Map!$B$2:$B$6,"")</f>
        <v>L01</v>
      </c>
      <c r="H42" s="25">
        <f>SUMIFS(Weekly_Line_Capacity!$J:$J,Weekly_Line_Capacity!$A:$A,A42,Weekly_Line_Capacity!$B:$B,G42)</f>
        <v>0.21491228070175436</v>
      </c>
      <c r="I42" s="27">
        <f>SUMIFS(Weekly_Line_Capacity!$K:$K,Weekly_Line_Capacity!$A:$A,A42,Weekly_Line_Capacity!$B:$B,G42)</f>
        <v>0</v>
      </c>
      <c r="J42" s="13" t="str" cm="1">
        <f t="array" ref="J42">_xlfn.XLOOKUP(1,(Weekly_Line_Capacity!$A$2:$A$157=A42)*(Weekly_Line_Capacity!$B$2:$B$157=G42),Weekly_Line_Capacity!$L$2:$L$157,"")</f>
        <v>WITHIN CAPACITY</v>
      </c>
      <c r="K42" s="13" t="str">
        <f>_xlfn.XLOOKUP(B42,BOM!$A$2:$A$21,BOM!$B$2:$B$21,"")</f>
        <v>M001</v>
      </c>
      <c r="L42" s="27">
        <f>SUMIFS(Weekly_Material_Inventory!$K:$K,Weekly_Material_Inventory!$A:$A,A42,Weekly_Material_Inventory!$B:$B,K42)</f>
        <v>0</v>
      </c>
      <c r="M42">
        <f t="shared" si="0"/>
        <v>1</v>
      </c>
      <c r="N42" t="str">
        <f t="shared" si="1"/>
        <v>WARNING</v>
      </c>
      <c r="O42" t="str">
        <f t="shared" si="2"/>
        <v>LOW STOCK COVER</v>
      </c>
      <c r="P42" t="str" cm="1">
        <f t="array" ref="P42">_xlfn.SWITCH(O42,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2" t="str" cm="1">
        <f t="array" ref="Q42">_xlfn.SWITCH(O42,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2" t="str" cm="1">
        <f t="array" ref="R42">_xlfn.SWITCH(P42,
"Inventory / Service","Operations / Planning",
"Material Supply","Materials / Procurement",
"Capacity","Production / Planning",
"Production Execution","Production",
"Inventory","Operations / Planning",
"Demand Planning","Commercial / Planning",
"None","None",
"Operations")</f>
        <v>Operations / Planning</v>
      </c>
    </row>
    <row r="43" spans="1:18">
      <c r="A43" s="30">
        <f>Weekly_Inventory_Flow!A43</f>
        <v>46083</v>
      </c>
      <c r="B43" s="13" t="str">
        <f>Weekly_Inventory_Flow!B43</f>
        <v>P002</v>
      </c>
      <c r="C43" s="25">
        <f>IF(SUMIFS(Weekly_Product_Demand!$C:$C,Weekly_Product_Demand!$A:$A,A43,Weekly_Product_Demand!$B:$B,B43)=0,0,
(SUMIFS(Weekly_Product_Demand!$D:$D,Weekly_Product_Demand!$A:$A,A43,Weekly_Product_Demand!$B:$B,B43)-
SUMIFS(Weekly_Product_Demand!$C:$C,Weekly_Product_Demand!$A:$A,A43,Weekly_Product_Demand!$B:$B,B43))/
SUMIFS(Weekly_Product_Demand!$C:$C,Weekly_Product_Demand!$A:$A,A43,Weekly_Product_Demand!$B:$B,B43))</f>
        <v>1.4757155598799967E-2</v>
      </c>
      <c r="D43" s="25">
        <f>SUMIFS(Weekly_Inventory_Flow!$Q:$Q,Weekly_Inventory_Flow!$A:$A,A43,Weekly_Inventory_Flow!$B:$B,B43)</f>
        <v>0.99</v>
      </c>
      <c r="E43" s="26">
        <f>SUMIFS(Weekly_Inventory_Flow!$S:$S,Weekly_Inventory_Flow!$A:$A,A43,Weekly_Inventory_Flow!$B:$B,B43)</f>
        <v>1.9285657211346383</v>
      </c>
      <c r="F43" s="27">
        <f>SUMIFS(Weekly_Inventory_Flow!$N:$N,Weekly_Inventory_Flow!$A:$A,A43,Weekly_Inventory_Flow!$B:$B,B43)</f>
        <v>0</v>
      </c>
      <c r="G43" s="13" t="str">
        <f>_xlfn.XLOOKUP(B43,Product_Line_Map!$A$2:$A$6,Product_Line_Map!$B$2:$B$6,"")</f>
        <v>L02</v>
      </c>
      <c r="H43" s="25">
        <f>SUMIFS(Weekly_Line_Capacity!$J:$J,Weekly_Line_Capacity!$A:$A,A43,Weekly_Line_Capacity!$B:$B,G43)</f>
        <v>0.46857142857142853</v>
      </c>
      <c r="I43" s="27">
        <f>SUMIFS(Weekly_Line_Capacity!$K:$K,Weekly_Line_Capacity!$A:$A,A43,Weekly_Line_Capacity!$B:$B,G43)</f>
        <v>0</v>
      </c>
      <c r="J43" s="13" t="str" cm="1">
        <f t="array" ref="J43">_xlfn.XLOOKUP(1,(Weekly_Line_Capacity!$A$2:$A$157=A43)*(Weekly_Line_Capacity!$B$2:$B$157=G43),Weekly_Line_Capacity!$L$2:$L$157,"")</f>
        <v>WITHIN CAPACITY</v>
      </c>
      <c r="K43" s="13" t="str">
        <f>_xlfn.XLOOKUP(B43,BOM!$A$2:$A$21,BOM!$B$2:$B$21,"")</f>
        <v>M002</v>
      </c>
      <c r="L43" s="27">
        <f>SUMIFS(Weekly_Material_Inventory!$K:$K,Weekly_Material_Inventory!$A:$A,A43,Weekly_Material_Inventory!$B:$B,K43)</f>
        <v>0</v>
      </c>
      <c r="M43">
        <f t="shared" si="0"/>
        <v>1</v>
      </c>
      <c r="N43" t="str">
        <f t="shared" si="1"/>
        <v>WARNING</v>
      </c>
      <c r="O43" t="str">
        <f t="shared" si="2"/>
        <v>LOW STOCK COVER</v>
      </c>
      <c r="P43" t="str" cm="1">
        <f t="array" ref="P43">_xlfn.SWITCH(O43,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3" t="str" cm="1">
        <f t="array" ref="Q43">_xlfn.SWITCH(O43,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3" t="str" cm="1">
        <f t="array" ref="R43">_xlfn.SWITCH(P43,
"Inventory / Service","Operations / Planning",
"Material Supply","Materials / Procurement",
"Capacity","Production / Planning",
"Production Execution","Production",
"Inventory","Operations / Planning",
"Demand Planning","Commercial / Planning",
"None","None",
"Operations")</f>
        <v>Operations / Planning</v>
      </c>
    </row>
    <row r="44" spans="1:18">
      <c r="A44" s="30">
        <f>Weekly_Inventory_Flow!A44</f>
        <v>46083</v>
      </c>
      <c r="B44" s="13" t="str">
        <f>Weekly_Inventory_Flow!B44</f>
        <v>P003</v>
      </c>
      <c r="C44" s="25">
        <f>IF(SUMIFS(Weekly_Product_Demand!$C:$C,Weekly_Product_Demand!$A:$A,A44,Weekly_Product_Demand!$B:$B,B44)=0,0,
(SUMIFS(Weekly_Product_Demand!$D:$D,Weekly_Product_Demand!$A:$A,A44,Weekly_Product_Demand!$B:$B,B44)-
SUMIFS(Weekly_Product_Demand!$C:$C,Weekly_Product_Demand!$A:$A,A44,Weekly_Product_Demand!$B:$B,B44))/
SUMIFS(Weekly_Product_Demand!$C:$C,Weekly_Product_Demand!$A:$A,A44,Weekly_Product_Demand!$B:$B,B44))</f>
        <v>-3.9558417663293471E-3</v>
      </c>
      <c r="D44" s="25">
        <f>SUMIFS(Weekly_Inventory_Flow!$Q:$Q,Weekly_Inventory_Flow!$A:$A,A44,Weekly_Inventory_Flow!$B:$B,B44)</f>
        <v>0.99</v>
      </c>
      <c r="E44" s="26">
        <f>SUMIFS(Weekly_Inventory_Flow!$S:$S,Weekly_Inventory_Flow!$A:$A,A44,Weekly_Inventory_Flow!$B:$B,B44)</f>
        <v>1.9583448785443798</v>
      </c>
      <c r="F44" s="27">
        <f>SUMIFS(Weekly_Inventory_Flow!$N:$N,Weekly_Inventory_Flow!$A:$A,A44,Weekly_Inventory_Flow!$B:$B,B44)</f>
        <v>0</v>
      </c>
      <c r="G44" s="13" t="str">
        <f>_xlfn.XLOOKUP(B44,Product_Line_Map!$A$2:$A$6,Product_Line_Map!$B$2:$B$6,"")</f>
        <v>L03</v>
      </c>
      <c r="H44" s="25">
        <f>SUMIFS(Weekly_Line_Capacity!$J:$J,Weekly_Line_Capacity!$A:$A,A44,Weekly_Line_Capacity!$B:$B,G44)</f>
        <v>0.47619047619047622</v>
      </c>
      <c r="I44" s="27">
        <f>SUMIFS(Weekly_Line_Capacity!$K:$K,Weekly_Line_Capacity!$A:$A,A44,Weekly_Line_Capacity!$B:$B,G44)</f>
        <v>0</v>
      </c>
      <c r="J44" s="13" t="str" cm="1">
        <f t="array" ref="J44">_xlfn.XLOOKUP(1,(Weekly_Line_Capacity!$A$2:$A$157=A44)*(Weekly_Line_Capacity!$B$2:$B$157=G44),Weekly_Line_Capacity!$L$2:$L$157,"")</f>
        <v>WITHIN CAPACITY</v>
      </c>
      <c r="K44" s="13" t="str">
        <f>_xlfn.XLOOKUP(B44,BOM!$A$2:$A$21,BOM!$B$2:$B$21,"")</f>
        <v>M003</v>
      </c>
      <c r="L44" s="27">
        <f>SUMIFS(Weekly_Material_Inventory!$K:$K,Weekly_Material_Inventory!$A:$A,A44,Weekly_Material_Inventory!$B:$B,K44)</f>
        <v>0</v>
      </c>
      <c r="M44">
        <f t="shared" si="0"/>
        <v>1</v>
      </c>
      <c r="N44" t="str">
        <f t="shared" si="1"/>
        <v>WARNING</v>
      </c>
      <c r="O44" t="str">
        <f t="shared" si="2"/>
        <v>LOW STOCK COVER</v>
      </c>
      <c r="P44" t="str" cm="1">
        <f t="array" ref="P44">_xlfn.SWITCH(O44,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4" t="str" cm="1">
        <f t="array" ref="Q44">_xlfn.SWITCH(O44,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4" t="str" cm="1">
        <f t="array" ref="R44">_xlfn.SWITCH(P44,
"Inventory / Service","Operations / Planning",
"Material Supply","Materials / Procurement",
"Capacity","Production / Planning",
"Production Execution","Production",
"Inventory","Operations / Planning",
"Demand Planning","Commercial / Planning",
"None","None",
"Operations")</f>
        <v>Operations / Planning</v>
      </c>
    </row>
    <row r="45" spans="1:18">
      <c r="A45" s="30">
        <f>Weekly_Inventory_Flow!A45</f>
        <v>46083</v>
      </c>
      <c r="B45" s="13" t="str">
        <f>Weekly_Inventory_Flow!B45</f>
        <v>P004</v>
      </c>
      <c r="C45" s="25">
        <f>IF(SUMIFS(Weekly_Product_Demand!$C:$C,Weekly_Product_Demand!$A:$A,A45,Weekly_Product_Demand!$B:$B,B45)=0,0,
(SUMIFS(Weekly_Product_Demand!$D:$D,Weekly_Product_Demand!$A:$A,A45,Weekly_Product_Demand!$B:$B,B45)-
SUMIFS(Weekly_Product_Demand!$C:$C,Weekly_Product_Demand!$A:$A,A45,Weekly_Product_Demand!$B:$B,B45))/
SUMIFS(Weekly_Product_Demand!$C:$C,Weekly_Product_Demand!$A:$A,A45,Weekly_Product_Demand!$B:$B,B45))</f>
        <v>-7.9715061058344642E-3</v>
      </c>
      <c r="D45" s="25">
        <f>SUMIFS(Weekly_Inventory_Flow!$Q:$Q,Weekly_Inventory_Flow!$A:$A,A45,Weekly_Inventory_Flow!$B:$B,B45)</f>
        <v>1</v>
      </c>
      <c r="E45" s="26">
        <f>SUMIFS(Weekly_Inventory_Flow!$S:$S,Weekly_Inventory_Flow!$A:$A,A45,Weekly_Inventory_Flow!$B:$B,B45)</f>
        <v>2.0016242092665415</v>
      </c>
      <c r="F45" s="27">
        <f>SUMIFS(Weekly_Inventory_Flow!$N:$N,Weekly_Inventory_Flow!$A:$A,A45,Weekly_Inventory_Flow!$B:$B,B45)</f>
        <v>0</v>
      </c>
      <c r="G45" s="13" t="str">
        <f>_xlfn.XLOOKUP(B45,Product_Line_Map!$A$2:$A$6,Product_Line_Map!$B$2:$B$6,"")</f>
        <v>L02</v>
      </c>
      <c r="H45" s="25">
        <f>SUMIFS(Weekly_Line_Capacity!$J:$J,Weekly_Line_Capacity!$A:$A,A45,Weekly_Line_Capacity!$B:$B,G45)</f>
        <v>0.46857142857142853</v>
      </c>
      <c r="I45" s="27">
        <f>SUMIFS(Weekly_Line_Capacity!$K:$K,Weekly_Line_Capacity!$A:$A,A45,Weekly_Line_Capacity!$B:$B,G45)</f>
        <v>0</v>
      </c>
      <c r="J45" s="13" t="str" cm="1">
        <f t="array" ref="J45">_xlfn.XLOOKUP(1,(Weekly_Line_Capacity!$A$2:$A$157=A45)*(Weekly_Line_Capacity!$B$2:$B$157=G45),Weekly_Line_Capacity!$L$2:$L$157,"")</f>
        <v>WITHIN CAPACITY</v>
      </c>
      <c r="K45" s="13" t="str">
        <f>_xlfn.XLOOKUP(B45,BOM!$A$2:$A$21,BOM!$B$2:$B$21,"")</f>
        <v>M004</v>
      </c>
      <c r="L45" s="27">
        <f>SUMIFS(Weekly_Material_Inventory!$K:$K,Weekly_Material_Inventory!$A:$A,A45,Weekly_Material_Inventory!$B:$B,K45)</f>
        <v>0</v>
      </c>
      <c r="M45">
        <f t="shared" si="0"/>
        <v>0</v>
      </c>
      <c r="N45" t="str">
        <f t="shared" si="1"/>
        <v>OK</v>
      </c>
      <c r="O45" t="str">
        <f t="shared" si="2"/>
        <v>NONE</v>
      </c>
      <c r="P45" t="str" cm="1">
        <f t="array" ref="P45">_xlfn.SWITCH(O45,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45" t="str" cm="1">
        <f t="array" ref="Q45">_xlfn.SWITCH(O45,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45" t="str" cm="1">
        <f t="array" ref="R45">_xlfn.SWITCH(P45,
"Inventory / Service","Operations / Planning",
"Material Supply","Materials / Procurement",
"Capacity","Production / Planning",
"Production Execution","Production",
"Inventory","Operations / Planning",
"Demand Planning","Commercial / Planning",
"None","None",
"Operations")</f>
        <v>None</v>
      </c>
    </row>
    <row r="46" spans="1:18">
      <c r="A46" s="30">
        <f>Weekly_Inventory_Flow!A46</f>
        <v>46083</v>
      </c>
      <c r="B46" s="13" t="str">
        <f>Weekly_Inventory_Flow!B46</f>
        <v>P005</v>
      </c>
      <c r="C46" s="25">
        <f>IF(SUMIFS(Weekly_Product_Demand!$C:$C,Weekly_Product_Demand!$A:$A,A46,Weekly_Product_Demand!$B:$B,B46)=0,0,
(SUMIFS(Weekly_Product_Demand!$D:$D,Weekly_Product_Demand!$A:$A,A46,Weekly_Product_Demand!$B:$B,B46)-
SUMIFS(Weekly_Product_Demand!$C:$C,Weekly_Product_Demand!$A:$A,A46,Weekly_Product_Demand!$B:$B,B46))/
SUMIFS(Weekly_Product_Demand!$C:$C,Weekly_Product_Demand!$A:$A,A46,Weekly_Product_Demand!$B:$B,B46))</f>
        <v>8.4320875113947126E-3</v>
      </c>
      <c r="D46" s="25">
        <f>SUMIFS(Weekly_Inventory_Flow!$Q:$Q,Weekly_Inventory_Flow!$A:$A,A46,Weekly_Inventory_Flow!$B:$B,B46)</f>
        <v>0.99</v>
      </c>
      <c r="E46" s="26">
        <f>SUMIFS(Weekly_Inventory_Flow!$S:$S,Weekly_Inventory_Flow!$A:$A,A46,Weekly_Inventory_Flow!$B:$B,B46)</f>
        <v>1.9615819209039549</v>
      </c>
      <c r="F46" s="27">
        <f>SUMIFS(Weekly_Inventory_Flow!$N:$N,Weekly_Inventory_Flow!$A:$A,A46,Weekly_Inventory_Flow!$B:$B,B46)</f>
        <v>0</v>
      </c>
      <c r="G46" s="13" t="str">
        <f>_xlfn.XLOOKUP(B46,Product_Line_Map!$A$2:$A$6,Product_Line_Map!$B$2:$B$6,"")</f>
        <v>L03</v>
      </c>
      <c r="H46" s="25">
        <f>SUMIFS(Weekly_Line_Capacity!$J:$J,Weekly_Line_Capacity!$A:$A,A46,Weekly_Line_Capacity!$B:$B,G46)</f>
        <v>0.47619047619047622</v>
      </c>
      <c r="I46" s="27">
        <f>SUMIFS(Weekly_Line_Capacity!$K:$K,Weekly_Line_Capacity!$A:$A,A46,Weekly_Line_Capacity!$B:$B,G46)</f>
        <v>0</v>
      </c>
      <c r="J46" s="13" t="str" cm="1">
        <f t="array" ref="J46">_xlfn.XLOOKUP(1,(Weekly_Line_Capacity!$A$2:$A$157=A46)*(Weekly_Line_Capacity!$B$2:$B$157=G46),Weekly_Line_Capacity!$L$2:$L$157,"")</f>
        <v>WITHIN CAPACITY</v>
      </c>
      <c r="K46" s="13" t="str">
        <f>_xlfn.XLOOKUP(B46,BOM!$A$2:$A$21,BOM!$B$2:$B$21,"")</f>
        <v>M005</v>
      </c>
      <c r="L46" s="27">
        <f>SUMIFS(Weekly_Material_Inventory!$K:$K,Weekly_Material_Inventory!$A:$A,A46,Weekly_Material_Inventory!$B:$B,K46)</f>
        <v>0</v>
      </c>
      <c r="M46">
        <f t="shared" si="0"/>
        <v>1</v>
      </c>
      <c r="N46" t="str">
        <f t="shared" si="1"/>
        <v>WARNING</v>
      </c>
      <c r="O46" t="str">
        <f t="shared" si="2"/>
        <v>LOW STOCK COVER</v>
      </c>
      <c r="P46" t="str" cm="1">
        <f t="array" ref="P46">_xlfn.SWITCH(O46,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6" t="str" cm="1">
        <f t="array" ref="Q46">_xlfn.SWITCH(O46,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6" t="str" cm="1">
        <f t="array" ref="R46">_xlfn.SWITCH(P46,
"Inventory / Service","Operations / Planning",
"Material Supply","Materials / Procurement",
"Capacity","Production / Planning",
"Production Execution","Production",
"Inventory","Operations / Planning",
"Demand Planning","Commercial / Planning",
"None","None",
"Operations")</f>
        <v>Operations / Planning</v>
      </c>
    </row>
    <row r="47" spans="1:18">
      <c r="A47" s="30">
        <f>Weekly_Inventory_Flow!A47</f>
        <v>46090</v>
      </c>
      <c r="B47" s="13" t="str">
        <f>Weekly_Inventory_Flow!B47</f>
        <v>P001</v>
      </c>
      <c r="C47" s="25">
        <f>IF(SUMIFS(Weekly_Product_Demand!$C:$C,Weekly_Product_Demand!$A:$A,A47,Weekly_Product_Demand!$B:$B,B47)=0,0,
(SUMIFS(Weekly_Product_Demand!$D:$D,Weekly_Product_Demand!$A:$A,A47,Weekly_Product_Demand!$B:$B,B47)-
SUMIFS(Weekly_Product_Demand!$C:$C,Weekly_Product_Demand!$A:$A,A47,Weekly_Product_Demand!$B:$B,B47))/
SUMIFS(Weekly_Product_Demand!$C:$C,Weekly_Product_Demand!$A:$A,A47,Weekly_Product_Demand!$B:$B,B47))</f>
        <v>-1.074523396880416E-2</v>
      </c>
      <c r="D47" s="25">
        <f>SUMIFS(Weekly_Inventory_Flow!$Q:$Q,Weekly_Inventory_Flow!$A:$A,A47,Weekly_Inventory_Flow!$B:$B,B47)</f>
        <v>0.99</v>
      </c>
      <c r="E47" s="26">
        <f>SUMIFS(Weekly_Inventory_Flow!$S:$S,Weekly_Inventory_Flow!$A:$A,A47,Weekly_Inventory_Flow!$B:$B,B47)</f>
        <v>1.9754029432375613</v>
      </c>
      <c r="F47" s="27">
        <f>SUMIFS(Weekly_Inventory_Flow!$N:$N,Weekly_Inventory_Flow!$A:$A,A47,Weekly_Inventory_Flow!$B:$B,B47)</f>
        <v>0</v>
      </c>
      <c r="G47" s="13" t="str">
        <f>_xlfn.XLOOKUP(B47,Product_Line_Map!$A$2:$A$6,Product_Line_Map!$B$2:$B$6,"")</f>
        <v>L01</v>
      </c>
      <c r="H47" s="25">
        <f>SUMIFS(Weekly_Line_Capacity!$J:$J,Weekly_Line_Capacity!$A:$A,A47,Weekly_Line_Capacity!$B:$B,G47)</f>
        <v>0.21491228070175436</v>
      </c>
      <c r="I47" s="27">
        <f>SUMIFS(Weekly_Line_Capacity!$K:$K,Weekly_Line_Capacity!$A:$A,A47,Weekly_Line_Capacity!$B:$B,G47)</f>
        <v>0</v>
      </c>
      <c r="J47" s="13" t="str" cm="1">
        <f t="array" ref="J47">_xlfn.XLOOKUP(1,(Weekly_Line_Capacity!$A$2:$A$157=A47)*(Weekly_Line_Capacity!$B$2:$B$157=G47),Weekly_Line_Capacity!$L$2:$L$157,"")</f>
        <v>WITHIN CAPACITY</v>
      </c>
      <c r="K47" s="13" t="str">
        <f>_xlfn.XLOOKUP(B47,BOM!$A$2:$A$21,BOM!$B$2:$B$21,"")</f>
        <v>M001</v>
      </c>
      <c r="L47" s="27">
        <f>SUMIFS(Weekly_Material_Inventory!$K:$K,Weekly_Material_Inventory!$A:$A,A47,Weekly_Material_Inventory!$B:$B,K47)</f>
        <v>0</v>
      </c>
      <c r="M47">
        <f t="shared" si="0"/>
        <v>1</v>
      </c>
      <c r="N47" t="str">
        <f t="shared" si="1"/>
        <v>WARNING</v>
      </c>
      <c r="O47" t="str">
        <f t="shared" si="2"/>
        <v>LOW STOCK COVER</v>
      </c>
      <c r="P47" t="str" cm="1">
        <f t="array" ref="P47">_xlfn.SWITCH(O47,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7" t="str" cm="1">
        <f t="array" ref="Q47">_xlfn.SWITCH(O47,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7" t="str" cm="1">
        <f t="array" ref="R47">_xlfn.SWITCH(P47,
"Inventory / Service","Operations / Planning",
"Material Supply","Materials / Procurement",
"Capacity","Production / Planning",
"Production Execution","Production",
"Inventory","Operations / Planning",
"Demand Planning","Commercial / Planning",
"None","None",
"Operations")</f>
        <v>Operations / Planning</v>
      </c>
    </row>
    <row r="48" spans="1:18">
      <c r="A48" s="30">
        <f>Weekly_Inventory_Flow!A48</f>
        <v>46090</v>
      </c>
      <c r="B48" s="13" t="str">
        <f>Weekly_Inventory_Flow!B48</f>
        <v>P002</v>
      </c>
      <c r="C48" s="25">
        <f>IF(SUMIFS(Weekly_Product_Demand!$C:$C,Weekly_Product_Demand!$A:$A,A48,Weekly_Product_Demand!$B:$B,B48)=0,0,
(SUMIFS(Weekly_Product_Demand!$D:$D,Weekly_Product_Demand!$A:$A,A48,Weekly_Product_Demand!$B:$B,B48)-
SUMIFS(Weekly_Product_Demand!$C:$C,Weekly_Product_Demand!$A:$A,A48,Weekly_Product_Demand!$B:$B,B48))/
SUMIFS(Weekly_Product_Demand!$C:$C,Weekly_Product_Demand!$A:$A,A48,Weekly_Product_Demand!$B:$B,B48))</f>
        <v>3.1535538125656991E-3</v>
      </c>
      <c r="D48" s="25">
        <f>SUMIFS(Weekly_Inventory_Flow!$Q:$Q,Weekly_Inventory_Flow!$A:$A,A48,Weekly_Inventory_Flow!$B:$B,B48)</f>
        <v>1.01</v>
      </c>
      <c r="E48" s="26">
        <f>SUMIFS(Weekly_Inventory_Flow!$S:$S,Weekly_Inventory_Flow!$A:$A,A48,Weekly_Inventory_Flow!$B:$B,B48)</f>
        <v>2.1260680315976139</v>
      </c>
      <c r="F48" s="27">
        <f>SUMIFS(Weekly_Inventory_Flow!$N:$N,Weekly_Inventory_Flow!$A:$A,A48,Weekly_Inventory_Flow!$B:$B,B48)</f>
        <v>0</v>
      </c>
      <c r="G48" s="13" t="str">
        <f>_xlfn.XLOOKUP(B48,Product_Line_Map!$A$2:$A$6,Product_Line_Map!$B$2:$B$6,"")</f>
        <v>L02</v>
      </c>
      <c r="H48" s="25">
        <f>SUMIFS(Weekly_Line_Capacity!$J:$J,Weekly_Line_Capacity!$A:$A,A48,Weekly_Line_Capacity!$B:$B,G48)</f>
        <v>0.45142857142857146</v>
      </c>
      <c r="I48" s="27">
        <f>SUMIFS(Weekly_Line_Capacity!$K:$K,Weekly_Line_Capacity!$A:$A,A48,Weekly_Line_Capacity!$B:$B,G48)</f>
        <v>0</v>
      </c>
      <c r="J48" s="13" t="str" cm="1">
        <f t="array" ref="J48">_xlfn.XLOOKUP(1,(Weekly_Line_Capacity!$A$2:$A$157=A48)*(Weekly_Line_Capacity!$B$2:$B$157=G48),Weekly_Line_Capacity!$L$2:$L$157,"")</f>
        <v>WITHIN CAPACITY</v>
      </c>
      <c r="K48" s="13" t="str">
        <f>_xlfn.XLOOKUP(B48,BOM!$A$2:$A$21,BOM!$B$2:$B$21,"")</f>
        <v>M002</v>
      </c>
      <c r="L48" s="27">
        <f>SUMIFS(Weekly_Material_Inventory!$K:$K,Weekly_Material_Inventory!$A:$A,A48,Weekly_Material_Inventory!$B:$B,K48)</f>
        <v>0</v>
      </c>
      <c r="M48">
        <f t="shared" si="0"/>
        <v>0</v>
      </c>
      <c r="N48" t="str">
        <f t="shared" si="1"/>
        <v>OK</v>
      </c>
      <c r="O48" t="str">
        <f t="shared" si="2"/>
        <v>NONE</v>
      </c>
      <c r="P48" t="str" cm="1">
        <f t="array" ref="P48">_xlfn.SWITCH(O48,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48" t="str" cm="1">
        <f t="array" ref="Q48">_xlfn.SWITCH(O48,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48" t="str" cm="1">
        <f t="array" ref="R48">_xlfn.SWITCH(P48,
"Inventory / Service","Operations / Planning",
"Material Supply","Materials / Procurement",
"Capacity","Production / Planning",
"Production Execution","Production",
"Inventory","Operations / Planning",
"Demand Planning","Commercial / Planning",
"None","None",
"Operations")</f>
        <v>None</v>
      </c>
    </row>
    <row r="49" spans="1:18">
      <c r="A49" s="30">
        <f>Weekly_Inventory_Flow!A49</f>
        <v>46090</v>
      </c>
      <c r="B49" s="13" t="str">
        <f>Weekly_Inventory_Flow!B49</f>
        <v>P003</v>
      </c>
      <c r="C49" s="25">
        <f>IF(SUMIFS(Weekly_Product_Demand!$C:$C,Weekly_Product_Demand!$A:$A,A49,Weekly_Product_Demand!$B:$B,B49)=0,0,
(SUMIFS(Weekly_Product_Demand!$D:$D,Weekly_Product_Demand!$A:$A,A49,Weekly_Product_Demand!$B:$B,B49)-
SUMIFS(Weekly_Product_Demand!$C:$C,Weekly_Product_Demand!$A:$A,A49,Weekly_Product_Demand!$B:$B,B49))/
SUMIFS(Weekly_Product_Demand!$C:$C,Weekly_Product_Demand!$A:$A,A49,Weekly_Product_Demand!$B:$B,B49))</f>
        <v>8.482223425374481E-3</v>
      </c>
      <c r="D49" s="25">
        <f>SUMIFS(Weekly_Inventory_Flow!$Q:$Q,Weekly_Inventory_Flow!$A:$A,A49,Weekly_Inventory_Flow!$B:$B,B49)</f>
        <v>0.99</v>
      </c>
      <c r="E49" s="26">
        <f>SUMIFS(Weekly_Inventory_Flow!$S:$S,Weekly_Inventory_Flow!$A:$A,A49,Weekly_Inventory_Flow!$B:$B,B49)</f>
        <v>1.9660880458124552</v>
      </c>
      <c r="F49" s="27">
        <f>SUMIFS(Weekly_Inventory_Flow!$N:$N,Weekly_Inventory_Flow!$A:$A,A49,Weekly_Inventory_Flow!$B:$B,B49)</f>
        <v>0</v>
      </c>
      <c r="G49" s="13" t="str">
        <f>_xlfn.XLOOKUP(B49,Product_Line_Map!$A$2:$A$6,Product_Line_Map!$B$2:$B$6,"")</f>
        <v>L03</v>
      </c>
      <c r="H49" s="25">
        <f>SUMIFS(Weekly_Line_Capacity!$J:$J,Weekly_Line_Capacity!$A:$A,A49,Weekly_Line_Capacity!$B:$B,G49)</f>
        <v>0.47619047619047622</v>
      </c>
      <c r="I49" s="27">
        <f>SUMIFS(Weekly_Line_Capacity!$K:$K,Weekly_Line_Capacity!$A:$A,A49,Weekly_Line_Capacity!$B:$B,G49)</f>
        <v>0</v>
      </c>
      <c r="J49" s="13" t="str" cm="1">
        <f t="array" ref="J49">_xlfn.XLOOKUP(1,(Weekly_Line_Capacity!$A$2:$A$157=A49)*(Weekly_Line_Capacity!$B$2:$B$157=G49),Weekly_Line_Capacity!$L$2:$L$157,"")</f>
        <v>WITHIN CAPACITY</v>
      </c>
      <c r="K49" s="13" t="str">
        <f>_xlfn.XLOOKUP(B49,BOM!$A$2:$A$21,BOM!$B$2:$B$21,"")</f>
        <v>M003</v>
      </c>
      <c r="L49" s="27">
        <f>SUMIFS(Weekly_Material_Inventory!$K:$K,Weekly_Material_Inventory!$A:$A,A49,Weekly_Material_Inventory!$B:$B,K49)</f>
        <v>0</v>
      </c>
      <c r="M49">
        <f t="shared" si="0"/>
        <v>1</v>
      </c>
      <c r="N49" t="str">
        <f t="shared" si="1"/>
        <v>WARNING</v>
      </c>
      <c r="O49" t="str">
        <f t="shared" si="2"/>
        <v>LOW STOCK COVER</v>
      </c>
      <c r="P49" t="str" cm="1">
        <f t="array" ref="P49">_xlfn.SWITCH(O49,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49" t="str" cm="1">
        <f t="array" ref="Q49">_xlfn.SWITCH(O49,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49" t="str" cm="1">
        <f t="array" ref="R49">_xlfn.SWITCH(P49,
"Inventory / Service","Operations / Planning",
"Material Supply","Materials / Procurement",
"Capacity","Production / Planning",
"Production Execution","Production",
"Inventory","Operations / Planning",
"Demand Planning","Commercial / Planning",
"None","None",
"Operations")</f>
        <v>Operations / Planning</v>
      </c>
    </row>
    <row r="50" spans="1:18">
      <c r="A50" s="30">
        <f>Weekly_Inventory_Flow!A50</f>
        <v>46090</v>
      </c>
      <c r="B50" s="13" t="str">
        <f>Weekly_Inventory_Flow!B50</f>
        <v>P004</v>
      </c>
      <c r="C50" s="25">
        <f>IF(SUMIFS(Weekly_Product_Demand!$C:$C,Weekly_Product_Demand!$A:$A,A50,Weekly_Product_Demand!$B:$B,B50)=0,0,
(SUMIFS(Weekly_Product_Demand!$D:$D,Weekly_Product_Demand!$A:$A,A50,Weekly_Product_Demand!$B:$B,B50)-
SUMIFS(Weekly_Product_Demand!$C:$C,Weekly_Product_Demand!$A:$A,A50,Weekly_Product_Demand!$B:$B,B50))/
SUMIFS(Weekly_Product_Demand!$C:$C,Weekly_Product_Demand!$A:$A,A50,Weekly_Product_Demand!$B:$B,B50))</f>
        <v>-3.9200548979241724E-2</v>
      </c>
      <c r="D50" s="25">
        <f>SUMIFS(Weekly_Inventory_Flow!$Q:$Q,Weekly_Inventory_Flow!$A:$A,A50,Weekly_Inventory_Flow!$B:$B,B50)</f>
        <v>0.99</v>
      </c>
      <c r="E50" s="26">
        <f>SUMIFS(Weekly_Inventory_Flow!$S:$S,Weekly_Inventory_Flow!$A:$A,A50,Weekly_Inventory_Flow!$B:$B,B50)</f>
        <v>1.9579501830193733</v>
      </c>
      <c r="F50" s="27">
        <f>SUMIFS(Weekly_Inventory_Flow!$N:$N,Weekly_Inventory_Flow!$A:$A,A50,Weekly_Inventory_Flow!$B:$B,B50)</f>
        <v>0</v>
      </c>
      <c r="G50" s="13" t="str">
        <f>_xlfn.XLOOKUP(B50,Product_Line_Map!$A$2:$A$6,Product_Line_Map!$B$2:$B$6,"")</f>
        <v>L02</v>
      </c>
      <c r="H50" s="25">
        <f>SUMIFS(Weekly_Line_Capacity!$J:$J,Weekly_Line_Capacity!$A:$A,A50,Weekly_Line_Capacity!$B:$B,G50)</f>
        <v>0.45142857142857146</v>
      </c>
      <c r="I50" s="27">
        <f>SUMIFS(Weekly_Line_Capacity!$K:$K,Weekly_Line_Capacity!$A:$A,A50,Weekly_Line_Capacity!$B:$B,G50)</f>
        <v>0</v>
      </c>
      <c r="J50" s="13" t="str" cm="1">
        <f t="array" ref="J50">_xlfn.XLOOKUP(1,(Weekly_Line_Capacity!$A$2:$A$157=A50)*(Weekly_Line_Capacity!$B$2:$B$157=G50),Weekly_Line_Capacity!$L$2:$L$157,"")</f>
        <v>WITHIN CAPACITY</v>
      </c>
      <c r="K50" s="13" t="str">
        <f>_xlfn.XLOOKUP(B50,BOM!$A$2:$A$21,BOM!$B$2:$B$21,"")</f>
        <v>M004</v>
      </c>
      <c r="L50" s="27">
        <f>SUMIFS(Weekly_Material_Inventory!$K:$K,Weekly_Material_Inventory!$A:$A,A50,Weekly_Material_Inventory!$B:$B,K50)</f>
        <v>0</v>
      </c>
      <c r="M50">
        <f t="shared" si="0"/>
        <v>1</v>
      </c>
      <c r="N50" t="str">
        <f t="shared" si="1"/>
        <v>WARNING</v>
      </c>
      <c r="O50" t="str">
        <f t="shared" si="2"/>
        <v>LOW STOCK COVER</v>
      </c>
      <c r="P50" t="str" cm="1">
        <f t="array" ref="P50">_xlfn.SWITCH(O50,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50" t="str" cm="1">
        <f t="array" ref="Q50">_xlfn.SWITCH(O50,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50" t="str" cm="1">
        <f t="array" ref="R50">_xlfn.SWITCH(P50,
"Inventory / Service","Operations / Planning",
"Material Supply","Materials / Procurement",
"Capacity","Production / Planning",
"Production Execution","Production",
"Inventory","Operations / Planning",
"Demand Planning","Commercial / Planning",
"None","None",
"Operations")</f>
        <v>Operations / Planning</v>
      </c>
    </row>
    <row r="51" spans="1:18">
      <c r="A51" s="30">
        <f>Weekly_Inventory_Flow!A51</f>
        <v>46090</v>
      </c>
      <c r="B51" s="13" t="str">
        <f>Weekly_Inventory_Flow!B51</f>
        <v>P005</v>
      </c>
      <c r="C51" s="25">
        <f>IF(SUMIFS(Weekly_Product_Demand!$C:$C,Weekly_Product_Demand!$A:$A,A51,Weekly_Product_Demand!$B:$B,B51)=0,0,
(SUMIFS(Weekly_Product_Demand!$D:$D,Weekly_Product_Demand!$A:$A,A51,Weekly_Product_Demand!$B:$B,B51)-
SUMIFS(Weekly_Product_Demand!$C:$C,Weekly_Product_Demand!$A:$A,A51,Weekly_Product_Demand!$B:$B,B51))/
SUMIFS(Weekly_Product_Demand!$C:$C,Weekly_Product_Demand!$A:$A,A51,Weekly_Product_Demand!$B:$B,B51))</f>
        <v>-3.9319995374118193E-3</v>
      </c>
      <c r="D51" s="25">
        <f>SUMIFS(Weekly_Inventory_Flow!$Q:$Q,Weekly_Inventory_Flow!$A:$A,A51,Weekly_Inventory_Flow!$B:$B,B51)</f>
        <v>1.01</v>
      </c>
      <c r="E51" s="26">
        <f>SUMIFS(Weekly_Inventory_Flow!$S:$S,Weekly_Inventory_Flow!$A:$A,A51,Weekly_Inventory_Flow!$B:$B,B51)</f>
        <v>2.0748867990247302</v>
      </c>
      <c r="F51" s="27">
        <f>SUMIFS(Weekly_Inventory_Flow!$N:$N,Weekly_Inventory_Flow!$A:$A,A51,Weekly_Inventory_Flow!$B:$B,B51)</f>
        <v>0</v>
      </c>
      <c r="G51" s="13" t="str">
        <f>_xlfn.XLOOKUP(B51,Product_Line_Map!$A$2:$A$6,Product_Line_Map!$B$2:$B$6,"")</f>
        <v>L03</v>
      </c>
      <c r="H51" s="25">
        <f>SUMIFS(Weekly_Line_Capacity!$J:$J,Weekly_Line_Capacity!$A:$A,A51,Weekly_Line_Capacity!$B:$B,G51)</f>
        <v>0.47619047619047622</v>
      </c>
      <c r="I51" s="27">
        <f>SUMIFS(Weekly_Line_Capacity!$K:$K,Weekly_Line_Capacity!$A:$A,A51,Weekly_Line_Capacity!$B:$B,G51)</f>
        <v>0</v>
      </c>
      <c r="J51" s="13" t="str" cm="1">
        <f t="array" ref="J51">_xlfn.XLOOKUP(1,(Weekly_Line_Capacity!$A$2:$A$157=A51)*(Weekly_Line_Capacity!$B$2:$B$157=G51),Weekly_Line_Capacity!$L$2:$L$157,"")</f>
        <v>WITHIN CAPACITY</v>
      </c>
      <c r="K51" s="13" t="str">
        <f>_xlfn.XLOOKUP(B51,BOM!$A$2:$A$21,BOM!$B$2:$B$21,"")</f>
        <v>M005</v>
      </c>
      <c r="L51" s="27">
        <f>SUMIFS(Weekly_Material_Inventory!$K:$K,Weekly_Material_Inventory!$A:$A,A51,Weekly_Material_Inventory!$B:$B,K51)</f>
        <v>0</v>
      </c>
      <c r="M51">
        <f t="shared" si="0"/>
        <v>0</v>
      </c>
      <c r="N51" t="str">
        <f t="shared" si="1"/>
        <v>OK</v>
      </c>
      <c r="O51" t="str">
        <f t="shared" si="2"/>
        <v>NONE</v>
      </c>
      <c r="P51" t="str" cm="1">
        <f t="array" ref="P51">_xlfn.SWITCH(O51,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51" t="str" cm="1">
        <f t="array" ref="Q51">_xlfn.SWITCH(O51,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51" t="str" cm="1">
        <f t="array" ref="R51">_xlfn.SWITCH(P51,
"Inventory / Service","Operations / Planning",
"Material Supply","Materials / Procurement",
"Capacity","Production / Planning",
"Production Execution","Production",
"Inventory","Operations / Planning",
"Demand Planning","Commercial / Planning",
"None","None",
"Operations")</f>
        <v>None</v>
      </c>
    </row>
    <row r="52" spans="1:18">
      <c r="A52" s="30">
        <f>Weekly_Inventory_Flow!A52</f>
        <v>46097</v>
      </c>
      <c r="B52" s="13" t="str">
        <f>Weekly_Inventory_Flow!B52</f>
        <v>P001</v>
      </c>
      <c r="C52" s="25">
        <f>IF(SUMIFS(Weekly_Product_Demand!$C:$C,Weekly_Product_Demand!$A:$A,A52,Weekly_Product_Demand!$B:$B,B52)=0,0,
(SUMIFS(Weekly_Product_Demand!$D:$D,Weekly_Product_Demand!$A:$A,A52,Weekly_Product_Demand!$B:$B,B52)-
SUMIFS(Weekly_Product_Demand!$C:$C,Weekly_Product_Demand!$A:$A,A52,Weekly_Product_Demand!$B:$B,B52))/
SUMIFS(Weekly_Product_Demand!$C:$C,Weekly_Product_Demand!$A:$A,A52,Weekly_Product_Demand!$B:$B,B52))</f>
        <v>0.11923501795084231</v>
      </c>
      <c r="D52" s="25">
        <f>SUMIFS(Weekly_Inventory_Flow!$Q:$Q,Weekly_Inventory_Flow!$A:$A,A52,Weekly_Inventory_Flow!$B:$B,B52)</f>
        <v>1.02</v>
      </c>
      <c r="E52" s="26">
        <f>SUMIFS(Weekly_Inventory_Flow!$S:$S,Weekly_Inventory_Flow!$A:$A,A52,Weekly_Inventory_Flow!$B:$B,B52)</f>
        <v>2.1823453210782802</v>
      </c>
      <c r="F52" s="27">
        <f>SUMIFS(Weekly_Inventory_Flow!$N:$N,Weekly_Inventory_Flow!$A:$A,A52,Weekly_Inventory_Flow!$B:$B,B52)</f>
        <v>0</v>
      </c>
      <c r="G52" s="13" t="str">
        <f>_xlfn.XLOOKUP(B52,Product_Line_Map!$A$2:$A$6,Product_Line_Map!$B$2:$B$6,"")</f>
        <v>L01</v>
      </c>
      <c r="H52" s="25">
        <f>SUMIFS(Weekly_Line_Capacity!$J:$J,Weekly_Line_Capacity!$A:$A,A52,Weekly_Line_Capacity!$B:$B,G52)</f>
        <v>0.24707602339181287</v>
      </c>
      <c r="I52" s="27">
        <f>SUMIFS(Weekly_Line_Capacity!$K:$K,Weekly_Line_Capacity!$A:$A,A52,Weekly_Line_Capacity!$B:$B,G52)</f>
        <v>0</v>
      </c>
      <c r="J52" s="13" t="str" cm="1">
        <f t="array" ref="J52">_xlfn.XLOOKUP(1,(Weekly_Line_Capacity!$A$2:$A$157=A52)*(Weekly_Line_Capacity!$B$2:$B$157=G52),Weekly_Line_Capacity!$L$2:$L$157,"")</f>
        <v>WITHIN CAPACITY</v>
      </c>
      <c r="K52" s="13" t="str">
        <f>_xlfn.XLOOKUP(B52,BOM!$A$2:$A$21,BOM!$B$2:$B$21,"")</f>
        <v>M001</v>
      </c>
      <c r="L52" s="27">
        <f>SUMIFS(Weekly_Material_Inventory!$K:$K,Weekly_Material_Inventory!$A:$A,A52,Weekly_Material_Inventory!$B:$B,K52)</f>
        <v>0</v>
      </c>
      <c r="M52">
        <f t="shared" si="0"/>
        <v>2</v>
      </c>
      <c r="N52" t="str">
        <f t="shared" si="1"/>
        <v>WARNING</v>
      </c>
      <c r="O52" t="str">
        <f t="shared" si="2"/>
        <v>HIGH FORECAST VARIANCE</v>
      </c>
      <c r="P52" t="str" cm="1">
        <f t="array" ref="P52">_xlfn.SWITCH(O52,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Demand Planning</v>
      </c>
      <c r="Q52" t="str" cm="1">
        <f t="array" ref="Q52">_xlfn.SWITCH(O52,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forecast assumptions and customer demand changes</v>
      </c>
      <c r="R52" t="str" cm="1">
        <f t="array" ref="R52">_xlfn.SWITCH(P52,
"Inventory / Service","Operations / Planning",
"Material Supply","Materials / Procurement",
"Capacity","Production / Planning",
"Production Execution","Production",
"Inventory","Operations / Planning",
"Demand Planning","Commercial / Planning",
"None","None",
"Operations")</f>
        <v>Commercial / Planning</v>
      </c>
    </row>
    <row r="53" spans="1:18">
      <c r="A53" s="30">
        <f>Weekly_Inventory_Flow!A53</f>
        <v>46097</v>
      </c>
      <c r="B53" s="13" t="str">
        <f>Weekly_Inventory_Flow!B53</f>
        <v>P002</v>
      </c>
      <c r="C53" s="25">
        <f>IF(SUMIFS(Weekly_Product_Demand!$C:$C,Weekly_Product_Demand!$A:$A,A53,Weekly_Product_Demand!$B:$B,B53)=0,0,
(SUMIFS(Weekly_Product_Demand!$D:$D,Weekly_Product_Demand!$A:$A,A53,Weekly_Product_Demand!$B:$B,B53)-
SUMIFS(Weekly_Product_Demand!$C:$C,Weekly_Product_Demand!$A:$A,A53,Weekly_Product_Demand!$B:$B,B53))/
SUMIFS(Weekly_Product_Demand!$C:$C,Weekly_Product_Demand!$A:$A,A53,Weekly_Product_Demand!$B:$B,B53))</f>
        <v>6.8220579874928933E-3</v>
      </c>
      <c r="D53" s="25">
        <f>SUMIFS(Weekly_Inventory_Flow!$Q:$Q,Weekly_Inventory_Flow!$A:$A,A53,Weekly_Inventory_Flow!$B:$B,B53)</f>
        <v>1.02</v>
      </c>
      <c r="E53" s="26">
        <f>SUMIFS(Weekly_Inventory_Flow!$S:$S,Weekly_Inventory_Flow!$A:$A,A53,Weekly_Inventory_Flow!$B:$B,B53)</f>
        <v>2.1541501976284585</v>
      </c>
      <c r="F53" s="27">
        <f>SUMIFS(Weekly_Inventory_Flow!$N:$N,Weekly_Inventory_Flow!$A:$A,A53,Weekly_Inventory_Flow!$B:$B,B53)</f>
        <v>0</v>
      </c>
      <c r="G53" s="13" t="str">
        <f>_xlfn.XLOOKUP(B53,Product_Line_Map!$A$2:$A$6,Product_Line_Map!$B$2:$B$6,"")</f>
        <v>L02</v>
      </c>
      <c r="H53" s="25">
        <f>SUMIFS(Weekly_Line_Capacity!$J:$J,Weekly_Line_Capacity!$A:$A,A53,Weekly_Line_Capacity!$B:$B,G53)</f>
        <v>0.45904761904761904</v>
      </c>
      <c r="I53" s="27">
        <f>SUMIFS(Weekly_Line_Capacity!$K:$K,Weekly_Line_Capacity!$A:$A,A53,Weekly_Line_Capacity!$B:$B,G53)</f>
        <v>0</v>
      </c>
      <c r="J53" s="13" t="str" cm="1">
        <f t="array" ref="J53">_xlfn.XLOOKUP(1,(Weekly_Line_Capacity!$A$2:$A$157=A53)*(Weekly_Line_Capacity!$B$2:$B$157=G53),Weekly_Line_Capacity!$L$2:$L$157,"")</f>
        <v>WITHIN CAPACITY</v>
      </c>
      <c r="K53" s="13" t="str">
        <f>_xlfn.XLOOKUP(B53,BOM!$A$2:$A$21,BOM!$B$2:$B$21,"")</f>
        <v>M002</v>
      </c>
      <c r="L53" s="27">
        <f>SUMIFS(Weekly_Material_Inventory!$K:$K,Weekly_Material_Inventory!$A:$A,A53,Weekly_Material_Inventory!$B:$B,K53)</f>
        <v>0</v>
      </c>
      <c r="M53">
        <f t="shared" si="0"/>
        <v>0</v>
      </c>
      <c r="N53" t="str">
        <f t="shared" si="1"/>
        <v>OK</v>
      </c>
      <c r="O53" t="str">
        <f t="shared" si="2"/>
        <v>NONE</v>
      </c>
      <c r="P53" t="str" cm="1">
        <f t="array" ref="P53">_xlfn.SWITCH(O53,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53" t="str" cm="1">
        <f t="array" ref="Q53">_xlfn.SWITCH(O53,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53" t="str" cm="1">
        <f t="array" ref="R53">_xlfn.SWITCH(P53,
"Inventory / Service","Operations / Planning",
"Material Supply","Materials / Procurement",
"Capacity","Production / Planning",
"Production Execution","Production",
"Inventory","Operations / Planning",
"Demand Planning","Commercial / Planning",
"None","None",
"Operations")</f>
        <v>None</v>
      </c>
    </row>
    <row r="54" spans="1:18">
      <c r="A54" s="30">
        <f>Weekly_Inventory_Flow!A54</f>
        <v>46097</v>
      </c>
      <c r="B54" s="13" t="str">
        <f>Weekly_Inventory_Flow!B54</f>
        <v>P003</v>
      </c>
      <c r="C54" s="25">
        <f>IF(SUMIFS(Weekly_Product_Demand!$C:$C,Weekly_Product_Demand!$A:$A,A54,Weekly_Product_Demand!$B:$B,B54)=0,0,
(SUMIFS(Weekly_Product_Demand!$D:$D,Weekly_Product_Demand!$A:$A,A54,Weekly_Product_Demand!$B:$B,B54)-
SUMIFS(Weekly_Product_Demand!$C:$C,Weekly_Product_Demand!$A:$A,A54,Weekly_Product_Demand!$B:$B,B54))/
SUMIFS(Weekly_Product_Demand!$C:$C,Weekly_Product_Demand!$A:$A,A54,Weekly_Product_Demand!$B:$B,B54))</f>
        <v>1.0331150262890876E-2</v>
      </c>
      <c r="D54" s="25">
        <f>SUMIFS(Weekly_Inventory_Flow!$Q:$Q,Weekly_Inventory_Flow!$A:$A,A54,Weekly_Inventory_Flow!$B:$B,B54)</f>
        <v>1.02</v>
      </c>
      <c r="E54" s="26">
        <f>SUMIFS(Weekly_Inventory_Flow!$S:$S,Weekly_Inventory_Flow!$A:$A,A54,Weekly_Inventory_Flow!$B:$B,B54)</f>
        <v>2.1767552268784809</v>
      </c>
      <c r="F54" s="27">
        <f>SUMIFS(Weekly_Inventory_Flow!$N:$N,Weekly_Inventory_Flow!$A:$A,A54,Weekly_Inventory_Flow!$B:$B,B54)</f>
        <v>0</v>
      </c>
      <c r="G54" s="13" t="str">
        <f>_xlfn.XLOOKUP(B54,Product_Line_Map!$A$2:$A$6,Product_Line_Map!$B$2:$B$6,"")</f>
        <v>L03</v>
      </c>
      <c r="H54" s="25">
        <f>SUMIFS(Weekly_Line_Capacity!$J:$J,Weekly_Line_Capacity!$A:$A,A54,Weekly_Line_Capacity!$B:$B,G54)</f>
        <v>0.47142857142857142</v>
      </c>
      <c r="I54" s="27">
        <f>SUMIFS(Weekly_Line_Capacity!$K:$K,Weekly_Line_Capacity!$A:$A,A54,Weekly_Line_Capacity!$B:$B,G54)</f>
        <v>0</v>
      </c>
      <c r="J54" s="13" t="str" cm="1">
        <f t="array" ref="J54">_xlfn.XLOOKUP(1,(Weekly_Line_Capacity!$A$2:$A$157=A54)*(Weekly_Line_Capacity!$B$2:$B$157=G54),Weekly_Line_Capacity!$L$2:$L$157,"")</f>
        <v>WITHIN CAPACITY</v>
      </c>
      <c r="K54" s="13" t="str">
        <f>_xlfn.XLOOKUP(B54,BOM!$A$2:$A$21,BOM!$B$2:$B$21,"")</f>
        <v>M003</v>
      </c>
      <c r="L54" s="27">
        <f>SUMIFS(Weekly_Material_Inventory!$K:$K,Weekly_Material_Inventory!$A:$A,A54,Weekly_Material_Inventory!$B:$B,K54)</f>
        <v>0</v>
      </c>
      <c r="M54">
        <f t="shared" si="0"/>
        <v>0</v>
      </c>
      <c r="N54" t="str">
        <f t="shared" si="1"/>
        <v>OK</v>
      </c>
      <c r="O54" t="str">
        <f t="shared" si="2"/>
        <v>NONE</v>
      </c>
      <c r="P54" t="str" cm="1">
        <f t="array" ref="P54">_xlfn.SWITCH(O54,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54" t="str" cm="1">
        <f t="array" ref="Q54">_xlfn.SWITCH(O54,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54" t="str" cm="1">
        <f t="array" ref="R54">_xlfn.SWITCH(P54,
"Inventory / Service","Operations / Planning",
"Material Supply","Materials / Procurement",
"Capacity","Production / Planning",
"Production Execution","Production",
"Inventory","Operations / Planning",
"Demand Planning","Commercial / Planning",
"None","None",
"Operations")</f>
        <v>None</v>
      </c>
    </row>
    <row r="55" spans="1:18">
      <c r="A55" s="30">
        <f>Weekly_Inventory_Flow!A55</f>
        <v>46097</v>
      </c>
      <c r="B55" s="13" t="str">
        <f>Weekly_Inventory_Flow!B55</f>
        <v>P004</v>
      </c>
      <c r="C55" s="25">
        <f>IF(SUMIFS(Weekly_Product_Demand!$C:$C,Weekly_Product_Demand!$A:$A,A55,Weekly_Product_Demand!$B:$B,B55)=0,0,
(SUMIFS(Weekly_Product_Demand!$D:$D,Weekly_Product_Demand!$A:$A,A55,Weekly_Product_Demand!$B:$B,B55)-
SUMIFS(Weekly_Product_Demand!$C:$C,Weekly_Product_Demand!$A:$A,A55,Weekly_Product_Demand!$B:$B,B55))/
SUMIFS(Weekly_Product_Demand!$C:$C,Weekly_Product_Demand!$A:$A,A55,Weekly_Product_Demand!$B:$B,B55))</f>
        <v>9.0207303322057415E-3</v>
      </c>
      <c r="D55" s="25">
        <f>SUMIFS(Weekly_Inventory_Flow!$Q:$Q,Weekly_Inventory_Flow!$A:$A,A55,Weekly_Inventory_Flow!$B:$B,B55)</f>
        <v>1</v>
      </c>
      <c r="E55" s="26">
        <f>SUMIFS(Weekly_Inventory_Flow!$S:$S,Weekly_Inventory_Flow!$A:$A,A55,Weekly_Inventory_Flow!$B:$B,B55)</f>
        <v>2.0459038940943866</v>
      </c>
      <c r="F55" s="27">
        <f>SUMIFS(Weekly_Inventory_Flow!$N:$N,Weekly_Inventory_Flow!$A:$A,A55,Weekly_Inventory_Flow!$B:$B,B55)</f>
        <v>0</v>
      </c>
      <c r="G55" s="13" t="str">
        <f>_xlfn.XLOOKUP(B55,Product_Line_Map!$A$2:$A$6,Product_Line_Map!$B$2:$B$6,"")</f>
        <v>L02</v>
      </c>
      <c r="H55" s="25">
        <f>SUMIFS(Weekly_Line_Capacity!$J:$J,Weekly_Line_Capacity!$A:$A,A55,Weekly_Line_Capacity!$B:$B,G55)</f>
        <v>0.45904761904761904</v>
      </c>
      <c r="I55" s="27">
        <f>SUMIFS(Weekly_Line_Capacity!$K:$K,Weekly_Line_Capacity!$A:$A,A55,Weekly_Line_Capacity!$B:$B,G55)</f>
        <v>0</v>
      </c>
      <c r="J55" s="13" t="str" cm="1">
        <f t="array" ref="J55">_xlfn.XLOOKUP(1,(Weekly_Line_Capacity!$A$2:$A$157=A55)*(Weekly_Line_Capacity!$B$2:$B$157=G55),Weekly_Line_Capacity!$L$2:$L$157,"")</f>
        <v>WITHIN CAPACITY</v>
      </c>
      <c r="K55" s="13" t="str">
        <f>_xlfn.XLOOKUP(B55,BOM!$A$2:$A$21,BOM!$B$2:$B$21,"")</f>
        <v>M004</v>
      </c>
      <c r="L55" s="27">
        <f>SUMIFS(Weekly_Material_Inventory!$K:$K,Weekly_Material_Inventory!$A:$A,A55,Weekly_Material_Inventory!$B:$B,K55)</f>
        <v>0</v>
      </c>
      <c r="M55">
        <f t="shared" si="0"/>
        <v>0</v>
      </c>
      <c r="N55" t="str">
        <f t="shared" si="1"/>
        <v>OK</v>
      </c>
      <c r="O55" t="str">
        <f t="shared" si="2"/>
        <v>NONE</v>
      </c>
      <c r="P55" t="str" cm="1">
        <f t="array" ref="P55">_xlfn.SWITCH(O55,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55" t="str" cm="1">
        <f t="array" ref="Q55">_xlfn.SWITCH(O55,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55" t="str" cm="1">
        <f t="array" ref="R55">_xlfn.SWITCH(P55,
"Inventory / Service","Operations / Planning",
"Material Supply","Materials / Procurement",
"Capacity","Production / Planning",
"Production Execution","Production",
"Inventory","Operations / Planning",
"Demand Planning","Commercial / Planning",
"None","None",
"Operations")</f>
        <v>None</v>
      </c>
    </row>
    <row r="56" spans="1:18">
      <c r="A56" s="30">
        <f>Weekly_Inventory_Flow!A56</f>
        <v>46097</v>
      </c>
      <c r="B56" s="13" t="str">
        <f>Weekly_Inventory_Flow!B56</f>
        <v>P005</v>
      </c>
      <c r="C56" s="25">
        <f>IF(SUMIFS(Weekly_Product_Demand!$C:$C,Weekly_Product_Demand!$A:$A,A56,Weekly_Product_Demand!$B:$B,B56)=0,0,
(SUMIFS(Weekly_Product_Demand!$D:$D,Weekly_Product_Demand!$A:$A,A56,Weekly_Product_Demand!$B:$B,B56)-
SUMIFS(Weekly_Product_Demand!$C:$C,Weekly_Product_Demand!$A:$A,A56,Weekly_Product_Demand!$B:$B,B56))/
SUMIFS(Weekly_Product_Demand!$C:$C,Weekly_Product_Demand!$A:$A,A56,Weekly_Product_Demand!$B:$B,B56))</f>
        <v>-1.3513513513513514E-2</v>
      </c>
      <c r="D56" s="25">
        <f>SUMIFS(Weekly_Inventory_Flow!$Q:$Q,Weekly_Inventory_Flow!$A:$A,A56,Weekly_Inventory_Flow!$B:$B,B56)</f>
        <v>0.98</v>
      </c>
      <c r="E56" s="26">
        <f>SUMIFS(Weekly_Inventory_Flow!$S:$S,Weekly_Inventory_Flow!$A:$A,A56,Weekly_Inventory_Flow!$B:$B,B56)</f>
        <v>1.931392694063927</v>
      </c>
      <c r="F56" s="27">
        <f>SUMIFS(Weekly_Inventory_Flow!$N:$N,Weekly_Inventory_Flow!$A:$A,A56,Weekly_Inventory_Flow!$B:$B,B56)</f>
        <v>0</v>
      </c>
      <c r="G56" s="13" t="str">
        <f>_xlfn.XLOOKUP(B56,Product_Line_Map!$A$2:$A$6,Product_Line_Map!$B$2:$B$6,"")</f>
        <v>L03</v>
      </c>
      <c r="H56" s="25">
        <f>SUMIFS(Weekly_Line_Capacity!$J:$J,Weekly_Line_Capacity!$A:$A,A56,Weekly_Line_Capacity!$B:$B,G56)</f>
        <v>0.47142857142857142</v>
      </c>
      <c r="I56" s="27">
        <f>SUMIFS(Weekly_Line_Capacity!$K:$K,Weekly_Line_Capacity!$A:$A,A56,Weekly_Line_Capacity!$B:$B,G56)</f>
        <v>0</v>
      </c>
      <c r="J56" s="13" t="str" cm="1">
        <f t="array" ref="J56">_xlfn.XLOOKUP(1,(Weekly_Line_Capacity!$A$2:$A$157=A56)*(Weekly_Line_Capacity!$B$2:$B$157=G56),Weekly_Line_Capacity!$L$2:$L$157,"")</f>
        <v>WITHIN CAPACITY</v>
      </c>
      <c r="K56" s="13" t="str">
        <f>_xlfn.XLOOKUP(B56,BOM!$A$2:$A$21,BOM!$B$2:$B$21,"")</f>
        <v>M005</v>
      </c>
      <c r="L56" s="27">
        <f>SUMIFS(Weekly_Material_Inventory!$K:$K,Weekly_Material_Inventory!$A:$A,A56,Weekly_Material_Inventory!$B:$B,K56)</f>
        <v>0</v>
      </c>
      <c r="M56">
        <f t="shared" si="0"/>
        <v>1</v>
      </c>
      <c r="N56" t="str">
        <f t="shared" si="1"/>
        <v>WARNING</v>
      </c>
      <c r="O56" t="str">
        <f t="shared" si="2"/>
        <v>LOW STOCK COVER</v>
      </c>
      <c r="P56" t="str" cm="1">
        <f t="array" ref="P56">_xlfn.SWITCH(O56,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56" t="str" cm="1">
        <f t="array" ref="Q56">_xlfn.SWITCH(O56,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56" t="str" cm="1">
        <f t="array" ref="R56">_xlfn.SWITCH(P56,
"Inventory / Service","Operations / Planning",
"Material Supply","Materials / Procurement",
"Capacity","Production / Planning",
"Production Execution","Production",
"Inventory","Operations / Planning",
"Demand Planning","Commercial / Planning",
"None","None",
"Operations")</f>
        <v>Operations / Planning</v>
      </c>
    </row>
    <row r="57" spans="1:18">
      <c r="A57" s="30">
        <f>Weekly_Inventory_Flow!A57</f>
        <v>46104</v>
      </c>
      <c r="B57" s="13" t="str">
        <f>Weekly_Inventory_Flow!B57</f>
        <v>P001</v>
      </c>
      <c r="C57" s="25">
        <f>IF(SUMIFS(Weekly_Product_Demand!$C:$C,Weekly_Product_Demand!$A:$A,A57,Weekly_Product_Demand!$B:$B,B57)=0,0,
(SUMIFS(Weekly_Product_Demand!$D:$D,Weekly_Product_Demand!$A:$A,A57,Weekly_Product_Demand!$B:$B,B57)-
SUMIFS(Weekly_Product_Demand!$C:$C,Weekly_Product_Demand!$A:$A,A57,Weekly_Product_Demand!$B:$B,B57))/
SUMIFS(Weekly_Product_Demand!$C:$C,Weekly_Product_Demand!$A:$A,A57,Weekly_Product_Demand!$B:$B,B57))</f>
        <v>-2.6758409785932722E-2</v>
      </c>
      <c r="D57" s="25">
        <f>SUMIFS(Weekly_Inventory_Flow!$Q:$Q,Weekly_Inventory_Flow!$A:$A,A57,Weekly_Inventory_Flow!$B:$B,B57)</f>
        <v>0.97</v>
      </c>
      <c r="E57" s="26">
        <f>SUMIFS(Weekly_Inventory_Flow!$S:$S,Weekly_Inventory_Flow!$A:$A,A57,Weekly_Inventory_Flow!$B:$B,B57)</f>
        <v>1.8301078340355639</v>
      </c>
      <c r="F57" s="27">
        <f>SUMIFS(Weekly_Inventory_Flow!$N:$N,Weekly_Inventory_Flow!$A:$A,A57,Weekly_Inventory_Flow!$B:$B,B57)</f>
        <v>0</v>
      </c>
      <c r="G57" s="13" t="str">
        <f>_xlfn.XLOOKUP(B57,Product_Line_Map!$A$2:$A$6,Product_Line_Map!$B$2:$B$6,"")</f>
        <v>L01</v>
      </c>
      <c r="H57" s="25">
        <f>SUMIFS(Weekly_Line_Capacity!$J:$J,Weekly_Line_Capacity!$A:$A,A57,Weekly_Line_Capacity!$B:$B,G57)</f>
        <v>0.19005847953216373</v>
      </c>
      <c r="I57" s="27">
        <f>SUMIFS(Weekly_Line_Capacity!$K:$K,Weekly_Line_Capacity!$A:$A,A57,Weekly_Line_Capacity!$B:$B,G57)</f>
        <v>0</v>
      </c>
      <c r="J57" s="13" t="str" cm="1">
        <f t="array" ref="J57">_xlfn.XLOOKUP(1,(Weekly_Line_Capacity!$A$2:$A$157=A57)*(Weekly_Line_Capacity!$B$2:$B$157=G57),Weekly_Line_Capacity!$L$2:$L$157,"")</f>
        <v>WITHIN CAPACITY</v>
      </c>
      <c r="K57" s="13" t="str">
        <f>_xlfn.XLOOKUP(B57,BOM!$A$2:$A$21,BOM!$B$2:$B$21,"")</f>
        <v>M001</v>
      </c>
      <c r="L57" s="27">
        <f>SUMIFS(Weekly_Material_Inventory!$K:$K,Weekly_Material_Inventory!$A:$A,A57,Weekly_Material_Inventory!$B:$B,K57)</f>
        <v>0</v>
      </c>
      <c r="M57">
        <f t="shared" si="0"/>
        <v>1</v>
      </c>
      <c r="N57" t="str">
        <f t="shared" si="1"/>
        <v>WARNING</v>
      </c>
      <c r="O57" t="str">
        <f t="shared" si="2"/>
        <v>LOW STOCK COVER</v>
      </c>
      <c r="P57" t="str" cm="1">
        <f t="array" ref="P57">_xlfn.SWITCH(O57,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57" t="str" cm="1">
        <f t="array" ref="Q57">_xlfn.SWITCH(O57,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57" t="str" cm="1">
        <f t="array" ref="R57">_xlfn.SWITCH(P57,
"Inventory / Service","Operations / Planning",
"Material Supply","Materials / Procurement",
"Capacity","Production / Planning",
"Production Execution","Production",
"Inventory","Operations / Planning",
"Demand Planning","Commercial / Planning",
"None","None",
"Operations")</f>
        <v>Operations / Planning</v>
      </c>
    </row>
    <row r="58" spans="1:18">
      <c r="A58" s="30">
        <f>Weekly_Inventory_Flow!A58</f>
        <v>46104</v>
      </c>
      <c r="B58" s="13" t="str">
        <f>Weekly_Inventory_Flow!B58</f>
        <v>P002</v>
      </c>
      <c r="C58" s="25">
        <f>IF(SUMIFS(Weekly_Product_Demand!$C:$C,Weekly_Product_Demand!$A:$A,A58,Weekly_Product_Demand!$B:$B,B58)=0,0,
(SUMIFS(Weekly_Product_Demand!$D:$D,Weekly_Product_Demand!$A:$A,A58,Weekly_Product_Demand!$B:$B,B58)-
SUMIFS(Weekly_Product_Demand!$C:$C,Weekly_Product_Demand!$A:$A,A58,Weekly_Product_Demand!$B:$B,B58))/
SUMIFS(Weekly_Product_Demand!$C:$C,Weekly_Product_Demand!$A:$A,A58,Weekly_Product_Demand!$B:$B,B58))</f>
        <v>-2.4317094917727163E-4</v>
      </c>
      <c r="D58" s="25">
        <f>SUMIFS(Weekly_Inventory_Flow!$Q:$Q,Weekly_Inventory_Flow!$A:$A,A58,Weekly_Inventory_Flow!$B:$B,B58)</f>
        <v>0.98</v>
      </c>
      <c r="E58" s="26">
        <f>SUMIFS(Weekly_Inventory_Flow!$S:$S,Weekly_Inventory_Flow!$A:$A,A58,Weekly_Inventory_Flow!$B:$B,B58)</f>
        <v>1.8950056753688991</v>
      </c>
      <c r="F58" s="27">
        <f>SUMIFS(Weekly_Inventory_Flow!$N:$N,Weekly_Inventory_Flow!$A:$A,A58,Weekly_Inventory_Flow!$B:$B,B58)</f>
        <v>0</v>
      </c>
      <c r="G58" s="13" t="str">
        <f>_xlfn.XLOOKUP(B58,Product_Line_Map!$A$2:$A$6,Product_Line_Map!$B$2:$B$6,"")</f>
        <v>L02</v>
      </c>
      <c r="H58" s="25">
        <f>SUMIFS(Weekly_Line_Capacity!$J:$J,Weekly_Line_Capacity!$A:$A,A58,Weekly_Line_Capacity!$B:$B,G58)</f>
        <v>0.44952380952380949</v>
      </c>
      <c r="I58" s="27">
        <f>SUMIFS(Weekly_Line_Capacity!$K:$K,Weekly_Line_Capacity!$A:$A,A58,Weekly_Line_Capacity!$B:$B,G58)</f>
        <v>0</v>
      </c>
      <c r="J58" s="13" t="str" cm="1">
        <f t="array" ref="J58">_xlfn.XLOOKUP(1,(Weekly_Line_Capacity!$A$2:$A$157=A58)*(Weekly_Line_Capacity!$B$2:$B$157=G58),Weekly_Line_Capacity!$L$2:$L$157,"")</f>
        <v>WITHIN CAPACITY</v>
      </c>
      <c r="K58" s="13" t="str">
        <f>_xlfn.XLOOKUP(B58,BOM!$A$2:$A$21,BOM!$B$2:$B$21,"")</f>
        <v>M002</v>
      </c>
      <c r="L58" s="27">
        <f>SUMIFS(Weekly_Material_Inventory!$K:$K,Weekly_Material_Inventory!$A:$A,A58,Weekly_Material_Inventory!$B:$B,K58)</f>
        <v>0</v>
      </c>
      <c r="M58">
        <f t="shared" si="0"/>
        <v>1</v>
      </c>
      <c r="N58" t="str">
        <f t="shared" si="1"/>
        <v>WARNING</v>
      </c>
      <c r="O58" t="str">
        <f t="shared" si="2"/>
        <v>LOW STOCK COVER</v>
      </c>
      <c r="P58" t="str" cm="1">
        <f t="array" ref="P58">_xlfn.SWITCH(O58,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58" t="str" cm="1">
        <f t="array" ref="Q58">_xlfn.SWITCH(O58,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58" t="str" cm="1">
        <f t="array" ref="R58">_xlfn.SWITCH(P58,
"Inventory / Service","Operations / Planning",
"Material Supply","Materials / Procurement",
"Capacity","Production / Planning",
"Production Execution","Production",
"Inventory","Operations / Planning",
"Demand Planning","Commercial / Planning",
"None","None",
"Operations")</f>
        <v>Operations / Planning</v>
      </c>
    </row>
    <row r="59" spans="1:18">
      <c r="A59" s="30">
        <f>Weekly_Inventory_Flow!A59</f>
        <v>46104</v>
      </c>
      <c r="B59" s="13" t="str">
        <f>Weekly_Inventory_Flow!B59</f>
        <v>P003</v>
      </c>
      <c r="C59" s="25">
        <f>IF(SUMIFS(Weekly_Product_Demand!$C:$C,Weekly_Product_Demand!$A:$A,A59,Weekly_Product_Demand!$B:$B,B59)=0,0,
(SUMIFS(Weekly_Product_Demand!$D:$D,Weekly_Product_Demand!$A:$A,A59,Weekly_Product_Demand!$B:$B,B59)-
SUMIFS(Weekly_Product_Demand!$C:$C,Weekly_Product_Demand!$A:$A,A59,Weekly_Product_Demand!$B:$B,B59))/
SUMIFS(Weekly_Product_Demand!$C:$C,Weekly_Product_Demand!$A:$A,A59,Weekly_Product_Demand!$B:$B,B59))</f>
        <v>1.7270194986072424E-2</v>
      </c>
      <c r="D59" s="25">
        <f>SUMIFS(Weekly_Inventory_Flow!$Q:$Q,Weekly_Inventory_Flow!$A:$A,A59,Weekly_Inventory_Flow!$B:$B,B59)</f>
        <v>1.02</v>
      </c>
      <c r="E59" s="26">
        <f>SUMIFS(Weekly_Inventory_Flow!$S:$S,Weekly_Inventory_Flow!$A:$A,A59,Weekly_Inventory_Flow!$B:$B,B59)</f>
        <v>2.1493245710113182</v>
      </c>
      <c r="F59" s="27">
        <f>SUMIFS(Weekly_Inventory_Flow!$N:$N,Weekly_Inventory_Flow!$A:$A,A59,Weekly_Inventory_Flow!$B:$B,B59)</f>
        <v>0</v>
      </c>
      <c r="G59" s="13" t="str">
        <f>_xlfn.XLOOKUP(B59,Product_Line_Map!$A$2:$A$6,Product_Line_Map!$B$2:$B$6,"")</f>
        <v>L03</v>
      </c>
      <c r="H59" s="25">
        <f>SUMIFS(Weekly_Line_Capacity!$J:$J,Weekly_Line_Capacity!$A:$A,A59,Weekly_Line_Capacity!$B:$B,G59)</f>
        <v>0.46190476190476193</v>
      </c>
      <c r="I59" s="27">
        <f>SUMIFS(Weekly_Line_Capacity!$K:$K,Weekly_Line_Capacity!$A:$A,A59,Weekly_Line_Capacity!$B:$B,G59)</f>
        <v>0</v>
      </c>
      <c r="J59" s="13" t="str" cm="1">
        <f t="array" ref="J59">_xlfn.XLOOKUP(1,(Weekly_Line_Capacity!$A$2:$A$157=A59)*(Weekly_Line_Capacity!$B$2:$B$157=G59),Weekly_Line_Capacity!$L$2:$L$157,"")</f>
        <v>WITHIN CAPACITY</v>
      </c>
      <c r="K59" s="13" t="str">
        <f>_xlfn.XLOOKUP(B59,BOM!$A$2:$A$21,BOM!$B$2:$B$21,"")</f>
        <v>M003</v>
      </c>
      <c r="L59" s="27">
        <f>SUMIFS(Weekly_Material_Inventory!$K:$K,Weekly_Material_Inventory!$A:$A,A59,Weekly_Material_Inventory!$B:$B,K59)</f>
        <v>0</v>
      </c>
      <c r="M59">
        <f t="shared" si="0"/>
        <v>0</v>
      </c>
      <c r="N59" t="str">
        <f t="shared" si="1"/>
        <v>OK</v>
      </c>
      <c r="O59" t="str">
        <f t="shared" si="2"/>
        <v>NONE</v>
      </c>
      <c r="P59" t="str" cm="1">
        <f t="array" ref="P59">_xlfn.SWITCH(O59,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59" t="str" cm="1">
        <f t="array" ref="Q59">_xlfn.SWITCH(O59,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59" t="str" cm="1">
        <f t="array" ref="R59">_xlfn.SWITCH(P59,
"Inventory / Service","Operations / Planning",
"Material Supply","Materials / Procurement",
"Capacity","Production / Planning",
"Production Execution","Production",
"Inventory","Operations / Planning",
"Demand Planning","Commercial / Planning",
"None","None",
"Operations")</f>
        <v>None</v>
      </c>
    </row>
    <row r="60" spans="1:18">
      <c r="A60" s="30">
        <f>Weekly_Inventory_Flow!A60</f>
        <v>46104</v>
      </c>
      <c r="B60" s="13" t="str">
        <f>Weekly_Inventory_Flow!B60</f>
        <v>P004</v>
      </c>
      <c r="C60" s="25">
        <f>IF(SUMIFS(Weekly_Product_Demand!$C:$C,Weekly_Product_Demand!$A:$A,A60,Weekly_Product_Demand!$B:$B,B60)=0,0,
(SUMIFS(Weekly_Product_Demand!$D:$D,Weekly_Product_Demand!$A:$A,A60,Weekly_Product_Demand!$B:$B,B60)-
SUMIFS(Weekly_Product_Demand!$C:$C,Weekly_Product_Demand!$A:$A,A60,Weekly_Product_Demand!$B:$B,B60))/
SUMIFS(Weekly_Product_Demand!$C:$C,Weekly_Product_Demand!$A:$A,A60,Weekly_Product_Demand!$B:$B,B60))</f>
        <v>1.5394088669950739E-2</v>
      </c>
      <c r="D60" s="25">
        <f>SUMIFS(Weekly_Inventory_Flow!$Q:$Q,Weekly_Inventory_Flow!$A:$A,A60,Weekly_Inventory_Flow!$B:$B,B60)</f>
        <v>0.98</v>
      </c>
      <c r="E60" s="26">
        <f>SUMIFS(Weekly_Inventory_Flow!$S:$S,Weekly_Inventory_Flow!$A:$A,A60,Weekly_Inventory_Flow!$B:$B,B60)</f>
        <v>1.8963007883565797</v>
      </c>
      <c r="F60" s="27">
        <f>SUMIFS(Weekly_Inventory_Flow!$N:$N,Weekly_Inventory_Flow!$A:$A,A60,Weekly_Inventory_Flow!$B:$B,B60)</f>
        <v>0</v>
      </c>
      <c r="G60" s="13" t="str">
        <f>_xlfn.XLOOKUP(B60,Product_Line_Map!$A$2:$A$6,Product_Line_Map!$B$2:$B$6,"")</f>
        <v>L02</v>
      </c>
      <c r="H60" s="25">
        <f>SUMIFS(Weekly_Line_Capacity!$J:$J,Weekly_Line_Capacity!$A:$A,A60,Weekly_Line_Capacity!$B:$B,G60)</f>
        <v>0.44952380952380949</v>
      </c>
      <c r="I60" s="27">
        <f>SUMIFS(Weekly_Line_Capacity!$K:$K,Weekly_Line_Capacity!$A:$A,A60,Weekly_Line_Capacity!$B:$B,G60)</f>
        <v>0</v>
      </c>
      <c r="J60" s="13" t="str" cm="1">
        <f t="array" ref="J60">_xlfn.XLOOKUP(1,(Weekly_Line_Capacity!$A$2:$A$157=A60)*(Weekly_Line_Capacity!$B$2:$B$157=G60),Weekly_Line_Capacity!$L$2:$L$157,"")</f>
        <v>WITHIN CAPACITY</v>
      </c>
      <c r="K60" s="13" t="str">
        <f>_xlfn.XLOOKUP(B60,BOM!$A$2:$A$21,BOM!$B$2:$B$21,"")</f>
        <v>M004</v>
      </c>
      <c r="L60" s="27">
        <f>SUMIFS(Weekly_Material_Inventory!$K:$K,Weekly_Material_Inventory!$A:$A,A60,Weekly_Material_Inventory!$B:$B,K60)</f>
        <v>0</v>
      </c>
      <c r="M60">
        <f t="shared" si="0"/>
        <v>1</v>
      </c>
      <c r="N60" t="str">
        <f t="shared" si="1"/>
        <v>WARNING</v>
      </c>
      <c r="O60" t="str">
        <f t="shared" si="2"/>
        <v>LOW STOCK COVER</v>
      </c>
      <c r="P60" t="str" cm="1">
        <f t="array" ref="P60">_xlfn.SWITCH(O60,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60" t="str" cm="1">
        <f t="array" ref="Q60">_xlfn.SWITCH(O60,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60" t="str" cm="1">
        <f t="array" ref="R60">_xlfn.SWITCH(P60,
"Inventory / Service","Operations / Planning",
"Material Supply","Materials / Procurement",
"Capacity","Production / Planning",
"Production Execution","Production",
"Inventory","Operations / Planning",
"Demand Planning","Commercial / Planning",
"None","None",
"Operations")</f>
        <v>Operations / Planning</v>
      </c>
    </row>
    <row r="61" spans="1:18">
      <c r="A61" s="30">
        <f>Weekly_Inventory_Flow!A61</f>
        <v>46104</v>
      </c>
      <c r="B61" s="13" t="str">
        <f>Weekly_Inventory_Flow!B61</f>
        <v>P005</v>
      </c>
      <c r="C61" s="25">
        <f>IF(SUMIFS(Weekly_Product_Demand!$C:$C,Weekly_Product_Demand!$A:$A,A61,Weekly_Product_Demand!$B:$B,B61)=0,0,
(SUMIFS(Weekly_Product_Demand!$D:$D,Weekly_Product_Demand!$A:$A,A61,Weekly_Product_Demand!$B:$B,B61)-
SUMIFS(Weekly_Product_Demand!$C:$C,Weekly_Product_Demand!$A:$A,A61,Weekly_Product_Demand!$B:$B,B61))/
SUMIFS(Weekly_Product_Demand!$C:$C,Weekly_Product_Demand!$A:$A,A61,Weekly_Product_Demand!$B:$B,B61))</f>
        <v>-3.0755314337403888E-2</v>
      </c>
      <c r="D61" s="25">
        <f>SUMIFS(Weekly_Inventory_Flow!$Q:$Q,Weekly_Inventory_Flow!$A:$A,A61,Weekly_Inventory_Flow!$B:$B,B61)</f>
        <v>0.99</v>
      </c>
      <c r="E61" s="26">
        <f>SUMIFS(Weekly_Inventory_Flow!$S:$S,Weekly_Inventory_Flow!$A:$A,A61,Weekly_Inventory_Flow!$B:$B,B61)</f>
        <v>2.0072328511432569</v>
      </c>
      <c r="F61" s="27">
        <f>SUMIFS(Weekly_Inventory_Flow!$N:$N,Weekly_Inventory_Flow!$A:$A,A61,Weekly_Inventory_Flow!$B:$B,B61)</f>
        <v>0</v>
      </c>
      <c r="G61" s="13" t="str">
        <f>_xlfn.XLOOKUP(B61,Product_Line_Map!$A$2:$A$6,Product_Line_Map!$B$2:$B$6,"")</f>
        <v>L03</v>
      </c>
      <c r="H61" s="25">
        <f>SUMIFS(Weekly_Line_Capacity!$J:$J,Weekly_Line_Capacity!$A:$A,A61,Weekly_Line_Capacity!$B:$B,G61)</f>
        <v>0.46190476190476193</v>
      </c>
      <c r="I61" s="27">
        <f>SUMIFS(Weekly_Line_Capacity!$K:$K,Weekly_Line_Capacity!$A:$A,A61,Weekly_Line_Capacity!$B:$B,G61)</f>
        <v>0</v>
      </c>
      <c r="J61" s="13" t="str" cm="1">
        <f t="array" ref="J61">_xlfn.XLOOKUP(1,(Weekly_Line_Capacity!$A$2:$A$157=A61)*(Weekly_Line_Capacity!$B$2:$B$157=G61),Weekly_Line_Capacity!$L$2:$L$157,"")</f>
        <v>WITHIN CAPACITY</v>
      </c>
      <c r="K61" s="13" t="str">
        <f>_xlfn.XLOOKUP(B61,BOM!$A$2:$A$21,BOM!$B$2:$B$21,"")</f>
        <v>M005</v>
      </c>
      <c r="L61" s="27">
        <f>SUMIFS(Weekly_Material_Inventory!$K:$K,Weekly_Material_Inventory!$A:$A,A61,Weekly_Material_Inventory!$B:$B,K61)</f>
        <v>0</v>
      </c>
      <c r="M61">
        <f t="shared" si="0"/>
        <v>0</v>
      </c>
      <c r="N61" t="str">
        <f t="shared" si="1"/>
        <v>OK</v>
      </c>
      <c r="O61" t="str">
        <f t="shared" si="2"/>
        <v>NONE</v>
      </c>
      <c r="P61" t="str" cm="1">
        <f t="array" ref="P61">_xlfn.SWITCH(O61,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61" t="str" cm="1">
        <f t="array" ref="Q61">_xlfn.SWITCH(O61,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61" t="str" cm="1">
        <f t="array" ref="R61">_xlfn.SWITCH(P61,
"Inventory / Service","Operations / Planning",
"Material Supply","Materials / Procurement",
"Capacity","Production / Planning",
"Production Execution","Production",
"Inventory","Operations / Planning",
"Demand Planning","Commercial / Planning",
"None","None",
"Operations")</f>
        <v>None</v>
      </c>
    </row>
    <row r="62" spans="1:18">
      <c r="A62" s="30">
        <f>Weekly_Inventory_Flow!A62</f>
        <v>46111</v>
      </c>
      <c r="B62" s="13" t="str">
        <f>Weekly_Inventory_Flow!B62</f>
        <v>P001</v>
      </c>
      <c r="C62" s="25">
        <f>IF(SUMIFS(Weekly_Product_Demand!$C:$C,Weekly_Product_Demand!$A:$A,A62,Weekly_Product_Demand!$B:$B,B62)=0,0,
(SUMIFS(Weekly_Product_Demand!$D:$D,Weekly_Product_Demand!$A:$A,A62,Weekly_Product_Demand!$B:$B,B62)-
SUMIFS(Weekly_Product_Demand!$C:$C,Weekly_Product_Demand!$A:$A,A62,Weekly_Product_Demand!$B:$B,B62))/
SUMIFS(Weekly_Product_Demand!$C:$C,Weekly_Product_Demand!$A:$A,A62,Weekly_Product_Demand!$B:$B,B62))</f>
        <v>4.4908466819221969E-2</v>
      </c>
      <c r="D62" s="25">
        <f>SUMIFS(Weekly_Inventory_Flow!$Q:$Q,Weekly_Inventory_Flow!$A:$A,A62,Weekly_Inventory_Flow!$B:$B,B62)</f>
        <v>1</v>
      </c>
      <c r="E62" s="26">
        <f>SUMIFS(Weekly_Inventory_Flow!$S:$S,Weekly_Inventory_Flow!$A:$A,A62,Weekly_Inventory_Flow!$B:$B,B62)</f>
        <v>2.0355187517109226</v>
      </c>
      <c r="F62" s="27">
        <f>SUMIFS(Weekly_Inventory_Flow!$N:$N,Weekly_Inventory_Flow!$A:$A,A62,Weekly_Inventory_Flow!$B:$B,B62)</f>
        <v>0</v>
      </c>
      <c r="G62" s="13" t="str">
        <f>_xlfn.XLOOKUP(B62,Product_Line_Map!$A$2:$A$6,Product_Line_Map!$B$2:$B$6,"")</f>
        <v>L01</v>
      </c>
      <c r="H62" s="25">
        <f>SUMIFS(Weekly_Line_Capacity!$J:$J,Weekly_Line_Capacity!$A:$A,A62,Weekly_Line_Capacity!$B:$B,G62)</f>
        <v>0.22222222222222224</v>
      </c>
      <c r="I62" s="27">
        <f>SUMIFS(Weekly_Line_Capacity!$K:$K,Weekly_Line_Capacity!$A:$A,A62,Weekly_Line_Capacity!$B:$B,G62)</f>
        <v>0</v>
      </c>
      <c r="J62" s="13" t="str" cm="1">
        <f t="array" ref="J62">_xlfn.XLOOKUP(1,(Weekly_Line_Capacity!$A$2:$A$157=A62)*(Weekly_Line_Capacity!$B$2:$B$157=G62),Weekly_Line_Capacity!$L$2:$L$157,"")</f>
        <v>WITHIN CAPACITY</v>
      </c>
      <c r="K62" s="13" t="str">
        <f>_xlfn.XLOOKUP(B62,BOM!$A$2:$A$21,BOM!$B$2:$B$21,"")</f>
        <v>M001</v>
      </c>
      <c r="L62" s="27">
        <f>SUMIFS(Weekly_Material_Inventory!$K:$K,Weekly_Material_Inventory!$A:$A,A62,Weekly_Material_Inventory!$B:$B,K62)</f>
        <v>0</v>
      </c>
      <c r="M62">
        <f t="shared" si="0"/>
        <v>0</v>
      </c>
      <c r="N62" t="str">
        <f t="shared" si="1"/>
        <v>OK</v>
      </c>
      <c r="O62" t="str">
        <f t="shared" si="2"/>
        <v>NONE</v>
      </c>
      <c r="P62" t="str" cm="1">
        <f t="array" ref="P62">_xlfn.SWITCH(O62,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62" t="str" cm="1">
        <f t="array" ref="Q62">_xlfn.SWITCH(O62,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62" t="str" cm="1">
        <f t="array" ref="R62">_xlfn.SWITCH(P62,
"Inventory / Service","Operations / Planning",
"Material Supply","Materials / Procurement",
"Capacity","Production / Planning",
"Production Execution","Production",
"Inventory","Operations / Planning",
"Demand Planning","Commercial / Planning",
"None","None",
"Operations")</f>
        <v>None</v>
      </c>
    </row>
    <row r="63" spans="1:18">
      <c r="A63" s="30">
        <f>Weekly_Inventory_Flow!A63</f>
        <v>46111</v>
      </c>
      <c r="B63" s="13" t="str">
        <f>Weekly_Inventory_Flow!B63</f>
        <v>P002</v>
      </c>
      <c r="C63" s="25">
        <f>IF(SUMIFS(Weekly_Product_Demand!$C:$C,Weekly_Product_Demand!$A:$A,A63,Weekly_Product_Demand!$B:$B,B63)=0,0,
(SUMIFS(Weekly_Product_Demand!$D:$D,Weekly_Product_Demand!$A:$A,A63,Weekly_Product_Demand!$B:$B,B63)-
SUMIFS(Weekly_Product_Demand!$C:$C,Weekly_Product_Demand!$A:$A,A63,Weekly_Product_Demand!$B:$B,B63))/
SUMIFS(Weekly_Product_Demand!$C:$C,Weekly_Product_Demand!$A:$A,A63,Weekly_Product_Demand!$B:$B,B63))</f>
        <v>1.6413324708926261E-2</v>
      </c>
      <c r="D63" s="25">
        <f>SUMIFS(Weekly_Inventory_Flow!$Q:$Q,Weekly_Inventory_Flow!$A:$A,A63,Weekly_Inventory_Flow!$B:$B,B63)</f>
        <v>0.97</v>
      </c>
      <c r="E63" s="26">
        <f>SUMIFS(Weekly_Inventory_Flow!$S:$S,Weekly_Inventory_Flow!$A:$A,A63,Weekly_Inventory_Flow!$B:$B,B63)</f>
        <v>1.826982738047888</v>
      </c>
      <c r="F63" s="27">
        <f>SUMIFS(Weekly_Inventory_Flow!$N:$N,Weekly_Inventory_Flow!$A:$A,A63,Weekly_Inventory_Flow!$B:$B,B63)</f>
        <v>0</v>
      </c>
      <c r="G63" s="13" t="str">
        <f>_xlfn.XLOOKUP(B63,Product_Line_Map!$A$2:$A$6,Product_Line_Map!$B$2:$B$6,"")</f>
        <v>L02</v>
      </c>
      <c r="H63" s="25">
        <f>SUMIFS(Weekly_Line_Capacity!$J:$J,Weekly_Line_Capacity!$A:$A,A63,Weekly_Line_Capacity!$B:$B,G63)</f>
        <v>0.4723809523809524</v>
      </c>
      <c r="I63" s="27">
        <f>SUMIFS(Weekly_Line_Capacity!$K:$K,Weekly_Line_Capacity!$A:$A,A63,Weekly_Line_Capacity!$B:$B,G63)</f>
        <v>0</v>
      </c>
      <c r="J63" s="13" t="str" cm="1">
        <f t="array" ref="J63">_xlfn.XLOOKUP(1,(Weekly_Line_Capacity!$A$2:$A$157=A63)*(Weekly_Line_Capacity!$B$2:$B$157=G63),Weekly_Line_Capacity!$L$2:$L$157,"")</f>
        <v>WITHIN CAPACITY</v>
      </c>
      <c r="K63" s="13" t="str">
        <f>_xlfn.XLOOKUP(B63,BOM!$A$2:$A$21,BOM!$B$2:$B$21,"")</f>
        <v>M002</v>
      </c>
      <c r="L63" s="27">
        <f>SUMIFS(Weekly_Material_Inventory!$K:$K,Weekly_Material_Inventory!$A:$A,A63,Weekly_Material_Inventory!$B:$B,K63)</f>
        <v>0</v>
      </c>
      <c r="M63">
        <f t="shared" si="0"/>
        <v>1</v>
      </c>
      <c r="N63" t="str">
        <f t="shared" si="1"/>
        <v>WARNING</v>
      </c>
      <c r="O63" t="str">
        <f t="shared" si="2"/>
        <v>LOW STOCK COVER</v>
      </c>
      <c r="P63" t="str" cm="1">
        <f t="array" ref="P63">_xlfn.SWITCH(O63,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63" t="str" cm="1">
        <f t="array" ref="Q63">_xlfn.SWITCH(O63,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63" t="str" cm="1">
        <f t="array" ref="R63">_xlfn.SWITCH(P63,
"Inventory / Service","Operations / Planning",
"Material Supply","Materials / Procurement",
"Capacity","Production / Planning",
"Production Execution","Production",
"Inventory","Operations / Planning",
"Demand Planning","Commercial / Planning",
"None","None",
"Operations")</f>
        <v>Operations / Planning</v>
      </c>
    </row>
    <row r="64" spans="1:18">
      <c r="A64" s="30">
        <f>Weekly_Inventory_Flow!A64</f>
        <v>46111</v>
      </c>
      <c r="B64" s="13" t="str">
        <f>Weekly_Inventory_Flow!B64</f>
        <v>P003</v>
      </c>
      <c r="C64" s="25">
        <f>IF(SUMIFS(Weekly_Product_Demand!$C:$C,Weekly_Product_Demand!$A:$A,A64,Weekly_Product_Demand!$B:$B,B64)=0,0,
(SUMIFS(Weekly_Product_Demand!$D:$D,Weekly_Product_Demand!$A:$A,A64,Weekly_Product_Demand!$B:$B,B64)-
SUMIFS(Weekly_Product_Demand!$C:$C,Weekly_Product_Demand!$A:$A,A64,Weekly_Product_Demand!$B:$B,B64))/
SUMIFS(Weekly_Product_Demand!$C:$C,Weekly_Product_Demand!$A:$A,A64,Weekly_Product_Demand!$B:$B,B64))</f>
        <v>-4.7732043442548146E-2</v>
      </c>
      <c r="D64" s="25">
        <f>SUMIFS(Weekly_Inventory_Flow!$Q:$Q,Weekly_Inventory_Flow!$A:$A,A64,Weekly_Inventory_Flow!$B:$B,B64)</f>
        <v>1.02</v>
      </c>
      <c r="E64" s="26">
        <f>SUMIFS(Weekly_Inventory_Flow!$S:$S,Weekly_Inventory_Flow!$A:$A,A64,Weekly_Inventory_Flow!$B:$B,B64)</f>
        <v>2.1682959555299979</v>
      </c>
      <c r="F64" s="27">
        <f>SUMIFS(Weekly_Inventory_Flow!$N:$N,Weekly_Inventory_Flow!$A:$A,A64,Weekly_Inventory_Flow!$B:$B,B64)</f>
        <v>0</v>
      </c>
      <c r="G64" s="13" t="str">
        <f>_xlfn.XLOOKUP(B64,Product_Line_Map!$A$2:$A$6,Product_Line_Map!$B$2:$B$6,"")</f>
        <v>L03</v>
      </c>
      <c r="H64" s="25">
        <f>SUMIFS(Weekly_Line_Capacity!$J:$J,Weekly_Line_Capacity!$A:$A,A64,Weekly_Line_Capacity!$B:$B,G64)</f>
        <v>0.45238095238095238</v>
      </c>
      <c r="I64" s="27">
        <f>SUMIFS(Weekly_Line_Capacity!$K:$K,Weekly_Line_Capacity!$A:$A,A64,Weekly_Line_Capacity!$B:$B,G64)</f>
        <v>0</v>
      </c>
      <c r="J64" s="13" t="str" cm="1">
        <f t="array" ref="J64">_xlfn.XLOOKUP(1,(Weekly_Line_Capacity!$A$2:$A$157=A64)*(Weekly_Line_Capacity!$B$2:$B$157=G64),Weekly_Line_Capacity!$L$2:$L$157,"")</f>
        <v>WITHIN CAPACITY</v>
      </c>
      <c r="K64" s="13" t="str">
        <f>_xlfn.XLOOKUP(B64,BOM!$A$2:$A$21,BOM!$B$2:$B$21,"")</f>
        <v>M003</v>
      </c>
      <c r="L64" s="27">
        <f>SUMIFS(Weekly_Material_Inventory!$K:$K,Weekly_Material_Inventory!$A:$A,A64,Weekly_Material_Inventory!$B:$B,K64)</f>
        <v>0</v>
      </c>
      <c r="M64">
        <f t="shared" si="0"/>
        <v>0</v>
      </c>
      <c r="N64" t="str">
        <f t="shared" si="1"/>
        <v>OK</v>
      </c>
      <c r="O64" t="str">
        <f t="shared" si="2"/>
        <v>NONE</v>
      </c>
      <c r="P64" t="str" cm="1">
        <f t="array" ref="P64">_xlfn.SWITCH(O64,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64" t="str" cm="1">
        <f t="array" ref="Q64">_xlfn.SWITCH(O64,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64" t="str" cm="1">
        <f t="array" ref="R64">_xlfn.SWITCH(P64,
"Inventory / Service","Operations / Planning",
"Material Supply","Materials / Procurement",
"Capacity","Production / Planning",
"Production Execution","Production",
"Inventory","Operations / Planning",
"Demand Planning","Commercial / Planning",
"None","None",
"Operations")</f>
        <v>None</v>
      </c>
    </row>
    <row r="65" spans="1:18">
      <c r="A65" s="30">
        <f>Weekly_Inventory_Flow!A65</f>
        <v>46111</v>
      </c>
      <c r="B65" s="13" t="str">
        <f>Weekly_Inventory_Flow!B65</f>
        <v>P004</v>
      </c>
      <c r="C65" s="25">
        <f>IF(SUMIFS(Weekly_Product_Demand!$C:$C,Weekly_Product_Demand!$A:$A,A65,Weekly_Product_Demand!$B:$B,B65)=0,0,
(SUMIFS(Weekly_Product_Demand!$D:$D,Weekly_Product_Demand!$A:$A,A65,Weekly_Product_Demand!$B:$B,B65)-
SUMIFS(Weekly_Product_Demand!$C:$C,Weekly_Product_Demand!$A:$A,A65,Weekly_Product_Demand!$B:$B,B65))/
SUMIFS(Weekly_Product_Demand!$C:$C,Weekly_Product_Demand!$A:$A,A65,Weekly_Product_Demand!$B:$B,B65))</f>
        <v>2.3828365426888244E-2</v>
      </c>
      <c r="D65" s="25">
        <f>SUMIFS(Weekly_Inventory_Flow!$Q:$Q,Weekly_Inventory_Flow!$A:$A,A65,Weekly_Inventory_Flow!$B:$B,B65)</f>
        <v>0.98</v>
      </c>
      <c r="E65" s="26">
        <f>SUMIFS(Weekly_Inventory_Flow!$S:$S,Weekly_Inventory_Flow!$A:$A,A65,Weekly_Inventory_Flow!$B:$B,B65)</f>
        <v>1.8906733081415323</v>
      </c>
      <c r="F65" s="27">
        <f>SUMIFS(Weekly_Inventory_Flow!$N:$N,Weekly_Inventory_Flow!$A:$A,A65,Weekly_Inventory_Flow!$B:$B,B65)</f>
        <v>0</v>
      </c>
      <c r="G65" s="13" t="str">
        <f>_xlfn.XLOOKUP(B65,Product_Line_Map!$A$2:$A$6,Product_Line_Map!$B$2:$B$6,"")</f>
        <v>L02</v>
      </c>
      <c r="H65" s="25">
        <f>SUMIFS(Weekly_Line_Capacity!$J:$J,Weekly_Line_Capacity!$A:$A,A65,Weekly_Line_Capacity!$B:$B,G65)</f>
        <v>0.4723809523809524</v>
      </c>
      <c r="I65" s="27">
        <f>SUMIFS(Weekly_Line_Capacity!$K:$K,Weekly_Line_Capacity!$A:$A,A65,Weekly_Line_Capacity!$B:$B,G65)</f>
        <v>0</v>
      </c>
      <c r="J65" s="13" t="str" cm="1">
        <f t="array" ref="J65">_xlfn.XLOOKUP(1,(Weekly_Line_Capacity!$A$2:$A$157=A65)*(Weekly_Line_Capacity!$B$2:$B$157=G65),Weekly_Line_Capacity!$L$2:$L$157,"")</f>
        <v>WITHIN CAPACITY</v>
      </c>
      <c r="K65" s="13" t="str">
        <f>_xlfn.XLOOKUP(B65,BOM!$A$2:$A$21,BOM!$B$2:$B$21,"")</f>
        <v>M004</v>
      </c>
      <c r="L65" s="27">
        <f>SUMIFS(Weekly_Material_Inventory!$K:$K,Weekly_Material_Inventory!$A:$A,A65,Weekly_Material_Inventory!$B:$B,K65)</f>
        <v>0</v>
      </c>
      <c r="M65">
        <f t="shared" si="0"/>
        <v>1</v>
      </c>
      <c r="N65" t="str">
        <f t="shared" si="1"/>
        <v>WARNING</v>
      </c>
      <c r="O65" t="str">
        <f t="shared" si="2"/>
        <v>LOW STOCK COVER</v>
      </c>
      <c r="P65" t="str" cm="1">
        <f t="array" ref="P65">_xlfn.SWITCH(O65,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65" t="str" cm="1">
        <f t="array" ref="Q65">_xlfn.SWITCH(O65,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65" t="str" cm="1">
        <f t="array" ref="R65">_xlfn.SWITCH(P65,
"Inventory / Service","Operations / Planning",
"Material Supply","Materials / Procurement",
"Capacity","Production / Planning",
"Production Execution","Production",
"Inventory","Operations / Planning",
"Demand Planning","Commercial / Planning",
"None","None",
"Operations")</f>
        <v>Operations / Planning</v>
      </c>
    </row>
    <row r="66" spans="1:18">
      <c r="A66" s="30">
        <f>Weekly_Inventory_Flow!A66</f>
        <v>46111</v>
      </c>
      <c r="B66" s="13" t="str">
        <f>Weekly_Inventory_Flow!B66</f>
        <v>P005</v>
      </c>
      <c r="C66" s="25">
        <f>IF(SUMIFS(Weekly_Product_Demand!$C:$C,Weekly_Product_Demand!$A:$A,A66,Weekly_Product_Demand!$B:$B,B66)=0,0,
(SUMIFS(Weekly_Product_Demand!$D:$D,Weekly_Product_Demand!$A:$A,A66,Weekly_Product_Demand!$B:$B,B66)-
SUMIFS(Weekly_Product_Demand!$C:$C,Weekly_Product_Demand!$A:$A,A66,Weekly_Product_Demand!$B:$B,B66))/
SUMIFS(Weekly_Product_Demand!$C:$C,Weekly_Product_Demand!$A:$A,A66,Weekly_Product_Demand!$B:$B,B66))</f>
        <v>3.0125424920876803E-2</v>
      </c>
      <c r="D66" s="25">
        <f>SUMIFS(Weekly_Inventory_Flow!$Q:$Q,Weekly_Inventory_Flow!$A:$A,A66,Weekly_Inventory_Flow!$B:$B,B66)</f>
        <v>1.02</v>
      </c>
      <c r="E66" s="26">
        <f>SUMIFS(Weekly_Inventory_Flow!$S:$S,Weekly_Inventory_Flow!$A:$A,A66,Weekly_Inventory_Flow!$B:$B,B66)</f>
        <v>2.188893946290396</v>
      </c>
      <c r="F66" s="27">
        <f>SUMIFS(Weekly_Inventory_Flow!$N:$N,Weekly_Inventory_Flow!$A:$A,A66,Weekly_Inventory_Flow!$B:$B,B66)</f>
        <v>0</v>
      </c>
      <c r="G66" s="13" t="str">
        <f>_xlfn.XLOOKUP(B66,Product_Line_Map!$A$2:$A$6,Product_Line_Map!$B$2:$B$6,"")</f>
        <v>L03</v>
      </c>
      <c r="H66" s="25">
        <f>SUMIFS(Weekly_Line_Capacity!$J:$J,Weekly_Line_Capacity!$A:$A,A66,Weekly_Line_Capacity!$B:$B,G66)</f>
        <v>0.45238095238095238</v>
      </c>
      <c r="I66" s="27">
        <f>SUMIFS(Weekly_Line_Capacity!$K:$K,Weekly_Line_Capacity!$A:$A,A66,Weekly_Line_Capacity!$B:$B,G66)</f>
        <v>0</v>
      </c>
      <c r="J66" s="13" t="str" cm="1">
        <f t="array" ref="J66">_xlfn.XLOOKUP(1,(Weekly_Line_Capacity!$A$2:$A$157=A66)*(Weekly_Line_Capacity!$B$2:$B$157=G66),Weekly_Line_Capacity!$L$2:$L$157,"")</f>
        <v>WITHIN CAPACITY</v>
      </c>
      <c r="K66" s="13" t="str">
        <f>_xlfn.XLOOKUP(B66,BOM!$A$2:$A$21,BOM!$B$2:$B$21,"")</f>
        <v>M005</v>
      </c>
      <c r="L66" s="27">
        <f>SUMIFS(Weekly_Material_Inventory!$K:$K,Weekly_Material_Inventory!$A:$A,A66,Weekly_Material_Inventory!$B:$B,K66)</f>
        <v>0</v>
      </c>
      <c r="M66">
        <f t="shared" si="0"/>
        <v>0</v>
      </c>
      <c r="N66" t="str">
        <f t="shared" si="1"/>
        <v>OK</v>
      </c>
      <c r="O66" t="str">
        <f t="shared" si="2"/>
        <v>NONE</v>
      </c>
      <c r="P66" t="str" cm="1">
        <f t="array" ref="P66">_xlfn.SWITCH(O66,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66" t="str" cm="1">
        <f t="array" ref="Q66">_xlfn.SWITCH(O66,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66" t="str" cm="1">
        <f t="array" ref="R66">_xlfn.SWITCH(P66,
"Inventory / Service","Operations / Planning",
"Material Supply","Materials / Procurement",
"Capacity","Production / Planning",
"Production Execution","Production",
"Inventory","Operations / Planning",
"Demand Planning","Commercial / Planning",
"None","None",
"Operations")</f>
        <v>None</v>
      </c>
    </row>
    <row r="67" spans="1:18">
      <c r="A67" s="30">
        <f>Weekly_Inventory_Flow!A67</f>
        <v>46118</v>
      </c>
      <c r="B67" s="13" t="str">
        <f>Weekly_Inventory_Flow!B67</f>
        <v>P001</v>
      </c>
      <c r="C67" s="25">
        <f>IF(SUMIFS(Weekly_Product_Demand!$C:$C,Weekly_Product_Demand!$A:$A,A67,Weekly_Product_Demand!$B:$B,B67)=0,0,
(SUMIFS(Weekly_Product_Demand!$D:$D,Weekly_Product_Demand!$A:$A,A67,Weekly_Product_Demand!$B:$B,B67)-
SUMIFS(Weekly_Product_Demand!$C:$C,Weekly_Product_Demand!$A:$A,A67,Weekly_Product_Demand!$B:$B,B67))/
SUMIFS(Weekly_Product_Demand!$C:$C,Weekly_Product_Demand!$A:$A,A67,Weekly_Product_Demand!$B:$B,B67))</f>
        <v>-4.4519369710314456E-2</v>
      </c>
      <c r="D67" s="25">
        <f>SUMIFS(Weekly_Inventory_Flow!$Q:$Q,Weekly_Inventory_Flow!$A:$A,A67,Weekly_Inventory_Flow!$B:$B,B67)</f>
        <v>0.98</v>
      </c>
      <c r="E67" s="26">
        <f>SUMIFS(Weekly_Inventory_Flow!$S:$S,Weekly_Inventory_Flow!$A:$A,A67,Weekly_Inventory_Flow!$B:$B,B67)</f>
        <v>1.9100532910845456</v>
      </c>
      <c r="F67" s="27">
        <f>SUMIFS(Weekly_Inventory_Flow!$N:$N,Weekly_Inventory_Flow!$A:$A,A67,Weekly_Inventory_Flow!$B:$B,B67)</f>
        <v>0</v>
      </c>
      <c r="G67" s="13" t="str">
        <f>_xlfn.XLOOKUP(B67,Product_Line_Map!$A$2:$A$6,Product_Line_Map!$B$2:$B$6,"")</f>
        <v>L01</v>
      </c>
      <c r="H67" s="25">
        <f>SUMIFS(Weekly_Line_Capacity!$J:$J,Weekly_Line_Capacity!$A:$A,A67,Weekly_Line_Capacity!$B:$B,G67)</f>
        <v>0.20029239766081872</v>
      </c>
      <c r="I67" s="27">
        <f>SUMIFS(Weekly_Line_Capacity!$K:$K,Weekly_Line_Capacity!$A:$A,A67,Weekly_Line_Capacity!$B:$B,G67)</f>
        <v>0</v>
      </c>
      <c r="J67" s="13" t="str" cm="1">
        <f t="array" ref="J67">_xlfn.XLOOKUP(1,(Weekly_Line_Capacity!$A$2:$A$157=A67)*(Weekly_Line_Capacity!$B$2:$B$157=G67),Weekly_Line_Capacity!$L$2:$L$157,"")</f>
        <v>WITHIN CAPACITY</v>
      </c>
      <c r="K67" s="13" t="str">
        <f>_xlfn.XLOOKUP(B67,BOM!$A$2:$A$21,BOM!$B$2:$B$21,"")</f>
        <v>M001</v>
      </c>
      <c r="L67" s="27">
        <f>SUMIFS(Weekly_Material_Inventory!$K:$K,Weekly_Material_Inventory!$A:$A,A67,Weekly_Material_Inventory!$B:$B,K67)</f>
        <v>0</v>
      </c>
      <c r="M67">
        <f t="shared" ref="M67:M130" si="3">IF(F67&gt;0,5,0)
+IF(L67&gt;0,5,0)
+IF(J67="OVER CAPACITY",5,IF(H67&gt;=0.85,1,0))
+IF(D67&lt;0.9,3,IF(D67&lt;0.95,2,0))
+IF(E67&lt;1,3,IF(E67&lt;2,1,0))
+IF(ABS(C67)&gt;=0.1,2,IF(ABS(C67)&gt;=0.05,1,0))</f>
        <v>1</v>
      </c>
      <c r="N67" t="str">
        <f t="shared" ref="N67:N130" si="4">IF(OR(F67&gt;0,L67&gt;0,J67="OVER CAPACITY",M67&gt;=5),"CRITICAL",IF(M67&gt;=1,"WARNING","OK"))</f>
        <v>WARNING</v>
      </c>
      <c r="O67" t="str">
        <f t="shared" ref="O67:O130" si="5">IF(F67&gt;0,"FINISHED GOODS SHORTAGE",
IF(L67&gt;0,"MATERIAL SHORTAGE",
IF(J67="OVER CAPACITY","CAPACITY CONSTRAINT",
IF(D67&lt;0.9,"SEVERE PRODUCTION SHORTFALL",
IF(E67&lt;1,"CRITICAL LOW STOCK COVER",
IF(D67&lt;0.95,"LOW PRODUCTION ATTAINMENT",
IF(ABS(C67)&gt;=0.1,"HIGH FORECAST VARIANCE",
IF(E67&lt;2,"LOW STOCK COVER",
IF(H67&gt;=0.85,"HIGH CAPACITY UTILISATION",
IF(ABS(C67)&gt;=0.05,"FORECAST VARIANCE","NONE"))))))))))</f>
        <v>LOW STOCK COVER</v>
      </c>
      <c r="P67" t="str" cm="1">
        <f t="array" ref="P67">_xlfn.SWITCH(O67,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67" t="str" cm="1">
        <f t="array" ref="Q67">_xlfn.SWITCH(O67,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67" t="str" cm="1">
        <f t="array" ref="R67">_xlfn.SWITCH(P67,
"Inventory / Service","Operations / Planning",
"Material Supply","Materials / Procurement",
"Capacity","Production / Planning",
"Production Execution","Production",
"Inventory","Operations / Planning",
"Demand Planning","Commercial / Planning",
"None","None",
"Operations")</f>
        <v>Operations / Planning</v>
      </c>
    </row>
    <row r="68" spans="1:18">
      <c r="A68" s="30">
        <f>Weekly_Inventory_Flow!A68</f>
        <v>46118</v>
      </c>
      <c r="B68" s="13" t="str">
        <f>Weekly_Inventory_Flow!B68</f>
        <v>P002</v>
      </c>
      <c r="C68" s="25">
        <f>IF(SUMIFS(Weekly_Product_Demand!$C:$C,Weekly_Product_Demand!$A:$A,A68,Weekly_Product_Demand!$B:$B,B68)=0,0,
(SUMIFS(Weekly_Product_Demand!$D:$D,Weekly_Product_Demand!$A:$A,A68,Weekly_Product_Demand!$B:$B,B68)-
SUMIFS(Weekly_Product_Demand!$C:$C,Weekly_Product_Demand!$A:$A,A68,Weekly_Product_Demand!$B:$B,B68))/
SUMIFS(Weekly_Product_Demand!$C:$C,Weekly_Product_Demand!$A:$A,A68,Weekly_Product_Demand!$B:$B,B68))</f>
        <v>-2.3255813953488372E-2</v>
      </c>
      <c r="D68" s="25">
        <f>SUMIFS(Weekly_Inventory_Flow!$Q:$Q,Weekly_Inventory_Flow!$A:$A,A68,Weekly_Inventory_Flow!$B:$B,B68)</f>
        <v>0.98</v>
      </c>
      <c r="E68" s="26">
        <f>SUMIFS(Weekly_Inventory_Flow!$S:$S,Weekly_Inventory_Flow!$A:$A,A68,Weekly_Inventory_Flow!$B:$B,B68)</f>
        <v>1.8902161547212741</v>
      </c>
      <c r="F68" s="27">
        <f>SUMIFS(Weekly_Inventory_Flow!$N:$N,Weekly_Inventory_Flow!$A:$A,A68,Weekly_Inventory_Flow!$B:$B,B68)</f>
        <v>0</v>
      </c>
      <c r="G68" s="13" t="str">
        <f>_xlfn.XLOOKUP(B68,Product_Line_Map!$A$2:$A$6,Product_Line_Map!$B$2:$B$6,"")</f>
        <v>L02</v>
      </c>
      <c r="H68" s="25">
        <f>SUMIFS(Weekly_Line_Capacity!$J:$J,Weekly_Line_Capacity!$A:$A,A68,Weekly_Line_Capacity!$B:$B,G68)</f>
        <v>0.46095238095238095</v>
      </c>
      <c r="I68" s="27">
        <f>SUMIFS(Weekly_Line_Capacity!$K:$K,Weekly_Line_Capacity!$A:$A,A68,Weekly_Line_Capacity!$B:$B,G68)</f>
        <v>0</v>
      </c>
      <c r="J68" s="13" t="str" cm="1">
        <f t="array" ref="J68">_xlfn.XLOOKUP(1,(Weekly_Line_Capacity!$A$2:$A$157=A68)*(Weekly_Line_Capacity!$B$2:$B$157=G68),Weekly_Line_Capacity!$L$2:$L$157,"")</f>
        <v>WITHIN CAPACITY</v>
      </c>
      <c r="K68" s="13" t="str">
        <f>_xlfn.XLOOKUP(B68,BOM!$A$2:$A$21,BOM!$B$2:$B$21,"")</f>
        <v>M002</v>
      </c>
      <c r="L68" s="27">
        <f>SUMIFS(Weekly_Material_Inventory!$K:$K,Weekly_Material_Inventory!$A:$A,A68,Weekly_Material_Inventory!$B:$B,K68)</f>
        <v>0</v>
      </c>
      <c r="M68">
        <f t="shared" si="3"/>
        <v>1</v>
      </c>
      <c r="N68" t="str">
        <f t="shared" si="4"/>
        <v>WARNING</v>
      </c>
      <c r="O68" t="str">
        <f t="shared" si="5"/>
        <v>LOW STOCK COVER</v>
      </c>
      <c r="P68" t="str" cm="1">
        <f t="array" ref="P68">_xlfn.SWITCH(O68,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68" t="str" cm="1">
        <f t="array" ref="Q68">_xlfn.SWITCH(O68,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68" t="str" cm="1">
        <f t="array" ref="R68">_xlfn.SWITCH(P68,
"Inventory / Service","Operations / Planning",
"Material Supply","Materials / Procurement",
"Capacity","Production / Planning",
"Production Execution","Production",
"Inventory","Operations / Planning",
"Demand Planning","Commercial / Planning",
"None","None",
"Operations")</f>
        <v>Operations / Planning</v>
      </c>
    </row>
    <row r="69" spans="1:18">
      <c r="A69" s="30">
        <f>Weekly_Inventory_Flow!A69</f>
        <v>46118</v>
      </c>
      <c r="B69" s="13" t="str">
        <f>Weekly_Inventory_Flow!B69</f>
        <v>P003</v>
      </c>
      <c r="C69" s="25">
        <f>IF(SUMIFS(Weekly_Product_Demand!$C:$C,Weekly_Product_Demand!$A:$A,A69,Weekly_Product_Demand!$B:$B,B69)=0,0,
(SUMIFS(Weekly_Product_Demand!$D:$D,Weekly_Product_Demand!$A:$A,A69,Weekly_Product_Demand!$B:$B,B69)-
SUMIFS(Weekly_Product_Demand!$C:$C,Weekly_Product_Demand!$A:$A,A69,Weekly_Product_Demand!$B:$B,B69))/
SUMIFS(Weekly_Product_Demand!$C:$C,Weekly_Product_Demand!$A:$A,A69,Weekly_Product_Demand!$B:$B,B69))</f>
        <v>-1.6211293260473589E-2</v>
      </c>
      <c r="D69" s="25">
        <f>SUMIFS(Weekly_Inventory_Flow!$Q:$Q,Weekly_Inventory_Flow!$A:$A,A69,Weekly_Inventory_Flow!$B:$B,B69)</f>
        <v>1</v>
      </c>
      <c r="E69" s="26">
        <f>SUMIFS(Weekly_Inventory_Flow!$S:$S,Weekly_Inventory_Flow!$A:$A,A69,Weekly_Inventory_Flow!$B:$B,B69)</f>
        <v>2.0283280873912237</v>
      </c>
      <c r="F69" s="27">
        <f>SUMIFS(Weekly_Inventory_Flow!$N:$N,Weekly_Inventory_Flow!$A:$A,A69,Weekly_Inventory_Flow!$B:$B,B69)</f>
        <v>0</v>
      </c>
      <c r="G69" s="13" t="str">
        <f>_xlfn.XLOOKUP(B69,Product_Line_Map!$A$2:$A$6,Product_Line_Map!$B$2:$B$6,"")</f>
        <v>L03</v>
      </c>
      <c r="H69" s="25">
        <f>SUMIFS(Weekly_Line_Capacity!$J:$J,Weekly_Line_Capacity!$A:$A,A69,Weekly_Line_Capacity!$B:$B,G69)</f>
        <v>0.45714285714285713</v>
      </c>
      <c r="I69" s="27">
        <f>SUMIFS(Weekly_Line_Capacity!$K:$K,Weekly_Line_Capacity!$A:$A,A69,Weekly_Line_Capacity!$B:$B,G69)</f>
        <v>0</v>
      </c>
      <c r="J69" s="13" t="str" cm="1">
        <f t="array" ref="J69">_xlfn.XLOOKUP(1,(Weekly_Line_Capacity!$A$2:$A$157=A69)*(Weekly_Line_Capacity!$B$2:$B$157=G69),Weekly_Line_Capacity!$L$2:$L$157,"")</f>
        <v>WITHIN CAPACITY</v>
      </c>
      <c r="K69" s="13" t="str">
        <f>_xlfn.XLOOKUP(B69,BOM!$A$2:$A$21,BOM!$B$2:$B$21,"")</f>
        <v>M003</v>
      </c>
      <c r="L69" s="27">
        <f>SUMIFS(Weekly_Material_Inventory!$K:$K,Weekly_Material_Inventory!$A:$A,A69,Weekly_Material_Inventory!$B:$B,K69)</f>
        <v>0</v>
      </c>
      <c r="M69">
        <f t="shared" si="3"/>
        <v>0</v>
      </c>
      <c r="N69" t="str">
        <f t="shared" si="4"/>
        <v>OK</v>
      </c>
      <c r="O69" t="str">
        <f t="shared" si="5"/>
        <v>NONE</v>
      </c>
      <c r="P69" t="str" cm="1">
        <f t="array" ref="P69">_xlfn.SWITCH(O69,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69" t="str" cm="1">
        <f t="array" ref="Q69">_xlfn.SWITCH(O69,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69" t="str" cm="1">
        <f t="array" ref="R69">_xlfn.SWITCH(P69,
"Inventory / Service","Operations / Planning",
"Material Supply","Materials / Procurement",
"Capacity","Production / Planning",
"Production Execution","Production",
"Inventory","Operations / Planning",
"Demand Planning","Commercial / Planning",
"None","None",
"Operations")</f>
        <v>None</v>
      </c>
    </row>
    <row r="70" spans="1:18">
      <c r="A70" s="30">
        <f>Weekly_Inventory_Flow!A70</f>
        <v>46118</v>
      </c>
      <c r="B70" s="13" t="str">
        <f>Weekly_Inventory_Flow!B70</f>
        <v>P004</v>
      </c>
      <c r="C70" s="25">
        <f>IF(SUMIFS(Weekly_Product_Demand!$C:$C,Weekly_Product_Demand!$A:$A,A70,Weekly_Product_Demand!$B:$B,B70)=0,0,
(SUMIFS(Weekly_Product_Demand!$D:$D,Weekly_Product_Demand!$A:$A,A70,Weekly_Product_Demand!$B:$B,B70)-
SUMIFS(Weekly_Product_Demand!$C:$C,Weekly_Product_Demand!$A:$A,A70,Weekly_Product_Demand!$B:$B,B70))/
SUMIFS(Weekly_Product_Demand!$C:$C,Weekly_Product_Demand!$A:$A,A70,Weekly_Product_Demand!$B:$B,B70))</f>
        <v>-4.0972888152732978E-3</v>
      </c>
      <c r="D70" s="25">
        <f>SUMIFS(Weekly_Inventory_Flow!$Q:$Q,Weekly_Inventory_Flow!$A:$A,A70,Weekly_Inventory_Flow!$B:$B,B70)</f>
        <v>1.01</v>
      </c>
      <c r="E70" s="26">
        <f>SUMIFS(Weekly_Inventory_Flow!$S:$S,Weekly_Inventory_Flow!$A:$A,A70,Weekly_Inventory_Flow!$B:$B,B70)</f>
        <v>2.1060049019607843</v>
      </c>
      <c r="F70" s="27">
        <f>SUMIFS(Weekly_Inventory_Flow!$N:$N,Weekly_Inventory_Flow!$A:$A,A70,Weekly_Inventory_Flow!$B:$B,B70)</f>
        <v>0</v>
      </c>
      <c r="G70" s="13" t="str">
        <f>_xlfn.XLOOKUP(B70,Product_Line_Map!$A$2:$A$6,Product_Line_Map!$B$2:$B$6,"")</f>
        <v>L02</v>
      </c>
      <c r="H70" s="25">
        <f>SUMIFS(Weekly_Line_Capacity!$J:$J,Weekly_Line_Capacity!$A:$A,A70,Weekly_Line_Capacity!$B:$B,G70)</f>
        <v>0.46095238095238095</v>
      </c>
      <c r="I70" s="27">
        <f>SUMIFS(Weekly_Line_Capacity!$K:$K,Weekly_Line_Capacity!$A:$A,A70,Weekly_Line_Capacity!$B:$B,G70)</f>
        <v>0</v>
      </c>
      <c r="J70" s="13" t="str" cm="1">
        <f t="array" ref="J70">_xlfn.XLOOKUP(1,(Weekly_Line_Capacity!$A$2:$A$157=A70)*(Weekly_Line_Capacity!$B$2:$B$157=G70),Weekly_Line_Capacity!$L$2:$L$157,"")</f>
        <v>WITHIN CAPACITY</v>
      </c>
      <c r="K70" s="13" t="str">
        <f>_xlfn.XLOOKUP(B70,BOM!$A$2:$A$21,BOM!$B$2:$B$21,"")</f>
        <v>M004</v>
      </c>
      <c r="L70" s="27">
        <f>SUMIFS(Weekly_Material_Inventory!$K:$K,Weekly_Material_Inventory!$A:$A,A70,Weekly_Material_Inventory!$B:$B,K70)</f>
        <v>0</v>
      </c>
      <c r="M70">
        <f t="shared" si="3"/>
        <v>0</v>
      </c>
      <c r="N70" t="str">
        <f t="shared" si="4"/>
        <v>OK</v>
      </c>
      <c r="O70" t="str">
        <f t="shared" si="5"/>
        <v>NONE</v>
      </c>
      <c r="P70" t="str" cm="1">
        <f t="array" ref="P70">_xlfn.SWITCH(O70,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0" t="str" cm="1">
        <f t="array" ref="Q70">_xlfn.SWITCH(O70,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0" t="str" cm="1">
        <f t="array" ref="R70">_xlfn.SWITCH(P70,
"Inventory / Service","Operations / Planning",
"Material Supply","Materials / Procurement",
"Capacity","Production / Planning",
"Production Execution","Production",
"Inventory","Operations / Planning",
"Demand Planning","Commercial / Planning",
"None","None",
"Operations")</f>
        <v>None</v>
      </c>
    </row>
    <row r="71" spans="1:18">
      <c r="A71" s="30">
        <f>Weekly_Inventory_Flow!A71</f>
        <v>46118</v>
      </c>
      <c r="B71" s="13" t="str">
        <f>Weekly_Inventory_Flow!B71</f>
        <v>P005</v>
      </c>
      <c r="C71" s="25">
        <f>IF(SUMIFS(Weekly_Product_Demand!$C:$C,Weekly_Product_Demand!$A:$A,A71,Weekly_Product_Demand!$B:$B,B71)=0,0,
(SUMIFS(Weekly_Product_Demand!$D:$D,Weekly_Product_Demand!$A:$A,A71,Weekly_Product_Demand!$B:$B,B71)-
SUMIFS(Weekly_Product_Demand!$C:$C,Weekly_Product_Demand!$A:$A,A71,Weekly_Product_Demand!$B:$B,B71))/
SUMIFS(Weekly_Product_Demand!$C:$C,Weekly_Product_Demand!$A:$A,A71,Weekly_Product_Demand!$B:$B,B71))</f>
        <v>-5.3744997141223555E-3</v>
      </c>
      <c r="D71" s="25">
        <f>SUMIFS(Weekly_Inventory_Flow!$Q:$Q,Weekly_Inventory_Flow!$A:$A,A71,Weekly_Inventory_Flow!$B:$B,B71)</f>
        <v>1.01</v>
      </c>
      <c r="E71" s="26">
        <f>SUMIFS(Weekly_Inventory_Flow!$S:$S,Weekly_Inventory_Flow!$A:$A,A71,Weekly_Inventory_Flow!$B:$B,B71)</f>
        <v>2.1206024373419177</v>
      </c>
      <c r="F71" s="27">
        <f>SUMIFS(Weekly_Inventory_Flow!$N:$N,Weekly_Inventory_Flow!$A:$A,A71,Weekly_Inventory_Flow!$B:$B,B71)</f>
        <v>0</v>
      </c>
      <c r="G71" s="13" t="str">
        <f>_xlfn.XLOOKUP(B71,Product_Line_Map!$A$2:$A$6,Product_Line_Map!$B$2:$B$6,"")</f>
        <v>L03</v>
      </c>
      <c r="H71" s="25">
        <f>SUMIFS(Weekly_Line_Capacity!$J:$J,Weekly_Line_Capacity!$A:$A,A71,Weekly_Line_Capacity!$B:$B,G71)</f>
        <v>0.45714285714285713</v>
      </c>
      <c r="I71" s="27">
        <f>SUMIFS(Weekly_Line_Capacity!$K:$K,Weekly_Line_Capacity!$A:$A,A71,Weekly_Line_Capacity!$B:$B,G71)</f>
        <v>0</v>
      </c>
      <c r="J71" s="13" t="str" cm="1">
        <f t="array" ref="J71">_xlfn.XLOOKUP(1,(Weekly_Line_Capacity!$A$2:$A$157=A71)*(Weekly_Line_Capacity!$B$2:$B$157=G71),Weekly_Line_Capacity!$L$2:$L$157,"")</f>
        <v>WITHIN CAPACITY</v>
      </c>
      <c r="K71" s="13" t="str">
        <f>_xlfn.XLOOKUP(B71,BOM!$A$2:$A$21,BOM!$B$2:$B$21,"")</f>
        <v>M005</v>
      </c>
      <c r="L71" s="27">
        <f>SUMIFS(Weekly_Material_Inventory!$K:$K,Weekly_Material_Inventory!$A:$A,A71,Weekly_Material_Inventory!$B:$B,K71)</f>
        <v>0</v>
      </c>
      <c r="M71">
        <f t="shared" si="3"/>
        <v>0</v>
      </c>
      <c r="N71" t="str">
        <f t="shared" si="4"/>
        <v>OK</v>
      </c>
      <c r="O71" t="str">
        <f t="shared" si="5"/>
        <v>NONE</v>
      </c>
      <c r="P71" t="str" cm="1">
        <f t="array" ref="P71">_xlfn.SWITCH(O71,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1" t="str" cm="1">
        <f t="array" ref="Q71">_xlfn.SWITCH(O71,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1" t="str" cm="1">
        <f t="array" ref="R71">_xlfn.SWITCH(P71,
"Inventory / Service","Operations / Planning",
"Material Supply","Materials / Procurement",
"Capacity","Production / Planning",
"Production Execution","Production",
"Inventory","Operations / Planning",
"Demand Planning","Commercial / Planning",
"None","None",
"Operations")</f>
        <v>None</v>
      </c>
    </row>
    <row r="72" spans="1:18">
      <c r="A72" s="30">
        <f>Weekly_Inventory_Flow!A72</f>
        <v>46125</v>
      </c>
      <c r="B72" s="13" t="str">
        <f>Weekly_Inventory_Flow!B72</f>
        <v>P001</v>
      </c>
      <c r="C72" s="25">
        <f>IF(SUMIFS(Weekly_Product_Demand!$C:$C,Weekly_Product_Demand!$A:$A,A72,Weekly_Product_Demand!$B:$B,B72)=0,0,
(SUMIFS(Weekly_Product_Demand!$D:$D,Weekly_Product_Demand!$A:$A,A72,Weekly_Product_Demand!$B:$B,B72)-
SUMIFS(Weekly_Product_Demand!$C:$C,Weekly_Product_Demand!$A:$A,A72,Weekly_Product_Demand!$B:$B,B72))/
SUMIFS(Weekly_Product_Demand!$C:$C,Weekly_Product_Demand!$A:$A,A72,Weekly_Product_Demand!$B:$B,B72))</f>
        <v>6.6142170855670824E-3</v>
      </c>
      <c r="D72" s="25">
        <f>SUMIFS(Weekly_Inventory_Flow!$Q:$Q,Weekly_Inventory_Flow!$A:$A,A72,Weekly_Inventory_Flow!$B:$B,B72)</f>
        <v>1</v>
      </c>
      <c r="E72" s="26">
        <f>SUMIFS(Weekly_Inventory_Flow!$S:$S,Weekly_Inventory_Flow!$A:$A,A72,Weekly_Inventory_Flow!$B:$B,B72)</f>
        <v>2.0000691658597316</v>
      </c>
      <c r="F72" s="27">
        <f>SUMIFS(Weekly_Inventory_Flow!$N:$N,Weekly_Inventory_Flow!$A:$A,A72,Weekly_Inventory_Flow!$B:$B,B72)</f>
        <v>0</v>
      </c>
      <c r="G72" s="13" t="str">
        <f>_xlfn.XLOOKUP(B72,Product_Line_Map!$A$2:$A$6,Product_Line_Map!$B$2:$B$6,"")</f>
        <v>L01</v>
      </c>
      <c r="H72" s="25">
        <f>SUMIFS(Weekly_Line_Capacity!$J:$J,Weekly_Line_Capacity!$A:$A,A72,Weekly_Line_Capacity!$B:$B,G72)</f>
        <v>0.21637426900584794</v>
      </c>
      <c r="I72" s="27">
        <f>SUMIFS(Weekly_Line_Capacity!$K:$K,Weekly_Line_Capacity!$A:$A,A72,Weekly_Line_Capacity!$B:$B,G72)</f>
        <v>0</v>
      </c>
      <c r="J72" s="13" t="str" cm="1">
        <f t="array" ref="J72">_xlfn.XLOOKUP(1,(Weekly_Line_Capacity!$A$2:$A$157=A72)*(Weekly_Line_Capacity!$B$2:$B$157=G72),Weekly_Line_Capacity!$L$2:$L$157,"")</f>
        <v>WITHIN CAPACITY</v>
      </c>
      <c r="K72" s="13" t="str">
        <f>_xlfn.XLOOKUP(B72,BOM!$A$2:$A$21,BOM!$B$2:$B$21,"")</f>
        <v>M001</v>
      </c>
      <c r="L72" s="27">
        <f>SUMIFS(Weekly_Material_Inventory!$K:$K,Weekly_Material_Inventory!$A:$A,A72,Weekly_Material_Inventory!$B:$B,K72)</f>
        <v>0</v>
      </c>
      <c r="M72">
        <f t="shared" si="3"/>
        <v>0</v>
      </c>
      <c r="N72" t="str">
        <f t="shared" si="4"/>
        <v>OK</v>
      </c>
      <c r="O72" t="str">
        <f t="shared" si="5"/>
        <v>NONE</v>
      </c>
      <c r="P72" t="str" cm="1">
        <f t="array" ref="P72">_xlfn.SWITCH(O72,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2" t="str" cm="1">
        <f t="array" ref="Q72">_xlfn.SWITCH(O72,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2" t="str" cm="1">
        <f t="array" ref="R72">_xlfn.SWITCH(P72,
"Inventory / Service","Operations / Planning",
"Material Supply","Materials / Procurement",
"Capacity","Production / Planning",
"Production Execution","Production",
"Inventory","Operations / Planning",
"Demand Planning","Commercial / Planning",
"None","None",
"Operations")</f>
        <v>None</v>
      </c>
    </row>
    <row r="73" spans="1:18">
      <c r="A73" s="30">
        <f>Weekly_Inventory_Flow!A73</f>
        <v>46125</v>
      </c>
      <c r="B73" s="13" t="str">
        <f>Weekly_Inventory_Flow!B73</f>
        <v>P002</v>
      </c>
      <c r="C73" s="25">
        <f>IF(SUMIFS(Weekly_Product_Demand!$C:$C,Weekly_Product_Demand!$A:$A,A73,Weekly_Product_Demand!$B:$B,B73)=0,0,
(SUMIFS(Weekly_Product_Demand!$D:$D,Weekly_Product_Demand!$A:$A,A73,Weekly_Product_Demand!$B:$B,B73)-
SUMIFS(Weekly_Product_Demand!$C:$C,Weekly_Product_Demand!$A:$A,A73,Weekly_Product_Demand!$B:$B,B73))/
SUMIFS(Weekly_Product_Demand!$C:$C,Weekly_Product_Demand!$A:$A,A73,Weekly_Product_Demand!$B:$B,B73))</f>
        <v>2.9916625796959292E-2</v>
      </c>
      <c r="D73" s="25">
        <f>SUMIFS(Weekly_Inventory_Flow!$Q:$Q,Weekly_Inventory_Flow!$A:$A,A73,Weekly_Inventory_Flow!$B:$B,B73)</f>
        <v>0.97</v>
      </c>
      <c r="E73" s="26">
        <f>SUMIFS(Weekly_Inventory_Flow!$S:$S,Weekly_Inventory_Flow!$A:$A,A73,Weekly_Inventory_Flow!$B:$B,B73)</f>
        <v>1.7977777777777777</v>
      </c>
      <c r="F73" s="27">
        <f>SUMIFS(Weekly_Inventory_Flow!$N:$N,Weekly_Inventory_Flow!$A:$A,A73,Weekly_Inventory_Flow!$B:$B,B73)</f>
        <v>0</v>
      </c>
      <c r="G73" s="13" t="str">
        <f>_xlfn.XLOOKUP(B73,Product_Line_Map!$A$2:$A$6,Product_Line_Map!$B$2:$B$6,"")</f>
        <v>L02</v>
      </c>
      <c r="H73" s="25">
        <f>SUMIFS(Weekly_Line_Capacity!$J:$J,Weekly_Line_Capacity!$A:$A,A73,Weekly_Line_Capacity!$B:$B,G73)</f>
        <v>0.46285714285714286</v>
      </c>
      <c r="I73" s="27">
        <f>SUMIFS(Weekly_Line_Capacity!$K:$K,Weekly_Line_Capacity!$A:$A,A73,Weekly_Line_Capacity!$B:$B,G73)</f>
        <v>0</v>
      </c>
      <c r="J73" s="13" t="str" cm="1">
        <f t="array" ref="J73">_xlfn.XLOOKUP(1,(Weekly_Line_Capacity!$A$2:$A$157=A73)*(Weekly_Line_Capacity!$B$2:$B$157=G73),Weekly_Line_Capacity!$L$2:$L$157,"")</f>
        <v>WITHIN CAPACITY</v>
      </c>
      <c r="K73" s="13" t="str">
        <f>_xlfn.XLOOKUP(B73,BOM!$A$2:$A$21,BOM!$B$2:$B$21,"")</f>
        <v>M002</v>
      </c>
      <c r="L73" s="27">
        <f>SUMIFS(Weekly_Material_Inventory!$K:$K,Weekly_Material_Inventory!$A:$A,A73,Weekly_Material_Inventory!$B:$B,K73)</f>
        <v>0</v>
      </c>
      <c r="M73">
        <f t="shared" si="3"/>
        <v>1</v>
      </c>
      <c r="N73" t="str">
        <f t="shared" si="4"/>
        <v>WARNING</v>
      </c>
      <c r="O73" t="str">
        <f t="shared" si="5"/>
        <v>LOW STOCK COVER</v>
      </c>
      <c r="P73" t="str" cm="1">
        <f t="array" ref="P73">_xlfn.SWITCH(O73,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73" t="str" cm="1">
        <f t="array" ref="Q73">_xlfn.SWITCH(O73,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73" t="str" cm="1">
        <f t="array" ref="R73">_xlfn.SWITCH(P73,
"Inventory / Service","Operations / Planning",
"Material Supply","Materials / Procurement",
"Capacity","Production / Planning",
"Production Execution","Production",
"Inventory","Operations / Planning",
"Demand Planning","Commercial / Planning",
"None","None",
"Operations")</f>
        <v>Operations / Planning</v>
      </c>
    </row>
    <row r="74" spans="1:18">
      <c r="A74" s="30">
        <f>Weekly_Inventory_Flow!A74</f>
        <v>46125</v>
      </c>
      <c r="B74" s="13" t="str">
        <f>Weekly_Inventory_Flow!B74</f>
        <v>P003</v>
      </c>
      <c r="C74" s="25">
        <f>IF(SUMIFS(Weekly_Product_Demand!$C:$C,Weekly_Product_Demand!$A:$A,A74,Weekly_Product_Demand!$B:$B,B74)=0,0,
(SUMIFS(Weekly_Product_Demand!$D:$D,Weekly_Product_Demand!$A:$A,A74,Weekly_Product_Demand!$B:$B,B74)-
SUMIFS(Weekly_Product_Demand!$C:$C,Weekly_Product_Demand!$A:$A,A74,Weekly_Product_Demand!$B:$B,B74))/
SUMIFS(Weekly_Product_Demand!$C:$C,Weekly_Product_Demand!$A:$A,A74,Weekly_Product_Demand!$B:$B,B74))</f>
        <v>5.8889512058328663E-3</v>
      </c>
      <c r="D74" s="25">
        <f>SUMIFS(Weekly_Inventory_Flow!$Q:$Q,Weekly_Inventory_Flow!$A:$A,A74,Weekly_Inventory_Flow!$B:$B,B74)</f>
        <v>1</v>
      </c>
      <c r="E74" s="26">
        <f>SUMIFS(Weekly_Inventory_Flow!$S:$S,Weekly_Inventory_Flow!$A:$A,A74,Weekly_Inventory_Flow!$B:$B,B74)</f>
        <v>2.0614255180745285</v>
      </c>
      <c r="F74" s="27">
        <f>SUMIFS(Weekly_Inventory_Flow!$N:$N,Weekly_Inventory_Flow!$A:$A,A74,Weekly_Inventory_Flow!$B:$B,B74)</f>
        <v>0</v>
      </c>
      <c r="G74" s="13" t="str">
        <f>_xlfn.XLOOKUP(B74,Product_Line_Map!$A$2:$A$6,Product_Line_Map!$B$2:$B$6,"")</f>
        <v>L03</v>
      </c>
      <c r="H74" s="25">
        <f>SUMIFS(Weekly_Line_Capacity!$J:$J,Weekly_Line_Capacity!$A:$A,A74,Weekly_Line_Capacity!$B:$B,G74)</f>
        <v>0.45476190476190476</v>
      </c>
      <c r="I74" s="27">
        <f>SUMIFS(Weekly_Line_Capacity!$K:$K,Weekly_Line_Capacity!$A:$A,A74,Weekly_Line_Capacity!$B:$B,G74)</f>
        <v>0</v>
      </c>
      <c r="J74" s="13" t="str" cm="1">
        <f t="array" ref="J74">_xlfn.XLOOKUP(1,(Weekly_Line_Capacity!$A$2:$A$157=A74)*(Weekly_Line_Capacity!$B$2:$B$157=G74),Weekly_Line_Capacity!$L$2:$L$157,"")</f>
        <v>WITHIN CAPACITY</v>
      </c>
      <c r="K74" s="13" t="str">
        <f>_xlfn.XLOOKUP(B74,BOM!$A$2:$A$21,BOM!$B$2:$B$21,"")</f>
        <v>M003</v>
      </c>
      <c r="L74" s="27">
        <f>SUMIFS(Weekly_Material_Inventory!$K:$K,Weekly_Material_Inventory!$A:$A,A74,Weekly_Material_Inventory!$B:$B,K74)</f>
        <v>0</v>
      </c>
      <c r="M74">
        <f t="shared" si="3"/>
        <v>0</v>
      </c>
      <c r="N74" t="str">
        <f t="shared" si="4"/>
        <v>OK</v>
      </c>
      <c r="O74" t="str">
        <f t="shared" si="5"/>
        <v>NONE</v>
      </c>
      <c r="P74" t="str" cm="1">
        <f t="array" ref="P74">_xlfn.SWITCH(O74,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4" t="str" cm="1">
        <f t="array" ref="Q74">_xlfn.SWITCH(O74,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4" t="str" cm="1">
        <f t="array" ref="R74">_xlfn.SWITCH(P74,
"Inventory / Service","Operations / Planning",
"Material Supply","Materials / Procurement",
"Capacity","Production / Planning",
"Production Execution","Production",
"Inventory","Operations / Planning",
"Demand Planning","Commercial / Planning",
"None","None",
"Operations")</f>
        <v>None</v>
      </c>
    </row>
    <row r="75" spans="1:18">
      <c r="A75" s="30">
        <f>Weekly_Inventory_Flow!A75</f>
        <v>46125</v>
      </c>
      <c r="B75" s="13" t="str">
        <f>Weekly_Inventory_Flow!B75</f>
        <v>P004</v>
      </c>
      <c r="C75" s="25">
        <f>IF(SUMIFS(Weekly_Product_Demand!$C:$C,Weekly_Product_Demand!$A:$A,A75,Weekly_Product_Demand!$B:$B,B75)=0,0,
(SUMIFS(Weekly_Product_Demand!$D:$D,Weekly_Product_Demand!$A:$A,A75,Weekly_Product_Demand!$B:$B,B75)-
SUMIFS(Weekly_Product_Demand!$C:$C,Weekly_Product_Demand!$A:$A,A75,Weekly_Product_Demand!$B:$B,B75))/
SUMIFS(Weekly_Product_Demand!$C:$C,Weekly_Product_Demand!$A:$A,A75,Weekly_Product_Demand!$B:$B,B75))</f>
        <v>2.4127492877492877E-2</v>
      </c>
      <c r="D75" s="25">
        <f>SUMIFS(Weekly_Inventory_Flow!$Q:$Q,Weekly_Inventory_Flow!$A:$A,A75,Weekly_Inventory_Flow!$B:$B,B75)</f>
        <v>1</v>
      </c>
      <c r="E75" s="26">
        <f>SUMIFS(Weekly_Inventory_Flow!$S:$S,Weekly_Inventory_Flow!$A:$A,A75,Weekly_Inventory_Flow!$B:$B,B75)</f>
        <v>2.0288620359906111</v>
      </c>
      <c r="F75" s="27">
        <f>SUMIFS(Weekly_Inventory_Flow!$N:$N,Weekly_Inventory_Flow!$A:$A,A75,Weekly_Inventory_Flow!$B:$B,B75)</f>
        <v>0</v>
      </c>
      <c r="G75" s="13" t="str">
        <f>_xlfn.XLOOKUP(B75,Product_Line_Map!$A$2:$A$6,Product_Line_Map!$B$2:$B$6,"")</f>
        <v>L02</v>
      </c>
      <c r="H75" s="25">
        <f>SUMIFS(Weekly_Line_Capacity!$J:$J,Weekly_Line_Capacity!$A:$A,A75,Weekly_Line_Capacity!$B:$B,G75)</f>
        <v>0.46285714285714286</v>
      </c>
      <c r="I75" s="27">
        <f>SUMIFS(Weekly_Line_Capacity!$K:$K,Weekly_Line_Capacity!$A:$A,A75,Weekly_Line_Capacity!$B:$B,G75)</f>
        <v>0</v>
      </c>
      <c r="J75" s="13" t="str" cm="1">
        <f t="array" ref="J75">_xlfn.XLOOKUP(1,(Weekly_Line_Capacity!$A$2:$A$157=A75)*(Weekly_Line_Capacity!$B$2:$B$157=G75),Weekly_Line_Capacity!$L$2:$L$157,"")</f>
        <v>WITHIN CAPACITY</v>
      </c>
      <c r="K75" s="13" t="str">
        <f>_xlfn.XLOOKUP(B75,BOM!$A$2:$A$21,BOM!$B$2:$B$21,"")</f>
        <v>M004</v>
      </c>
      <c r="L75" s="27">
        <f>SUMIFS(Weekly_Material_Inventory!$K:$K,Weekly_Material_Inventory!$A:$A,A75,Weekly_Material_Inventory!$B:$B,K75)</f>
        <v>0</v>
      </c>
      <c r="M75">
        <f t="shared" si="3"/>
        <v>0</v>
      </c>
      <c r="N75" t="str">
        <f t="shared" si="4"/>
        <v>OK</v>
      </c>
      <c r="O75" t="str">
        <f t="shared" si="5"/>
        <v>NONE</v>
      </c>
      <c r="P75" t="str" cm="1">
        <f t="array" ref="P75">_xlfn.SWITCH(O75,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5" t="str" cm="1">
        <f t="array" ref="Q75">_xlfn.SWITCH(O75,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5" t="str" cm="1">
        <f t="array" ref="R75">_xlfn.SWITCH(P75,
"Inventory / Service","Operations / Planning",
"Material Supply","Materials / Procurement",
"Capacity","Production / Planning",
"Production Execution","Production",
"Inventory","Operations / Planning",
"Demand Planning","Commercial / Planning",
"None","None",
"Operations")</f>
        <v>None</v>
      </c>
    </row>
    <row r="76" spans="1:18">
      <c r="A76" s="30">
        <f>Weekly_Inventory_Flow!A76</f>
        <v>46125</v>
      </c>
      <c r="B76" s="13" t="str">
        <f>Weekly_Inventory_Flow!B76</f>
        <v>P005</v>
      </c>
      <c r="C76" s="25">
        <f>IF(SUMIFS(Weekly_Product_Demand!$C:$C,Weekly_Product_Demand!$A:$A,A76,Weekly_Product_Demand!$B:$B,B76)=0,0,
(SUMIFS(Weekly_Product_Demand!$D:$D,Weekly_Product_Demand!$A:$A,A76,Weekly_Product_Demand!$B:$B,B76)-
SUMIFS(Weekly_Product_Demand!$C:$C,Weekly_Product_Demand!$A:$A,A76,Weekly_Product_Demand!$B:$B,B76))/
SUMIFS(Weekly_Product_Demand!$C:$C,Weekly_Product_Demand!$A:$A,A76,Weekly_Product_Demand!$B:$B,B76))</f>
        <v>-9.3512565751022788E-3</v>
      </c>
      <c r="D76" s="25">
        <f>SUMIFS(Weekly_Inventory_Flow!$Q:$Q,Weekly_Inventory_Flow!$A:$A,A76,Weekly_Inventory_Flow!$B:$B,B76)</f>
        <v>0.97</v>
      </c>
      <c r="E76" s="26">
        <f>SUMIFS(Weekly_Inventory_Flow!$S:$S,Weekly_Inventory_Flow!$A:$A,A76,Weekly_Inventory_Flow!$B:$B,B76)</f>
        <v>1.8261946902654866</v>
      </c>
      <c r="F76" s="27">
        <f>SUMIFS(Weekly_Inventory_Flow!$N:$N,Weekly_Inventory_Flow!$A:$A,A76,Weekly_Inventory_Flow!$B:$B,B76)</f>
        <v>0</v>
      </c>
      <c r="G76" s="13" t="str">
        <f>_xlfn.XLOOKUP(B76,Product_Line_Map!$A$2:$A$6,Product_Line_Map!$B$2:$B$6,"")</f>
        <v>L03</v>
      </c>
      <c r="H76" s="25">
        <f>SUMIFS(Weekly_Line_Capacity!$J:$J,Weekly_Line_Capacity!$A:$A,A76,Weekly_Line_Capacity!$B:$B,G76)</f>
        <v>0.45476190476190476</v>
      </c>
      <c r="I76" s="27">
        <f>SUMIFS(Weekly_Line_Capacity!$K:$K,Weekly_Line_Capacity!$A:$A,A76,Weekly_Line_Capacity!$B:$B,G76)</f>
        <v>0</v>
      </c>
      <c r="J76" s="13" t="str" cm="1">
        <f t="array" ref="J76">_xlfn.XLOOKUP(1,(Weekly_Line_Capacity!$A$2:$A$157=A76)*(Weekly_Line_Capacity!$B$2:$B$157=G76),Weekly_Line_Capacity!$L$2:$L$157,"")</f>
        <v>WITHIN CAPACITY</v>
      </c>
      <c r="K76" s="13" t="str">
        <f>_xlfn.XLOOKUP(B76,BOM!$A$2:$A$21,BOM!$B$2:$B$21,"")</f>
        <v>M005</v>
      </c>
      <c r="L76" s="27">
        <f>SUMIFS(Weekly_Material_Inventory!$K:$K,Weekly_Material_Inventory!$A:$A,A76,Weekly_Material_Inventory!$B:$B,K76)</f>
        <v>0</v>
      </c>
      <c r="M76">
        <f t="shared" si="3"/>
        <v>1</v>
      </c>
      <c r="N76" t="str">
        <f t="shared" si="4"/>
        <v>WARNING</v>
      </c>
      <c r="O76" t="str">
        <f t="shared" si="5"/>
        <v>LOW STOCK COVER</v>
      </c>
      <c r="P76" t="str" cm="1">
        <f t="array" ref="P76">_xlfn.SWITCH(O76,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76" t="str" cm="1">
        <f t="array" ref="Q76">_xlfn.SWITCH(O76,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76" t="str" cm="1">
        <f t="array" ref="R76">_xlfn.SWITCH(P76,
"Inventory / Service","Operations / Planning",
"Material Supply","Materials / Procurement",
"Capacity","Production / Planning",
"Production Execution","Production",
"Inventory","Operations / Planning",
"Demand Planning","Commercial / Planning",
"None","None",
"Operations")</f>
        <v>Operations / Planning</v>
      </c>
    </row>
    <row r="77" spans="1:18">
      <c r="A77" s="30">
        <f>Weekly_Inventory_Flow!A77</f>
        <v>46132</v>
      </c>
      <c r="B77" s="13" t="str">
        <f>Weekly_Inventory_Flow!B77</f>
        <v>P001</v>
      </c>
      <c r="C77" s="25">
        <f>IF(SUMIFS(Weekly_Product_Demand!$C:$C,Weekly_Product_Demand!$A:$A,A77,Weekly_Product_Demand!$B:$B,B77)=0,0,
(SUMIFS(Weekly_Product_Demand!$D:$D,Weekly_Product_Demand!$A:$A,A77,Weekly_Product_Demand!$B:$B,B77)-
SUMIFS(Weekly_Product_Demand!$C:$C,Weekly_Product_Demand!$A:$A,A77,Weekly_Product_Demand!$B:$B,B77))/
SUMIFS(Weekly_Product_Demand!$C:$C,Weekly_Product_Demand!$A:$A,A77,Weekly_Product_Demand!$B:$B,B77))</f>
        <v>-3.1724326541774921E-2</v>
      </c>
      <c r="D77" s="25">
        <f>SUMIFS(Weekly_Inventory_Flow!$Q:$Q,Weekly_Inventory_Flow!$A:$A,A77,Weekly_Inventory_Flow!$B:$B,B77)</f>
        <v>1.02</v>
      </c>
      <c r="E77" s="26">
        <f>SUMIFS(Weekly_Inventory_Flow!$S:$S,Weekly_Inventory_Flow!$A:$A,A77,Weekly_Inventory_Flow!$B:$B,B77)</f>
        <v>2.1506143200112979</v>
      </c>
      <c r="F77" s="27">
        <f>SUMIFS(Weekly_Inventory_Flow!$N:$N,Weekly_Inventory_Flow!$A:$A,A77,Weekly_Inventory_Flow!$B:$B,B77)</f>
        <v>0</v>
      </c>
      <c r="G77" s="13" t="str">
        <f>_xlfn.XLOOKUP(B77,Product_Line_Map!$A$2:$A$6,Product_Line_Map!$B$2:$B$6,"")</f>
        <v>L01</v>
      </c>
      <c r="H77" s="25">
        <f>SUMIFS(Weekly_Line_Capacity!$J:$J,Weekly_Line_Capacity!$A:$A,A77,Weekly_Line_Capacity!$B:$B,G77)</f>
        <v>0.20614035087719298</v>
      </c>
      <c r="I77" s="27">
        <f>SUMIFS(Weekly_Line_Capacity!$K:$K,Weekly_Line_Capacity!$A:$A,A77,Weekly_Line_Capacity!$B:$B,G77)</f>
        <v>0</v>
      </c>
      <c r="J77" s="13" t="str" cm="1">
        <f t="array" ref="J77">_xlfn.XLOOKUP(1,(Weekly_Line_Capacity!$A$2:$A$157=A77)*(Weekly_Line_Capacity!$B$2:$B$157=G77),Weekly_Line_Capacity!$L$2:$L$157,"")</f>
        <v>WITHIN CAPACITY</v>
      </c>
      <c r="K77" s="13" t="str">
        <f>_xlfn.XLOOKUP(B77,BOM!$A$2:$A$21,BOM!$B$2:$B$21,"")</f>
        <v>M001</v>
      </c>
      <c r="L77" s="27">
        <f>SUMIFS(Weekly_Material_Inventory!$K:$K,Weekly_Material_Inventory!$A:$A,A77,Weekly_Material_Inventory!$B:$B,K77)</f>
        <v>0</v>
      </c>
      <c r="M77">
        <f t="shared" si="3"/>
        <v>0</v>
      </c>
      <c r="N77" t="str">
        <f t="shared" si="4"/>
        <v>OK</v>
      </c>
      <c r="O77" t="str">
        <f t="shared" si="5"/>
        <v>NONE</v>
      </c>
      <c r="P77" t="str" cm="1">
        <f t="array" ref="P77">_xlfn.SWITCH(O77,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7" t="str" cm="1">
        <f t="array" ref="Q77">_xlfn.SWITCH(O77,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7" t="str" cm="1">
        <f t="array" ref="R77">_xlfn.SWITCH(P77,
"Inventory / Service","Operations / Planning",
"Material Supply","Materials / Procurement",
"Capacity","Production / Planning",
"Production Execution","Production",
"Inventory","Operations / Planning",
"Demand Planning","Commercial / Planning",
"None","None",
"Operations")</f>
        <v>None</v>
      </c>
    </row>
    <row r="78" spans="1:18">
      <c r="A78" s="30">
        <f>Weekly_Inventory_Flow!A78</f>
        <v>46132</v>
      </c>
      <c r="B78" s="13" t="str">
        <f>Weekly_Inventory_Flow!B78</f>
        <v>P002</v>
      </c>
      <c r="C78" s="25">
        <f>IF(SUMIFS(Weekly_Product_Demand!$C:$C,Weekly_Product_Demand!$A:$A,A78,Weekly_Product_Demand!$B:$B,B78)=0,0,
(SUMIFS(Weekly_Product_Demand!$D:$D,Weekly_Product_Demand!$A:$A,A78,Weekly_Product_Demand!$B:$B,B78)-
SUMIFS(Weekly_Product_Demand!$C:$C,Weekly_Product_Demand!$A:$A,A78,Weekly_Product_Demand!$B:$B,B78))/
SUMIFS(Weekly_Product_Demand!$C:$C,Weekly_Product_Demand!$A:$A,A78,Weekly_Product_Demand!$B:$B,B78))</f>
        <v>3.0598276833883565E-3</v>
      </c>
      <c r="D78" s="25">
        <f>SUMIFS(Weekly_Inventory_Flow!$Q:$Q,Weekly_Inventory_Flow!$A:$A,A78,Weekly_Inventory_Flow!$B:$B,B78)</f>
        <v>0.97</v>
      </c>
      <c r="E78" s="26">
        <f>SUMIFS(Weekly_Inventory_Flow!$S:$S,Weekly_Inventory_Flow!$A:$A,A78,Weekly_Inventory_Flow!$B:$B,B78)</f>
        <v>1.7953760937625431</v>
      </c>
      <c r="F78" s="27">
        <f>SUMIFS(Weekly_Inventory_Flow!$N:$N,Weekly_Inventory_Flow!$A:$A,A78,Weekly_Inventory_Flow!$B:$B,B78)</f>
        <v>0</v>
      </c>
      <c r="G78" s="13" t="str">
        <f>_xlfn.XLOOKUP(B78,Product_Line_Map!$A$2:$A$6,Product_Line_Map!$B$2:$B$6,"")</f>
        <v>L02</v>
      </c>
      <c r="H78" s="25">
        <f>SUMIFS(Weekly_Line_Capacity!$J:$J,Weekly_Line_Capacity!$A:$A,A78,Weekly_Line_Capacity!$B:$B,G78)</f>
        <v>0.46857142857142853</v>
      </c>
      <c r="I78" s="27">
        <f>SUMIFS(Weekly_Line_Capacity!$K:$K,Weekly_Line_Capacity!$A:$A,A78,Weekly_Line_Capacity!$B:$B,G78)</f>
        <v>0</v>
      </c>
      <c r="J78" s="13" t="str" cm="1">
        <f t="array" ref="J78">_xlfn.XLOOKUP(1,(Weekly_Line_Capacity!$A$2:$A$157=A78)*(Weekly_Line_Capacity!$B$2:$B$157=G78),Weekly_Line_Capacity!$L$2:$L$157,"")</f>
        <v>WITHIN CAPACITY</v>
      </c>
      <c r="K78" s="13" t="str">
        <f>_xlfn.XLOOKUP(B78,BOM!$A$2:$A$21,BOM!$B$2:$B$21,"")</f>
        <v>M002</v>
      </c>
      <c r="L78" s="27">
        <f>SUMIFS(Weekly_Material_Inventory!$K:$K,Weekly_Material_Inventory!$A:$A,A78,Weekly_Material_Inventory!$B:$B,K78)</f>
        <v>0</v>
      </c>
      <c r="M78">
        <f t="shared" si="3"/>
        <v>1</v>
      </c>
      <c r="N78" t="str">
        <f t="shared" si="4"/>
        <v>WARNING</v>
      </c>
      <c r="O78" t="str">
        <f t="shared" si="5"/>
        <v>LOW STOCK COVER</v>
      </c>
      <c r="P78" t="str" cm="1">
        <f t="array" ref="P78">_xlfn.SWITCH(O78,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78" t="str" cm="1">
        <f t="array" ref="Q78">_xlfn.SWITCH(O78,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78" t="str" cm="1">
        <f t="array" ref="R78">_xlfn.SWITCH(P78,
"Inventory / Service","Operations / Planning",
"Material Supply","Materials / Procurement",
"Capacity","Production / Planning",
"Production Execution","Production",
"Inventory","Operations / Planning",
"Demand Planning","Commercial / Planning",
"None","None",
"Operations")</f>
        <v>Operations / Planning</v>
      </c>
    </row>
    <row r="79" spans="1:18">
      <c r="A79" s="30">
        <f>Weekly_Inventory_Flow!A79</f>
        <v>46132</v>
      </c>
      <c r="B79" s="13" t="str">
        <f>Weekly_Inventory_Flow!B79</f>
        <v>P003</v>
      </c>
      <c r="C79" s="25">
        <f>IF(SUMIFS(Weekly_Product_Demand!$C:$C,Weekly_Product_Demand!$A:$A,A79,Weekly_Product_Demand!$B:$B,B79)=0,0,
(SUMIFS(Weekly_Product_Demand!$D:$D,Weekly_Product_Demand!$A:$A,A79,Weekly_Product_Demand!$B:$B,B79)-
SUMIFS(Weekly_Product_Demand!$C:$C,Weekly_Product_Demand!$A:$A,A79,Weekly_Product_Demand!$B:$B,B79))/
SUMIFS(Weekly_Product_Demand!$C:$C,Weekly_Product_Demand!$A:$A,A79,Weekly_Product_Demand!$B:$B,B79))</f>
        <v>-2.2808586762075134E-2</v>
      </c>
      <c r="D79" s="25">
        <f>SUMIFS(Weekly_Inventory_Flow!$Q:$Q,Weekly_Inventory_Flow!$A:$A,A79,Weekly_Inventory_Flow!$B:$B,B79)</f>
        <v>1</v>
      </c>
      <c r="E79" s="26">
        <f>SUMIFS(Weekly_Inventory_Flow!$S:$S,Weekly_Inventory_Flow!$A:$A,A79,Weekly_Inventory_Flow!$B:$B,B79)</f>
        <v>2.0144622425629288</v>
      </c>
      <c r="F79" s="27">
        <f>SUMIFS(Weekly_Inventory_Flow!$N:$N,Weekly_Inventory_Flow!$A:$A,A79,Weekly_Inventory_Flow!$B:$B,B79)</f>
        <v>0</v>
      </c>
      <c r="G79" s="13" t="str">
        <f>_xlfn.XLOOKUP(B79,Product_Line_Map!$A$2:$A$6,Product_Line_Map!$B$2:$B$6,"")</f>
        <v>L03</v>
      </c>
      <c r="H79" s="25">
        <f>SUMIFS(Weekly_Line_Capacity!$J:$J,Weekly_Line_Capacity!$A:$A,A79,Weekly_Line_Capacity!$B:$B,G79)</f>
        <v>0.47142857142857142</v>
      </c>
      <c r="I79" s="27">
        <f>SUMIFS(Weekly_Line_Capacity!$K:$K,Weekly_Line_Capacity!$A:$A,A79,Weekly_Line_Capacity!$B:$B,G79)</f>
        <v>0</v>
      </c>
      <c r="J79" s="13" t="str" cm="1">
        <f t="array" ref="J79">_xlfn.XLOOKUP(1,(Weekly_Line_Capacity!$A$2:$A$157=A79)*(Weekly_Line_Capacity!$B$2:$B$157=G79),Weekly_Line_Capacity!$L$2:$L$157,"")</f>
        <v>WITHIN CAPACITY</v>
      </c>
      <c r="K79" s="13" t="str">
        <f>_xlfn.XLOOKUP(B79,BOM!$A$2:$A$21,BOM!$B$2:$B$21,"")</f>
        <v>M003</v>
      </c>
      <c r="L79" s="27">
        <f>SUMIFS(Weekly_Material_Inventory!$K:$K,Weekly_Material_Inventory!$A:$A,A79,Weekly_Material_Inventory!$B:$B,K79)</f>
        <v>0</v>
      </c>
      <c r="M79">
        <f t="shared" si="3"/>
        <v>0</v>
      </c>
      <c r="N79" t="str">
        <f t="shared" si="4"/>
        <v>OK</v>
      </c>
      <c r="O79" t="str">
        <f t="shared" si="5"/>
        <v>NONE</v>
      </c>
      <c r="P79" t="str" cm="1">
        <f t="array" ref="P79">_xlfn.SWITCH(O79,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79" t="str" cm="1">
        <f t="array" ref="Q79">_xlfn.SWITCH(O79,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79" t="str" cm="1">
        <f t="array" ref="R79">_xlfn.SWITCH(P79,
"Inventory / Service","Operations / Planning",
"Material Supply","Materials / Procurement",
"Capacity","Production / Planning",
"Production Execution","Production",
"Inventory","Operations / Planning",
"Demand Planning","Commercial / Planning",
"None","None",
"Operations")</f>
        <v>None</v>
      </c>
    </row>
    <row r="80" spans="1:18">
      <c r="A80" s="30">
        <f>Weekly_Inventory_Flow!A80</f>
        <v>46132</v>
      </c>
      <c r="B80" s="13" t="str">
        <f>Weekly_Inventory_Flow!B80</f>
        <v>P004</v>
      </c>
      <c r="C80" s="25">
        <f>IF(SUMIFS(Weekly_Product_Demand!$C:$C,Weekly_Product_Demand!$A:$A,A80,Weekly_Product_Demand!$B:$B,B80)=0,0,
(SUMIFS(Weekly_Product_Demand!$D:$D,Weekly_Product_Demand!$A:$A,A80,Weekly_Product_Demand!$B:$B,B80)-
SUMIFS(Weekly_Product_Demand!$C:$C,Weekly_Product_Demand!$A:$A,A80,Weekly_Product_Demand!$B:$B,B80))/
SUMIFS(Weekly_Product_Demand!$C:$C,Weekly_Product_Demand!$A:$A,A80,Weekly_Product_Demand!$B:$B,B80))</f>
        <v>2.1347041909906769E-2</v>
      </c>
      <c r="D80" s="25">
        <f>SUMIFS(Weekly_Inventory_Flow!$Q:$Q,Weekly_Inventory_Flow!$A:$A,A80,Weekly_Inventory_Flow!$B:$B,B80)</f>
        <v>0.98</v>
      </c>
      <c r="E80" s="26">
        <f>SUMIFS(Weekly_Inventory_Flow!$S:$S,Weekly_Inventory_Flow!$A:$A,A80,Weekly_Inventory_Flow!$B:$B,B80)</f>
        <v>1.8966046749701415</v>
      </c>
      <c r="F80" s="27">
        <f>SUMIFS(Weekly_Inventory_Flow!$N:$N,Weekly_Inventory_Flow!$A:$A,A80,Weekly_Inventory_Flow!$B:$B,B80)</f>
        <v>0</v>
      </c>
      <c r="G80" s="13" t="str">
        <f>_xlfn.XLOOKUP(B80,Product_Line_Map!$A$2:$A$6,Product_Line_Map!$B$2:$B$6,"")</f>
        <v>L02</v>
      </c>
      <c r="H80" s="25">
        <f>SUMIFS(Weekly_Line_Capacity!$J:$J,Weekly_Line_Capacity!$A:$A,A80,Weekly_Line_Capacity!$B:$B,G80)</f>
        <v>0.46857142857142853</v>
      </c>
      <c r="I80" s="27">
        <f>SUMIFS(Weekly_Line_Capacity!$K:$K,Weekly_Line_Capacity!$A:$A,A80,Weekly_Line_Capacity!$B:$B,G80)</f>
        <v>0</v>
      </c>
      <c r="J80" s="13" t="str" cm="1">
        <f t="array" ref="J80">_xlfn.XLOOKUP(1,(Weekly_Line_Capacity!$A$2:$A$157=A80)*(Weekly_Line_Capacity!$B$2:$B$157=G80),Weekly_Line_Capacity!$L$2:$L$157,"")</f>
        <v>WITHIN CAPACITY</v>
      </c>
      <c r="K80" s="13" t="str">
        <f>_xlfn.XLOOKUP(B80,BOM!$A$2:$A$21,BOM!$B$2:$B$21,"")</f>
        <v>M004</v>
      </c>
      <c r="L80" s="27">
        <f>SUMIFS(Weekly_Material_Inventory!$K:$K,Weekly_Material_Inventory!$A:$A,A80,Weekly_Material_Inventory!$B:$B,K80)</f>
        <v>0</v>
      </c>
      <c r="M80">
        <f t="shared" si="3"/>
        <v>1</v>
      </c>
      <c r="N80" t="str">
        <f t="shared" si="4"/>
        <v>WARNING</v>
      </c>
      <c r="O80" t="str">
        <f t="shared" si="5"/>
        <v>LOW STOCK COVER</v>
      </c>
      <c r="P80" t="str" cm="1">
        <f t="array" ref="P80">_xlfn.SWITCH(O80,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80" t="str" cm="1">
        <f t="array" ref="Q80">_xlfn.SWITCH(O80,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80" t="str" cm="1">
        <f t="array" ref="R80">_xlfn.SWITCH(P80,
"Inventory / Service","Operations / Planning",
"Material Supply","Materials / Procurement",
"Capacity","Production / Planning",
"Production Execution","Production",
"Inventory","Operations / Planning",
"Demand Planning","Commercial / Planning",
"None","None",
"Operations")</f>
        <v>Operations / Planning</v>
      </c>
    </row>
    <row r="81" spans="1:18">
      <c r="A81" s="30">
        <f>Weekly_Inventory_Flow!A81</f>
        <v>46132</v>
      </c>
      <c r="B81" s="13" t="str">
        <f>Weekly_Inventory_Flow!B81</f>
        <v>P005</v>
      </c>
      <c r="C81" s="25">
        <f>IF(SUMIFS(Weekly_Product_Demand!$C:$C,Weekly_Product_Demand!$A:$A,A81,Weekly_Product_Demand!$B:$B,B81)=0,0,
(SUMIFS(Weekly_Product_Demand!$D:$D,Weekly_Product_Demand!$A:$A,A81,Weekly_Product_Demand!$B:$B,B81)-
SUMIFS(Weekly_Product_Demand!$C:$C,Weekly_Product_Demand!$A:$A,A81,Weekly_Product_Demand!$B:$B,B81))/
SUMIFS(Weekly_Product_Demand!$C:$C,Weekly_Product_Demand!$A:$A,A81,Weekly_Product_Demand!$B:$B,B81))</f>
        <v>-2.8833107191316147E-2</v>
      </c>
      <c r="D81" s="25">
        <f>SUMIFS(Weekly_Inventory_Flow!$Q:$Q,Weekly_Inventory_Flow!$A:$A,A81,Weekly_Inventory_Flow!$B:$B,B81)</f>
        <v>1.02</v>
      </c>
      <c r="E81" s="26">
        <f>SUMIFS(Weekly_Inventory_Flow!$S:$S,Weekly_Inventory_Flow!$A:$A,A81,Weekly_Inventory_Flow!$B:$B,B81)</f>
        <v>2.2004889975550124</v>
      </c>
      <c r="F81" s="27">
        <f>SUMIFS(Weekly_Inventory_Flow!$N:$N,Weekly_Inventory_Flow!$A:$A,A81,Weekly_Inventory_Flow!$B:$B,B81)</f>
        <v>0</v>
      </c>
      <c r="G81" s="13" t="str">
        <f>_xlfn.XLOOKUP(B81,Product_Line_Map!$A$2:$A$6,Product_Line_Map!$B$2:$B$6,"")</f>
        <v>L03</v>
      </c>
      <c r="H81" s="25">
        <f>SUMIFS(Weekly_Line_Capacity!$J:$J,Weekly_Line_Capacity!$A:$A,A81,Weekly_Line_Capacity!$B:$B,G81)</f>
        <v>0.47142857142857142</v>
      </c>
      <c r="I81" s="27">
        <f>SUMIFS(Weekly_Line_Capacity!$K:$K,Weekly_Line_Capacity!$A:$A,A81,Weekly_Line_Capacity!$B:$B,G81)</f>
        <v>0</v>
      </c>
      <c r="J81" s="13" t="str" cm="1">
        <f t="array" ref="J81">_xlfn.XLOOKUP(1,(Weekly_Line_Capacity!$A$2:$A$157=A81)*(Weekly_Line_Capacity!$B$2:$B$157=G81),Weekly_Line_Capacity!$L$2:$L$157,"")</f>
        <v>WITHIN CAPACITY</v>
      </c>
      <c r="K81" s="13" t="str">
        <f>_xlfn.XLOOKUP(B81,BOM!$A$2:$A$21,BOM!$B$2:$B$21,"")</f>
        <v>M005</v>
      </c>
      <c r="L81" s="27">
        <f>SUMIFS(Weekly_Material_Inventory!$K:$K,Weekly_Material_Inventory!$A:$A,A81,Weekly_Material_Inventory!$B:$B,K81)</f>
        <v>0</v>
      </c>
      <c r="M81">
        <f t="shared" si="3"/>
        <v>0</v>
      </c>
      <c r="N81" t="str">
        <f t="shared" si="4"/>
        <v>OK</v>
      </c>
      <c r="O81" t="str">
        <f t="shared" si="5"/>
        <v>NONE</v>
      </c>
      <c r="P81" t="str" cm="1">
        <f t="array" ref="P81">_xlfn.SWITCH(O81,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81" t="str" cm="1">
        <f t="array" ref="Q81">_xlfn.SWITCH(O81,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81" t="str" cm="1">
        <f t="array" ref="R81">_xlfn.SWITCH(P81,
"Inventory / Service","Operations / Planning",
"Material Supply","Materials / Procurement",
"Capacity","Production / Planning",
"Production Execution","Production",
"Inventory","Operations / Planning",
"Demand Planning","Commercial / Planning",
"None","None",
"Operations")</f>
        <v>None</v>
      </c>
    </row>
    <row r="82" spans="1:18">
      <c r="A82" s="30">
        <f>Weekly_Inventory_Flow!A82</f>
        <v>46139</v>
      </c>
      <c r="B82" s="13" t="str">
        <f>Weekly_Inventory_Flow!B82</f>
        <v>P001</v>
      </c>
      <c r="C82" s="25">
        <f>IF(SUMIFS(Weekly_Product_Demand!$C:$C,Weekly_Product_Demand!$A:$A,A82,Weekly_Product_Demand!$B:$B,B82)=0,0,
(SUMIFS(Weekly_Product_Demand!$D:$D,Weekly_Product_Demand!$A:$A,A82,Weekly_Product_Demand!$B:$B,B82)-
SUMIFS(Weekly_Product_Demand!$C:$C,Weekly_Product_Demand!$A:$A,A82,Weekly_Product_Demand!$B:$B,B82))/
SUMIFS(Weekly_Product_Demand!$C:$C,Weekly_Product_Demand!$A:$A,A82,Weekly_Product_Demand!$B:$B,B82))</f>
        <v>1.4371424584903028E-2</v>
      </c>
      <c r="D82" s="25">
        <f>SUMIFS(Weekly_Inventory_Flow!$Q:$Q,Weekly_Inventory_Flow!$A:$A,A82,Weekly_Inventory_Flow!$B:$B,B82)</f>
        <v>1.01</v>
      </c>
      <c r="E82" s="26">
        <f>SUMIFS(Weekly_Inventory_Flow!$S:$S,Weekly_Inventory_Flow!$A:$A,A82,Weekly_Inventory_Flow!$B:$B,B82)</f>
        <v>2.0966299862448414</v>
      </c>
      <c r="F82" s="27">
        <f>SUMIFS(Weekly_Inventory_Flow!$N:$N,Weekly_Inventory_Flow!$A:$A,A82,Weekly_Inventory_Flow!$B:$B,B82)</f>
        <v>0</v>
      </c>
      <c r="G82" s="13" t="str">
        <f>_xlfn.XLOOKUP(B82,Product_Line_Map!$A$2:$A$6,Product_Line_Map!$B$2:$B$6,"")</f>
        <v>L01</v>
      </c>
      <c r="H82" s="25">
        <f>SUMIFS(Weekly_Line_Capacity!$J:$J,Weekly_Line_Capacity!$A:$A,A82,Weekly_Line_Capacity!$B:$B,G82)</f>
        <v>0.21052631578947367</v>
      </c>
      <c r="I82" s="27">
        <f>SUMIFS(Weekly_Line_Capacity!$K:$K,Weekly_Line_Capacity!$A:$A,A82,Weekly_Line_Capacity!$B:$B,G82)</f>
        <v>0</v>
      </c>
      <c r="J82" s="13" t="str" cm="1">
        <f t="array" ref="J82">_xlfn.XLOOKUP(1,(Weekly_Line_Capacity!$A$2:$A$157=A82)*(Weekly_Line_Capacity!$B$2:$B$157=G82),Weekly_Line_Capacity!$L$2:$L$157,"")</f>
        <v>WITHIN CAPACITY</v>
      </c>
      <c r="K82" s="13" t="str">
        <f>_xlfn.XLOOKUP(B82,BOM!$A$2:$A$21,BOM!$B$2:$B$21,"")</f>
        <v>M001</v>
      </c>
      <c r="L82" s="27">
        <f>SUMIFS(Weekly_Material_Inventory!$K:$K,Weekly_Material_Inventory!$A:$A,A82,Weekly_Material_Inventory!$B:$B,K82)</f>
        <v>0</v>
      </c>
      <c r="M82">
        <f t="shared" si="3"/>
        <v>0</v>
      </c>
      <c r="N82" t="str">
        <f t="shared" si="4"/>
        <v>OK</v>
      </c>
      <c r="O82" t="str">
        <f t="shared" si="5"/>
        <v>NONE</v>
      </c>
      <c r="P82" t="str" cm="1">
        <f t="array" ref="P82">_xlfn.SWITCH(O82,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82" t="str" cm="1">
        <f t="array" ref="Q82">_xlfn.SWITCH(O82,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82" t="str" cm="1">
        <f t="array" ref="R82">_xlfn.SWITCH(P82,
"Inventory / Service","Operations / Planning",
"Material Supply","Materials / Procurement",
"Capacity","Production / Planning",
"Production Execution","Production",
"Inventory","Operations / Planning",
"Demand Planning","Commercial / Planning",
"None","None",
"Operations")</f>
        <v>None</v>
      </c>
    </row>
    <row r="83" spans="1:18">
      <c r="A83" s="30">
        <f>Weekly_Inventory_Flow!A83</f>
        <v>46139</v>
      </c>
      <c r="B83" s="13" t="str">
        <f>Weekly_Inventory_Flow!B83</f>
        <v>P002</v>
      </c>
      <c r="C83" s="25">
        <f>IF(SUMIFS(Weekly_Product_Demand!$C:$C,Weekly_Product_Demand!$A:$A,A83,Weekly_Product_Demand!$B:$B,B83)=0,0,
(SUMIFS(Weekly_Product_Demand!$D:$D,Weekly_Product_Demand!$A:$A,A83,Weekly_Product_Demand!$B:$B,B83)-
SUMIFS(Weekly_Product_Demand!$C:$C,Weekly_Product_Demand!$A:$A,A83,Weekly_Product_Demand!$B:$B,B83))/
SUMIFS(Weekly_Product_Demand!$C:$C,Weekly_Product_Demand!$A:$A,A83,Weekly_Product_Demand!$B:$B,B83))</f>
        <v>8.9856714968023967E-3</v>
      </c>
      <c r="D83" s="25">
        <f>SUMIFS(Weekly_Inventory_Flow!$Q:$Q,Weekly_Inventory_Flow!$A:$A,A83,Weekly_Inventory_Flow!$B:$B,B83)</f>
        <v>1</v>
      </c>
      <c r="E83" s="26">
        <f>SUMIFS(Weekly_Inventory_Flow!$S:$S,Weekly_Inventory_Flow!$A:$A,A83,Weekly_Inventory_Flow!$B:$B,B83)</f>
        <v>2.0392329910141207</v>
      </c>
      <c r="F83" s="27">
        <f>SUMIFS(Weekly_Inventory_Flow!$N:$N,Weekly_Inventory_Flow!$A:$A,A83,Weekly_Inventory_Flow!$B:$B,B83)</f>
        <v>0</v>
      </c>
      <c r="G83" s="13" t="str">
        <f>_xlfn.XLOOKUP(B83,Product_Line_Map!$A$2:$A$6,Product_Line_Map!$B$2:$B$6,"")</f>
        <v>L02</v>
      </c>
      <c r="H83" s="25">
        <f>SUMIFS(Weekly_Line_Capacity!$J:$J,Weekly_Line_Capacity!$A:$A,A83,Weekly_Line_Capacity!$B:$B,G83)</f>
        <v>0.4723809523809524</v>
      </c>
      <c r="I83" s="27">
        <f>SUMIFS(Weekly_Line_Capacity!$K:$K,Weekly_Line_Capacity!$A:$A,A83,Weekly_Line_Capacity!$B:$B,G83)</f>
        <v>0</v>
      </c>
      <c r="J83" s="13" t="str" cm="1">
        <f t="array" ref="J83">_xlfn.XLOOKUP(1,(Weekly_Line_Capacity!$A$2:$A$157=A83)*(Weekly_Line_Capacity!$B$2:$B$157=G83),Weekly_Line_Capacity!$L$2:$L$157,"")</f>
        <v>WITHIN CAPACITY</v>
      </c>
      <c r="K83" s="13" t="str">
        <f>_xlfn.XLOOKUP(B83,BOM!$A$2:$A$21,BOM!$B$2:$B$21,"")</f>
        <v>M002</v>
      </c>
      <c r="L83" s="27">
        <f>SUMIFS(Weekly_Material_Inventory!$K:$K,Weekly_Material_Inventory!$A:$A,A83,Weekly_Material_Inventory!$B:$B,K83)</f>
        <v>0</v>
      </c>
      <c r="M83">
        <f t="shared" si="3"/>
        <v>0</v>
      </c>
      <c r="N83" t="str">
        <f t="shared" si="4"/>
        <v>OK</v>
      </c>
      <c r="O83" t="str">
        <f t="shared" si="5"/>
        <v>NONE</v>
      </c>
      <c r="P83" t="str" cm="1">
        <f t="array" ref="P83">_xlfn.SWITCH(O83,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83" t="str" cm="1">
        <f t="array" ref="Q83">_xlfn.SWITCH(O83,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83" t="str" cm="1">
        <f t="array" ref="R83">_xlfn.SWITCH(P83,
"Inventory / Service","Operations / Planning",
"Material Supply","Materials / Procurement",
"Capacity","Production / Planning",
"Production Execution","Production",
"Inventory","Operations / Planning",
"Demand Planning","Commercial / Planning",
"None","None",
"Operations")</f>
        <v>None</v>
      </c>
    </row>
    <row r="84" spans="1:18">
      <c r="A84" s="30">
        <f>Weekly_Inventory_Flow!A84</f>
        <v>46139</v>
      </c>
      <c r="B84" s="13" t="str">
        <f>Weekly_Inventory_Flow!B84</f>
        <v>P003</v>
      </c>
      <c r="C84" s="25">
        <f>IF(SUMIFS(Weekly_Product_Demand!$C:$C,Weekly_Product_Demand!$A:$A,A84,Weekly_Product_Demand!$B:$B,B84)=0,0,
(SUMIFS(Weekly_Product_Demand!$D:$D,Weekly_Product_Demand!$A:$A,A84,Weekly_Product_Demand!$B:$B,B84)-
SUMIFS(Weekly_Product_Demand!$C:$C,Weekly_Product_Demand!$A:$A,A84,Weekly_Product_Demand!$B:$B,B84))/
SUMIFS(Weekly_Product_Demand!$C:$C,Weekly_Product_Demand!$A:$A,A84,Weekly_Product_Demand!$B:$B,B84))</f>
        <v>3.4772070476368044E-2</v>
      </c>
      <c r="D84" s="25">
        <f>SUMIFS(Weekly_Inventory_Flow!$Q:$Q,Weekly_Inventory_Flow!$A:$A,A84,Weekly_Inventory_Flow!$B:$B,B84)</f>
        <v>1.01</v>
      </c>
      <c r="E84" s="26">
        <f>SUMIFS(Weekly_Inventory_Flow!$S:$S,Weekly_Inventory_Flow!$A:$A,A84,Weekly_Inventory_Flow!$B:$B,B84)</f>
        <v>2.1163963963963961</v>
      </c>
      <c r="F84" s="27">
        <f>SUMIFS(Weekly_Inventory_Flow!$N:$N,Weekly_Inventory_Flow!$A:$A,A84,Weekly_Inventory_Flow!$B:$B,B84)</f>
        <v>0</v>
      </c>
      <c r="G84" s="13" t="str">
        <f>_xlfn.XLOOKUP(B84,Product_Line_Map!$A$2:$A$6,Product_Line_Map!$B$2:$B$6,"")</f>
        <v>L03</v>
      </c>
      <c r="H84" s="25">
        <f>SUMIFS(Weekly_Line_Capacity!$J:$J,Weekly_Line_Capacity!$A:$A,A84,Weekly_Line_Capacity!$B:$B,G84)</f>
        <v>0.4690476190476191</v>
      </c>
      <c r="I84" s="27">
        <f>SUMIFS(Weekly_Line_Capacity!$K:$K,Weekly_Line_Capacity!$A:$A,A84,Weekly_Line_Capacity!$B:$B,G84)</f>
        <v>0</v>
      </c>
      <c r="J84" s="13" t="str" cm="1">
        <f t="array" ref="J84">_xlfn.XLOOKUP(1,(Weekly_Line_Capacity!$A$2:$A$157=A84)*(Weekly_Line_Capacity!$B$2:$B$157=G84),Weekly_Line_Capacity!$L$2:$L$157,"")</f>
        <v>WITHIN CAPACITY</v>
      </c>
      <c r="K84" s="13" t="str">
        <f>_xlfn.XLOOKUP(B84,BOM!$A$2:$A$21,BOM!$B$2:$B$21,"")</f>
        <v>M003</v>
      </c>
      <c r="L84" s="27">
        <f>SUMIFS(Weekly_Material_Inventory!$K:$K,Weekly_Material_Inventory!$A:$A,A84,Weekly_Material_Inventory!$B:$B,K84)</f>
        <v>0</v>
      </c>
      <c r="M84">
        <f t="shared" si="3"/>
        <v>0</v>
      </c>
      <c r="N84" t="str">
        <f t="shared" si="4"/>
        <v>OK</v>
      </c>
      <c r="O84" t="str">
        <f t="shared" si="5"/>
        <v>NONE</v>
      </c>
      <c r="P84" t="str" cm="1">
        <f t="array" ref="P84">_xlfn.SWITCH(O84,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84" t="str" cm="1">
        <f t="array" ref="Q84">_xlfn.SWITCH(O84,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84" t="str" cm="1">
        <f t="array" ref="R84">_xlfn.SWITCH(P84,
"Inventory / Service","Operations / Planning",
"Material Supply","Materials / Procurement",
"Capacity","Production / Planning",
"Production Execution","Production",
"Inventory","Operations / Planning",
"Demand Planning","Commercial / Planning",
"None","None",
"Operations")</f>
        <v>None</v>
      </c>
    </row>
    <row r="85" spans="1:18">
      <c r="A85" s="30">
        <f>Weekly_Inventory_Flow!A85</f>
        <v>46139</v>
      </c>
      <c r="B85" s="13" t="str">
        <f>Weekly_Inventory_Flow!B85</f>
        <v>P004</v>
      </c>
      <c r="C85" s="25">
        <f>IF(SUMIFS(Weekly_Product_Demand!$C:$C,Weekly_Product_Demand!$A:$A,A85,Weekly_Product_Demand!$B:$B,B85)=0,0,
(SUMIFS(Weekly_Product_Demand!$D:$D,Weekly_Product_Demand!$A:$A,A85,Weekly_Product_Demand!$B:$B,B85)-
SUMIFS(Weekly_Product_Demand!$C:$C,Weekly_Product_Demand!$A:$A,A85,Weekly_Product_Demand!$B:$B,B85))/
SUMIFS(Weekly_Product_Demand!$C:$C,Weekly_Product_Demand!$A:$A,A85,Weekly_Product_Demand!$B:$B,B85))</f>
        <v>2.6625440178648114E-3</v>
      </c>
      <c r="D85" s="25">
        <f>SUMIFS(Weekly_Inventory_Flow!$Q:$Q,Weekly_Inventory_Flow!$A:$A,A85,Weekly_Inventory_Flow!$B:$B,B85)</f>
        <v>0.99</v>
      </c>
      <c r="E85" s="26">
        <f>SUMIFS(Weekly_Inventory_Flow!$S:$S,Weekly_Inventory_Flow!$A:$A,A85,Weekly_Inventory_Flow!$B:$B,B85)</f>
        <v>1.9685626177831077</v>
      </c>
      <c r="F85" s="27">
        <f>SUMIFS(Weekly_Inventory_Flow!$N:$N,Weekly_Inventory_Flow!$A:$A,A85,Weekly_Inventory_Flow!$B:$B,B85)</f>
        <v>0</v>
      </c>
      <c r="G85" s="13" t="str">
        <f>_xlfn.XLOOKUP(B85,Product_Line_Map!$A$2:$A$6,Product_Line_Map!$B$2:$B$6,"")</f>
        <v>L02</v>
      </c>
      <c r="H85" s="25">
        <f>SUMIFS(Weekly_Line_Capacity!$J:$J,Weekly_Line_Capacity!$A:$A,A85,Weekly_Line_Capacity!$B:$B,G85)</f>
        <v>0.4723809523809524</v>
      </c>
      <c r="I85" s="27">
        <f>SUMIFS(Weekly_Line_Capacity!$K:$K,Weekly_Line_Capacity!$A:$A,A85,Weekly_Line_Capacity!$B:$B,G85)</f>
        <v>0</v>
      </c>
      <c r="J85" s="13" t="str" cm="1">
        <f t="array" ref="J85">_xlfn.XLOOKUP(1,(Weekly_Line_Capacity!$A$2:$A$157=A85)*(Weekly_Line_Capacity!$B$2:$B$157=G85),Weekly_Line_Capacity!$L$2:$L$157,"")</f>
        <v>WITHIN CAPACITY</v>
      </c>
      <c r="K85" s="13" t="str">
        <f>_xlfn.XLOOKUP(B85,BOM!$A$2:$A$21,BOM!$B$2:$B$21,"")</f>
        <v>M004</v>
      </c>
      <c r="L85" s="27">
        <f>SUMIFS(Weekly_Material_Inventory!$K:$K,Weekly_Material_Inventory!$A:$A,A85,Weekly_Material_Inventory!$B:$B,K85)</f>
        <v>0</v>
      </c>
      <c r="M85">
        <f t="shared" si="3"/>
        <v>1</v>
      </c>
      <c r="N85" t="str">
        <f t="shared" si="4"/>
        <v>WARNING</v>
      </c>
      <c r="O85" t="str">
        <f t="shared" si="5"/>
        <v>LOW STOCK COVER</v>
      </c>
      <c r="P85" t="str" cm="1">
        <f t="array" ref="P85">_xlfn.SWITCH(O85,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85" t="str" cm="1">
        <f t="array" ref="Q85">_xlfn.SWITCH(O85,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85" t="str" cm="1">
        <f t="array" ref="R85">_xlfn.SWITCH(P85,
"Inventory / Service","Operations / Planning",
"Material Supply","Materials / Procurement",
"Capacity","Production / Planning",
"Production Execution","Production",
"Inventory","Operations / Planning",
"Demand Planning","Commercial / Planning",
"None","None",
"Operations")</f>
        <v>Operations / Planning</v>
      </c>
    </row>
    <row r="86" spans="1:18">
      <c r="A86" s="30">
        <f>Weekly_Inventory_Flow!A86</f>
        <v>46139</v>
      </c>
      <c r="B86" s="13" t="str">
        <f>Weekly_Inventory_Flow!B86</f>
        <v>P005</v>
      </c>
      <c r="C86" s="25">
        <f>IF(SUMIFS(Weekly_Product_Demand!$C:$C,Weekly_Product_Demand!$A:$A,A86,Weekly_Product_Demand!$B:$B,B86)=0,0,
(SUMIFS(Weekly_Product_Demand!$D:$D,Weekly_Product_Demand!$A:$A,A86,Weekly_Product_Demand!$B:$B,B86)-
SUMIFS(Weekly_Product_Demand!$C:$C,Weekly_Product_Demand!$A:$A,A86,Weekly_Product_Demand!$B:$B,B86))/
SUMIFS(Weekly_Product_Demand!$C:$C,Weekly_Product_Demand!$A:$A,A86,Weekly_Product_Demand!$B:$B,B86))</f>
        <v>-1.5480933409220262E-2</v>
      </c>
      <c r="D86" s="25">
        <f>SUMIFS(Weekly_Inventory_Flow!$Q:$Q,Weekly_Inventory_Flow!$A:$A,A86,Weekly_Inventory_Flow!$B:$B,B86)</f>
        <v>1</v>
      </c>
      <c r="E86" s="26">
        <f>SUMIFS(Weekly_Inventory_Flow!$S:$S,Weekly_Inventory_Flow!$A:$A,A86,Weekly_Inventory_Flow!$B:$B,B86)</f>
        <v>2.0646317493351831</v>
      </c>
      <c r="F86" s="27">
        <f>SUMIFS(Weekly_Inventory_Flow!$N:$N,Weekly_Inventory_Flow!$A:$A,A86,Weekly_Inventory_Flow!$B:$B,B86)</f>
        <v>0</v>
      </c>
      <c r="G86" s="13" t="str">
        <f>_xlfn.XLOOKUP(B86,Product_Line_Map!$A$2:$A$6,Product_Line_Map!$B$2:$B$6,"")</f>
        <v>L03</v>
      </c>
      <c r="H86" s="25">
        <f>SUMIFS(Weekly_Line_Capacity!$J:$J,Weekly_Line_Capacity!$A:$A,A86,Weekly_Line_Capacity!$B:$B,G86)</f>
        <v>0.4690476190476191</v>
      </c>
      <c r="I86" s="27">
        <f>SUMIFS(Weekly_Line_Capacity!$K:$K,Weekly_Line_Capacity!$A:$A,A86,Weekly_Line_Capacity!$B:$B,G86)</f>
        <v>0</v>
      </c>
      <c r="J86" s="13" t="str" cm="1">
        <f t="array" ref="J86">_xlfn.XLOOKUP(1,(Weekly_Line_Capacity!$A$2:$A$157=A86)*(Weekly_Line_Capacity!$B$2:$B$157=G86),Weekly_Line_Capacity!$L$2:$L$157,"")</f>
        <v>WITHIN CAPACITY</v>
      </c>
      <c r="K86" s="13" t="str">
        <f>_xlfn.XLOOKUP(B86,BOM!$A$2:$A$21,BOM!$B$2:$B$21,"")</f>
        <v>M005</v>
      </c>
      <c r="L86" s="27">
        <f>SUMIFS(Weekly_Material_Inventory!$K:$K,Weekly_Material_Inventory!$A:$A,A86,Weekly_Material_Inventory!$B:$B,K86)</f>
        <v>0</v>
      </c>
      <c r="M86">
        <f t="shared" si="3"/>
        <v>0</v>
      </c>
      <c r="N86" t="str">
        <f t="shared" si="4"/>
        <v>OK</v>
      </c>
      <c r="O86" t="str">
        <f t="shared" si="5"/>
        <v>NONE</v>
      </c>
      <c r="P86" t="str" cm="1">
        <f t="array" ref="P86">_xlfn.SWITCH(O86,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86" t="str" cm="1">
        <f t="array" ref="Q86">_xlfn.SWITCH(O86,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86" t="str" cm="1">
        <f t="array" ref="R86">_xlfn.SWITCH(P86,
"Inventory / Service","Operations / Planning",
"Material Supply","Materials / Procurement",
"Capacity","Production / Planning",
"Production Execution","Production",
"Inventory","Operations / Planning",
"Demand Planning","Commercial / Planning",
"None","None",
"Operations")</f>
        <v>None</v>
      </c>
    </row>
    <row r="87" spans="1:18">
      <c r="A87" s="30">
        <f>Weekly_Inventory_Flow!A87</f>
        <v>46146</v>
      </c>
      <c r="B87" s="13" t="str">
        <f>Weekly_Inventory_Flow!B87</f>
        <v>P001</v>
      </c>
      <c r="C87" s="25">
        <f>IF(SUMIFS(Weekly_Product_Demand!$C:$C,Weekly_Product_Demand!$A:$A,A87,Weekly_Product_Demand!$B:$B,B87)=0,0,
(SUMIFS(Weekly_Product_Demand!$D:$D,Weekly_Product_Demand!$A:$A,A87,Weekly_Product_Demand!$B:$B,B87)-
SUMIFS(Weekly_Product_Demand!$C:$C,Weekly_Product_Demand!$A:$A,A87,Weekly_Product_Demand!$B:$B,B87))/
SUMIFS(Weekly_Product_Demand!$C:$C,Weekly_Product_Demand!$A:$A,A87,Weekly_Product_Demand!$B:$B,B87))</f>
        <v>-3.5034373347435218E-3</v>
      </c>
      <c r="D87" s="25">
        <f>SUMIFS(Weekly_Inventory_Flow!$Q:$Q,Weekly_Inventory_Flow!$A:$A,A87,Weekly_Inventory_Flow!$B:$B,B87)</f>
        <v>0.98</v>
      </c>
      <c r="E87" s="26">
        <f>SUMIFS(Weekly_Inventory_Flow!$S:$S,Weekly_Inventory_Flow!$A:$A,A87,Weekly_Inventory_Flow!$B:$B,B87)</f>
        <v>1.893598673300166</v>
      </c>
      <c r="F87" s="27">
        <f>SUMIFS(Weekly_Inventory_Flow!$N:$N,Weekly_Inventory_Flow!$A:$A,A87,Weekly_Inventory_Flow!$B:$B,B87)</f>
        <v>0</v>
      </c>
      <c r="G87" s="13" t="str">
        <f>_xlfn.XLOOKUP(B87,Product_Line_Map!$A$2:$A$6,Product_Line_Map!$B$2:$B$6,"")</f>
        <v>L01</v>
      </c>
      <c r="H87" s="25">
        <f>SUMIFS(Weekly_Line_Capacity!$J:$J,Weekly_Line_Capacity!$A:$A,A87,Weekly_Line_Capacity!$B:$B,G87)</f>
        <v>0.22076023391812866</v>
      </c>
      <c r="I87" s="27">
        <f>SUMIFS(Weekly_Line_Capacity!$K:$K,Weekly_Line_Capacity!$A:$A,A87,Weekly_Line_Capacity!$B:$B,G87)</f>
        <v>0</v>
      </c>
      <c r="J87" s="13" t="str" cm="1">
        <f t="array" ref="J87">_xlfn.XLOOKUP(1,(Weekly_Line_Capacity!$A$2:$A$157=A87)*(Weekly_Line_Capacity!$B$2:$B$157=G87),Weekly_Line_Capacity!$L$2:$L$157,"")</f>
        <v>WITHIN CAPACITY</v>
      </c>
      <c r="K87" s="13" t="str">
        <f>_xlfn.XLOOKUP(B87,BOM!$A$2:$A$21,BOM!$B$2:$B$21,"")</f>
        <v>M001</v>
      </c>
      <c r="L87" s="27">
        <f>SUMIFS(Weekly_Material_Inventory!$K:$K,Weekly_Material_Inventory!$A:$A,A87,Weekly_Material_Inventory!$B:$B,K87)</f>
        <v>0</v>
      </c>
      <c r="M87">
        <f t="shared" si="3"/>
        <v>1</v>
      </c>
      <c r="N87" t="str">
        <f t="shared" si="4"/>
        <v>WARNING</v>
      </c>
      <c r="O87" t="str">
        <f t="shared" si="5"/>
        <v>LOW STOCK COVER</v>
      </c>
      <c r="P87" t="str" cm="1">
        <f t="array" ref="P87">_xlfn.SWITCH(O87,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87" t="str" cm="1">
        <f t="array" ref="Q87">_xlfn.SWITCH(O87,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87" t="str" cm="1">
        <f t="array" ref="R87">_xlfn.SWITCH(P87,
"Inventory / Service","Operations / Planning",
"Material Supply","Materials / Procurement",
"Capacity","Production / Planning",
"Production Execution","Production",
"Inventory","Operations / Planning",
"Demand Planning","Commercial / Planning",
"None","None",
"Operations")</f>
        <v>Operations / Planning</v>
      </c>
    </row>
    <row r="88" spans="1:18">
      <c r="A88" s="30">
        <f>Weekly_Inventory_Flow!A88</f>
        <v>46146</v>
      </c>
      <c r="B88" s="13" t="str">
        <f>Weekly_Inventory_Flow!B88</f>
        <v>P002</v>
      </c>
      <c r="C88" s="25">
        <f>IF(SUMIFS(Weekly_Product_Demand!$C:$C,Weekly_Product_Demand!$A:$A,A88,Weekly_Product_Demand!$B:$B,B88)=0,0,
(SUMIFS(Weekly_Product_Demand!$D:$D,Weekly_Product_Demand!$A:$A,A88,Weekly_Product_Demand!$B:$B,B88)-
SUMIFS(Weekly_Product_Demand!$C:$C,Weekly_Product_Demand!$A:$A,A88,Weekly_Product_Demand!$B:$B,B88))/
SUMIFS(Weekly_Product_Demand!$C:$C,Weekly_Product_Demand!$A:$A,A88,Weekly_Product_Demand!$B:$B,B88))</f>
        <v>2.2681215900233826E-2</v>
      </c>
      <c r="D88" s="25">
        <f>SUMIFS(Weekly_Inventory_Flow!$Q:$Q,Weekly_Inventory_Flow!$A:$A,A88,Weekly_Inventory_Flow!$B:$B,B88)</f>
        <v>1.01</v>
      </c>
      <c r="E88" s="26">
        <f>SUMIFS(Weekly_Inventory_Flow!$S:$S,Weekly_Inventory_Flow!$A:$A,A88,Weekly_Inventory_Flow!$B:$B,B88)</f>
        <v>2.1035744226811981</v>
      </c>
      <c r="F88" s="27">
        <f>SUMIFS(Weekly_Inventory_Flow!$N:$N,Weekly_Inventory_Flow!$A:$A,A88,Weekly_Inventory_Flow!$B:$B,B88)</f>
        <v>0</v>
      </c>
      <c r="G88" s="13" t="str">
        <f>_xlfn.XLOOKUP(B88,Product_Line_Map!$A$2:$A$6,Product_Line_Map!$B$2:$B$6,"")</f>
        <v>L02</v>
      </c>
      <c r="H88" s="25">
        <f>SUMIFS(Weekly_Line_Capacity!$J:$J,Weekly_Line_Capacity!$A:$A,A88,Weekly_Line_Capacity!$B:$B,G88)</f>
        <v>0.49333333333333329</v>
      </c>
      <c r="I88" s="27">
        <f>SUMIFS(Weekly_Line_Capacity!$K:$K,Weekly_Line_Capacity!$A:$A,A88,Weekly_Line_Capacity!$B:$B,G88)</f>
        <v>0</v>
      </c>
      <c r="J88" s="13" t="str" cm="1">
        <f t="array" ref="J88">_xlfn.XLOOKUP(1,(Weekly_Line_Capacity!$A$2:$A$157=A88)*(Weekly_Line_Capacity!$B$2:$B$157=G88),Weekly_Line_Capacity!$L$2:$L$157,"")</f>
        <v>WITHIN CAPACITY</v>
      </c>
      <c r="K88" s="13" t="str">
        <f>_xlfn.XLOOKUP(B88,BOM!$A$2:$A$21,BOM!$B$2:$B$21,"")</f>
        <v>M002</v>
      </c>
      <c r="L88" s="27">
        <f>SUMIFS(Weekly_Material_Inventory!$K:$K,Weekly_Material_Inventory!$A:$A,A88,Weekly_Material_Inventory!$B:$B,K88)</f>
        <v>0</v>
      </c>
      <c r="M88">
        <f t="shared" si="3"/>
        <v>0</v>
      </c>
      <c r="N88" t="str">
        <f t="shared" si="4"/>
        <v>OK</v>
      </c>
      <c r="O88" t="str">
        <f t="shared" si="5"/>
        <v>NONE</v>
      </c>
      <c r="P88" t="str" cm="1">
        <f t="array" ref="P88">_xlfn.SWITCH(O88,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88" t="str" cm="1">
        <f t="array" ref="Q88">_xlfn.SWITCH(O88,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88" t="str" cm="1">
        <f t="array" ref="R88">_xlfn.SWITCH(P88,
"Inventory / Service","Operations / Planning",
"Material Supply","Materials / Procurement",
"Capacity","Production / Planning",
"Production Execution","Production",
"Inventory","Operations / Planning",
"Demand Planning","Commercial / Planning",
"None","None",
"Operations")</f>
        <v>None</v>
      </c>
    </row>
    <row r="89" spans="1:18">
      <c r="A89" s="30">
        <f>Weekly_Inventory_Flow!A89</f>
        <v>46146</v>
      </c>
      <c r="B89" s="13" t="str">
        <f>Weekly_Inventory_Flow!B89</f>
        <v>P003</v>
      </c>
      <c r="C89" s="25">
        <f>IF(SUMIFS(Weekly_Product_Demand!$C:$C,Weekly_Product_Demand!$A:$A,A89,Weekly_Product_Demand!$B:$B,B89)=0,0,
(SUMIFS(Weekly_Product_Demand!$D:$D,Weekly_Product_Demand!$A:$A,A89,Weekly_Product_Demand!$B:$B,B89)-
SUMIFS(Weekly_Product_Demand!$C:$C,Weekly_Product_Demand!$A:$A,A89,Weekly_Product_Demand!$B:$B,B89))/
SUMIFS(Weekly_Product_Demand!$C:$C,Weekly_Product_Demand!$A:$A,A89,Weekly_Product_Demand!$B:$B,B89))</f>
        <v>2.2393407380867075E-3</v>
      </c>
      <c r="D89" s="25">
        <f>SUMIFS(Weekly_Inventory_Flow!$Q:$Q,Weekly_Inventory_Flow!$A:$A,A89,Weekly_Inventory_Flow!$B:$B,B89)</f>
        <v>0.98</v>
      </c>
      <c r="E89" s="26">
        <f>SUMIFS(Weekly_Inventory_Flow!$S:$S,Weekly_Inventory_Flow!$A:$A,A89,Weekly_Inventory_Flow!$B:$B,B89)</f>
        <v>1.904995978192868</v>
      </c>
      <c r="F89" s="27">
        <f>SUMIFS(Weekly_Inventory_Flow!$N:$N,Weekly_Inventory_Flow!$A:$A,A89,Weekly_Inventory_Flow!$B:$B,B89)</f>
        <v>0</v>
      </c>
      <c r="G89" s="13" t="str">
        <f>_xlfn.XLOOKUP(B89,Product_Line_Map!$A$2:$A$6,Product_Line_Map!$B$2:$B$6,"")</f>
        <v>L03</v>
      </c>
      <c r="H89" s="25">
        <f>SUMIFS(Weekly_Line_Capacity!$J:$J,Weekly_Line_Capacity!$A:$A,A89,Weekly_Line_Capacity!$B:$B,G89)</f>
        <v>0.49047619047619051</v>
      </c>
      <c r="I89" s="27">
        <f>SUMIFS(Weekly_Line_Capacity!$K:$K,Weekly_Line_Capacity!$A:$A,A89,Weekly_Line_Capacity!$B:$B,G89)</f>
        <v>0</v>
      </c>
      <c r="J89" s="13" t="str" cm="1">
        <f t="array" ref="J89">_xlfn.XLOOKUP(1,(Weekly_Line_Capacity!$A$2:$A$157=A89)*(Weekly_Line_Capacity!$B$2:$B$157=G89),Weekly_Line_Capacity!$L$2:$L$157,"")</f>
        <v>WITHIN CAPACITY</v>
      </c>
      <c r="K89" s="13" t="str">
        <f>_xlfn.XLOOKUP(B89,BOM!$A$2:$A$21,BOM!$B$2:$B$21,"")</f>
        <v>M003</v>
      </c>
      <c r="L89" s="27">
        <f>SUMIFS(Weekly_Material_Inventory!$K:$K,Weekly_Material_Inventory!$A:$A,A89,Weekly_Material_Inventory!$B:$B,K89)</f>
        <v>0</v>
      </c>
      <c r="M89">
        <f t="shared" si="3"/>
        <v>1</v>
      </c>
      <c r="N89" t="str">
        <f t="shared" si="4"/>
        <v>WARNING</v>
      </c>
      <c r="O89" t="str">
        <f t="shared" si="5"/>
        <v>LOW STOCK COVER</v>
      </c>
      <c r="P89" t="str" cm="1">
        <f t="array" ref="P89">_xlfn.SWITCH(O89,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89" t="str" cm="1">
        <f t="array" ref="Q89">_xlfn.SWITCH(O89,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89" t="str" cm="1">
        <f t="array" ref="R89">_xlfn.SWITCH(P89,
"Inventory / Service","Operations / Planning",
"Material Supply","Materials / Procurement",
"Capacity","Production / Planning",
"Production Execution","Production",
"Inventory","Operations / Planning",
"Demand Planning","Commercial / Planning",
"None","None",
"Operations")</f>
        <v>Operations / Planning</v>
      </c>
    </row>
    <row r="90" spans="1:18">
      <c r="A90" s="30">
        <f>Weekly_Inventory_Flow!A90</f>
        <v>46146</v>
      </c>
      <c r="B90" s="13" t="str">
        <f>Weekly_Inventory_Flow!B90</f>
        <v>P004</v>
      </c>
      <c r="C90" s="25">
        <f>IF(SUMIFS(Weekly_Product_Demand!$C:$C,Weekly_Product_Demand!$A:$A,A90,Weekly_Product_Demand!$B:$B,B90)=0,0,
(SUMIFS(Weekly_Product_Demand!$D:$D,Weekly_Product_Demand!$A:$A,A90,Weekly_Product_Demand!$B:$B,B90)-
SUMIFS(Weekly_Product_Demand!$C:$C,Weekly_Product_Demand!$A:$A,A90,Weekly_Product_Demand!$B:$B,B90))/
SUMIFS(Weekly_Product_Demand!$C:$C,Weekly_Product_Demand!$A:$A,A90,Weekly_Product_Demand!$B:$B,B90))</f>
        <v>7.3631677984128284E-3</v>
      </c>
      <c r="D90" s="25">
        <f>SUMIFS(Weekly_Inventory_Flow!$Q:$Q,Weekly_Inventory_Flow!$A:$A,A90,Weekly_Inventory_Flow!$B:$B,B90)</f>
        <v>1.02</v>
      </c>
      <c r="E90" s="26">
        <f>SUMIFS(Weekly_Inventory_Flow!$S:$S,Weekly_Inventory_Flow!$A:$A,A90,Weekly_Inventory_Flow!$B:$B,B90)</f>
        <v>2.1728254690164865</v>
      </c>
      <c r="F90" s="27">
        <f>SUMIFS(Weekly_Inventory_Flow!$N:$N,Weekly_Inventory_Flow!$A:$A,A90,Weekly_Inventory_Flow!$B:$B,B90)</f>
        <v>0</v>
      </c>
      <c r="G90" s="13" t="str">
        <f>_xlfn.XLOOKUP(B90,Product_Line_Map!$A$2:$A$6,Product_Line_Map!$B$2:$B$6,"")</f>
        <v>L02</v>
      </c>
      <c r="H90" s="25">
        <f>SUMIFS(Weekly_Line_Capacity!$J:$J,Weekly_Line_Capacity!$A:$A,A90,Weekly_Line_Capacity!$B:$B,G90)</f>
        <v>0.49333333333333329</v>
      </c>
      <c r="I90" s="27">
        <f>SUMIFS(Weekly_Line_Capacity!$K:$K,Weekly_Line_Capacity!$A:$A,A90,Weekly_Line_Capacity!$B:$B,G90)</f>
        <v>0</v>
      </c>
      <c r="J90" s="13" t="str" cm="1">
        <f t="array" ref="J90">_xlfn.XLOOKUP(1,(Weekly_Line_Capacity!$A$2:$A$157=A90)*(Weekly_Line_Capacity!$B$2:$B$157=G90),Weekly_Line_Capacity!$L$2:$L$157,"")</f>
        <v>WITHIN CAPACITY</v>
      </c>
      <c r="K90" s="13" t="str">
        <f>_xlfn.XLOOKUP(B90,BOM!$A$2:$A$21,BOM!$B$2:$B$21,"")</f>
        <v>M004</v>
      </c>
      <c r="L90" s="27">
        <f>SUMIFS(Weekly_Material_Inventory!$K:$K,Weekly_Material_Inventory!$A:$A,A90,Weekly_Material_Inventory!$B:$B,K90)</f>
        <v>0</v>
      </c>
      <c r="M90">
        <f t="shared" si="3"/>
        <v>0</v>
      </c>
      <c r="N90" t="str">
        <f t="shared" si="4"/>
        <v>OK</v>
      </c>
      <c r="O90" t="str">
        <f t="shared" si="5"/>
        <v>NONE</v>
      </c>
      <c r="P90" t="str" cm="1">
        <f t="array" ref="P90">_xlfn.SWITCH(O90,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0" t="str" cm="1">
        <f t="array" ref="Q90">_xlfn.SWITCH(O90,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0" t="str" cm="1">
        <f t="array" ref="R90">_xlfn.SWITCH(P90,
"Inventory / Service","Operations / Planning",
"Material Supply","Materials / Procurement",
"Capacity","Production / Planning",
"Production Execution","Production",
"Inventory","Operations / Planning",
"Demand Planning","Commercial / Planning",
"None","None",
"Operations")</f>
        <v>None</v>
      </c>
    </row>
    <row r="91" spans="1:18">
      <c r="A91" s="30">
        <f>Weekly_Inventory_Flow!A91</f>
        <v>46146</v>
      </c>
      <c r="B91" s="13" t="str">
        <f>Weekly_Inventory_Flow!B91</f>
        <v>P005</v>
      </c>
      <c r="C91" s="25">
        <f>IF(SUMIFS(Weekly_Product_Demand!$C:$C,Weekly_Product_Demand!$A:$A,A91,Weekly_Product_Demand!$B:$B,B91)=0,0,
(SUMIFS(Weekly_Product_Demand!$D:$D,Weekly_Product_Demand!$A:$A,A91,Weekly_Product_Demand!$B:$B,B91)-
SUMIFS(Weekly_Product_Demand!$C:$C,Weekly_Product_Demand!$A:$A,A91,Weekly_Product_Demand!$B:$B,B91))/
SUMIFS(Weekly_Product_Demand!$C:$C,Weekly_Product_Demand!$A:$A,A91,Weekly_Product_Demand!$B:$B,B91))</f>
        <v>1.8738424664996187E-2</v>
      </c>
      <c r="D91" s="25">
        <f>SUMIFS(Weekly_Inventory_Flow!$Q:$Q,Weekly_Inventory_Flow!$A:$A,A91,Weekly_Inventory_Flow!$B:$B,B91)</f>
        <v>1</v>
      </c>
      <c r="E91" s="26">
        <f>SUMIFS(Weekly_Inventory_Flow!$S:$S,Weekly_Inventory_Flow!$A:$A,A91,Weekly_Inventory_Flow!$B:$B,B91)</f>
        <v>2.0211742059672764</v>
      </c>
      <c r="F91" s="27">
        <f>SUMIFS(Weekly_Inventory_Flow!$N:$N,Weekly_Inventory_Flow!$A:$A,A91,Weekly_Inventory_Flow!$B:$B,B91)</f>
        <v>0</v>
      </c>
      <c r="G91" s="13" t="str">
        <f>_xlfn.XLOOKUP(B91,Product_Line_Map!$A$2:$A$6,Product_Line_Map!$B$2:$B$6,"")</f>
        <v>L03</v>
      </c>
      <c r="H91" s="25">
        <f>SUMIFS(Weekly_Line_Capacity!$J:$J,Weekly_Line_Capacity!$A:$A,A91,Weekly_Line_Capacity!$B:$B,G91)</f>
        <v>0.49047619047619051</v>
      </c>
      <c r="I91" s="27">
        <f>SUMIFS(Weekly_Line_Capacity!$K:$K,Weekly_Line_Capacity!$A:$A,A91,Weekly_Line_Capacity!$B:$B,G91)</f>
        <v>0</v>
      </c>
      <c r="J91" s="13" t="str" cm="1">
        <f t="array" ref="J91">_xlfn.XLOOKUP(1,(Weekly_Line_Capacity!$A$2:$A$157=A91)*(Weekly_Line_Capacity!$B$2:$B$157=G91),Weekly_Line_Capacity!$L$2:$L$157,"")</f>
        <v>WITHIN CAPACITY</v>
      </c>
      <c r="K91" s="13" t="str">
        <f>_xlfn.XLOOKUP(B91,BOM!$A$2:$A$21,BOM!$B$2:$B$21,"")</f>
        <v>M005</v>
      </c>
      <c r="L91" s="27">
        <f>SUMIFS(Weekly_Material_Inventory!$K:$K,Weekly_Material_Inventory!$A:$A,A91,Weekly_Material_Inventory!$B:$B,K91)</f>
        <v>0</v>
      </c>
      <c r="M91">
        <f t="shared" si="3"/>
        <v>0</v>
      </c>
      <c r="N91" t="str">
        <f t="shared" si="4"/>
        <v>OK</v>
      </c>
      <c r="O91" t="str">
        <f t="shared" si="5"/>
        <v>NONE</v>
      </c>
      <c r="P91" t="str" cm="1">
        <f t="array" ref="P91">_xlfn.SWITCH(O91,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1" t="str" cm="1">
        <f t="array" ref="Q91">_xlfn.SWITCH(O91,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1" t="str" cm="1">
        <f t="array" ref="R91">_xlfn.SWITCH(P91,
"Inventory / Service","Operations / Planning",
"Material Supply","Materials / Procurement",
"Capacity","Production / Planning",
"Production Execution","Production",
"Inventory","Operations / Planning",
"Demand Planning","Commercial / Planning",
"None","None",
"Operations")</f>
        <v>None</v>
      </c>
    </row>
    <row r="92" spans="1:18">
      <c r="A92" s="30">
        <f>Weekly_Inventory_Flow!A92</f>
        <v>46153</v>
      </c>
      <c r="B92" s="13" t="str">
        <f>Weekly_Inventory_Flow!B92</f>
        <v>P001</v>
      </c>
      <c r="C92" s="25">
        <f>IF(SUMIFS(Weekly_Product_Demand!$C:$C,Weekly_Product_Demand!$A:$A,A92,Weekly_Product_Demand!$B:$B,B92)=0,0,
(SUMIFS(Weekly_Product_Demand!$D:$D,Weekly_Product_Demand!$A:$A,A92,Weekly_Product_Demand!$B:$B,B92)-
SUMIFS(Weekly_Product_Demand!$C:$C,Weekly_Product_Demand!$A:$A,A92,Weekly_Product_Demand!$B:$B,B92))/
SUMIFS(Weekly_Product_Demand!$C:$C,Weekly_Product_Demand!$A:$A,A92,Weekly_Product_Demand!$B:$B,B92))</f>
        <v>3.9514092677267451E-2</v>
      </c>
      <c r="D92" s="25">
        <f>SUMIFS(Weekly_Inventory_Flow!$Q:$Q,Weekly_Inventory_Flow!$A:$A,A92,Weekly_Inventory_Flow!$B:$B,B92)</f>
        <v>1.02</v>
      </c>
      <c r="E92" s="26">
        <f>SUMIFS(Weekly_Inventory_Flow!$S:$S,Weekly_Inventory_Flow!$A:$A,A92,Weekly_Inventory_Flow!$B:$B,B92)</f>
        <v>2.1865808823529411</v>
      </c>
      <c r="F92" s="27">
        <f>SUMIFS(Weekly_Inventory_Flow!$N:$N,Weekly_Inventory_Flow!$A:$A,A92,Weekly_Inventory_Flow!$B:$B,B92)</f>
        <v>0</v>
      </c>
      <c r="G92" s="13" t="str">
        <f>_xlfn.XLOOKUP(B92,Product_Line_Map!$A$2:$A$6,Product_Line_Map!$B$2:$B$6,"")</f>
        <v>L01</v>
      </c>
      <c r="H92" s="25">
        <f>SUMIFS(Weekly_Line_Capacity!$J:$J,Weekly_Line_Capacity!$A:$A,A92,Weekly_Line_Capacity!$B:$B,G92)</f>
        <v>0.22807017543859648</v>
      </c>
      <c r="I92" s="27">
        <f>SUMIFS(Weekly_Line_Capacity!$K:$K,Weekly_Line_Capacity!$A:$A,A92,Weekly_Line_Capacity!$B:$B,G92)</f>
        <v>0</v>
      </c>
      <c r="J92" s="13" t="str" cm="1">
        <f t="array" ref="J92">_xlfn.XLOOKUP(1,(Weekly_Line_Capacity!$A$2:$A$157=A92)*(Weekly_Line_Capacity!$B$2:$B$157=G92),Weekly_Line_Capacity!$L$2:$L$157,"")</f>
        <v>WITHIN CAPACITY</v>
      </c>
      <c r="K92" s="13" t="str">
        <f>_xlfn.XLOOKUP(B92,BOM!$A$2:$A$21,BOM!$B$2:$B$21,"")</f>
        <v>M001</v>
      </c>
      <c r="L92" s="27">
        <f>SUMIFS(Weekly_Material_Inventory!$K:$K,Weekly_Material_Inventory!$A:$A,A92,Weekly_Material_Inventory!$B:$B,K92)</f>
        <v>0</v>
      </c>
      <c r="M92">
        <f t="shared" si="3"/>
        <v>0</v>
      </c>
      <c r="N92" t="str">
        <f t="shared" si="4"/>
        <v>OK</v>
      </c>
      <c r="O92" t="str">
        <f t="shared" si="5"/>
        <v>NONE</v>
      </c>
      <c r="P92" t="str" cm="1">
        <f t="array" ref="P92">_xlfn.SWITCH(O92,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2" t="str" cm="1">
        <f t="array" ref="Q92">_xlfn.SWITCH(O92,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2" t="str" cm="1">
        <f t="array" ref="R92">_xlfn.SWITCH(P92,
"Inventory / Service","Operations / Planning",
"Material Supply","Materials / Procurement",
"Capacity","Production / Planning",
"Production Execution","Production",
"Inventory","Operations / Planning",
"Demand Planning","Commercial / Planning",
"None","None",
"Operations")</f>
        <v>None</v>
      </c>
    </row>
    <row r="93" spans="1:18">
      <c r="A93" s="30">
        <f>Weekly_Inventory_Flow!A93</f>
        <v>46153</v>
      </c>
      <c r="B93" s="13" t="str">
        <f>Weekly_Inventory_Flow!B93</f>
        <v>P002</v>
      </c>
      <c r="C93" s="25">
        <f>IF(SUMIFS(Weekly_Product_Demand!$C:$C,Weekly_Product_Demand!$A:$A,A93,Weekly_Product_Demand!$B:$B,B93)=0,0,
(SUMIFS(Weekly_Product_Demand!$D:$D,Weekly_Product_Demand!$A:$A,A93,Weekly_Product_Demand!$B:$B,B93)-
SUMIFS(Weekly_Product_Demand!$C:$C,Weekly_Product_Demand!$A:$A,A93,Weekly_Product_Demand!$B:$B,B93))/
SUMIFS(Weekly_Product_Demand!$C:$C,Weekly_Product_Demand!$A:$A,A93,Weekly_Product_Demand!$B:$B,B93))</f>
        <v>-1.6981565057752619E-2</v>
      </c>
      <c r="D93" s="25">
        <f>SUMIFS(Weekly_Inventory_Flow!$Q:$Q,Weekly_Inventory_Flow!$A:$A,A93,Weekly_Inventory_Flow!$B:$B,B93)</f>
        <v>1</v>
      </c>
      <c r="E93" s="26">
        <f>SUMIFS(Weekly_Inventory_Flow!$S:$S,Weekly_Inventory_Flow!$A:$A,A93,Weekly_Inventory_Flow!$B:$B,B93)</f>
        <v>2.0110497237569058</v>
      </c>
      <c r="F93" s="27">
        <f>SUMIFS(Weekly_Inventory_Flow!$N:$N,Weekly_Inventory_Flow!$A:$A,A93,Weekly_Inventory_Flow!$B:$B,B93)</f>
        <v>0</v>
      </c>
      <c r="G93" s="13" t="str">
        <f>_xlfn.XLOOKUP(B93,Product_Line_Map!$A$2:$A$6,Product_Line_Map!$B$2:$B$6,"")</f>
        <v>L02</v>
      </c>
      <c r="H93" s="25">
        <f>SUMIFS(Weekly_Line_Capacity!$J:$J,Weekly_Line_Capacity!$A:$A,A93,Weekly_Line_Capacity!$B:$B,G93)</f>
        <v>0.45714285714285713</v>
      </c>
      <c r="I93" s="27">
        <f>SUMIFS(Weekly_Line_Capacity!$K:$K,Weekly_Line_Capacity!$A:$A,A93,Weekly_Line_Capacity!$B:$B,G93)</f>
        <v>0</v>
      </c>
      <c r="J93" s="13" t="str" cm="1">
        <f t="array" ref="J93">_xlfn.XLOOKUP(1,(Weekly_Line_Capacity!$A$2:$A$157=A93)*(Weekly_Line_Capacity!$B$2:$B$157=G93),Weekly_Line_Capacity!$L$2:$L$157,"")</f>
        <v>WITHIN CAPACITY</v>
      </c>
      <c r="K93" s="13" t="str">
        <f>_xlfn.XLOOKUP(B93,BOM!$A$2:$A$21,BOM!$B$2:$B$21,"")</f>
        <v>M002</v>
      </c>
      <c r="L93" s="27">
        <f>SUMIFS(Weekly_Material_Inventory!$K:$K,Weekly_Material_Inventory!$A:$A,A93,Weekly_Material_Inventory!$B:$B,K93)</f>
        <v>0</v>
      </c>
      <c r="M93">
        <f t="shared" si="3"/>
        <v>0</v>
      </c>
      <c r="N93" t="str">
        <f t="shared" si="4"/>
        <v>OK</v>
      </c>
      <c r="O93" t="str">
        <f t="shared" si="5"/>
        <v>NONE</v>
      </c>
      <c r="P93" t="str" cm="1">
        <f t="array" ref="P93">_xlfn.SWITCH(O93,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3" t="str" cm="1">
        <f t="array" ref="Q93">_xlfn.SWITCH(O93,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3" t="str" cm="1">
        <f t="array" ref="R93">_xlfn.SWITCH(P93,
"Inventory / Service","Operations / Planning",
"Material Supply","Materials / Procurement",
"Capacity","Production / Planning",
"Production Execution","Production",
"Inventory","Operations / Planning",
"Demand Planning","Commercial / Planning",
"None","None",
"Operations")</f>
        <v>None</v>
      </c>
    </row>
    <row r="94" spans="1:18">
      <c r="A94" s="30">
        <f>Weekly_Inventory_Flow!A94</f>
        <v>46153</v>
      </c>
      <c r="B94" s="13" t="str">
        <f>Weekly_Inventory_Flow!B94</f>
        <v>P003</v>
      </c>
      <c r="C94" s="25">
        <f>IF(SUMIFS(Weekly_Product_Demand!$C:$C,Weekly_Product_Demand!$A:$A,A94,Weekly_Product_Demand!$B:$B,B94)=0,0,
(SUMIFS(Weekly_Product_Demand!$D:$D,Weekly_Product_Demand!$A:$A,A94,Weekly_Product_Demand!$B:$B,B94)-
SUMIFS(Weekly_Product_Demand!$C:$C,Weekly_Product_Demand!$A:$A,A94,Weekly_Product_Demand!$B:$B,B94))/
SUMIFS(Weekly_Product_Demand!$C:$C,Weekly_Product_Demand!$A:$A,A94,Weekly_Product_Demand!$B:$B,B94))</f>
        <v>3.0822526203588559E-2</v>
      </c>
      <c r="D94" s="25">
        <f>SUMIFS(Weekly_Inventory_Flow!$Q:$Q,Weekly_Inventory_Flow!$A:$A,A94,Weekly_Inventory_Flow!$B:$B,B94)</f>
        <v>0.97</v>
      </c>
      <c r="E94" s="26">
        <f>SUMIFS(Weekly_Inventory_Flow!$S:$S,Weekly_Inventory_Flow!$A:$A,A94,Weekly_Inventory_Flow!$B:$B,B94)</f>
        <v>1.7993106419646703</v>
      </c>
      <c r="F94" s="27">
        <f>SUMIFS(Weekly_Inventory_Flow!$N:$N,Weekly_Inventory_Flow!$A:$A,A94,Weekly_Inventory_Flow!$B:$B,B94)</f>
        <v>0</v>
      </c>
      <c r="G94" s="13" t="str">
        <f>_xlfn.XLOOKUP(B94,Product_Line_Map!$A$2:$A$6,Product_Line_Map!$B$2:$B$6,"")</f>
        <v>L03</v>
      </c>
      <c r="H94" s="25">
        <f>SUMIFS(Weekly_Line_Capacity!$J:$J,Weekly_Line_Capacity!$A:$A,A94,Weekly_Line_Capacity!$B:$B,G94)</f>
        <v>0.49761904761904763</v>
      </c>
      <c r="I94" s="27">
        <f>SUMIFS(Weekly_Line_Capacity!$K:$K,Weekly_Line_Capacity!$A:$A,A94,Weekly_Line_Capacity!$B:$B,G94)</f>
        <v>0</v>
      </c>
      <c r="J94" s="13" t="str" cm="1">
        <f t="array" ref="J94">_xlfn.XLOOKUP(1,(Weekly_Line_Capacity!$A$2:$A$157=A94)*(Weekly_Line_Capacity!$B$2:$B$157=G94),Weekly_Line_Capacity!$L$2:$L$157,"")</f>
        <v>WITHIN CAPACITY</v>
      </c>
      <c r="K94" s="13" t="str">
        <f>_xlfn.XLOOKUP(B94,BOM!$A$2:$A$21,BOM!$B$2:$B$21,"")</f>
        <v>M003</v>
      </c>
      <c r="L94" s="27">
        <f>SUMIFS(Weekly_Material_Inventory!$K:$K,Weekly_Material_Inventory!$A:$A,A94,Weekly_Material_Inventory!$B:$B,K94)</f>
        <v>0</v>
      </c>
      <c r="M94">
        <f t="shared" si="3"/>
        <v>1</v>
      </c>
      <c r="N94" t="str">
        <f t="shared" si="4"/>
        <v>WARNING</v>
      </c>
      <c r="O94" t="str">
        <f t="shared" si="5"/>
        <v>LOW STOCK COVER</v>
      </c>
      <c r="P94" t="str" cm="1">
        <f t="array" ref="P94">_xlfn.SWITCH(O94,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94" t="str" cm="1">
        <f t="array" ref="Q94">_xlfn.SWITCH(O94,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94" t="str" cm="1">
        <f t="array" ref="R94">_xlfn.SWITCH(P94,
"Inventory / Service","Operations / Planning",
"Material Supply","Materials / Procurement",
"Capacity","Production / Planning",
"Production Execution","Production",
"Inventory","Operations / Planning",
"Demand Planning","Commercial / Planning",
"None","None",
"Operations")</f>
        <v>Operations / Planning</v>
      </c>
    </row>
    <row r="95" spans="1:18">
      <c r="A95" s="30">
        <f>Weekly_Inventory_Flow!A95</f>
        <v>46153</v>
      </c>
      <c r="B95" s="13" t="str">
        <f>Weekly_Inventory_Flow!B95</f>
        <v>P004</v>
      </c>
      <c r="C95" s="25">
        <f>IF(SUMIFS(Weekly_Product_Demand!$C:$C,Weekly_Product_Demand!$A:$A,A95,Weekly_Product_Demand!$B:$B,B95)=0,0,
(SUMIFS(Weekly_Product_Demand!$D:$D,Weekly_Product_Demand!$A:$A,A95,Weekly_Product_Demand!$B:$B,B95)-
SUMIFS(Weekly_Product_Demand!$C:$C,Weekly_Product_Demand!$A:$A,A95,Weekly_Product_Demand!$B:$B,B95))/
SUMIFS(Weekly_Product_Demand!$C:$C,Weekly_Product_Demand!$A:$A,A95,Weekly_Product_Demand!$B:$B,B95))</f>
        <v>-3.1500572737686139E-2</v>
      </c>
      <c r="D95" s="25">
        <f>SUMIFS(Weekly_Inventory_Flow!$Q:$Q,Weekly_Inventory_Flow!$A:$A,A95,Weekly_Inventory_Flow!$B:$B,B95)</f>
        <v>1.02</v>
      </c>
      <c r="E95" s="26">
        <f>SUMIFS(Weekly_Inventory_Flow!$S:$S,Weekly_Inventory_Flow!$A:$A,A95,Weekly_Inventory_Flow!$B:$B,B95)</f>
        <v>2.1366055588409227</v>
      </c>
      <c r="F95" s="27">
        <f>SUMIFS(Weekly_Inventory_Flow!$N:$N,Weekly_Inventory_Flow!$A:$A,A95,Weekly_Inventory_Flow!$B:$B,B95)</f>
        <v>0</v>
      </c>
      <c r="G95" s="13" t="str">
        <f>_xlfn.XLOOKUP(B95,Product_Line_Map!$A$2:$A$6,Product_Line_Map!$B$2:$B$6,"")</f>
        <v>L02</v>
      </c>
      <c r="H95" s="25">
        <f>SUMIFS(Weekly_Line_Capacity!$J:$J,Weekly_Line_Capacity!$A:$A,A95,Weekly_Line_Capacity!$B:$B,G95)</f>
        <v>0.45714285714285713</v>
      </c>
      <c r="I95" s="27">
        <f>SUMIFS(Weekly_Line_Capacity!$K:$K,Weekly_Line_Capacity!$A:$A,A95,Weekly_Line_Capacity!$B:$B,G95)</f>
        <v>0</v>
      </c>
      <c r="J95" s="13" t="str" cm="1">
        <f t="array" ref="J95">_xlfn.XLOOKUP(1,(Weekly_Line_Capacity!$A$2:$A$157=A95)*(Weekly_Line_Capacity!$B$2:$B$157=G95),Weekly_Line_Capacity!$L$2:$L$157,"")</f>
        <v>WITHIN CAPACITY</v>
      </c>
      <c r="K95" s="13" t="str">
        <f>_xlfn.XLOOKUP(B95,BOM!$A$2:$A$21,BOM!$B$2:$B$21,"")</f>
        <v>M004</v>
      </c>
      <c r="L95" s="27">
        <f>SUMIFS(Weekly_Material_Inventory!$K:$K,Weekly_Material_Inventory!$A:$A,A95,Weekly_Material_Inventory!$B:$B,K95)</f>
        <v>0</v>
      </c>
      <c r="M95">
        <f t="shared" si="3"/>
        <v>0</v>
      </c>
      <c r="N95" t="str">
        <f t="shared" si="4"/>
        <v>OK</v>
      </c>
      <c r="O95" t="str">
        <f t="shared" si="5"/>
        <v>NONE</v>
      </c>
      <c r="P95" t="str" cm="1">
        <f t="array" ref="P95">_xlfn.SWITCH(O95,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5" t="str" cm="1">
        <f t="array" ref="Q95">_xlfn.SWITCH(O95,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5" t="str" cm="1">
        <f t="array" ref="R95">_xlfn.SWITCH(P95,
"Inventory / Service","Operations / Planning",
"Material Supply","Materials / Procurement",
"Capacity","Production / Planning",
"Production Execution","Production",
"Inventory","Operations / Planning",
"Demand Planning","Commercial / Planning",
"None","None",
"Operations")</f>
        <v>None</v>
      </c>
    </row>
    <row r="96" spans="1:18">
      <c r="A96" s="30">
        <f>Weekly_Inventory_Flow!A96</f>
        <v>46153</v>
      </c>
      <c r="B96" s="13" t="str">
        <f>Weekly_Inventory_Flow!B96</f>
        <v>P005</v>
      </c>
      <c r="C96" s="25">
        <f>IF(SUMIFS(Weekly_Product_Demand!$C:$C,Weekly_Product_Demand!$A:$A,A96,Weekly_Product_Demand!$B:$B,B96)=0,0,
(SUMIFS(Weekly_Product_Demand!$D:$D,Weekly_Product_Demand!$A:$A,A96,Weekly_Product_Demand!$B:$B,B96)-
SUMIFS(Weekly_Product_Demand!$C:$C,Weekly_Product_Demand!$A:$A,A96,Weekly_Product_Demand!$B:$B,B96))/
SUMIFS(Weekly_Product_Demand!$C:$C,Weekly_Product_Demand!$A:$A,A96,Weekly_Product_Demand!$B:$B,B96))</f>
        <v>9.8434004474272935E-3</v>
      </c>
      <c r="D96" s="25">
        <f>SUMIFS(Weekly_Inventory_Flow!$Q:$Q,Weekly_Inventory_Flow!$A:$A,A96,Weekly_Inventory_Flow!$B:$B,B96)</f>
        <v>1.01</v>
      </c>
      <c r="E96" s="26">
        <f>SUMIFS(Weekly_Inventory_Flow!$S:$S,Weekly_Inventory_Flow!$A:$A,A96,Weekly_Inventory_Flow!$B:$B,B96)</f>
        <v>2.1415595923792643</v>
      </c>
      <c r="F96" s="27">
        <f>SUMIFS(Weekly_Inventory_Flow!$N:$N,Weekly_Inventory_Flow!$A:$A,A96,Weekly_Inventory_Flow!$B:$B,B96)</f>
        <v>0</v>
      </c>
      <c r="G96" s="13" t="str">
        <f>_xlfn.XLOOKUP(B96,Product_Line_Map!$A$2:$A$6,Product_Line_Map!$B$2:$B$6,"")</f>
        <v>L03</v>
      </c>
      <c r="H96" s="25">
        <f>SUMIFS(Weekly_Line_Capacity!$J:$J,Weekly_Line_Capacity!$A:$A,A96,Weekly_Line_Capacity!$B:$B,G96)</f>
        <v>0.49761904761904763</v>
      </c>
      <c r="I96" s="27">
        <f>SUMIFS(Weekly_Line_Capacity!$K:$K,Weekly_Line_Capacity!$A:$A,A96,Weekly_Line_Capacity!$B:$B,G96)</f>
        <v>0</v>
      </c>
      <c r="J96" s="13" t="str" cm="1">
        <f t="array" ref="J96">_xlfn.XLOOKUP(1,(Weekly_Line_Capacity!$A$2:$A$157=A96)*(Weekly_Line_Capacity!$B$2:$B$157=G96),Weekly_Line_Capacity!$L$2:$L$157,"")</f>
        <v>WITHIN CAPACITY</v>
      </c>
      <c r="K96" s="13" t="str">
        <f>_xlfn.XLOOKUP(B96,BOM!$A$2:$A$21,BOM!$B$2:$B$21,"")</f>
        <v>M005</v>
      </c>
      <c r="L96" s="27">
        <f>SUMIFS(Weekly_Material_Inventory!$K:$K,Weekly_Material_Inventory!$A:$A,A96,Weekly_Material_Inventory!$B:$B,K96)</f>
        <v>0</v>
      </c>
      <c r="M96">
        <f t="shared" si="3"/>
        <v>0</v>
      </c>
      <c r="N96" t="str">
        <f t="shared" si="4"/>
        <v>OK</v>
      </c>
      <c r="O96" t="str">
        <f t="shared" si="5"/>
        <v>NONE</v>
      </c>
      <c r="P96" t="str" cm="1">
        <f t="array" ref="P96">_xlfn.SWITCH(O96,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6" t="str" cm="1">
        <f t="array" ref="Q96">_xlfn.SWITCH(O96,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6" t="str" cm="1">
        <f t="array" ref="R96">_xlfn.SWITCH(P96,
"Inventory / Service","Operations / Planning",
"Material Supply","Materials / Procurement",
"Capacity","Production / Planning",
"Production Execution","Production",
"Inventory","Operations / Planning",
"Demand Planning","Commercial / Planning",
"None","None",
"Operations")</f>
        <v>None</v>
      </c>
    </row>
    <row r="97" spans="1:18">
      <c r="A97" s="30">
        <f>Weekly_Inventory_Flow!A97</f>
        <v>46160</v>
      </c>
      <c r="B97" s="13" t="str">
        <f>Weekly_Inventory_Flow!B97</f>
        <v>P001</v>
      </c>
      <c r="C97" s="25">
        <f>IF(SUMIFS(Weekly_Product_Demand!$C:$C,Weekly_Product_Demand!$A:$A,A97,Weekly_Product_Demand!$B:$B,B97)=0,0,
(SUMIFS(Weekly_Product_Demand!$D:$D,Weekly_Product_Demand!$A:$A,A97,Weekly_Product_Demand!$B:$B,B97)-
SUMIFS(Weekly_Product_Demand!$C:$C,Weekly_Product_Demand!$A:$A,A97,Weekly_Product_Demand!$B:$B,B97))/
SUMIFS(Weekly_Product_Demand!$C:$C,Weekly_Product_Demand!$A:$A,A97,Weekly_Product_Demand!$B:$B,B97))</f>
        <v>-2.7836691410392366E-3</v>
      </c>
      <c r="D97" s="25">
        <f>SUMIFS(Weekly_Inventory_Flow!$Q:$Q,Weekly_Inventory_Flow!$A:$A,A97,Weekly_Inventory_Flow!$B:$B,B97)</f>
        <v>1</v>
      </c>
      <c r="E97" s="26">
        <f>SUMIFS(Weekly_Inventory_Flow!$S:$S,Weekly_Inventory_Flow!$A:$A,A97,Weekly_Inventory_Flow!$B:$B,B97)</f>
        <v>2.0061145819486907</v>
      </c>
      <c r="F97" s="27">
        <f>SUMIFS(Weekly_Inventory_Flow!$N:$N,Weekly_Inventory_Flow!$A:$A,A97,Weekly_Inventory_Flow!$B:$B,B97)</f>
        <v>0</v>
      </c>
      <c r="G97" s="13" t="str">
        <f>_xlfn.XLOOKUP(B97,Product_Line_Map!$A$2:$A$6,Product_Line_Map!$B$2:$B$6,"")</f>
        <v>L01</v>
      </c>
      <c r="H97" s="25">
        <f>SUMIFS(Weekly_Line_Capacity!$J:$J,Weekly_Line_Capacity!$A:$A,A97,Weekly_Line_Capacity!$B:$B,G97)</f>
        <v>0.21345029239766081</v>
      </c>
      <c r="I97" s="27">
        <f>SUMIFS(Weekly_Line_Capacity!$K:$K,Weekly_Line_Capacity!$A:$A,A97,Weekly_Line_Capacity!$B:$B,G97)</f>
        <v>0</v>
      </c>
      <c r="J97" s="13" t="str" cm="1">
        <f t="array" ref="J97">_xlfn.XLOOKUP(1,(Weekly_Line_Capacity!$A$2:$A$157=A97)*(Weekly_Line_Capacity!$B$2:$B$157=G97),Weekly_Line_Capacity!$L$2:$L$157,"")</f>
        <v>WITHIN CAPACITY</v>
      </c>
      <c r="K97" s="13" t="str">
        <f>_xlfn.XLOOKUP(B97,BOM!$A$2:$A$21,BOM!$B$2:$B$21,"")</f>
        <v>M001</v>
      </c>
      <c r="L97" s="27">
        <f>SUMIFS(Weekly_Material_Inventory!$K:$K,Weekly_Material_Inventory!$A:$A,A97,Weekly_Material_Inventory!$B:$B,K97)</f>
        <v>0</v>
      </c>
      <c r="M97">
        <f t="shared" si="3"/>
        <v>0</v>
      </c>
      <c r="N97" t="str">
        <f t="shared" si="4"/>
        <v>OK</v>
      </c>
      <c r="O97" t="str">
        <f t="shared" si="5"/>
        <v>NONE</v>
      </c>
      <c r="P97" t="str" cm="1">
        <f t="array" ref="P97">_xlfn.SWITCH(O97,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7" t="str" cm="1">
        <f t="array" ref="Q97">_xlfn.SWITCH(O97,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7" t="str" cm="1">
        <f t="array" ref="R97">_xlfn.SWITCH(P97,
"Inventory / Service","Operations / Planning",
"Material Supply","Materials / Procurement",
"Capacity","Production / Planning",
"Production Execution","Production",
"Inventory","Operations / Planning",
"Demand Planning","Commercial / Planning",
"None","None",
"Operations")</f>
        <v>None</v>
      </c>
    </row>
    <row r="98" spans="1:18">
      <c r="A98" s="30">
        <f>Weekly_Inventory_Flow!A98</f>
        <v>46160</v>
      </c>
      <c r="B98" s="13" t="str">
        <f>Weekly_Inventory_Flow!B98</f>
        <v>P002</v>
      </c>
      <c r="C98" s="25">
        <f>IF(SUMIFS(Weekly_Product_Demand!$C:$C,Weekly_Product_Demand!$A:$A,A98,Weekly_Product_Demand!$B:$B,B98)=0,0,
(SUMIFS(Weekly_Product_Demand!$D:$D,Weekly_Product_Demand!$A:$A,A98,Weekly_Product_Demand!$B:$B,B98)-
SUMIFS(Weekly_Product_Demand!$C:$C,Weekly_Product_Demand!$A:$A,A98,Weekly_Product_Demand!$B:$B,B98))/
SUMIFS(Weekly_Product_Demand!$C:$C,Weekly_Product_Demand!$A:$A,A98,Weekly_Product_Demand!$B:$B,B98))</f>
        <v>4.7701976224729312E-3</v>
      </c>
      <c r="D98" s="25">
        <f>SUMIFS(Weekly_Inventory_Flow!$Q:$Q,Weekly_Inventory_Flow!$A:$A,A98,Weekly_Inventory_Flow!$B:$B,B98)</f>
        <v>1.01</v>
      </c>
      <c r="E98" s="26">
        <f>SUMIFS(Weekly_Inventory_Flow!$S:$S,Weekly_Inventory_Flow!$A:$A,A98,Weekly_Inventory_Flow!$B:$B,B98)</f>
        <v>2.0868123587038432</v>
      </c>
      <c r="F98" s="27">
        <f>SUMIFS(Weekly_Inventory_Flow!$N:$N,Weekly_Inventory_Flow!$A:$A,A98,Weekly_Inventory_Flow!$B:$B,B98)</f>
        <v>0</v>
      </c>
      <c r="G98" s="13" t="str">
        <f>_xlfn.XLOOKUP(B98,Product_Line_Map!$A$2:$A$6,Product_Line_Map!$B$2:$B$6,"")</f>
        <v>L02</v>
      </c>
      <c r="H98" s="25">
        <f>SUMIFS(Weekly_Line_Capacity!$J:$J,Weekly_Line_Capacity!$A:$A,A98,Weekly_Line_Capacity!$B:$B,G98)</f>
        <v>0.48571428571428571</v>
      </c>
      <c r="I98" s="27">
        <f>SUMIFS(Weekly_Line_Capacity!$K:$K,Weekly_Line_Capacity!$A:$A,A98,Weekly_Line_Capacity!$B:$B,G98)</f>
        <v>0</v>
      </c>
      <c r="J98" s="13" t="str" cm="1">
        <f t="array" ref="J98">_xlfn.XLOOKUP(1,(Weekly_Line_Capacity!$A$2:$A$157=A98)*(Weekly_Line_Capacity!$B$2:$B$157=G98),Weekly_Line_Capacity!$L$2:$L$157,"")</f>
        <v>WITHIN CAPACITY</v>
      </c>
      <c r="K98" s="13" t="str">
        <f>_xlfn.XLOOKUP(B98,BOM!$A$2:$A$21,BOM!$B$2:$B$21,"")</f>
        <v>M002</v>
      </c>
      <c r="L98" s="27">
        <f>SUMIFS(Weekly_Material_Inventory!$K:$K,Weekly_Material_Inventory!$A:$A,A98,Weekly_Material_Inventory!$B:$B,K98)</f>
        <v>0</v>
      </c>
      <c r="M98">
        <f t="shared" si="3"/>
        <v>0</v>
      </c>
      <c r="N98" t="str">
        <f t="shared" si="4"/>
        <v>OK</v>
      </c>
      <c r="O98" t="str">
        <f t="shared" si="5"/>
        <v>NONE</v>
      </c>
      <c r="P98" t="str" cm="1">
        <f t="array" ref="P98">_xlfn.SWITCH(O98,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98" t="str" cm="1">
        <f t="array" ref="Q98">_xlfn.SWITCH(O98,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98" t="str" cm="1">
        <f t="array" ref="R98">_xlfn.SWITCH(P98,
"Inventory / Service","Operations / Planning",
"Material Supply","Materials / Procurement",
"Capacity","Production / Planning",
"Production Execution","Production",
"Inventory","Operations / Planning",
"Demand Planning","Commercial / Planning",
"None","None",
"Operations")</f>
        <v>None</v>
      </c>
    </row>
    <row r="99" spans="1:18">
      <c r="A99" s="30">
        <f>Weekly_Inventory_Flow!A99</f>
        <v>46160</v>
      </c>
      <c r="B99" s="13" t="str">
        <f>Weekly_Inventory_Flow!B99</f>
        <v>P003</v>
      </c>
      <c r="C99" s="25">
        <f>IF(SUMIFS(Weekly_Product_Demand!$C:$C,Weekly_Product_Demand!$A:$A,A99,Weekly_Product_Demand!$B:$B,B99)=0,0,
(SUMIFS(Weekly_Product_Demand!$D:$D,Weekly_Product_Demand!$A:$A,A99,Weekly_Product_Demand!$B:$B,B99)-
SUMIFS(Weekly_Product_Demand!$C:$C,Weekly_Product_Demand!$A:$A,A99,Weekly_Product_Demand!$B:$B,B99))/
SUMIFS(Weekly_Product_Demand!$C:$C,Weekly_Product_Demand!$A:$A,A99,Weekly_Product_Demand!$B:$B,B99))</f>
        <v>-7.8972489803002689E-3</v>
      </c>
      <c r="D99" s="25">
        <f>SUMIFS(Weekly_Inventory_Flow!$Q:$Q,Weekly_Inventory_Flow!$A:$A,A99,Weekly_Inventory_Flow!$B:$B,B99)</f>
        <v>0.98</v>
      </c>
      <c r="E99" s="26">
        <f>SUMIFS(Weekly_Inventory_Flow!$S:$S,Weekly_Inventory_Flow!$A:$A,A99,Weekly_Inventory_Flow!$B:$B,B99)</f>
        <v>1.9073652904128762</v>
      </c>
      <c r="F99" s="27">
        <f>SUMIFS(Weekly_Inventory_Flow!$N:$N,Weekly_Inventory_Flow!$A:$A,A99,Weekly_Inventory_Flow!$B:$B,B99)</f>
        <v>0</v>
      </c>
      <c r="G99" s="13" t="str">
        <f>_xlfn.XLOOKUP(B99,Product_Line_Map!$A$2:$A$6,Product_Line_Map!$B$2:$B$6,"")</f>
        <v>L03</v>
      </c>
      <c r="H99" s="25">
        <f>SUMIFS(Weekly_Line_Capacity!$J:$J,Weekly_Line_Capacity!$A:$A,A99,Weekly_Line_Capacity!$B:$B,G99)</f>
        <v>0.49285714285714288</v>
      </c>
      <c r="I99" s="27">
        <f>SUMIFS(Weekly_Line_Capacity!$K:$K,Weekly_Line_Capacity!$A:$A,A99,Weekly_Line_Capacity!$B:$B,G99)</f>
        <v>0</v>
      </c>
      <c r="J99" s="13" t="str" cm="1">
        <f t="array" ref="J99">_xlfn.XLOOKUP(1,(Weekly_Line_Capacity!$A$2:$A$157=A99)*(Weekly_Line_Capacity!$B$2:$B$157=G99),Weekly_Line_Capacity!$L$2:$L$157,"")</f>
        <v>WITHIN CAPACITY</v>
      </c>
      <c r="K99" s="13" t="str">
        <f>_xlfn.XLOOKUP(B99,BOM!$A$2:$A$21,BOM!$B$2:$B$21,"")</f>
        <v>M003</v>
      </c>
      <c r="L99" s="27">
        <f>SUMIFS(Weekly_Material_Inventory!$K:$K,Weekly_Material_Inventory!$A:$A,A99,Weekly_Material_Inventory!$B:$B,K99)</f>
        <v>0</v>
      </c>
      <c r="M99">
        <f t="shared" si="3"/>
        <v>1</v>
      </c>
      <c r="N99" t="str">
        <f t="shared" si="4"/>
        <v>WARNING</v>
      </c>
      <c r="O99" t="str">
        <f t="shared" si="5"/>
        <v>LOW STOCK COVER</v>
      </c>
      <c r="P99" t="str" cm="1">
        <f t="array" ref="P99">_xlfn.SWITCH(O99,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99" t="str" cm="1">
        <f t="array" ref="Q99">_xlfn.SWITCH(O99,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99" t="str" cm="1">
        <f t="array" ref="R99">_xlfn.SWITCH(P99,
"Inventory / Service","Operations / Planning",
"Material Supply","Materials / Procurement",
"Capacity","Production / Planning",
"Production Execution","Production",
"Inventory","Operations / Planning",
"Demand Planning","Commercial / Planning",
"None","None",
"Operations")</f>
        <v>Operations / Planning</v>
      </c>
    </row>
    <row r="100" spans="1:18">
      <c r="A100" s="30">
        <f>Weekly_Inventory_Flow!A100</f>
        <v>46160</v>
      </c>
      <c r="B100" s="13" t="str">
        <f>Weekly_Inventory_Flow!B100</f>
        <v>P004</v>
      </c>
      <c r="C100" s="25">
        <f>IF(SUMIFS(Weekly_Product_Demand!$C:$C,Weekly_Product_Demand!$A:$A,A100,Weekly_Product_Demand!$B:$B,B100)=0,0,
(SUMIFS(Weekly_Product_Demand!$D:$D,Weekly_Product_Demand!$A:$A,A100,Weekly_Product_Demand!$B:$B,B100)-
SUMIFS(Weekly_Product_Demand!$C:$C,Weekly_Product_Demand!$A:$A,A100,Weekly_Product_Demand!$B:$B,B100))/
SUMIFS(Weekly_Product_Demand!$C:$C,Weekly_Product_Demand!$A:$A,A100,Weekly_Product_Demand!$B:$B,B100))</f>
        <v>5.8706796758723331E-3</v>
      </c>
      <c r="D100" s="25">
        <f>SUMIFS(Weekly_Inventory_Flow!$Q:$Q,Weekly_Inventory_Flow!$A:$A,A100,Weekly_Inventory_Flow!$B:$B,B100)</f>
        <v>0.97</v>
      </c>
      <c r="E100" s="26">
        <f>SUMIFS(Weekly_Inventory_Flow!$S:$S,Weekly_Inventory_Flow!$A:$A,A100,Weekly_Inventory_Flow!$B:$B,B100)</f>
        <v>1.8327168105219893</v>
      </c>
      <c r="F100" s="27">
        <f>SUMIFS(Weekly_Inventory_Flow!$N:$N,Weekly_Inventory_Flow!$A:$A,A100,Weekly_Inventory_Flow!$B:$B,B100)</f>
        <v>0</v>
      </c>
      <c r="G100" s="13" t="str">
        <f>_xlfn.XLOOKUP(B100,Product_Line_Map!$A$2:$A$6,Product_Line_Map!$B$2:$B$6,"")</f>
        <v>L02</v>
      </c>
      <c r="H100" s="25">
        <f>SUMIFS(Weekly_Line_Capacity!$J:$J,Weekly_Line_Capacity!$A:$A,A100,Weekly_Line_Capacity!$B:$B,G100)</f>
        <v>0.48571428571428571</v>
      </c>
      <c r="I100" s="27">
        <f>SUMIFS(Weekly_Line_Capacity!$K:$K,Weekly_Line_Capacity!$A:$A,A100,Weekly_Line_Capacity!$B:$B,G100)</f>
        <v>0</v>
      </c>
      <c r="J100" s="13" t="str" cm="1">
        <f t="array" ref="J100">_xlfn.XLOOKUP(1,(Weekly_Line_Capacity!$A$2:$A$157=A100)*(Weekly_Line_Capacity!$B$2:$B$157=G100),Weekly_Line_Capacity!$L$2:$L$157,"")</f>
        <v>WITHIN CAPACITY</v>
      </c>
      <c r="K100" s="13" t="str">
        <f>_xlfn.XLOOKUP(B100,BOM!$A$2:$A$21,BOM!$B$2:$B$21,"")</f>
        <v>M004</v>
      </c>
      <c r="L100" s="27">
        <f>SUMIFS(Weekly_Material_Inventory!$K:$K,Weekly_Material_Inventory!$A:$A,A100,Weekly_Material_Inventory!$B:$B,K100)</f>
        <v>0</v>
      </c>
      <c r="M100">
        <f t="shared" si="3"/>
        <v>1</v>
      </c>
      <c r="N100" t="str">
        <f t="shared" si="4"/>
        <v>WARNING</v>
      </c>
      <c r="O100" t="str">
        <f t="shared" si="5"/>
        <v>LOW STOCK COVER</v>
      </c>
      <c r="P100" t="str" cm="1">
        <f t="array" ref="P100">_xlfn.SWITCH(O100,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00" t="str" cm="1">
        <f t="array" ref="Q100">_xlfn.SWITCH(O100,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00" t="str" cm="1">
        <f t="array" ref="R100">_xlfn.SWITCH(P100,
"Inventory / Service","Operations / Planning",
"Material Supply","Materials / Procurement",
"Capacity","Production / Planning",
"Production Execution","Production",
"Inventory","Operations / Planning",
"Demand Planning","Commercial / Planning",
"None","None",
"Operations")</f>
        <v>Operations / Planning</v>
      </c>
    </row>
    <row r="101" spans="1:18">
      <c r="A101" s="30">
        <f>Weekly_Inventory_Flow!A101</f>
        <v>46160</v>
      </c>
      <c r="B101" s="13" t="str">
        <f>Weekly_Inventory_Flow!B101</f>
        <v>P005</v>
      </c>
      <c r="C101" s="25">
        <f>IF(SUMIFS(Weekly_Product_Demand!$C:$C,Weekly_Product_Demand!$A:$A,A101,Weekly_Product_Demand!$B:$B,B101)=0,0,
(SUMIFS(Weekly_Product_Demand!$D:$D,Weekly_Product_Demand!$A:$A,A101,Weekly_Product_Demand!$B:$B,B101)-
SUMIFS(Weekly_Product_Demand!$C:$C,Weekly_Product_Demand!$A:$A,A101,Weekly_Product_Demand!$B:$B,B101))/
SUMIFS(Weekly_Product_Demand!$C:$C,Weekly_Product_Demand!$A:$A,A101,Weekly_Product_Demand!$B:$B,B101))</f>
        <v>-3.7614780396061512E-3</v>
      </c>
      <c r="D101" s="25">
        <f>SUMIFS(Weekly_Inventory_Flow!$Q:$Q,Weekly_Inventory_Flow!$A:$A,A101,Weekly_Inventory_Flow!$B:$B,B101)</f>
        <v>0.99</v>
      </c>
      <c r="E101" s="26">
        <f>SUMIFS(Weekly_Inventory_Flow!$S:$S,Weekly_Inventory_Flow!$A:$A,A101,Weekly_Inventory_Flow!$B:$B,B101)</f>
        <v>1.9962243198223211</v>
      </c>
      <c r="F101" s="27">
        <f>SUMIFS(Weekly_Inventory_Flow!$N:$N,Weekly_Inventory_Flow!$A:$A,A101,Weekly_Inventory_Flow!$B:$B,B101)</f>
        <v>0</v>
      </c>
      <c r="G101" s="13" t="str">
        <f>_xlfn.XLOOKUP(B101,Product_Line_Map!$A$2:$A$6,Product_Line_Map!$B$2:$B$6,"")</f>
        <v>L03</v>
      </c>
      <c r="H101" s="25">
        <f>SUMIFS(Weekly_Line_Capacity!$J:$J,Weekly_Line_Capacity!$A:$A,A101,Weekly_Line_Capacity!$B:$B,G101)</f>
        <v>0.49285714285714288</v>
      </c>
      <c r="I101" s="27">
        <f>SUMIFS(Weekly_Line_Capacity!$K:$K,Weekly_Line_Capacity!$A:$A,A101,Weekly_Line_Capacity!$B:$B,G101)</f>
        <v>0</v>
      </c>
      <c r="J101" s="13" t="str" cm="1">
        <f t="array" ref="J101">_xlfn.XLOOKUP(1,(Weekly_Line_Capacity!$A$2:$A$157=A101)*(Weekly_Line_Capacity!$B$2:$B$157=G101),Weekly_Line_Capacity!$L$2:$L$157,"")</f>
        <v>WITHIN CAPACITY</v>
      </c>
      <c r="K101" s="13" t="str">
        <f>_xlfn.XLOOKUP(B101,BOM!$A$2:$A$21,BOM!$B$2:$B$21,"")</f>
        <v>M005</v>
      </c>
      <c r="L101" s="27">
        <f>SUMIFS(Weekly_Material_Inventory!$K:$K,Weekly_Material_Inventory!$A:$A,A101,Weekly_Material_Inventory!$B:$B,K101)</f>
        <v>0</v>
      </c>
      <c r="M101">
        <f t="shared" si="3"/>
        <v>1</v>
      </c>
      <c r="N101" t="str">
        <f t="shared" si="4"/>
        <v>WARNING</v>
      </c>
      <c r="O101" t="str">
        <f t="shared" si="5"/>
        <v>LOW STOCK COVER</v>
      </c>
      <c r="P101" t="str" cm="1">
        <f t="array" ref="P101">_xlfn.SWITCH(O101,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01" t="str" cm="1">
        <f t="array" ref="Q101">_xlfn.SWITCH(O101,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01" t="str" cm="1">
        <f t="array" ref="R101">_xlfn.SWITCH(P101,
"Inventory / Service","Operations / Planning",
"Material Supply","Materials / Procurement",
"Capacity","Production / Planning",
"Production Execution","Production",
"Inventory","Operations / Planning",
"Demand Planning","Commercial / Planning",
"None","None",
"Operations")</f>
        <v>Operations / Planning</v>
      </c>
    </row>
    <row r="102" spans="1:18">
      <c r="A102" s="30">
        <f>Weekly_Inventory_Flow!A102</f>
        <v>46167</v>
      </c>
      <c r="B102" s="13" t="str">
        <f>Weekly_Inventory_Flow!B102</f>
        <v>P001</v>
      </c>
      <c r="C102" s="25">
        <f>IF(SUMIFS(Weekly_Product_Demand!$C:$C,Weekly_Product_Demand!$A:$A,A102,Weekly_Product_Demand!$B:$B,B102)=0,0,
(SUMIFS(Weekly_Product_Demand!$D:$D,Weekly_Product_Demand!$A:$A,A102,Weekly_Product_Demand!$B:$B,B102)-
SUMIFS(Weekly_Product_Demand!$C:$C,Weekly_Product_Demand!$A:$A,A102,Weekly_Product_Demand!$B:$B,B102))/
SUMIFS(Weekly_Product_Demand!$C:$C,Weekly_Product_Demand!$A:$A,A102,Weekly_Product_Demand!$B:$B,B102))</f>
        <v>-2.1961932650073207E-3</v>
      </c>
      <c r="D102" s="25">
        <f>SUMIFS(Weekly_Inventory_Flow!$Q:$Q,Weekly_Inventory_Flow!$A:$A,A102,Weekly_Inventory_Flow!$B:$B,B102)</f>
        <v>1</v>
      </c>
      <c r="E102" s="26">
        <f>SUMIFS(Weekly_Inventory_Flow!$S:$S,Weekly_Inventory_Flow!$A:$A,A102,Weekly_Inventory_Flow!$B:$B,B102)</f>
        <v>2.0164743546988597</v>
      </c>
      <c r="F102" s="27">
        <f>SUMIFS(Weekly_Inventory_Flow!$N:$N,Weekly_Inventory_Flow!$A:$A,A102,Weekly_Inventory_Flow!$B:$B,B102)</f>
        <v>0</v>
      </c>
      <c r="G102" s="13" t="str">
        <f>_xlfn.XLOOKUP(B102,Product_Line_Map!$A$2:$A$6,Product_Line_Map!$B$2:$B$6,"")</f>
        <v>L01</v>
      </c>
      <c r="H102" s="25">
        <f>SUMIFS(Weekly_Line_Capacity!$J:$J,Weekly_Line_Capacity!$A:$A,A102,Weekly_Line_Capacity!$B:$B,G102)</f>
        <v>0.2192982456140351</v>
      </c>
      <c r="I102" s="27">
        <f>SUMIFS(Weekly_Line_Capacity!$K:$K,Weekly_Line_Capacity!$A:$A,A102,Weekly_Line_Capacity!$B:$B,G102)</f>
        <v>0</v>
      </c>
      <c r="J102" s="13" t="str" cm="1">
        <f t="array" ref="J102">_xlfn.XLOOKUP(1,(Weekly_Line_Capacity!$A$2:$A$157=A102)*(Weekly_Line_Capacity!$B$2:$B$157=G102),Weekly_Line_Capacity!$L$2:$L$157,"")</f>
        <v>WITHIN CAPACITY</v>
      </c>
      <c r="K102" s="13" t="str">
        <f>_xlfn.XLOOKUP(B102,BOM!$A$2:$A$21,BOM!$B$2:$B$21,"")</f>
        <v>M001</v>
      </c>
      <c r="L102" s="27">
        <f>SUMIFS(Weekly_Material_Inventory!$K:$K,Weekly_Material_Inventory!$A:$A,A102,Weekly_Material_Inventory!$B:$B,K102)</f>
        <v>0</v>
      </c>
      <c r="M102">
        <f t="shared" si="3"/>
        <v>0</v>
      </c>
      <c r="N102" t="str">
        <f t="shared" si="4"/>
        <v>OK</v>
      </c>
      <c r="O102" t="str">
        <f t="shared" si="5"/>
        <v>NONE</v>
      </c>
      <c r="P102" t="str" cm="1">
        <f t="array" ref="P102">_xlfn.SWITCH(O102,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2" t="str" cm="1">
        <f t="array" ref="Q102">_xlfn.SWITCH(O102,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2" t="str" cm="1">
        <f t="array" ref="R102">_xlfn.SWITCH(P102,
"Inventory / Service","Operations / Planning",
"Material Supply","Materials / Procurement",
"Capacity","Production / Planning",
"Production Execution","Production",
"Inventory","Operations / Planning",
"Demand Planning","Commercial / Planning",
"None","None",
"Operations")</f>
        <v>None</v>
      </c>
    </row>
    <row r="103" spans="1:18">
      <c r="A103" s="30">
        <f>Weekly_Inventory_Flow!A103</f>
        <v>46167</v>
      </c>
      <c r="B103" s="13" t="str">
        <f>Weekly_Inventory_Flow!B103</f>
        <v>P002</v>
      </c>
      <c r="C103" s="25">
        <f>IF(SUMIFS(Weekly_Product_Demand!$C:$C,Weekly_Product_Demand!$A:$A,A103,Weekly_Product_Demand!$B:$B,B103)=0,0,
(SUMIFS(Weekly_Product_Demand!$D:$D,Weekly_Product_Demand!$A:$A,A103,Weekly_Product_Demand!$B:$B,B103)-
SUMIFS(Weekly_Product_Demand!$C:$C,Weekly_Product_Demand!$A:$A,A103,Weekly_Product_Demand!$B:$B,B103))/
SUMIFS(Weekly_Product_Demand!$C:$C,Weekly_Product_Demand!$A:$A,A103,Weekly_Product_Demand!$B:$B,B103))</f>
        <v>-8.149276466108149E-3</v>
      </c>
      <c r="D103" s="25">
        <f>SUMIFS(Weekly_Inventory_Flow!$Q:$Q,Weekly_Inventory_Flow!$A:$A,A103,Weekly_Inventory_Flow!$B:$B,B103)</f>
        <v>1.02</v>
      </c>
      <c r="E103" s="26">
        <f>SUMIFS(Weekly_Inventory_Flow!$S:$S,Weekly_Inventory_Flow!$A:$A,A103,Weekly_Inventory_Flow!$B:$B,B103)</f>
        <v>2.1441296168317594</v>
      </c>
      <c r="F103" s="27">
        <f>SUMIFS(Weekly_Inventory_Flow!$N:$N,Weekly_Inventory_Flow!$A:$A,A103,Weekly_Inventory_Flow!$B:$B,B103)</f>
        <v>0</v>
      </c>
      <c r="G103" s="13" t="str">
        <f>_xlfn.XLOOKUP(B103,Product_Line_Map!$A$2:$A$6,Product_Line_Map!$B$2:$B$6,"")</f>
        <v>L02</v>
      </c>
      <c r="H103" s="25">
        <f>SUMIFS(Weekly_Line_Capacity!$J:$J,Weekly_Line_Capacity!$A:$A,A103,Weekly_Line_Capacity!$B:$B,G103)</f>
        <v>0.47809523809523813</v>
      </c>
      <c r="I103" s="27">
        <f>SUMIFS(Weekly_Line_Capacity!$K:$K,Weekly_Line_Capacity!$A:$A,A103,Weekly_Line_Capacity!$B:$B,G103)</f>
        <v>0</v>
      </c>
      <c r="J103" s="13" t="str" cm="1">
        <f t="array" ref="J103">_xlfn.XLOOKUP(1,(Weekly_Line_Capacity!$A$2:$A$157=A103)*(Weekly_Line_Capacity!$B$2:$B$157=G103),Weekly_Line_Capacity!$L$2:$L$157,"")</f>
        <v>WITHIN CAPACITY</v>
      </c>
      <c r="K103" s="13" t="str">
        <f>_xlfn.XLOOKUP(B103,BOM!$A$2:$A$21,BOM!$B$2:$B$21,"")</f>
        <v>M002</v>
      </c>
      <c r="L103" s="27">
        <f>SUMIFS(Weekly_Material_Inventory!$K:$K,Weekly_Material_Inventory!$A:$A,A103,Weekly_Material_Inventory!$B:$B,K103)</f>
        <v>0</v>
      </c>
      <c r="M103">
        <f t="shared" si="3"/>
        <v>0</v>
      </c>
      <c r="N103" t="str">
        <f t="shared" si="4"/>
        <v>OK</v>
      </c>
      <c r="O103" t="str">
        <f t="shared" si="5"/>
        <v>NONE</v>
      </c>
      <c r="P103" t="str" cm="1">
        <f t="array" ref="P103">_xlfn.SWITCH(O103,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3" t="str" cm="1">
        <f t="array" ref="Q103">_xlfn.SWITCH(O103,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3" t="str" cm="1">
        <f t="array" ref="R103">_xlfn.SWITCH(P103,
"Inventory / Service","Operations / Planning",
"Material Supply","Materials / Procurement",
"Capacity","Production / Planning",
"Production Execution","Production",
"Inventory","Operations / Planning",
"Demand Planning","Commercial / Planning",
"None","None",
"Operations")</f>
        <v>None</v>
      </c>
    </row>
    <row r="104" spans="1:18">
      <c r="A104" s="30">
        <f>Weekly_Inventory_Flow!A104</f>
        <v>46167</v>
      </c>
      <c r="B104" s="13" t="str">
        <f>Weekly_Inventory_Flow!B104</f>
        <v>P003</v>
      </c>
      <c r="C104" s="25">
        <f>IF(SUMIFS(Weekly_Product_Demand!$C:$C,Weekly_Product_Demand!$A:$A,A104,Weekly_Product_Demand!$B:$B,B104)=0,0,
(SUMIFS(Weekly_Product_Demand!$D:$D,Weekly_Product_Demand!$A:$A,A104,Weekly_Product_Demand!$B:$B,B104)-
SUMIFS(Weekly_Product_Demand!$C:$C,Weekly_Product_Demand!$A:$A,A104,Weekly_Product_Demand!$B:$B,B104))/
SUMIFS(Weekly_Product_Demand!$C:$C,Weekly_Product_Demand!$A:$A,A104,Weekly_Product_Demand!$B:$B,B104))</f>
        <v>2.0207344930592164E-2</v>
      </c>
      <c r="D104" s="25">
        <f>SUMIFS(Weekly_Inventory_Flow!$Q:$Q,Weekly_Inventory_Flow!$A:$A,A104,Weekly_Inventory_Flow!$B:$B,B104)</f>
        <v>1.02</v>
      </c>
      <c r="E104" s="26">
        <f>SUMIFS(Weekly_Inventory_Flow!$S:$S,Weekly_Inventory_Flow!$A:$A,A104,Weekly_Inventory_Flow!$B:$B,B104)</f>
        <v>2.1948846021357218</v>
      </c>
      <c r="F104" s="27">
        <f>SUMIFS(Weekly_Inventory_Flow!$N:$N,Weekly_Inventory_Flow!$A:$A,A104,Weekly_Inventory_Flow!$B:$B,B104)</f>
        <v>0</v>
      </c>
      <c r="G104" s="13" t="str">
        <f>_xlfn.XLOOKUP(B104,Product_Line_Map!$A$2:$A$6,Product_Line_Map!$B$2:$B$6,"")</f>
        <v>L03</v>
      </c>
      <c r="H104" s="25">
        <f>SUMIFS(Weekly_Line_Capacity!$J:$J,Weekly_Line_Capacity!$A:$A,A104,Weekly_Line_Capacity!$B:$B,G104)</f>
        <v>0.5</v>
      </c>
      <c r="I104" s="27">
        <f>SUMIFS(Weekly_Line_Capacity!$K:$K,Weekly_Line_Capacity!$A:$A,A104,Weekly_Line_Capacity!$B:$B,G104)</f>
        <v>0</v>
      </c>
      <c r="J104" s="13" t="str" cm="1">
        <f t="array" ref="J104">_xlfn.XLOOKUP(1,(Weekly_Line_Capacity!$A$2:$A$157=A104)*(Weekly_Line_Capacity!$B$2:$B$157=G104),Weekly_Line_Capacity!$L$2:$L$157,"")</f>
        <v>WITHIN CAPACITY</v>
      </c>
      <c r="K104" s="13" t="str">
        <f>_xlfn.XLOOKUP(B104,BOM!$A$2:$A$21,BOM!$B$2:$B$21,"")</f>
        <v>M003</v>
      </c>
      <c r="L104" s="27">
        <f>SUMIFS(Weekly_Material_Inventory!$K:$K,Weekly_Material_Inventory!$A:$A,A104,Weekly_Material_Inventory!$B:$B,K104)</f>
        <v>0</v>
      </c>
      <c r="M104">
        <f t="shared" si="3"/>
        <v>0</v>
      </c>
      <c r="N104" t="str">
        <f t="shared" si="4"/>
        <v>OK</v>
      </c>
      <c r="O104" t="str">
        <f t="shared" si="5"/>
        <v>NONE</v>
      </c>
      <c r="P104" t="str" cm="1">
        <f t="array" ref="P104">_xlfn.SWITCH(O104,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4" t="str" cm="1">
        <f t="array" ref="Q104">_xlfn.SWITCH(O104,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4" t="str" cm="1">
        <f t="array" ref="R104">_xlfn.SWITCH(P104,
"Inventory / Service","Operations / Planning",
"Material Supply","Materials / Procurement",
"Capacity","Production / Planning",
"Production Execution","Production",
"Inventory","Operations / Planning",
"Demand Planning","Commercial / Planning",
"None","None",
"Operations")</f>
        <v>None</v>
      </c>
    </row>
    <row r="105" spans="1:18">
      <c r="A105" s="30">
        <f>Weekly_Inventory_Flow!A105</f>
        <v>46167</v>
      </c>
      <c r="B105" s="13" t="str">
        <f>Weekly_Inventory_Flow!B105</f>
        <v>P004</v>
      </c>
      <c r="C105" s="25">
        <f>IF(SUMIFS(Weekly_Product_Demand!$C:$C,Weekly_Product_Demand!$A:$A,A105,Weekly_Product_Demand!$B:$B,B105)=0,0,
(SUMIFS(Weekly_Product_Demand!$D:$D,Weekly_Product_Demand!$A:$A,A105,Weekly_Product_Demand!$B:$B,B105)-
SUMIFS(Weekly_Product_Demand!$C:$C,Weekly_Product_Demand!$A:$A,A105,Weekly_Product_Demand!$B:$B,B105))/
SUMIFS(Weekly_Product_Demand!$C:$C,Weekly_Product_Demand!$A:$A,A105,Weekly_Product_Demand!$B:$B,B105))</f>
        <v>-1.4097354672858446E-3</v>
      </c>
      <c r="D105" s="25">
        <f>SUMIFS(Weekly_Inventory_Flow!$Q:$Q,Weekly_Inventory_Flow!$A:$A,A105,Weekly_Inventory_Flow!$B:$B,B105)</f>
        <v>1.02</v>
      </c>
      <c r="E105" s="26">
        <f>SUMIFS(Weekly_Inventory_Flow!$S:$S,Weekly_Inventory_Flow!$A:$A,A105,Weekly_Inventory_Flow!$B:$B,B105)</f>
        <v>2.1444112273708686</v>
      </c>
      <c r="F105" s="27">
        <f>SUMIFS(Weekly_Inventory_Flow!$N:$N,Weekly_Inventory_Flow!$A:$A,A105,Weekly_Inventory_Flow!$B:$B,B105)</f>
        <v>0</v>
      </c>
      <c r="G105" s="13" t="str">
        <f>_xlfn.XLOOKUP(B105,Product_Line_Map!$A$2:$A$6,Product_Line_Map!$B$2:$B$6,"")</f>
        <v>L02</v>
      </c>
      <c r="H105" s="25">
        <f>SUMIFS(Weekly_Line_Capacity!$J:$J,Weekly_Line_Capacity!$A:$A,A105,Weekly_Line_Capacity!$B:$B,G105)</f>
        <v>0.47809523809523813</v>
      </c>
      <c r="I105" s="27">
        <f>SUMIFS(Weekly_Line_Capacity!$K:$K,Weekly_Line_Capacity!$A:$A,A105,Weekly_Line_Capacity!$B:$B,G105)</f>
        <v>0</v>
      </c>
      <c r="J105" s="13" t="str" cm="1">
        <f t="array" ref="J105">_xlfn.XLOOKUP(1,(Weekly_Line_Capacity!$A$2:$A$157=A105)*(Weekly_Line_Capacity!$B$2:$B$157=G105),Weekly_Line_Capacity!$L$2:$L$157,"")</f>
        <v>WITHIN CAPACITY</v>
      </c>
      <c r="K105" s="13" t="str">
        <f>_xlfn.XLOOKUP(B105,BOM!$A$2:$A$21,BOM!$B$2:$B$21,"")</f>
        <v>M004</v>
      </c>
      <c r="L105" s="27">
        <f>SUMIFS(Weekly_Material_Inventory!$K:$K,Weekly_Material_Inventory!$A:$A,A105,Weekly_Material_Inventory!$B:$B,K105)</f>
        <v>0</v>
      </c>
      <c r="M105">
        <f t="shared" si="3"/>
        <v>0</v>
      </c>
      <c r="N105" t="str">
        <f t="shared" si="4"/>
        <v>OK</v>
      </c>
      <c r="O105" t="str">
        <f t="shared" si="5"/>
        <v>NONE</v>
      </c>
      <c r="P105" t="str" cm="1">
        <f t="array" ref="P105">_xlfn.SWITCH(O105,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5" t="str" cm="1">
        <f t="array" ref="Q105">_xlfn.SWITCH(O105,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5" t="str" cm="1">
        <f t="array" ref="R105">_xlfn.SWITCH(P105,
"Inventory / Service","Operations / Planning",
"Material Supply","Materials / Procurement",
"Capacity","Production / Planning",
"Production Execution","Production",
"Inventory","Operations / Planning",
"Demand Planning","Commercial / Planning",
"None","None",
"Operations")</f>
        <v>None</v>
      </c>
    </row>
    <row r="106" spans="1:18">
      <c r="A106" s="30">
        <f>Weekly_Inventory_Flow!A106</f>
        <v>46167</v>
      </c>
      <c r="B106" s="13" t="str">
        <f>Weekly_Inventory_Flow!B106</f>
        <v>P005</v>
      </c>
      <c r="C106" s="25">
        <f>IF(SUMIFS(Weekly_Product_Demand!$C:$C,Weekly_Product_Demand!$A:$A,A106,Weekly_Product_Demand!$B:$B,B106)=0,0,
(SUMIFS(Weekly_Product_Demand!$D:$D,Weekly_Product_Demand!$A:$A,A106,Weekly_Product_Demand!$B:$B,B106)-
SUMIFS(Weekly_Product_Demand!$C:$C,Weekly_Product_Demand!$A:$A,A106,Weekly_Product_Demand!$B:$B,B106))/
SUMIFS(Weekly_Product_Demand!$C:$C,Weekly_Product_Demand!$A:$A,A106,Weekly_Product_Demand!$B:$B,B106))</f>
        <v>5.6970509383378019E-3</v>
      </c>
      <c r="D106" s="25">
        <f>SUMIFS(Weekly_Inventory_Flow!$Q:$Q,Weekly_Inventory_Flow!$A:$A,A106,Weekly_Inventory_Flow!$B:$B,B106)</f>
        <v>1.01</v>
      </c>
      <c r="E106" s="26">
        <f>SUMIFS(Weekly_Inventory_Flow!$S:$S,Weekly_Inventory_Flow!$A:$A,A106,Weekly_Inventory_Flow!$B:$B,B106)</f>
        <v>2.1428412751305119</v>
      </c>
      <c r="F106" s="27">
        <f>SUMIFS(Weekly_Inventory_Flow!$N:$N,Weekly_Inventory_Flow!$A:$A,A106,Weekly_Inventory_Flow!$B:$B,B106)</f>
        <v>0</v>
      </c>
      <c r="G106" s="13" t="str">
        <f>_xlfn.XLOOKUP(B106,Product_Line_Map!$A$2:$A$6,Product_Line_Map!$B$2:$B$6,"")</f>
        <v>L03</v>
      </c>
      <c r="H106" s="25">
        <f>SUMIFS(Weekly_Line_Capacity!$J:$J,Weekly_Line_Capacity!$A:$A,A106,Weekly_Line_Capacity!$B:$B,G106)</f>
        <v>0.5</v>
      </c>
      <c r="I106" s="27">
        <f>SUMIFS(Weekly_Line_Capacity!$K:$K,Weekly_Line_Capacity!$A:$A,A106,Weekly_Line_Capacity!$B:$B,G106)</f>
        <v>0</v>
      </c>
      <c r="J106" s="13" t="str" cm="1">
        <f t="array" ref="J106">_xlfn.XLOOKUP(1,(Weekly_Line_Capacity!$A$2:$A$157=A106)*(Weekly_Line_Capacity!$B$2:$B$157=G106),Weekly_Line_Capacity!$L$2:$L$157,"")</f>
        <v>WITHIN CAPACITY</v>
      </c>
      <c r="K106" s="13" t="str">
        <f>_xlfn.XLOOKUP(B106,BOM!$A$2:$A$21,BOM!$B$2:$B$21,"")</f>
        <v>M005</v>
      </c>
      <c r="L106" s="27">
        <f>SUMIFS(Weekly_Material_Inventory!$K:$K,Weekly_Material_Inventory!$A:$A,A106,Weekly_Material_Inventory!$B:$B,K106)</f>
        <v>0</v>
      </c>
      <c r="M106">
        <f t="shared" si="3"/>
        <v>0</v>
      </c>
      <c r="N106" t="str">
        <f t="shared" si="4"/>
        <v>OK</v>
      </c>
      <c r="O106" t="str">
        <f t="shared" si="5"/>
        <v>NONE</v>
      </c>
      <c r="P106" t="str" cm="1">
        <f t="array" ref="P106">_xlfn.SWITCH(O106,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6" t="str" cm="1">
        <f t="array" ref="Q106">_xlfn.SWITCH(O106,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6" t="str" cm="1">
        <f t="array" ref="R106">_xlfn.SWITCH(P106,
"Inventory / Service","Operations / Planning",
"Material Supply","Materials / Procurement",
"Capacity","Production / Planning",
"Production Execution","Production",
"Inventory","Operations / Planning",
"Demand Planning","Commercial / Planning",
"None","None",
"Operations")</f>
        <v>None</v>
      </c>
    </row>
    <row r="107" spans="1:18">
      <c r="A107" s="30">
        <f>Weekly_Inventory_Flow!A107</f>
        <v>46174</v>
      </c>
      <c r="B107" s="13" t="str">
        <f>Weekly_Inventory_Flow!B107</f>
        <v>P001</v>
      </c>
      <c r="C107" s="25">
        <f>IF(SUMIFS(Weekly_Product_Demand!$C:$C,Weekly_Product_Demand!$A:$A,A107,Weekly_Product_Demand!$B:$B,B107)=0,0,
(SUMIFS(Weekly_Product_Demand!$D:$D,Weekly_Product_Demand!$A:$A,A107,Weekly_Product_Demand!$B:$B,B107)-
SUMIFS(Weekly_Product_Demand!$C:$C,Weekly_Product_Demand!$A:$A,A107,Weekly_Product_Demand!$B:$B,B107))/
SUMIFS(Weekly_Product_Demand!$C:$C,Weekly_Product_Demand!$A:$A,A107,Weekly_Product_Demand!$B:$B,B107))</f>
        <v>-2.5975747134053408E-2</v>
      </c>
      <c r="D107" s="25">
        <f>SUMIFS(Weekly_Inventory_Flow!$Q:$Q,Weekly_Inventory_Flow!$A:$A,A107,Weekly_Inventory_Flow!$B:$B,B107)</f>
        <v>1</v>
      </c>
      <c r="E107" s="26">
        <f>SUMIFS(Weekly_Inventory_Flow!$S:$S,Weekly_Inventory_Flow!$A:$A,A107,Weekly_Inventory_Flow!$B:$B,B107)</f>
        <v>2.009660521123886</v>
      </c>
      <c r="F107" s="27">
        <f>SUMIFS(Weekly_Inventory_Flow!$N:$N,Weekly_Inventory_Flow!$A:$A,A107,Weekly_Inventory_Flow!$B:$B,B107)</f>
        <v>0</v>
      </c>
      <c r="G107" s="13" t="str">
        <f>_xlfn.XLOOKUP(B107,Product_Line_Map!$A$2:$A$6,Product_Line_Map!$B$2:$B$6,"")</f>
        <v>L01</v>
      </c>
      <c r="H107" s="25">
        <f>SUMIFS(Weekly_Line_Capacity!$J:$J,Weekly_Line_Capacity!$A:$A,A107,Weekly_Line_Capacity!$B:$B,G107)</f>
        <v>0.21345029239766081</v>
      </c>
      <c r="I107" s="27">
        <f>SUMIFS(Weekly_Line_Capacity!$K:$K,Weekly_Line_Capacity!$A:$A,A107,Weekly_Line_Capacity!$B:$B,G107)</f>
        <v>0</v>
      </c>
      <c r="J107" s="13" t="str" cm="1">
        <f t="array" ref="J107">_xlfn.XLOOKUP(1,(Weekly_Line_Capacity!$A$2:$A$157=A107)*(Weekly_Line_Capacity!$B$2:$B$157=G107),Weekly_Line_Capacity!$L$2:$L$157,"")</f>
        <v>WITHIN CAPACITY</v>
      </c>
      <c r="K107" s="13" t="str">
        <f>_xlfn.XLOOKUP(B107,BOM!$A$2:$A$21,BOM!$B$2:$B$21,"")</f>
        <v>M001</v>
      </c>
      <c r="L107" s="27">
        <f>SUMIFS(Weekly_Material_Inventory!$K:$K,Weekly_Material_Inventory!$A:$A,A107,Weekly_Material_Inventory!$B:$B,K107)</f>
        <v>0</v>
      </c>
      <c r="M107">
        <f t="shared" si="3"/>
        <v>0</v>
      </c>
      <c r="N107" t="str">
        <f t="shared" si="4"/>
        <v>OK</v>
      </c>
      <c r="O107" t="str">
        <f t="shared" si="5"/>
        <v>NONE</v>
      </c>
      <c r="P107" t="str" cm="1">
        <f t="array" ref="P107">_xlfn.SWITCH(O107,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7" t="str" cm="1">
        <f t="array" ref="Q107">_xlfn.SWITCH(O107,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7" t="str" cm="1">
        <f t="array" ref="R107">_xlfn.SWITCH(P107,
"Inventory / Service","Operations / Planning",
"Material Supply","Materials / Procurement",
"Capacity","Production / Planning",
"Production Execution","Production",
"Inventory","Operations / Planning",
"Demand Planning","Commercial / Planning",
"None","None",
"Operations")</f>
        <v>None</v>
      </c>
    </row>
    <row r="108" spans="1:18">
      <c r="A108" s="30">
        <f>Weekly_Inventory_Flow!A108</f>
        <v>46174</v>
      </c>
      <c r="B108" s="13" t="str">
        <f>Weekly_Inventory_Flow!B108</f>
        <v>P002</v>
      </c>
      <c r="C108" s="25">
        <f>IF(SUMIFS(Weekly_Product_Demand!$C:$C,Weekly_Product_Demand!$A:$A,A108,Weekly_Product_Demand!$B:$B,B108)=0,0,
(SUMIFS(Weekly_Product_Demand!$D:$D,Weekly_Product_Demand!$A:$A,A108,Weekly_Product_Demand!$B:$B,B108)-
SUMIFS(Weekly_Product_Demand!$C:$C,Weekly_Product_Demand!$A:$A,A108,Weekly_Product_Demand!$B:$B,B108))/
SUMIFS(Weekly_Product_Demand!$C:$C,Weekly_Product_Demand!$A:$A,A108,Weekly_Product_Demand!$B:$B,B108))</f>
        <v>-6.1161619956420464E-2</v>
      </c>
      <c r="D108" s="25">
        <f>SUMIFS(Weekly_Inventory_Flow!$Q:$Q,Weekly_Inventory_Flow!$A:$A,A108,Weekly_Inventory_Flow!$B:$B,B108)</f>
        <v>0.99</v>
      </c>
      <c r="E108" s="26">
        <f>SUMIFS(Weekly_Inventory_Flow!$S:$S,Weekly_Inventory_Flow!$A:$A,A108,Weekly_Inventory_Flow!$B:$B,B108)</f>
        <v>1.9456582633053221</v>
      </c>
      <c r="F108" s="27">
        <f>SUMIFS(Weekly_Inventory_Flow!$N:$N,Weekly_Inventory_Flow!$A:$A,A108,Weekly_Inventory_Flow!$B:$B,B108)</f>
        <v>0</v>
      </c>
      <c r="G108" s="13" t="str">
        <f>_xlfn.XLOOKUP(B108,Product_Line_Map!$A$2:$A$6,Product_Line_Map!$B$2:$B$6,"")</f>
        <v>L02</v>
      </c>
      <c r="H108" s="25">
        <f>SUMIFS(Weekly_Line_Capacity!$J:$J,Weekly_Line_Capacity!$A:$A,A108,Weekly_Line_Capacity!$B:$B,G108)</f>
        <v>0.46476190476190471</v>
      </c>
      <c r="I108" s="27">
        <f>SUMIFS(Weekly_Line_Capacity!$K:$K,Weekly_Line_Capacity!$A:$A,A108,Weekly_Line_Capacity!$B:$B,G108)</f>
        <v>0</v>
      </c>
      <c r="J108" s="13" t="str" cm="1">
        <f t="array" ref="J108">_xlfn.XLOOKUP(1,(Weekly_Line_Capacity!$A$2:$A$157=A108)*(Weekly_Line_Capacity!$B$2:$B$157=G108),Weekly_Line_Capacity!$L$2:$L$157,"")</f>
        <v>WITHIN CAPACITY</v>
      </c>
      <c r="K108" s="13" t="str">
        <f>_xlfn.XLOOKUP(B108,BOM!$A$2:$A$21,BOM!$B$2:$B$21,"")</f>
        <v>M002</v>
      </c>
      <c r="L108" s="27">
        <f>SUMIFS(Weekly_Material_Inventory!$K:$K,Weekly_Material_Inventory!$A:$A,A108,Weekly_Material_Inventory!$B:$B,K108)</f>
        <v>0</v>
      </c>
      <c r="M108">
        <f t="shared" si="3"/>
        <v>2</v>
      </c>
      <c r="N108" t="str">
        <f t="shared" si="4"/>
        <v>WARNING</v>
      </c>
      <c r="O108" t="str">
        <f t="shared" si="5"/>
        <v>LOW STOCK COVER</v>
      </c>
      <c r="P108" t="str" cm="1">
        <f t="array" ref="P108">_xlfn.SWITCH(O108,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08" t="str" cm="1">
        <f t="array" ref="Q108">_xlfn.SWITCH(O108,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08" t="str" cm="1">
        <f t="array" ref="R108">_xlfn.SWITCH(P108,
"Inventory / Service","Operations / Planning",
"Material Supply","Materials / Procurement",
"Capacity","Production / Planning",
"Production Execution","Production",
"Inventory","Operations / Planning",
"Demand Planning","Commercial / Planning",
"None","None",
"Operations")</f>
        <v>Operations / Planning</v>
      </c>
    </row>
    <row r="109" spans="1:18">
      <c r="A109" s="30">
        <f>Weekly_Inventory_Flow!A109</f>
        <v>46174</v>
      </c>
      <c r="B109" s="13" t="str">
        <f>Weekly_Inventory_Flow!B109</f>
        <v>P003</v>
      </c>
      <c r="C109" s="25">
        <f>IF(SUMIFS(Weekly_Product_Demand!$C:$C,Weekly_Product_Demand!$A:$A,A109,Weekly_Product_Demand!$B:$B,B109)=0,0,
(SUMIFS(Weekly_Product_Demand!$D:$D,Weekly_Product_Demand!$A:$A,A109,Weekly_Product_Demand!$B:$B,B109)-
SUMIFS(Weekly_Product_Demand!$C:$C,Weekly_Product_Demand!$A:$A,A109,Weekly_Product_Demand!$B:$B,B109))/
SUMIFS(Weekly_Product_Demand!$C:$C,Weekly_Product_Demand!$A:$A,A109,Weekly_Product_Demand!$B:$B,B109))</f>
        <v>4.9729153716366221E-3</v>
      </c>
      <c r="D109" s="25">
        <f>SUMIFS(Weekly_Inventory_Flow!$Q:$Q,Weekly_Inventory_Flow!$A:$A,A109,Weekly_Inventory_Flow!$B:$B,B109)</f>
        <v>1.02</v>
      </c>
      <c r="E109" s="26">
        <f>SUMIFS(Weekly_Inventory_Flow!$S:$S,Weekly_Inventory_Flow!$A:$A,A109,Weekly_Inventory_Flow!$B:$B,B109)</f>
        <v>2.1921003799593533</v>
      </c>
      <c r="F109" s="27">
        <f>SUMIFS(Weekly_Inventory_Flow!$N:$N,Weekly_Inventory_Flow!$A:$A,A109,Weekly_Inventory_Flow!$B:$B,B109)</f>
        <v>0</v>
      </c>
      <c r="G109" s="13" t="str">
        <f>_xlfn.XLOOKUP(B109,Product_Line_Map!$A$2:$A$6,Product_Line_Map!$B$2:$B$6,"")</f>
        <v>L03</v>
      </c>
      <c r="H109" s="25">
        <f>SUMIFS(Weekly_Line_Capacity!$J:$J,Weekly_Line_Capacity!$A:$A,A109,Weekly_Line_Capacity!$B:$B,G109)</f>
        <v>0.47142857142857142</v>
      </c>
      <c r="I109" s="27">
        <f>SUMIFS(Weekly_Line_Capacity!$K:$K,Weekly_Line_Capacity!$A:$A,A109,Weekly_Line_Capacity!$B:$B,G109)</f>
        <v>0</v>
      </c>
      <c r="J109" s="13" t="str" cm="1">
        <f t="array" ref="J109">_xlfn.XLOOKUP(1,(Weekly_Line_Capacity!$A$2:$A$157=A109)*(Weekly_Line_Capacity!$B$2:$B$157=G109),Weekly_Line_Capacity!$L$2:$L$157,"")</f>
        <v>WITHIN CAPACITY</v>
      </c>
      <c r="K109" s="13" t="str">
        <f>_xlfn.XLOOKUP(B109,BOM!$A$2:$A$21,BOM!$B$2:$B$21,"")</f>
        <v>M003</v>
      </c>
      <c r="L109" s="27">
        <f>SUMIFS(Weekly_Material_Inventory!$K:$K,Weekly_Material_Inventory!$A:$A,A109,Weekly_Material_Inventory!$B:$B,K109)</f>
        <v>0</v>
      </c>
      <c r="M109">
        <f t="shared" si="3"/>
        <v>0</v>
      </c>
      <c r="N109" t="str">
        <f t="shared" si="4"/>
        <v>OK</v>
      </c>
      <c r="O109" t="str">
        <f t="shared" si="5"/>
        <v>NONE</v>
      </c>
      <c r="P109" t="str" cm="1">
        <f t="array" ref="P109">_xlfn.SWITCH(O109,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09" t="str" cm="1">
        <f t="array" ref="Q109">_xlfn.SWITCH(O109,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09" t="str" cm="1">
        <f t="array" ref="R109">_xlfn.SWITCH(P109,
"Inventory / Service","Operations / Planning",
"Material Supply","Materials / Procurement",
"Capacity","Production / Planning",
"Production Execution","Production",
"Inventory","Operations / Planning",
"Demand Planning","Commercial / Planning",
"None","None",
"Operations")</f>
        <v>None</v>
      </c>
    </row>
    <row r="110" spans="1:18">
      <c r="A110" s="30">
        <f>Weekly_Inventory_Flow!A110</f>
        <v>46174</v>
      </c>
      <c r="B110" s="13" t="str">
        <f>Weekly_Inventory_Flow!B110</f>
        <v>P004</v>
      </c>
      <c r="C110" s="25">
        <f>IF(SUMIFS(Weekly_Product_Demand!$C:$C,Weekly_Product_Demand!$A:$A,A110,Weekly_Product_Demand!$B:$B,B110)=0,0,
(SUMIFS(Weekly_Product_Demand!$D:$D,Weekly_Product_Demand!$A:$A,A110,Weekly_Product_Demand!$B:$B,B110)-
SUMIFS(Weekly_Product_Demand!$C:$C,Weekly_Product_Demand!$A:$A,A110,Weekly_Product_Demand!$B:$B,B110))/
SUMIFS(Weekly_Product_Demand!$C:$C,Weekly_Product_Demand!$A:$A,A110,Weekly_Product_Demand!$B:$B,B110))</f>
        <v>2.9966793553089818E-3</v>
      </c>
      <c r="D110" s="25">
        <f>SUMIFS(Weekly_Inventory_Flow!$Q:$Q,Weekly_Inventory_Flow!$A:$A,A110,Weekly_Inventory_Flow!$B:$B,B110)</f>
        <v>1</v>
      </c>
      <c r="E110" s="26">
        <f>SUMIFS(Weekly_Inventory_Flow!$S:$S,Weekly_Inventory_Flow!$A:$A,A110,Weekly_Inventory_Flow!$B:$B,B110)</f>
        <v>2.0377099483204133</v>
      </c>
      <c r="F110" s="27">
        <f>SUMIFS(Weekly_Inventory_Flow!$N:$N,Weekly_Inventory_Flow!$A:$A,A110,Weekly_Inventory_Flow!$B:$B,B110)</f>
        <v>0</v>
      </c>
      <c r="G110" s="13" t="str">
        <f>_xlfn.XLOOKUP(B110,Product_Line_Map!$A$2:$A$6,Product_Line_Map!$B$2:$B$6,"")</f>
        <v>L02</v>
      </c>
      <c r="H110" s="25">
        <f>SUMIFS(Weekly_Line_Capacity!$J:$J,Weekly_Line_Capacity!$A:$A,A110,Weekly_Line_Capacity!$B:$B,G110)</f>
        <v>0.46476190476190471</v>
      </c>
      <c r="I110" s="27">
        <f>SUMIFS(Weekly_Line_Capacity!$K:$K,Weekly_Line_Capacity!$A:$A,A110,Weekly_Line_Capacity!$B:$B,G110)</f>
        <v>0</v>
      </c>
      <c r="J110" s="13" t="str" cm="1">
        <f t="array" ref="J110">_xlfn.XLOOKUP(1,(Weekly_Line_Capacity!$A$2:$A$157=A110)*(Weekly_Line_Capacity!$B$2:$B$157=G110),Weekly_Line_Capacity!$L$2:$L$157,"")</f>
        <v>WITHIN CAPACITY</v>
      </c>
      <c r="K110" s="13" t="str">
        <f>_xlfn.XLOOKUP(B110,BOM!$A$2:$A$21,BOM!$B$2:$B$21,"")</f>
        <v>M004</v>
      </c>
      <c r="L110" s="27">
        <f>SUMIFS(Weekly_Material_Inventory!$K:$K,Weekly_Material_Inventory!$A:$A,A110,Weekly_Material_Inventory!$B:$B,K110)</f>
        <v>0</v>
      </c>
      <c r="M110">
        <f t="shared" si="3"/>
        <v>0</v>
      </c>
      <c r="N110" t="str">
        <f t="shared" si="4"/>
        <v>OK</v>
      </c>
      <c r="O110" t="str">
        <f t="shared" si="5"/>
        <v>NONE</v>
      </c>
      <c r="P110" t="str" cm="1">
        <f t="array" ref="P110">_xlfn.SWITCH(O110,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10" t="str" cm="1">
        <f t="array" ref="Q110">_xlfn.SWITCH(O110,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10" t="str" cm="1">
        <f t="array" ref="R110">_xlfn.SWITCH(P110,
"Inventory / Service","Operations / Planning",
"Material Supply","Materials / Procurement",
"Capacity","Production / Planning",
"Production Execution","Production",
"Inventory","Operations / Planning",
"Demand Planning","Commercial / Planning",
"None","None",
"Operations")</f>
        <v>None</v>
      </c>
    </row>
    <row r="111" spans="1:18">
      <c r="A111" s="30">
        <f>Weekly_Inventory_Flow!A111</f>
        <v>46174</v>
      </c>
      <c r="B111" s="13" t="str">
        <f>Weekly_Inventory_Flow!B111</f>
        <v>P005</v>
      </c>
      <c r="C111" s="25">
        <f>IF(SUMIFS(Weekly_Product_Demand!$C:$C,Weekly_Product_Demand!$A:$A,A111,Weekly_Product_Demand!$B:$B,B111)=0,0,
(SUMIFS(Weekly_Product_Demand!$D:$D,Weekly_Product_Demand!$A:$A,A111,Weekly_Product_Demand!$B:$B,B111)-
SUMIFS(Weekly_Product_Demand!$C:$C,Weekly_Product_Demand!$A:$A,A111,Weekly_Product_Demand!$B:$B,B111))/
SUMIFS(Weekly_Product_Demand!$C:$C,Weekly_Product_Demand!$A:$A,A111,Weekly_Product_Demand!$B:$B,B111))</f>
        <v>-1.3105726872246697E-2</v>
      </c>
      <c r="D111" s="25">
        <f>SUMIFS(Weekly_Inventory_Flow!$Q:$Q,Weekly_Inventory_Flow!$A:$A,A111,Weekly_Inventory_Flow!$B:$B,B111)</f>
        <v>0.99</v>
      </c>
      <c r="E111" s="26">
        <f>SUMIFS(Weekly_Inventory_Flow!$S:$S,Weekly_Inventory_Flow!$A:$A,A111,Weekly_Inventory_Flow!$B:$B,B111)</f>
        <v>1.9583751813413681</v>
      </c>
      <c r="F111" s="27">
        <f>SUMIFS(Weekly_Inventory_Flow!$N:$N,Weekly_Inventory_Flow!$A:$A,A111,Weekly_Inventory_Flow!$B:$B,B111)</f>
        <v>0</v>
      </c>
      <c r="G111" s="13" t="str">
        <f>_xlfn.XLOOKUP(B111,Product_Line_Map!$A$2:$A$6,Product_Line_Map!$B$2:$B$6,"")</f>
        <v>L03</v>
      </c>
      <c r="H111" s="25">
        <f>SUMIFS(Weekly_Line_Capacity!$J:$J,Weekly_Line_Capacity!$A:$A,A111,Weekly_Line_Capacity!$B:$B,G111)</f>
        <v>0.47142857142857142</v>
      </c>
      <c r="I111" s="27">
        <f>SUMIFS(Weekly_Line_Capacity!$K:$K,Weekly_Line_Capacity!$A:$A,A111,Weekly_Line_Capacity!$B:$B,G111)</f>
        <v>0</v>
      </c>
      <c r="J111" s="13" t="str" cm="1">
        <f t="array" ref="J111">_xlfn.XLOOKUP(1,(Weekly_Line_Capacity!$A$2:$A$157=A111)*(Weekly_Line_Capacity!$B$2:$B$157=G111),Weekly_Line_Capacity!$L$2:$L$157,"")</f>
        <v>WITHIN CAPACITY</v>
      </c>
      <c r="K111" s="13" t="str">
        <f>_xlfn.XLOOKUP(B111,BOM!$A$2:$A$21,BOM!$B$2:$B$21,"")</f>
        <v>M005</v>
      </c>
      <c r="L111" s="27">
        <f>SUMIFS(Weekly_Material_Inventory!$K:$K,Weekly_Material_Inventory!$A:$A,A111,Weekly_Material_Inventory!$B:$B,K111)</f>
        <v>0</v>
      </c>
      <c r="M111">
        <f t="shared" si="3"/>
        <v>1</v>
      </c>
      <c r="N111" t="str">
        <f t="shared" si="4"/>
        <v>WARNING</v>
      </c>
      <c r="O111" t="str">
        <f t="shared" si="5"/>
        <v>LOW STOCK COVER</v>
      </c>
      <c r="P111" t="str" cm="1">
        <f t="array" ref="P111">_xlfn.SWITCH(O111,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11" t="str" cm="1">
        <f t="array" ref="Q111">_xlfn.SWITCH(O111,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11" t="str" cm="1">
        <f t="array" ref="R111">_xlfn.SWITCH(P111,
"Inventory / Service","Operations / Planning",
"Material Supply","Materials / Procurement",
"Capacity","Production / Planning",
"Production Execution","Production",
"Inventory","Operations / Planning",
"Demand Planning","Commercial / Planning",
"None","None",
"Operations")</f>
        <v>Operations / Planning</v>
      </c>
    </row>
    <row r="112" spans="1:18">
      <c r="A112" s="30">
        <f>Weekly_Inventory_Flow!A112</f>
        <v>46181</v>
      </c>
      <c r="B112" s="13" t="str">
        <f>Weekly_Inventory_Flow!B112</f>
        <v>P001</v>
      </c>
      <c r="C112" s="25">
        <f>IF(SUMIFS(Weekly_Product_Demand!$C:$C,Weekly_Product_Demand!$A:$A,A112,Weekly_Product_Demand!$B:$B,B112)=0,0,
(SUMIFS(Weekly_Product_Demand!$D:$D,Weekly_Product_Demand!$A:$A,A112,Weekly_Product_Demand!$B:$B,B112)-
SUMIFS(Weekly_Product_Demand!$C:$C,Weekly_Product_Demand!$A:$A,A112,Weekly_Product_Demand!$B:$B,B112))/
SUMIFS(Weekly_Product_Demand!$C:$C,Weekly_Product_Demand!$A:$A,A112,Weekly_Product_Demand!$B:$B,B112))</f>
        <v>-6.762580388516873E-3</v>
      </c>
      <c r="D112" s="25">
        <f>SUMIFS(Weekly_Inventory_Flow!$Q:$Q,Weekly_Inventory_Flow!$A:$A,A112,Weekly_Inventory_Flow!$B:$B,B112)</f>
        <v>0.97</v>
      </c>
      <c r="E112" s="26">
        <f>SUMIFS(Weekly_Inventory_Flow!$S:$S,Weekly_Inventory_Flow!$A:$A,A112,Weekly_Inventory_Flow!$B:$B,B112)</f>
        <v>1.8157666377411386</v>
      </c>
      <c r="F112" s="27">
        <f>SUMIFS(Weekly_Inventory_Flow!$N:$N,Weekly_Inventory_Flow!$A:$A,A112,Weekly_Inventory_Flow!$B:$B,B112)</f>
        <v>0</v>
      </c>
      <c r="G112" s="13" t="str">
        <f>_xlfn.XLOOKUP(B112,Product_Line_Map!$A$2:$A$6,Product_Line_Map!$B$2:$B$6,"")</f>
        <v>L01</v>
      </c>
      <c r="H112" s="25">
        <f>SUMIFS(Weekly_Line_Capacity!$J:$J,Weekly_Line_Capacity!$A:$A,A112,Weekly_Line_Capacity!$B:$B,G112)</f>
        <v>0.22076023391812866</v>
      </c>
      <c r="I112" s="27">
        <f>SUMIFS(Weekly_Line_Capacity!$K:$K,Weekly_Line_Capacity!$A:$A,A112,Weekly_Line_Capacity!$B:$B,G112)</f>
        <v>0</v>
      </c>
      <c r="J112" s="13" t="str" cm="1">
        <f t="array" ref="J112">_xlfn.XLOOKUP(1,(Weekly_Line_Capacity!$A$2:$A$157=A112)*(Weekly_Line_Capacity!$B$2:$B$157=G112),Weekly_Line_Capacity!$L$2:$L$157,"")</f>
        <v>WITHIN CAPACITY</v>
      </c>
      <c r="K112" s="13" t="str">
        <f>_xlfn.XLOOKUP(B112,BOM!$A$2:$A$21,BOM!$B$2:$B$21,"")</f>
        <v>M001</v>
      </c>
      <c r="L112" s="27">
        <f>SUMIFS(Weekly_Material_Inventory!$K:$K,Weekly_Material_Inventory!$A:$A,A112,Weekly_Material_Inventory!$B:$B,K112)</f>
        <v>0</v>
      </c>
      <c r="M112">
        <f t="shared" si="3"/>
        <v>1</v>
      </c>
      <c r="N112" t="str">
        <f t="shared" si="4"/>
        <v>WARNING</v>
      </c>
      <c r="O112" t="str">
        <f t="shared" si="5"/>
        <v>LOW STOCK COVER</v>
      </c>
      <c r="P112" t="str" cm="1">
        <f t="array" ref="P112">_xlfn.SWITCH(O112,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12" t="str" cm="1">
        <f t="array" ref="Q112">_xlfn.SWITCH(O112,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12" t="str" cm="1">
        <f t="array" ref="R112">_xlfn.SWITCH(P112,
"Inventory / Service","Operations / Planning",
"Material Supply","Materials / Procurement",
"Capacity","Production / Planning",
"Production Execution","Production",
"Inventory","Operations / Planning",
"Demand Planning","Commercial / Planning",
"None","None",
"Operations")</f>
        <v>Operations / Planning</v>
      </c>
    </row>
    <row r="113" spans="1:18">
      <c r="A113" s="30">
        <f>Weekly_Inventory_Flow!A113</f>
        <v>46181</v>
      </c>
      <c r="B113" s="13" t="str">
        <f>Weekly_Inventory_Flow!B113</f>
        <v>P002</v>
      </c>
      <c r="C113" s="25">
        <f>IF(SUMIFS(Weekly_Product_Demand!$C:$C,Weekly_Product_Demand!$A:$A,A113,Weekly_Product_Demand!$B:$B,B113)=0,0,
(SUMIFS(Weekly_Product_Demand!$D:$D,Weekly_Product_Demand!$A:$A,A113,Weekly_Product_Demand!$B:$B,B113)-
SUMIFS(Weekly_Product_Demand!$C:$C,Weekly_Product_Demand!$A:$A,A113,Weekly_Product_Demand!$B:$B,B113))/
SUMIFS(Weekly_Product_Demand!$C:$C,Weekly_Product_Demand!$A:$A,A113,Weekly_Product_Demand!$B:$B,B113))</f>
        <v>2.2054190296156271E-2</v>
      </c>
      <c r="D113" s="25">
        <f>SUMIFS(Weekly_Inventory_Flow!$Q:$Q,Weekly_Inventory_Flow!$A:$A,A113,Weekly_Inventory_Flow!$B:$B,B113)</f>
        <v>1.01</v>
      </c>
      <c r="E113" s="26">
        <f>SUMIFS(Weekly_Inventory_Flow!$S:$S,Weekly_Inventory_Flow!$A:$A,A113,Weekly_Inventory_Flow!$B:$B,B113)</f>
        <v>2.1200678175092476</v>
      </c>
      <c r="F113" s="27">
        <f>SUMIFS(Weekly_Inventory_Flow!$N:$N,Weekly_Inventory_Flow!$A:$A,A113,Weekly_Inventory_Flow!$B:$B,B113)</f>
        <v>0</v>
      </c>
      <c r="G113" s="13" t="str">
        <f>_xlfn.XLOOKUP(B113,Product_Line_Map!$A$2:$A$6,Product_Line_Map!$B$2:$B$6,"")</f>
        <v>L02</v>
      </c>
      <c r="H113" s="25">
        <f>SUMIFS(Weekly_Line_Capacity!$J:$J,Weekly_Line_Capacity!$A:$A,A113,Weekly_Line_Capacity!$B:$B,G113)</f>
        <v>0.49904761904761902</v>
      </c>
      <c r="I113" s="27">
        <f>SUMIFS(Weekly_Line_Capacity!$K:$K,Weekly_Line_Capacity!$A:$A,A113,Weekly_Line_Capacity!$B:$B,G113)</f>
        <v>0</v>
      </c>
      <c r="J113" s="13" t="str" cm="1">
        <f t="array" ref="J113">_xlfn.XLOOKUP(1,(Weekly_Line_Capacity!$A$2:$A$157=A113)*(Weekly_Line_Capacity!$B$2:$B$157=G113),Weekly_Line_Capacity!$L$2:$L$157,"")</f>
        <v>WITHIN CAPACITY</v>
      </c>
      <c r="K113" s="13" t="str">
        <f>_xlfn.XLOOKUP(B113,BOM!$A$2:$A$21,BOM!$B$2:$B$21,"")</f>
        <v>M002</v>
      </c>
      <c r="L113" s="27">
        <f>SUMIFS(Weekly_Material_Inventory!$K:$K,Weekly_Material_Inventory!$A:$A,A113,Weekly_Material_Inventory!$B:$B,K113)</f>
        <v>0</v>
      </c>
      <c r="M113">
        <f t="shared" si="3"/>
        <v>0</v>
      </c>
      <c r="N113" t="str">
        <f t="shared" si="4"/>
        <v>OK</v>
      </c>
      <c r="O113" t="str">
        <f t="shared" si="5"/>
        <v>NONE</v>
      </c>
      <c r="P113" t="str" cm="1">
        <f t="array" ref="P113">_xlfn.SWITCH(O113,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13" t="str" cm="1">
        <f t="array" ref="Q113">_xlfn.SWITCH(O113,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13" t="str" cm="1">
        <f t="array" ref="R113">_xlfn.SWITCH(P113,
"Inventory / Service","Operations / Planning",
"Material Supply","Materials / Procurement",
"Capacity","Production / Planning",
"Production Execution","Production",
"Inventory","Operations / Planning",
"Demand Planning","Commercial / Planning",
"None","None",
"Operations")</f>
        <v>None</v>
      </c>
    </row>
    <row r="114" spans="1:18">
      <c r="A114" s="30">
        <f>Weekly_Inventory_Flow!A114</f>
        <v>46181</v>
      </c>
      <c r="B114" s="13" t="str">
        <f>Weekly_Inventory_Flow!B114</f>
        <v>P003</v>
      </c>
      <c r="C114" s="25">
        <f>IF(SUMIFS(Weekly_Product_Demand!$C:$C,Weekly_Product_Demand!$A:$A,A114,Weekly_Product_Demand!$B:$B,B114)=0,0,
(SUMIFS(Weekly_Product_Demand!$D:$D,Weekly_Product_Demand!$A:$A,A114,Weekly_Product_Demand!$B:$B,B114)-
SUMIFS(Weekly_Product_Demand!$C:$C,Weekly_Product_Demand!$A:$A,A114,Weekly_Product_Demand!$B:$B,B114))/
SUMIFS(Weekly_Product_Demand!$C:$C,Weekly_Product_Demand!$A:$A,A114,Weekly_Product_Demand!$B:$B,B114))</f>
        <v>-1.6311056251102098E-2</v>
      </c>
      <c r="D114" s="25">
        <f>SUMIFS(Weekly_Inventory_Flow!$Q:$Q,Weekly_Inventory_Flow!$A:$A,A114,Weekly_Inventory_Flow!$B:$B,B114)</f>
        <v>1.02</v>
      </c>
      <c r="E114" s="26">
        <f>SUMIFS(Weekly_Inventory_Flow!$S:$S,Weekly_Inventory_Flow!$A:$A,A114,Weekly_Inventory_Flow!$B:$B,B114)</f>
        <v>2.1990678497804068</v>
      </c>
      <c r="F114" s="27">
        <f>SUMIFS(Weekly_Inventory_Flow!$N:$N,Weekly_Inventory_Flow!$A:$A,A114,Weekly_Inventory_Flow!$B:$B,B114)</f>
        <v>0</v>
      </c>
      <c r="G114" s="13" t="str">
        <f>_xlfn.XLOOKUP(B114,Product_Line_Map!$A$2:$A$6,Product_Line_Map!$B$2:$B$6,"")</f>
        <v>L03</v>
      </c>
      <c r="H114" s="25">
        <f>SUMIFS(Weekly_Line_Capacity!$J:$J,Weekly_Line_Capacity!$A:$A,A114,Weekly_Line_Capacity!$B:$B,G114)</f>
        <v>0.47857142857142859</v>
      </c>
      <c r="I114" s="27">
        <f>SUMIFS(Weekly_Line_Capacity!$K:$K,Weekly_Line_Capacity!$A:$A,A114,Weekly_Line_Capacity!$B:$B,G114)</f>
        <v>0</v>
      </c>
      <c r="J114" s="13" t="str" cm="1">
        <f t="array" ref="J114">_xlfn.XLOOKUP(1,(Weekly_Line_Capacity!$A$2:$A$157=A114)*(Weekly_Line_Capacity!$B$2:$B$157=G114),Weekly_Line_Capacity!$L$2:$L$157,"")</f>
        <v>WITHIN CAPACITY</v>
      </c>
      <c r="K114" s="13" t="str">
        <f>_xlfn.XLOOKUP(B114,BOM!$A$2:$A$21,BOM!$B$2:$B$21,"")</f>
        <v>M003</v>
      </c>
      <c r="L114" s="27">
        <f>SUMIFS(Weekly_Material_Inventory!$K:$K,Weekly_Material_Inventory!$A:$A,A114,Weekly_Material_Inventory!$B:$B,K114)</f>
        <v>0</v>
      </c>
      <c r="M114">
        <f t="shared" si="3"/>
        <v>0</v>
      </c>
      <c r="N114" t="str">
        <f t="shared" si="4"/>
        <v>OK</v>
      </c>
      <c r="O114" t="str">
        <f t="shared" si="5"/>
        <v>NONE</v>
      </c>
      <c r="P114" t="str" cm="1">
        <f t="array" ref="P114">_xlfn.SWITCH(O114,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14" t="str" cm="1">
        <f t="array" ref="Q114">_xlfn.SWITCH(O114,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14" t="str" cm="1">
        <f t="array" ref="R114">_xlfn.SWITCH(P114,
"Inventory / Service","Operations / Planning",
"Material Supply","Materials / Procurement",
"Capacity","Production / Planning",
"Production Execution","Production",
"Inventory","Operations / Planning",
"Demand Planning","Commercial / Planning",
"None","None",
"Operations")</f>
        <v>None</v>
      </c>
    </row>
    <row r="115" spans="1:18">
      <c r="A115" s="30">
        <f>Weekly_Inventory_Flow!A115</f>
        <v>46181</v>
      </c>
      <c r="B115" s="13" t="str">
        <f>Weekly_Inventory_Flow!B115</f>
        <v>P004</v>
      </c>
      <c r="C115" s="25">
        <f>IF(SUMIFS(Weekly_Product_Demand!$C:$C,Weekly_Product_Demand!$A:$A,A115,Weekly_Product_Demand!$B:$B,B115)=0,0,
(SUMIFS(Weekly_Product_Demand!$D:$D,Weekly_Product_Demand!$A:$A,A115,Weekly_Product_Demand!$B:$B,B115)-
SUMIFS(Weekly_Product_Demand!$C:$C,Weekly_Product_Demand!$A:$A,A115,Weekly_Product_Demand!$B:$B,B115))/
SUMIFS(Weekly_Product_Demand!$C:$C,Weekly_Product_Demand!$A:$A,A115,Weekly_Product_Demand!$B:$B,B115))</f>
        <v>5.3474618038442584E-2</v>
      </c>
      <c r="D115" s="25">
        <f>SUMIFS(Weekly_Inventory_Flow!$Q:$Q,Weekly_Inventory_Flow!$A:$A,A115,Weekly_Inventory_Flow!$B:$B,B115)</f>
        <v>0.97</v>
      </c>
      <c r="E115" s="26">
        <f>SUMIFS(Weekly_Inventory_Flow!$S:$S,Weekly_Inventory_Flow!$A:$A,A115,Weekly_Inventory_Flow!$B:$B,B115)</f>
        <v>1.7973489278752437</v>
      </c>
      <c r="F115" s="27">
        <f>SUMIFS(Weekly_Inventory_Flow!$N:$N,Weekly_Inventory_Flow!$A:$A,A115,Weekly_Inventory_Flow!$B:$B,B115)</f>
        <v>0</v>
      </c>
      <c r="G115" s="13" t="str">
        <f>_xlfn.XLOOKUP(B115,Product_Line_Map!$A$2:$A$6,Product_Line_Map!$B$2:$B$6,"")</f>
        <v>L02</v>
      </c>
      <c r="H115" s="25">
        <f>SUMIFS(Weekly_Line_Capacity!$J:$J,Weekly_Line_Capacity!$A:$A,A115,Weekly_Line_Capacity!$B:$B,G115)</f>
        <v>0.49904761904761902</v>
      </c>
      <c r="I115" s="27">
        <f>SUMIFS(Weekly_Line_Capacity!$K:$K,Weekly_Line_Capacity!$A:$A,A115,Weekly_Line_Capacity!$B:$B,G115)</f>
        <v>0</v>
      </c>
      <c r="J115" s="13" t="str" cm="1">
        <f t="array" ref="J115">_xlfn.XLOOKUP(1,(Weekly_Line_Capacity!$A$2:$A$157=A115)*(Weekly_Line_Capacity!$B$2:$B$157=G115),Weekly_Line_Capacity!$L$2:$L$157,"")</f>
        <v>WITHIN CAPACITY</v>
      </c>
      <c r="K115" s="13" t="str">
        <f>_xlfn.XLOOKUP(B115,BOM!$A$2:$A$21,BOM!$B$2:$B$21,"")</f>
        <v>M004</v>
      </c>
      <c r="L115" s="27">
        <f>SUMIFS(Weekly_Material_Inventory!$K:$K,Weekly_Material_Inventory!$A:$A,A115,Weekly_Material_Inventory!$B:$B,K115)</f>
        <v>0</v>
      </c>
      <c r="M115">
        <f t="shared" si="3"/>
        <v>2</v>
      </c>
      <c r="N115" t="str">
        <f t="shared" si="4"/>
        <v>WARNING</v>
      </c>
      <c r="O115" t="str">
        <f t="shared" si="5"/>
        <v>LOW STOCK COVER</v>
      </c>
      <c r="P115" t="str" cm="1">
        <f t="array" ref="P115">_xlfn.SWITCH(O115,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15" t="str" cm="1">
        <f t="array" ref="Q115">_xlfn.SWITCH(O115,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15" t="str" cm="1">
        <f t="array" ref="R115">_xlfn.SWITCH(P115,
"Inventory / Service","Operations / Planning",
"Material Supply","Materials / Procurement",
"Capacity","Production / Planning",
"Production Execution","Production",
"Inventory","Operations / Planning",
"Demand Planning","Commercial / Planning",
"None","None",
"Operations")</f>
        <v>Operations / Planning</v>
      </c>
    </row>
    <row r="116" spans="1:18">
      <c r="A116" s="30">
        <f>Weekly_Inventory_Flow!A116</f>
        <v>46181</v>
      </c>
      <c r="B116" s="13" t="str">
        <f>Weekly_Inventory_Flow!B116</f>
        <v>P005</v>
      </c>
      <c r="C116" s="25">
        <f>IF(SUMIFS(Weekly_Product_Demand!$C:$C,Weekly_Product_Demand!$A:$A,A116,Weekly_Product_Demand!$B:$B,B116)=0,0,
(SUMIFS(Weekly_Product_Demand!$D:$D,Weekly_Product_Demand!$A:$A,A116,Weekly_Product_Demand!$B:$B,B116)-
SUMIFS(Weekly_Product_Demand!$C:$C,Weekly_Product_Demand!$A:$A,A116,Weekly_Product_Demand!$B:$B,B116))/
SUMIFS(Weekly_Product_Demand!$C:$C,Weekly_Product_Demand!$A:$A,A116,Weekly_Product_Demand!$B:$B,B116))</f>
        <v>-2.3036988968202467E-2</v>
      </c>
      <c r="D116" s="25">
        <f>SUMIFS(Weekly_Inventory_Flow!$Q:$Q,Weekly_Inventory_Flow!$A:$A,A116,Weekly_Inventory_Flow!$B:$B,B116)</f>
        <v>1</v>
      </c>
      <c r="E116" s="26">
        <f>SUMIFS(Weekly_Inventory_Flow!$S:$S,Weekly_Inventory_Flow!$A:$A,A116,Weekly_Inventory_Flow!$B:$B,B116)</f>
        <v>2.0721797852319277</v>
      </c>
      <c r="F116" s="27">
        <f>SUMIFS(Weekly_Inventory_Flow!$N:$N,Weekly_Inventory_Flow!$A:$A,A116,Weekly_Inventory_Flow!$B:$B,B116)</f>
        <v>0</v>
      </c>
      <c r="G116" s="13" t="str">
        <f>_xlfn.XLOOKUP(B116,Product_Line_Map!$A$2:$A$6,Product_Line_Map!$B$2:$B$6,"")</f>
        <v>L03</v>
      </c>
      <c r="H116" s="25">
        <f>SUMIFS(Weekly_Line_Capacity!$J:$J,Weekly_Line_Capacity!$A:$A,A116,Weekly_Line_Capacity!$B:$B,G116)</f>
        <v>0.47857142857142859</v>
      </c>
      <c r="I116" s="27">
        <f>SUMIFS(Weekly_Line_Capacity!$K:$K,Weekly_Line_Capacity!$A:$A,A116,Weekly_Line_Capacity!$B:$B,G116)</f>
        <v>0</v>
      </c>
      <c r="J116" s="13" t="str" cm="1">
        <f t="array" ref="J116">_xlfn.XLOOKUP(1,(Weekly_Line_Capacity!$A$2:$A$157=A116)*(Weekly_Line_Capacity!$B$2:$B$157=G116),Weekly_Line_Capacity!$L$2:$L$157,"")</f>
        <v>WITHIN CAPACITY</v>
      </c>
      <c r="K116" s="13" t="str">
        <f>_xlfn.XLOOKUP(B116,BOM!$A$2:$A$21,BOM!$B$2:$B$21,"")</f>
        <v>M005</v>
      </c>
      <c r="L116" s="27">
        <f>SUMIFS(Weekly_Material_Inventory!$K:$K,Weekly_Material_Inventory!$A:$A,A116,Weekly_Material_Inventory!$B:$B,K116)</f>
        <v>0</v>
      </c>
      <c r="M116">
        <f t="shared" si="3"/>
        <v>0</v>
      </c>
      <c r="N116" t="str">
        <f t="shared" si="4"/>
        <v>OK</v>
      </c>
      <c r="O116" t="str">
        <f t="shared" si="5"/>
        <v>NONE</v>
      </c>
      <c r="P116" t="str" cm="1">
        <f t="array" ref="P116">_xlfn.SWITCH(O116,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16" t="str" cm="1">
        <f t="array" ref="Q116">_xlfn.SWITCH(O116,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16" t="str" cm="1">
        <f t="array" ref="R116">_xlfn.SWITCH(P116,
"Inventory / Service","Operations / Planning",
"Material Supply","Materials / Procurement",
"Capacity","Production / Planning",
"Production Execution","Production",
"Inventory","Operations / Planning",
"Demand Planning","Commercial / Planning",
"None","None",
"Operations")</f>
        <v>None</v>
      </c>
    </row>
    <row r="117" spans="1:18">
      <c r="A117" s="30">
        <f>Weekly_Inventory_Flow!A117</f>
        <v>46188</v>
      </c>
      <c r="B117" s="13" t="str">
        <f>Weekly_Inventory_Flow!B117</f>
        <v>P001</v>
      </c>
      <c r="C117" s="25">
        <f>IF(SUMIFS(Weekly_Product_Demand!$C:$C,Weekly_Product_Demand!$A:$A,A117,Weekly_Product_Demand!$B:$B,B117)=0,0,
(SUMIFS(Weekly_Product_Demand!$D:$D,Weekly_Product_Demand!$A:$A,A117,Weekly_Product_Demand!$B:$B,B117)-
SUMIFS(Weekly_Product_Demand!$C:$C,Weekly_Product_Demand!$A:$A,A117,Weekly_Product_Demand!$B:$B,B117))/
SUMIFS(Weekly_Product_Demand!$C:$C,Weekly_Product_Demand!$A:$A,A117,Weekly_Product_Demand!$B:$B,B117))</f>
        <v>-1.3405362144857944E-2</v>
      </c>
      <c r="D117" s="25">
        <f>SUMIFS(Weekly_Inventory_Flow!$Q:$Q,Weekly_Inventory_Flow!$A:$A,A117,Weekly_Inventory_Flow!$B:$B,B117)</f>
        <v>0.97</v>
      </c>
      <c r="E117" s="26">
        <f>SUMIFS(Weekly_Inventory_Flow!$S:$S,Weekly_Inventory_Flow!$A:$A,A117,Weekly_Inventory_Flow!$B:$B,B117)</f>
        <v>1.815656053538836</v>
      </c>
      <c r="F117" s="27">
        <f>SUMIFS(Weekly_Inventory_Flow!$N:$N,Weekly_Inventory_Flow!$A:$A,A117,Weekly_Inventory_Flow!$B:$B,B117)</f>
        <v>0</v>
      </c>
      <c r="G117" s="13" t="str">
        <f>_xlfn.XLOOKUP(B117,Product_Line_Map!$A$2:$A$6,Product_Line_Map!$B$2:$B$6,"")</f>
        <v>L01</v>
      </c>
      <c r="H117" s="25">
        <f>SUMIFS(Weekly_Line_Capacity!$J:$J,Weekly_Line_Capacity!$A:$A,A117,Weekly_Line_Capacity!$B:$B,G117)</f>
        <v>0.22222222222222224</v>
      </c>
      <c r="I117" s="27">
        <f>SUMIFS(Weekly_Line_Capacity!$K:$K,Weekly_Line_Capacity!$A:$A,A117,Weekly_Line_Capacity!$B:$B,G117)</f>
        <v>0</v>
      </c>
      <c r="J117" s="13" t="str" cm="1">
        <f t="array" ref="J117">_xlfn.XLOOKUP(1,(Weekly_Line_Capacity!$A$2:$A$157=A117)*(Weekly_Line_Capacity!$B$2:$B$157=G117),Weekly_Line_Capacity!$L$2:$L$157,"")</f>
        <v>WITHIN CAPACITY</v>
      </c>
      <c r="K117" s="13" t="str">
        <f>_xlfn.XLOOKUP(B117,BOM!$A$2:$A$21,BOM!$B$2:$B$21,"")</f>
        <v>M001</v>
      </c>
      <c r="L117" s="27">
        <f>SUMIFS(Weekly_Material_Inventory!$K:$K,Weekly_Material_Inventory!$A:$A,A117,Weekly_Material_Inventory!$B:$B,K117)</f>
        <v>0</v>
      </c>
      <c r="M117">
        <f t="shared" si="3"/>
        <v>1</v>
      </c>
      <c r="N117" t="str">
        <f t="shared" si="4"/>
        <v>WARNING</v>
      </c>
      <c r="O117" t="str">
        <f t="shared" si="5"/>
        <v>LOW STOCK COVER</v>
      </c>
      <c r="P117" t="str" cm="1">
        <f t="array" ref="P117">_xlfn.SWITCH(O117,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17" t="str" cm="1">
        <f t="array" ref="Q117">_xlfn.SWITCH(O117,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17" t="str" cm="1">
        <f t="array" ref="R117">_xlfn.SWITCH(P117,
"Inventory / Service","Operations / Planning",
"Material Supply","Materials / Procurement",
"Capacity","Production / Planning",
"Production Execution","Production",
"Inventory","Operations / Planning",
"Demand Planning","Commercial / Planning",
"None","None",
"Operations")</f>
        <v>Operations / Planning</v>
      </c>
    </row>
    <row r="118" spans="1:18">
      <c r="A118" s="30">
        <f>Weekly_Inventory_Flow!A118</f>
        <v>46188</v>
      </c>
      <c r="B118" s="13" t="str">
        <f>Weekly_Inventory_Flow!B118</f>
        <v>P002</v>
      </c>
      <c r="C118" s="25">
        <f>IF(SUMIFS(Weekly_Product_Demand!$C:$C,Weekly_Product_Demand!$A:$A,A118,Weekly_Product_Demand!$B:$B,B118)=0,0,
(SUMIFS(Weekly_Product_Demand!$D:$D,Weekly_Product_Demand!$A:$A,A118,Weekly_Product_Demand!$B:$B,B118)-
SUMIFS(Weekly_Product_Demand!$C:$C,Weekly_Product_Demand!$A:$A,A118,Weekly_Product_Demand!$B:$B,B118))/
SUMIFS(Weekly_Product_Demand!$C:$C,Weekly_Product_Demand!$A:$A,A118,Weekly_Product_Demand!$B:$B,B118))</f>
        <v>-4.8890268508458793E-3</v>
      </c>
      <c r="D118" s="25">
        <f>SUMIFS(Weekly_Inventory_Flow!$Q:$Q,Weekly_Inventory_Flow!$A:$A,A118,Weekly_Inventory_Flow!$B:$B,B118)</f>
        <v>0.97</v>
      </c>
      <c r="E118" s="26">
        <f>SUMIFS(Weekly_Inventory_Flow!$S:$S,Weekly_Inventory_Flow!$A:$A,A118,Weekly_Inventory_Flow!$B:$B,B118)</f>
        <v>1.8172814473992045</v>
      </c>
      <c r="F118" s="27">
        <f>SUMIFS(Weekly_Inventory_Flow!$N:$N,Weekly_Inventory_Flow!$A:$A,A118,Weekly_Inventory_Flow!$B:$B,B118)</f>
        <v>0</v>
      </c>
      <c r="G118" s="13" t="str">
        <f>_xlfn.XLOOKUP(B118,Product_Line_Map!$A$2:$A$6,Product_Line_Map!$B$2:$B$6,"")</f>
        <v>L02</v>
      </c>
      <c r="H118" s="25">
        <f>SUMIFS(Weekly_Line_Capacity!$J:$J,Weekly_Line_Capacity!$A:$A,A118,Weekly_Line_Capacity!$B:$B,G118)</f>
        <v>0.47809523809523813</v>
      </c>
      <c r="I118" s="27">
        <f>SUMIFS(Weekly_Line_Capacity!$K:$K,Weekly_Line_Capacity!$A:$A,A118,Weekly_Line_Capacity!$B:$B,G118)</f>
        <v>0</v>
      </c>
      <c r="J118" s="13" t="str" cm="1">
        <f t="array" ref="J118">_xlfn.XLOOKUP(1,(Weekly_Line_Capacity!$A$2:$A$157=A118)*(Weekly_Line_Capacity!$B$2:$B$157=G118),Weekly_Line_Capacity!$L$2:$L$157,"")</f>
        <v>WITHIN CAPACITY</v>
      </c>
      <c r="K118" s="13" t="str">
        <f>_xlfn.XLOOKUP(B118,BOM!$A$2:$A$21,BOM!$B$2:$B$21,"")</f>
        <v>M002</v>
      </c>
      <c r="L118" s="27">
        <f>SUMIFS(Weekly_Material_Inventory!$K:$K,Weekly_Material_Inventory!$A:$A,A118,Weekly_Material_Inventory!$B:$B,K118)</f>
        <v>0</v>
      </c>
      <c r="M118">
        <f t="shared" si="3"/>
        <v>1</v>
      </c>
      <c r="N118" t="str">
        <f t="shared" si="4"/>
        <v>WARNING</v>
      </c>
      <c r="O118" t="str">
        <f t="shared" si="5"/>
        <v>LOW STOCK COVER</v>
      </c>
      <c r="P118" t="str" cm="1">
        <f t="array" ref="P118">_xlfn.SWITCH(O118,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18" t="str" cm="1">
        <f t="array" ref="Q118">_xlfn.SWITCH(O118,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18" t="str" cm="1">
        <f t="array" ref="R118">_xlfn.SWITCH(P118,
"Inventory / Service","Operations / Planning",
"Material Supply","Materials / Procurement",
"Capacity","Production / Planning",
"Production Execution","Production",
"Inventory","Operations / Planning",
"Demand Planning","Commercial / Planning",
"None","None",
"Operations")</f>
        <v>Operations / Planning</v>
      </c>
    </row>
    <row r="119" spans="1:18">
      <c r="A119" s="30">
        <f>Weekly_Inventory_Flow!A119</f>
        <v>46188</v>
      </c>
      <c r="B119" s="13" t="str">
        <f>Weekly_Inventory_Flow!B119</f>
        <v>P003</v>
      </c>
      <c r="C119" s="25">
        <f>IF(SUMIFS(Weekly_Product_Demand!$C:$C,Weekly_Product_Demand!$A:$A,A119,Weekly_Product_Demand!$B:$B,B119)=0,0,
(SUMIFS(Weekly_Product_Demand!$D:$D,Weekly_Product_Demand!$A:$A,A119,Weekly_Product_Demand!$B:$B,B119)-
SUMIFS(Weekly_Product_Demand!$C:$C,Weekly_Product_Demand!$A:$A,A119,Weekly_Product_Demand!$B:$B,B119))/
SUMIFS(Weekly_Product_Demand!$C:$C,Weekly_Product_Demand!$A:$A,A119,Weekly_Product_Demand!$B:$B,B119))</f>
        <v>-6.0866451843895452E-3</v>
      </c>
      <c r="D119" s="25">
        <f>SUMIFS(Weekly_Inventory_Flow!$Q:$Q,Weekly_Inventory_Flow!$A:$A,A119,Weekly_Inventory_Flow!$B:$B,B119)</f>
        <v>0.97</v>
      </c>
      <c r="E119" s="26">
        <f>SUMIFS(Weekly_Inventory_Flow!$S:$S,Weekly_Inventory_Flow!$A:$A,A119,Weekly_Inventory_Flow!$B:$B,B119)</f>
        <v>1.813670749279539</v>
      </c>
      <c r="F119" s="27">
        <f>SUMIFS(Weekly_Inventory_Flow!$N:$N,Weekly_Inventory_Flow!$A:$A,A119,Weekly_Inventory_Flow!$B:$B,B119)</f>
        <v>0</v>
      </c>
      <c r="G119" s="13" t="str">
        <f>_xlfn.XLOOKUP(B119,Product_Line_Map!$A$2:$A$6,Product_Line_Map!$B$2:$B$6,"")</f>
        <v>L03</v>
      </c>
      <c r="H119" s="25">
        <f>SUMIFS(Weekly_Line_Capacity!$J:$J,Weekly_Line_Capacity!$A:$A,A119,Weekly_Line_Capacity!$B:$B,G119)</f>
        <v>0.4690476190476191</v>
      </c>
      <c r="I119" s="27">
        <f>SUMIFS(Weekly_Line_Capacity!$K:$K,Weekly_Line_Capacity!$A:$A,A119,Weekly_Line_Capacity!$B:$B,G119)</f>
        <v>0</v>
      </c>
      <c r="J119" s="13" t="str" cm="1">
        <f t="array" ref="J119">_xlfn.XLOOKUP(1,(Weekly_Line_Capacity!$A$2:$A$157=A119)*(Weekly_Line_Capacity!$B$2:$B$157=G119),Weekly_Line_Capacity!$L$2:$L$157,"")</f>
        <v>WITHIN CAPACITY</v>
      </c>
      <c r="K119" s="13" t="str">
        <f>_xlfn.XLOOKUP(B119,BOM!$A$2:$A$21,BOM!$B$2:$B$21,"")</f>
        <v>M003</v>
      </c>
      <c r="L119" s="27">
        <f>SUMIFS(Weekly_Material_Inventory!$K:$K,Weekly_Material_Inventory!$A:$A,A119,Weekly_Material_Inventory!$B:$B,K119)</f>
        <v>0</v>
      </c>
      <c r="M119">
        <f t="shared" si="3"/>
        <v>1</v>
      </c>
      <c r="N119" t="str">
        <f t="shared" si="4"/>
        <v>WARNING</v>
      </c>
      <c r="O119" t="str">
        <f t="shared" si="5"/>
        <v>LOW STOCK COVER</v>
      </c>
      <c r="P119" t="str" cm="1">
        <f t="array" ref="P119">_xlfn.SWITCH(O119,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19" t="str" cm="1">
        <f t="array" ref="Q119">_xlfn.SWITCH(O119,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19" t="str" cm="1">
        <f t="array" ref="R119">_xlfn.SWITCH(P119,
"Inventory / Service","Operations / Planning",
"Material Supply","Materials / Procurement",
"Capacity","Production / Planning",
"Production Execution","Production",
"Inventory","Operations / Planning",
"Demand Planning","Commercial / Planning",
"None","None",
"Operations")</f>
        <v>Operations / Planning</v>
      </c>
    </row>
    <row r="120" spans="1:18">
      <c r="A120" s="30">
        <f>Weekly_Inventory_Flow!A120</f>
        <v>46188</v>
      </c>
      <c r="B120" s="13" t="str">
        <f>Weekly_Inventory_Flow!B120</f>
        <v>P004</v>
      </c>
      <c r="C120" s="25">
        <f>IF(SUMIFS(Weekly_Product_Demand!$C:$C,Weekly_Product_Demand!$A:$A,A120,Weekly_Product_Demand!$B:$B,B120)=0,0,
(SUMIFS(Weekly_Product_Demand!$D:$D,Weekly_Product_Demand!$A:$A,A120,Weekly_Product_Demand!$B:$B,B120)-
SUMIFS(Weekly_Product_Demand!$C:$C,Weekly_Product_Demand!$A:$A,A120,Weekly_Product_Demand!$B:$B,B120))/
SUMIFS(Weekly_Product_Demand!$C:$C,Weekly_Product_Demand!$A:$A,A120,Weekly_Product_Demand!$B:$B,B120))</f>
        <v>2.2941417451863991E-3</v>
      </c>
      <c r="D120" s="25">
        <f>SUMIFS(Weekly_Inventory_Flow!$Q:$Q,Weekly_Inventory_Flow!$A:$A,A120,Weekly_Inventory_Flow!$B:$B,B120)</f>
        <v>0.99</v>
      </c>
      <c r="E120" s="26">
        <f>SUMIFS(Weekly_Inventory_Flow!$S:$S,Weekly_Inventory_Flow!$A:$A,A120,Weekly_Inventory_Flow!$B:$B,B120)</f>
        <v>1.9655848933213438</v>
      </c>
      <c r="F120" s="27">
        <f>SUMIFS(Weekly_Inventory_Flow!$N:$N,Weekly_Inventory_Flow!$A:$A,A120,Weekly_Inventory_Flow!$B:$B,B120)</f>
        <v>0</v>
      </c>
      <c r="G120" s="13" t="str">
        <f>_xlfn.XLOOKUP(B120,Product_Line_Map!$A$2:$A$6,Product_Line_Map!$B$2:$B$6,"")</f>
        <v>L02</v>
      </c>
      <c r="H120" s="25">
        <f>SUMIFS(Weekly_Line_Capacity!$J:$J,Weekly_Line_Capacity!$A:$A,A120,Weekly_Line_Capacity!$B:$B,G120)</f>
        <v>0.47809523809523813</v>
      </c>
      <c r="I120" s="27">
        <f>SUMIFS(Weekly_Line_Capacity!$K:$K,Weekly_Line_Capacity!$A:$A,A120,Weekly_Line_Capacity!$B:$B,G120)</f>
        <v>0</v>
      </c>
      <c r="J120" s="13" t="str" cm="1">
        <f t="array" ref="J120">_xlfn.XLOOKUP(1,(Weekly_Line_Capacity!$A$2:$A$157=A120)*(Weekly_Line_Capacity!$B$2:$B$157=G120),Weekly_Line_Capacity!$L$2:$L$157,"")</f>
        <v>WITHIN CAPACITY</v>
      </c>
      <c r="K120" s="13" t="str">
        <f>_xlfn.XLOOKUP(B120,BOM!$A$2:$A$21,BOM!$B$2:$B$21,"")</f>
        <v>M004</v>
      </c>
      <c r="L120" s="27">
        <f>SUMIFS(Weekly_Material_Inventory!$K:$K,Weekly_Material_Inventory!$A:$A,A120,Weekly_Material_Inventory!$B:$B,K120)</f>
        <v>0</v>
      </c>
      <c r="M120">
        <f t="shared" si="3"/>
        <v>1</v>
      </c>
      <c r="N120" t="str">
        <f t="shared" si="4"/>
        <v>WARNING</v>
      </c>
      <c r="O120" t="str">
        <f t="shared" si="5"/>
        <v>LOW STOCK COVER</v>
      </c>
      <c r="P120" t="str" cm="1">
        <f t="array" ref="P120">_xlfn.SWITCH(O120,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20" t="str" cm="1">
        <f t="array" ref="Q120">_xlfn.SWITCH(O120,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20" t="str" cm="1">
        <f t="array" ref="R120">_xlfn.SWITCH(P120,
"Inventory / Service","Operations / Planning",
"Material Supply","Materials / Procurement",
"Capacity","Production / Planning",
"Production Execution","Production",
"Inventory","Operations / Planning",
"Demand Planning","Commercial / Planning",
"None","None",
"Operations")</f>
        <v>Operations / Planning</v>
      </c>
    </row>
    <row r="121" spans="1:18">
      <c r="A121" s="30">
        <f>Weekly_Inventory_Flow!A121</f>
        <v>46188</v>
      </c>
      <c r="B121" s="13" t="str">
        <f>Weekly_Inventory_Flow!B121</f>
        <v>P005</v>
      </c>
      <c r="C121" s="25">
        <f>IF(SUMIFS(Weekly_Product_Demand!$C:$C,Weekly_Product_Demand!$A:$A,A121,Weekly_Product_Demand!$B:$B,B121)=0,0,
(SUMIFS(Weekly_Product_Demand!$D:$D,Weekly_Product_Demand!$A:$A,A121,Weekly_Product_Demand!$B:$B,B121)-
SUMIFS(Weekly_Product_Demand!$C:$C,Weekly_Product_Demand!$A:$A,A121,Weekly_Product_Demand!$B:$B,B121))/
SUMIFS(Weekly_Product_Demand!$C:$C,Weekly_Product_Demand!$A:$A,A121,Weekly_Product_Demand!$B:$B,B121))</f>
        <v>-2.1515945827872432E-2</v>
      </c>
      <c r="D121" s="25">
        <f>SUMIFS(Weekly_Inventory_Flow!$Q:$Q,Weekly_Inventory_Flow!$A:$A,A121,Weekly_Inventory_Flow!$B:$B,B121)</f>
        <v>1.01</v>
      </c>
      <c r="E121" s="26">
        <f>SUMIFS(Weekly_Inventory_Flow!$S:$S,Weekly_Inventory_Flow!$A:$A,A121,Weekly_Inventory_Flow!$B:$B,B121)</f>
        <v>2.1127357964058486</v>
      </c>
      <c r="F121" s="27">
        <f>SUMIFS(Weekly_Inventory_Flow!$N:$N,Weekly_Inventory_Flow!$A:$A,A121,Weekly_Inventory_Flow!$B:$B,B121)</f>
        <v>0</v>
      </c>
      <c r="G121" s="13" t="str">
        <f>_xlfn.XLOOKUP(B121,Product_Line_Map!$A$2:$A$6,Product_Line_Map!$B$2:$B$6,"")</f>
        <v>L03</v>
      </c>
      <c r="H121" s="25">
        <f>SUMIFS(Weekly_Line_Capacity!$J:$J,Weekly_Line_Capacity!$A:$A,A121,Weekly_Line_Capacity!$B:$B,G121)</f>
        <v>0.4690476190476191</v>
      </c>
      <c r="I121" s="27">
        <f>SUMIFS(Weekly_Line_Capacity!$K:$K,Weekly_Line_Capacity!$A:$A,A121,Weekly_Line_Capacity!$B:$B,G121)</f>
        <v>0</v>
      </c>
      <c r="J121" s="13" t="str" cm="1">
        <f t="array" ref="J121">_xlfn.XLOOKUP(1,(Weekly_Line_Capacity!$A$2:$A$157=A121)*(Weekly_Line_Capacity!$B$2:$B$157=G121),Weekly_Line_Capacity!$L$2:$L$157,"")</f>
        <v>WITHIN CAPACITY</v>
      </c>
      <c r="K121" s="13" t="str">
        <f>_xlfn.XLOOKUP(B121,BOM!$A$2:$A$21,BOM!$B$2:$B$21,"")</f>
        <v>M005</v>
      </c>
      <c r="L121" s="27">
        <f>SUMIFS(Weekly_Material_Inventory!$K:$K,Weekly_Material_Inventory!$A:$A,A121,Weekly_Material_Inventory!$B:$B,K121)</f>
        <v>0</v>
      </c>
      <c r="M121">
        <f t="shared" si="3"/>
        <v>0</v>
      </c>
      <c r="N121" t="str">
        <f t="shared" si="4"/>
        <v>OK</v>
      </c>
      <c r="O121" t="str">
        <f t="shared" si="5"/>
        <v>NONE</v>
      </c>
      <c r="P121" t="str" cm="1">
        <f t="array" ref="P121">_xlfn.SWITCH(O121,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21" t="str" cm="1">
        <f t="array" ref="Q121">_xlfn.SWITCH(O121,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21" t="str" cm="1">
        <f t="array" ref="R121">_xlfn.SWITCH(P121,
"Inventory / Service","Operations / Planning",
"Material Supply","Materials / Procurement",
"Capacity","Production / Planning",
"Production Execution","Production",
"Inventory","Operations / Planning",
"Demand Planning","Commercial / Planning",
"None","None",
"Operations")</f>
        <v>None</v>
      </c>
    </row>
    <row r="122" spans="1:18">
      <c r="A122" s="30">
        <f>Weekly_Inventory_Flow!A122</f>
        <v>46195</v>
      </c>
      <c r="B122" s="13" t="str">
        <f>Weekly_Inventory_Flow!B122</f>
        <v>P001</v>
      </c>
      <c r="C122" s="25">
        <f>IF(SUMIFS(Weekly_Product_Demand!$C:$C,Weekly_Product_Demand!$A:$A,A122,Weekly_Product_Demand!$B:$B,B122)=0,0,
(SUMIFS(Weekly_Product_Demand!$D:$D,Weekly_Product_Demand!$A:$A,A122,Weekly_Product_Demand!$B:$B,B122)-
SUMIFS(Weekly_Product_Demand!$C:$C,Weekly_Product_Demand!$A:$A,A122,Weekly_Product_Demand!$B:$B,B122))/
SUMIFS(Weekly_Product_Demand!$C:$C,Weekly_Product_Demand!$A:$A,A122,Weekly_Product_Demand!$B:$B,B122))</f>
        <v>-9.6473502379245159E-3</v>
      </c>
      <c r="D122" s="25">
        <f>SUMIFS(Weekly_Inventory_Flow!$Q:$Q,Weekly_Inventory_Flow!$A:$A,A122,Weekly_Inventory_Flow!$B:$B,B122)</f>
        <v>0.99</v>
      </c>
      <c r="E122" s="26">
        <f>SUMIFS(Weekly_Inventory_Flow!$S:$S,Weekly_Inventory_Flow!$A:$A,A122,Weekly_Inventory_Flow!$B:$B,B122)</f>
        <v>1.9291120910945829</v>
      </c>
      <c r="F122" s="27">
        <f>SUMIFS(Weekly_Inventory_Flow!$N:$N,Weekly_Inventory_Flow!$A:$A,A122,Weekly_Inventory_Flow!$B:$B,B122)</f>
        <v>0</v>
      </c>
      <c r="G122" s="13" t="str">
        <f>_xlfn.XLOOKUP(B122,Product_Line_Map!$A$2:$A$6,Product_Line_Map!$B$2:$B$6,"")</f>
        <v>L01</v>
      </c>
      <c r="H122" s="25">
        <f>SUMIFS(Weekly_Line_Capacity!$J:$J,Weekly_Line_Capacity!$A:$A,A122,Weekly_Line_Capacity!$B:$B,G122)</f>
        <v>0.22953216374269003</v>
      </c>
      <c r="I122" s="27">
        <f>SUMIFS(Weekly_Line_Capacity!$K:$K,Weekly_Line_Capacity!$A:$A,A122,Weekly_Line_Capacity!$B:$B,G122)</f>
        <v>0</v>
      </c>
      <c r="J122" s="13" t="str" cm="1">
        <f t="array" ref="J122">_xlfn.XLOOKUP(1,(Weekly_Line_Capacity!$A$2:$A$157=A122)*(Weekly_Line_Capacity!$B$2:$B$157=G122),Weekly_Line_Capacity!$L$2:$L$157,"")</f>
        <v>WITHIN CAPACITY</v>
      </c>
      <c r="K122" s="13" t="str">
        <f>_xlfn.XLOOKUP(B122,BOM!$A$2:$A$21,BOM!$B$2:$B$21,"")</f>
        <v>M001</v>
      </c>
      <c r="L122" s="27">
        <f>SUMIFS(Weekly_Material_Inventory!$K:$K,Weekly_Material_Inventory!$A:$A,A122,Weekly_Material_Inventory!$B:$B,K122)</f>
        <v>0</v>
      </c>
      <c r="M122">
        <f t="shared" si="3"/>
        <v>1</v>
      </c>
      <c r="N122" t="str">
        <f t="shared" si="4"/>
        <v>WARNING</v>
      </c>
      <c r="O122" t="str">
        <f t="shared" si="5"/>
        <v>LOW STOCK COVER</v>
      </c>
      <c r="P122" t="str" cm="1">
        <f t="array" ref="P122">_xlfn.SWITCH(O122,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22" t="str" cm="1">
        <f t="array" ref="Q122">_xlfn.SWITCH(O122,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22" t="str" cm="1">
        <f t="array" ref="R122">_xlfn.SWITCH(P122,
"Inventory / Service","Operations / Planning",
"Material Supply","Materials / Procurement",
"Capacity","Production / Planning",
"Production Execution","Production",
"Inventory","Operations / Planning",
"Demand Planning","Commercial / Planning",
"None","None",
"Operations")</f>
        <v>Operations / Planning</v>
      </c>
    </row>
    <row r="123" spans="1:18">
      <c r="A123" s="30">
        <f>Weekly_Inventory_Flow!A123</f>
        <v>46195</v>
      </c>
      <c r="B123" s="13" t="str">
        <f>Weekly_Inventory_Flow!B123</f>
        <v>P002</v>
      </c>
      <c r="C123" s="25">
        <f>IF(SUMIFS(Weekly_Product_Demand!$C:$C,Weekly_Product_Demand!$A:$A,A123,Weekly_Product_Demand!$B:$B,B123)=0,0,
(SUMIFS(Weekly_Product_Demand!$D:$D,Weekly_Product_Demand!$A:$A,A123,Weekly_Product_Demand!$B:$B,B123)-
SUMIFS(Weekly_Product_Demand!$C:$C,Weekly_Product_Demand!$A:$A,A123,Weekly_Product_Demand!$B:$B,B123))/
SUMIFS(Weekly_Product_Demand!$C:$C,Weekly_Product_Demand!$A:$A,A123,Weekly_Product_Demand!$B:$B,B123))</f>
        <v>1.4490543014032947E-2</v>
      </c>
      <c r="D123" s="25">
        <f>SUMIFS(Weekly_Inventory_Flow!$Q:$Q,Weekly_Inventory_Flow!$A:$A,A123,Weekly_Inventory_Flow!$B:$B,B123)</f>
        <v>0.99</v>
      </c>
      <c r="E123" s="26">
        <f>SUMIFS(Weekly_Inventory_Flow!$S:$S,Weekly_Inventory_Flow!$A:$A,A123,Weekly_Inventory_Flow!$B:$B,B123)</f>
        <v>1.9412870245075928</v>
      </c>
      <c r="F123" s="27">
        <f>SUMIFS(Weekly_Inventory_Flow!$N:$N,Weekly_Inventory_Flow!$A:$A,A123,Weekly_Inventory_Flow!$B:$B,B123)</f>
        <v>0</v>
      </c>
      <c r="G123" s="13" t="str">
        <f>_xlfn.XLOOKUP(B123,Product_Line_Map!$A$2:$A$6,Product_Line_Map!$B$2:$B$6,"")</f>
        <v>L02</v>
      </c>
      <c r="H123" s="25">
        <f>SUMIFS(Weekly_Line_Capacity!$J:$J,Weekly_Line_Capacity!$A:$A,A123,Weekly_Line_Capacity!$B:$B,G123)</f>
        <v>0.50476190476190474</v>
      </c>
      <c r="I123" s="27">
        <f>SUMIFS(Weekly_Line_Capacity!$K:$K,Weekly_Line_Capacity!$A:$A,A123,Weekly_Line_Capacity!$B:$B,G123)</f>
        <v>0</v>
      </c>
      <c r="J123" s="13" t="str" cm="1">
        <f t="array" ref="J123">_xlfn.XLOOKUP(1,(Weekly_Line_Capacity!$A$2:$A$157=A123)*(Weekly_Line_Capacity!$B$2:$B$157=G123),Weekly_Line_Capacity!$L$2:$L$157,"")</f>
        <v>WITHIN CAPACITY</v>
      </c>
      <c r="K123" s="13" t="str">
        <f>_xlfn.XLOOKUP(B123,BOM!$A$2:$A$21,BOM!$B$2:$B$21,"")</f>
        <v>M002</v>
      </c>
      <c r="L123" s="27">
        <f>SUMIFS(Weekly_Material_Inventory!$K:$K,Weekly_Material_Inventory!$A:$A,A123,Weekly_Material_Inventory!$B:$B,K123)</f>
        <v>0</v>
      </c>
      <c r="M123">
        <f t="shared" si="3"/>
        <v>1</v>
      </c>
      <c r="N123" t="str">
        <f t="shared" si="4"/>
        <v>WARNING</v>
      </c>
      <c r="O123" t="str">
        <f t="shared" si="5"/>
        <v>LOW STOCK COVER</v>
      </c>
      <c r="P123" t="str" cm="1">
        <f t="array" ref="P123">_xlfn.SWITCH(O123,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23" t="str" cm="1">
        <f t="array" ref="Q123">_xlfn.SWITCH(O123,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23" t="str" cm="1">
        <f t="array" ref="R123">_xlfn.SWITCH(P123,
"Inventory / Service","Operations / Planning",
"Material Supply","Materials / Procurement",
"Capacity","Production / Planning",
"Production Execution","Production",
"Inventory","Operations / Planning",
"Demand Planning","Commercial / Planning",
"None","None",
"Operations")</f>
        <v>Operations / Planning</v>
      </c>
    </row>
    <row r="124" spans="1:18">
      <c r="A124" s="30">
        <f>Weekly_Inventory_Flow!A124</f>
        <v>46195</v>
      </c>
      <c r="B124" s="13" t="str">
        <f>Weekly_Inventory_Flow!B124</f>
        <v>P003</v>
      </c>
      <c r="C124" s="25">
        <f>IF(SUMIFS(Weekly_Product_Demand!$C:$C,Weekly_Product_Demand!$A:$A,A124,Weekly_Product_Demand!$B:$B,B124)=0,0,
(SUMIFS(Weekly_Product_Demand!$D:$D,Weekly_Product_Demand!$A:$A,A124,Weekly_Product_Demand!$B:$B,B124)-
SUMIFS(Weekly_Product_Demand!$C:$C,Weekly_Product_Demand!$A:$A,A124,Weekly_Product_Demand!$B:$B,B124))/
SUMIFS(Weekly_Product_Demand!$C:$C,Weekly_Product_Demand!$A:$A,A124,Weekly_Product_Demand!$B:$B,B124))</f>
        <v>-1.8561887414346431E-2</v>
      </c>
      <c r="D124" s="25">
        <f>SUMIFS(Weekly_Inventory_Flow!$Q:$Q,Weekly_Inventory_Flow!$A:$A,A124,Weekly_Inventory_Flow!$B:$B,B124)</f>
        <v>0.99</v>
      </c>
      <c r="E124" s="26">
        <f>SUMIFS(Weekly_Inventory_Flow!$S:$S,Weekly_Inventory_Flow!$A:$A,A124,Weekly_Inventory_Flow!$B:$B,B124)</f>
        <v>1.9456473707467965</v>
      </c>
      <c r="F124" s="27">
        <f>SUMIFS(Weekly_Inventory_Flow!$N:$N,Weekly_Inventory_Flow!$A:$A,A124,Weekly_Inventory_Flow!$B:$B,B124)</f>
        <v>0</v>
      </c>
      <c r="G124" s="13" t="str">
        <f>_xlfn.XLOOKUP(B124,Product_Line_Map!$A$2:$A$6,Product_Line_Map!$B$2:$B$6,"")</f>
        <v>L03</v>
      </c>
      <c r="H124" s="25">
        <f>SUMIFS(Weekly_Line_Capacity!$J:$J,Weekly_Line_Capacity!$A:$A,A124,Weekly_Line_Capacity!$B:$B,G124)</f>
        <v>0.49047619047619051</v>
      </c>
      <c r="I124" s="27">
        <f>SUMIFS(Weekly_Line_Capacity!$K:$K,Weekly_Line_Capacity!$A:$A,A124,Weekly_Line_Capacity!$B:$B,G124)</f>
        <v>0</v>
      </c>
      <c r="J124" s="13" t="str" cm="1">
        <f t="array" ref="J124">_xlfn.XLOOKUP(1,(Weekly_Line_Capacity!$A$2:$A$157=A124)*(Weekly_Line_Capacity!$B$2:$B$157=G124),Weekly_Line_Capacity!$L$2:$L$157,"")</f>
        <v>WITHIN CAPACITY</v>
      </c>
      <c r="K124" s="13" t="str">
        <f>_xlfn.XLOOKUP(B124,BOM!$A$2:$A$21,BOM!$B$2:$B$21,"")</f>
        <v>M003</v>
      </c>
      <c r="L124" s="27">
        <f>SUMIFS(Weekly_Material_Inventory!$K:$K,Weekly_Material_Inventory!$A:$A,A124,Weekly_Material_Inventory!$B:$B,K124)</f>
        <v>0</v>
      </c>
      <c r="M124">
        <f t="shared" si="3"/>
        <v>1</v>
      </c>
      <c r="N124" t="str">
        <f t="shared" si="4"/>
        <v>WARNING</v>
      </c>
      <c r="O124" t="str">
        <f t="shared" si="5"/>
        <v>LOW STOCK COVER</v>
      </c>
      <c r="P124" t="str" cm="1">
        <f t="array" ref="P124">_xlfn.SWITCH(O124,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24" t="str" cm="1">
        <f t="array" ref="Q124">_xlfn.SWITCH(O124,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24" t="str" cm="1">
        <f t="array" ref="R124">_xlfn.SWITCH(P124,
"Inventory / Service","Operations / Planning",
"Material Supply","Materials / Procurement",
"Capacity","Production / Planning",
"Production Execution","Production",
"Inventory","Operations / Planning",
"Demand Planning","Commercial / Planning",
"None","None",
"Operations")</f>
        <v>Operations / Planning</v>
      </c>
    </row>
    <row r="125" spans="1:18">
      <c r="A125" s="30">
        <f>Weekly_Inventory_Flow!A125</f>
        <v>46195</v>
      </c>
      <c r="B125" s="13" t="str">
        <f>Weekly_Inventory_Flow!B125</f>
        <v>P004</v>
      </c>
      <c r="C125" s="25">
        <f>IF(SUMIFS(Weekly_Product_Demand!$C:$C,Weekly_Product_Demand!$A:$A,A125,Weekly_Product_Demand!$B:$B,B125)=0,0,
(SUMIFS(Weekly_Product_Demand!$D:$D,Weekly_Product_Demand!$A:$A,A125,Weekly_Product_Demand!$B:$B,B125)-
SUMIFS(Weekly_Product_Demand!$C:$C,Weekly_Product_Demand!$A:$A,A125,Weekly_Product_Demand!$B:$B,B125))/
SUMIFS(Weekly_Product_Demand!$C:$C,Weekly_Product_Demand!$A:$A,A125,Weekly_Product_Demand!$B:$B,B125))</f>
        <v>2.7905828119855119E-2</v>
      </c>
      <c r="D125" s="25">
        <f>SUMIFS(Weekly_Inventory_Flow!$Q:$Q,Weekly_Inventory_Flow!$A:$A,A125,Weekly_Inventory_Flow!$B:$B,B125)</f>
        <v>1</v>
      </c>
      <c r="E125" s="26">
        <f>SUMIFS(Weekly_Inventory_Flow!$S:$S,Weekly_Inventory_Flow!$A:$A,A125,Weekly_Inventory_Flow!$B:$B,B125)</f>
        <v>2.0450068070793623</v>
      </c>
      <c r="F125" s="27">
        <f>SUMIFS(Weekly_Inventory_Flow!$N:$N,Weekly_Inventory_Flow!$A:$A,A125,Weekly_Inventory_Flow!$B:$B,B125)</f>
        <v>0</v>
      </c>
      <c r="G125" s="13" t="str">
        <f>_xlfn.XLOOKUP(B125,Product_Line_Map!$A$2:$A$6,Product_Line_Map!$B$2:$B$6,"")</f>
        <v>L02</v>
      </c>
      <c r="H125" s="25">
        <f>SUMIFS(Weekly_Line_Capacity!$J:$J,Weekly_Line_Capacity!$A:$A,A125,Weekly_Line_Capacity!$B:$B,G125)</f>
        <v>0.50476190476190474</v>
      </c>
      <c r="I125" s="27">
        <f>SUMIFS(Weekly_Line_Capacity!$K:$K,Weekly_Line_Capacity!$A:$A,A125,Weekly_Line_Capacity!$B:$B,G125)</f>
        <v>0</v>
      </c>
      <c r="J125" s="13" t="str" cm="1">
        <f t="array" ref="J125">_xlfn.XLOOKUP(1,(Weekly_Line_Capacity!$A$2:$A$157=A125)*(Weekly_Line_Capacity!$B$2:$B$157=G125),Weekly_Line_Capacity!$L$2:$L$157,"")</f>
        <v>WITHIN CAPACITY</v>
      </c>
      <c r="K125" s="13" t="str">
        <f>_xlfn.XLOOKUP(B125,BOM!$A$2:$A$21,BOM!$B$2:$B$21,"")</f>
        <v>M004</v>
      </c>
      <c r="L125" s="27">
        <f>SUMIFS(Weekly_Material_Inventory!$K:$K,Weekly_Material_Inventory!$A:$A,A125,Weekly_Material_Inventory!$B:$B,K125)</f>
        <v>0</v>
      </c>
      <c r="M125">
        <f t="shared" si="3"/>
        <v>0</v>
      </c>
      <c r="N125" t="str">
        <f t="shared" si="4"/>
        <v>OK</v>
      </c>
      <c r="O125" t="str">
        <f t="shared" si="5"/>
        <v>NONE</v>
      </c>
      <c r="P125" t="str" cm="1">
        <f t="array" ref="P125">_xlfn.SWITCH(O125,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25" t="str" cm="1">
        <f t="array" ref="Q125">_xlfn.SWITCH(O125,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25" t="str" cm="1">
        <f t="array" ref="R125">_xlfn.SWITCH(P125,
"Inventory / Service","Operations / Planning",
"Material Supply","Materials / Procurement",
"Capacity","Production / Planning",
"Production Execution","Production",
"Inventory","Operations / Planning",
"Demand Planning","Commercial / Planning",
"None","None",
"Operations")</f>
        <v>None</v>
      </c>
    </row>
    <row r="126" spans="1:18">
      <c r="A126" s="30">
        <f>Weekly_Inventory_Flow!A126</f>
        <v>46195</v>
      </c>
      <c r="B126" s="13" t="str">
        <f>Weekly_Inventory_Flow!B126</f>
        <v>P005</v>
      </c>
      <c r="C126" s="25">
        <f>IF(SUMIFS(Weekly_Product_Demand!$C:$C,Weekly_Product_Demand!$A:$A,A126,Weekly_Product_Demand!$B:$B,B126)=0,0,
(SUMIFS(Weekly_Product_Demand!$D:$D,Weekly_Product_Demand!$A:$A,A126,Weekly_Product_Demand!$B:$B,B126)-
SUMIFS(Weekly_Product_Demand!$C:$C,Weekly_Product_Demand!$A:$A,A126,Weekly_Product_Demand!$B:$B,B126))/
SUMIFS(Weekly_Product_Demand!$C:$C,Weekly_Product_Demand!$A:$A,A126,Weekly_Product_Demand!$B:$B,B126))</f>
        <v>-2.5102791603549016E-2</v>
      </c>
      <c r="D126" s="25">
        <f>SUMIFS(Weekly_Inventory_Flow!$Q:$Q,Weekly_Inventory_Flow!$A:$A,A126,Weekly_Inventory_Flow!$B:$B,B126)</f>
        <v>1.01</v>
      </c>
      <c r="E126" s="26">
        <f>SUMIFS(Weekly_Inventory_Flow!$S:$S,Weekly_Inventory_Flow!$A:$A,A126,Weekly_Inventory_Flow!$B:$B,B126)</f>
        <v>2.0844617092119866</v>
      </c>
      <c r="F126" s="27">
        <f>SUMIFS(Weekly_Inventory_Flow!$N:$N,Weekly_Inventory_Flow!$A:$A,A126,Weekly_Inventory_Flow!$B:$B,B126)</f>
        <v>0</v>
      </c>
      <c r="G126" s="13" t="str">
        <f>_xlfn.XLOOKUP(B126,Product_Line_Map!$A$2:$A$6,Product_Line_Map!$B$2:$B$6,"")</f>
        <v>L03</v>
      </c>
      <c r="H126" s="25">
        <f>SUMIFS(Weekly_Line_Capacity!$J:$J,Weekly_Line_Capacity!$A:$A,A126,Weekly_Line_Capacity!$B:$B,G126)</f>
        <v>0.49047619047619051</v>
      </c>
      <c r="I126" s="27">
        <f>SUMIFS(Weekly_Line_Capacity!$K:$K,Weekly_Line_Capacity!$A:$A,A126,Weekly_Line_Capacity!$B:$B,G126)</f>
        <v>0</v>
      </c>
      <c r="J126" s="13" t="str" cm="1">
        <f t="array" ref="J126">_xlfn.XLOOKUP(1,(Weekly_Line_Capacity!$A$2:$A$157=A126)*(Weekly_Line_Capacity!$B$2:$B$157=G126),Weekly_Line_Capacity!$L$2:$L$157,"")</f>
        <v>WITHIN CAPACITY</v>
      </c>
      <c r="K126" s="13" t="str">
        <f>_xlfn.XLOOKUP(B126,BOM!$A$2:$A$21,BOM!$B$2:$B$21,"")</f>
        <v>M005</v>
      </c>
      <c r="L126" s="27">
        <f>SUMIFS(Weekly_Material_Inventory!$K:$K,Weekly_Material_Inventory!$A:$A,A126,Weekly_Material_Inventory!$B:$B,K126)</f>
        <v>0</v>
      </c>
      <c r="M126">
        <f t="shared" si="3"/>
        <v>0</v>
      </c>
      <c r="N126" t="str">
        <f t="shared" si="4"/>
        <v>OK</v>
      </c>
      <c r="O126" t="str">
        <f t="shared" si="5"/>
        <v>NONE</v>
      </c>
      <c r="P126" t="str" cm="1">
        <f t="array" ref="P126">_xlfn.SWITCH(O126,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26" t="str" cm="1">
        <f t="array" ref="Q126">_xlfn.SWITCH(O126,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26" t="str" cm="1">
        <f t="array" ref="R126">_xlfn.SWITCH(P126,
"Inventory / Service","Operations / Planning",
"Material Supply","Materials / Procurement",
"Capacity","Production / Planning",
"Production Execution","Production",
"Inventory","Operations / Planning",
"Demand Planning","Commercial / Planning",
"None","None",
"Operations")</f>
        <v>None</v>
      </c>
    </row>
    <row r="127" spans="1:18">
      <c r="A127" s="30">
        <f>Weekly_Inventory_Flow!A127</f>
        <v>46202</v>
      </c>
      <c r="B127" s="13" t="str">
        <f>Weekly_Inventory_Flow!B127</f>
        <v>P001</v>
      </c>
      <c r="C127" s="25">
        <f>IF(SUMIFS(Weekly_Product_Demand!$C:$C,Weekly_Product_Demand!$A:$A,A127,Weekly_Product_Demand!$B:$B,B127)=0,0,
(SUMIFS(Weekly_Product_Demand!$D:$D,Weekly_Product_Demand!$A:$A,A127,Weekly_Product_Demand!$B:$B,B127)-
SUMIFS(Weekly_Product_Demand!$C:$C,Weekly_Product_Demand!$A:$A,A127,Weekly_Product_Demand!$B:$B,B127))/
SUMIFS(Weekly_Product_Demand!$C:$C,Weekly_Product_Demand!$A:$A,A127,Weekly_Product_Demand!$B:$B,B127))</f>
        <v>-2.1413276231263382E-2</v>
      </c>
      <c r="D127" s="25">
        <f>SUMIFS(Weekly_Inventory_Flow!$Q:$Q,Weekly_Inventory_Flow!$A:$A,A127,Weekly_Inventory_Flow!$B:$B,B127)</f>
        <v>0.98</v>
      </c>
      <c r="E127" s="26">
        <f>SUMIFS(Weekly_Inventory_Flow!$S:$S,Weekly_Inventory_Flow!$A:$A,A127,Weekly_Inventory_Flow!$B:$B,B127)</f>
        <v>1.9030568264703931</v>
      </c>
      <c r="F127" s="27">
        <f>SUMIFS(Weekly_Inventory_Flow!$N:$N,Weekly_Inventory_Flow!$A:$A,A127,Weekly_Inventory_Flow!$B:$B,B127)</f>
        <v>0</v>
      </c>
      <c r="G127" s="13" t="str">
        <f>_xlfn.XLOOKUP(B127,Product_Line_Map!$A$2:$A$6,Product_Line_Map!$B$2:$B$6,"")</f>
        <v>L01</v>
      </c>
      <c r="H127" s="25">
        <f>SUMIFS(Weekly_Line_Capacity!$J:$J,Weekly_Line_Capacity!$A:$A,A127,Weekly_Line_Capacity!$B:$B,G127)</f>
        <v>0.22368421052631579</v>
      </c>
      <c r="I127" s="27">
        <f>SUMIFS(Weekly_Line_Capacity!$K:$K,Weekly_Line_Capacity!$A:$A,A127,Weekly_Line_Capacity!$B:$B,G127)</f>
        <v>0</v>
      </c>
      <c r="J127" s="13" t="str" cm="1">
        <f t="array" ref="J127">_xlfn.XLOOKUP(1,(Weekly_Line_Capacity!$A$2:$A$157=A127)*(Weekly_Line_Capacity!$B$2:$B$157=G127),Weekly_Line_Capacity!$L$2:$L$157,"")</f>
        <v>WITHIN CAPACITY</v>
      </c>
      <c r="K127" s="13" t="str">
        <f>_xlfn.XLOOKUP(B127,BOM!$A$2:$A$21,BOM!$B$2:$B$21,"")</f>
        <v>M001</v>
      </c>
      <c r="L127" s="27">
        <f>SUMIFS(Weekly_Material_Inventory!$K:$K,Weekly_Material_Inventory!$A:$A,A127,Weekly_Material_Inventory!$B:$B,K127)</f>
        <v>0</v>
      </c>
      <c r="M127">
        <f t="shared" si="3"/>
        <v>1</v>
      </c>
      <c r="N127" t="str">
        <f t="shared" si="4"/>
        <v>WARNING</v>
      </c>
      <c r="O127" t="str">
        <f t="shared" si="5"/>
        <v>LOW STOCK COVER</v>
      </c>
      <c r="P127" t="str" cm="1">
        <f t="array" ref="P127">_xlfn.SWITCH(O127,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27" t="str" cm="1">
        <f t="array" ref="Q127">_xlfn.SWITCH(O127,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27" t="str" cm="1">
        <f t="array" ref="R127">_xlfn.SWITCH(P127,
"Inventory / Service","Operations / Planning",
"Material Supply","Materials / Procurement",
"Capacity","Production / Planning",
"Production Execution","Production",
"Inventory","Operations / Planning",
"Demand Planning","Commercial / Planning",
"None","None",
"Operations")</f>
        <v>Operations / Planning</v>
      </c>
    </row>
    <row r="128" spans="1:18">
      <c r="A128" s="30">
        <f>Weekly_Inventory_Flow!A128</f>
        <v>46202</v>
      </c>
      <c r="B128" s="13" t="str">
        <f>Weekly_Inventory_Flow!B128</f>
        <v>P002</v>
      </c>
      <c r="C128" s="25">
        <f>IF(SUMIFS(Weekly_Product_Demand!$C:$C,Weekly_Product_Demand!$A:$A,A128,Weekly_Product_Demand!$B:$B,B128)=0,0,
(SUMIFS(Weekly_Product_Demand!$D:$D,Weekly_Product_Demand!$A:$A,A128,Weekly_Product_Demand!$B:$B,B128)-
SUMIFS(Weekly_Product_Demand!$C:$C,Weekly_Product_Demand!$A:$A,A128,Weekly_Product_Demand!$B:$B,B128))/
SUMIFS(Weekly_Product_Demand!$C:$C,Weekly_Product_Demand!$A:$A,A128,Weekly_Product_Demand!$B:$B,B128))</f>
        <v>2.8826728826728827E-2</v>
      </c>
      <c r="D128" s="25">
        <f>SUMIFS(Weekly_Inventory_Flow!$Q:$Q,Weekly_Inventory_Flow!$A:$A,A128,Weekly_Inventory_Flow!$B:$B,B128)</f>
        <v>0.97</v>
      </c>
      <c r="E128" s="26">
        <f>SUMIFS(Weekly_Inventory_Flow!$S:$S,Weekly_Inventory_Flow!$A:$A,A128,Weekly_Inventory_Flow!$B:$B,B128)</f>
        <v>1.8217657276640735</v>
      </c>
      <c r="F128" s="27">
        <f>SUMIFS(Weekly_Inventory_Flow!$N:$N,Weekly_Inventory_Flow!$A:$A,A128,Weekly_Inventory_Flow!$B:$B,B128)</f>
        <v>0</v>
      </c>
      <c r="G128" s="13" t="str">
        <f>_xlfn.XLOOKUP(B128,Product_Line_Map!$A$2:$A$6,Product_Line_Map!$B$2:$B$6,"")</f>
        <v>L02</v>
      </c>
      <c r="H128" s="25">
        <f>SUMIFS(Weekly_Line_Capacity!$J:$J,Weekly_Line_Capacity!$A:$A,A128,Weekly_Line_Capacity!$B:$B,G128)</f>
        <v>0.4838095238095238</v>
      </c>
      <c r="I128" s="27">
        <f>SUMIFS(Weekly_Line_Capacity!$K:$K,Weekly_Line_Capacity!$A:$A,A128,Weekly_Line_Capacity!$B:$B,G128)</f>
        <v>0</v>
      </c>
      <c r="J128" s="13" t="str" cm="1">
        <f t="array" ref="J128">_xlfn.XLOOKUP(1,(Weekly_Line_Capacity!$A$2:$A$157=A128)*(Weekly_Line_Capacity!$B$2:$B$157=G128),Weekly_Line_Capacity!$L$2:$L$157,"")</f>
        <v>WITHIN CAPACITY</v>
      </c>
      <c r="K128" s="13" t="str">
        <f>_xlfn.XLOOKUP(B128,BOM!$A$2:$A$21,BOM!$B$2:$B$21,"")</f>
        <v>M002</v>
      </c>
      <c r="L128" s="27">
        <f>SUMIFS(Weekly_Material_Inventory!$K:$K,Weekly_Material_Inventory!$A:$A,A128,Weekly_Material_Inventory!$B:$B,K128)</f>
        <v>0</v>
      </c>
      <c r="M128">
        <f t="shared" si="3"/>
        <v>1</v>
      </c>
      <c r="N128" t="str">
        <f t="shared" si="4"/>
        <v>WARNING</v>
      </c>
      <c r="O128" t="str">
        <f t="shared" si="5"/>
        <v>LOW STOCK COVER</v>
      </c>
      <c r="P128" t="str" cm="1">
        <f t="array" ref="P128">_xlfn.SWITCH(O128,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28" t="str" cm="1">
        <f t="array" ref="Q128">_xlfn.SWITCH(O128,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28" t="str" cm="1">
        <f t="array" ref="R128">_xlfn.SWITCH(P128,
"Inventory / Service","Operations / Planning",
"Material Supply","Materials / Procurement",
"Capacity","Production / Planning",
"Production Execution","Production",
"Inventory","Operations / Planning",
"Demand Planning","Commercial / Planning",
"None","None",
"Operations")</f>
        <v>Operations / Planning</v>
      </c>
    </row>
    <row r="129" spans="1:18">
      <c r="A129" s="30">
        <f>Weekly_Inventory_Flow!A129</f>
        <v>46202</v>
      </c>
      <c r="B129" s="13" t="str">
        <f>Weekly_Inventory_Flow!B129</f>
        <v>P003</v>
      </c>
      <c r="C129" s="25">
        <f>IF(SUMIFS(Weekly_Product_Demand!$C:$C,Weekly_Product_Demand!$A:$A,A129,Weekly_Product_Demand!$B:$B,B129)=0,0,
(SUMIFS(Weekly_Product_Demand!$D:$D,Weekly_Product_Demand!$A:$A,A129,Weekly_Product_Demand!$B:$B,B129)-
SUMIFS(Weekly_Product_Demand!$C:$C,Weekly_Product_Demand!$A:$A,A129,Weekly_Product_Demand!$B:$B,B129))/
SUMIFS(Weekly_Product_Demand!$C:$C,Weekly_Product_Demand!$A:$A,A129,Weekly_Product_Demand!$B:$B,B129))</f>
        <v>1.7288766734639596E-2</v>
      </c>
      <c r="D129" s="25">
        <f>SUMIFS(Weekly_Inventory_Flow!$Q:$Q,Weekly_Inventory_Flow!$A:$A,A129,Weekly_Inventory_Flow!$B:$B,B129)</f>
        <v>1.01</v>
      </c>
      <c r="E129" s="26">
        <f>SUMIFS(Weekly_Inventory_Flow!$S:$S,Weekly_Inventory_Flow!$A:$A,A129,Weekly_Inventory_Flow!$B:$B,B129)</f>
        <v>2.1279414328046018</v>
      </c>
      <c r="F129" s="27">
        <f>SUMIFS(Weekly_Inventory_Flow!$N:$N,Weekly_Inventory_Flow!$A:$A,A129,Weekly_Inventory_Flow!$B:$B,B129)</f>
        <v>0</v>
      </c>
      <c r="G129" s="13" t="str">
        <f>_xlfn.XLOOKUP(B129,Product_Line_Map!$A$2:$A$6,Product_Line_Map!$B$2:$B$6,"")</f>
        <v>L03</v>
      </c>
      <c r="H129" s="25">
        <f>SUMIFS(Weekly_Line_Capacity!$J:$J,Weekly_Line_Capacity!$A:$A,A129,Weekly_Line_Capacity!$B:$B,G129)</f>
        <v>0.50238095238095237</v>
      </c>
      <c r="I129" s="27">
        <f>SUMIFS(Weekly_Line_Capacity!$K:$K,Weekly_Line_Capacity!$A:$A,A129,Weekly_Line_Capacity!$B:$B,G129)</f>
        <v>0</v>
      </c>
      <c r="J129" s="13" t="str" cm="1">
        <f t="array" ref="J129">_xlfn.XLOOKUP(1,(Weekly_Line_Capacity!$A$2:$A$157=A129)*(Weekly_Line_Capacity!$B$2:$B$157=G129),Weekly_Line_Capacity!$L$2:$L$157,"")</f>
        <v>WITHIN CAPACITY</v>
      </c>
      <c r="K129" s="13" t="str">
        <f>_xlfn.XLOOKUP(B129,BOM!$A$2:$A$21,BOM!$B$2:$B$21,"")</f>
        <v>M003</v>
      </c>
      <c r="L129" s="27">
        <f>SUMIFS(Weekly_Material_Inventory!$K:$K,Weekly_Material_Inventory!$A:$A,A129,Weekly_Material_Inventory!$B:$B,K129)</f>
        <v>0</v>
      </c>
      <c r="M129">
        <f t="shared" si="3"/>
        <v>0</v>
      </c>
      <c r="N129" t="str">
        <f t="shared" si="4"/>
        <v>OK</v>
      </c>
      <c r="O129" t="str">
        <f t="shared" si="5"/>
        <v>NONE</v>
      </c>
      <c r="P129" t="str" cm="1">
        <f t="array" ref="P129">_xlfn.SWITCH(O129,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29" t="str" cm="1">
        <f t="array" ref="Q129">_xlfn.SWITCH(O129,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29" t="str" cm="1">
        <f t="array" ref="R129">_xlfn.SWITCH(P129,
"Inventory / Service","Operations / Planning",
"Material Supply","Materials / Procurement",
"Capacity","Production / Planning",
"Production Execution","Production",
"Inventory","Operations / Planning",
"Demand Planning","Commercial / Planning",
"None","None",
"Operations")</f>
        <v>None</v>
      </c>
    </row>
    <row r="130" spans="1:18">
      <c r="A130" s="30">
        <f>Weekly_Inventory_Flow!A130</f>
        <v>46202</v>
      </c>
      <c r="B130" s="13" t="str">
        <f>Weekly_Inventory_Flow!B130</f>
        <v>P004</v>
      </c>
      <c r="C130" s="25">
        <f>IF(SUMIFS(Weekly_Product_Demand!$C:$C,Weekly_Product_Demand!$A:$A,A130,Weekly_Product_Demand!$B:$B,B130)=0,0,
(SUMIFS(Weekly_Product_Demand!$D:$D,Weekly_Product_Demand!$A:$A,A130,Weekly_Product_Demand!$B:$B,B130)-
SUMIFS(Weekly_Product_Demand!$C:$C,Weekly_Product_Demand!$A:$A,A130,Weekly_Product_Demand!$B:$B,B130))/
SUMIFS(Weekly_Product_Demand!$C:$C,Weekly_Product_Demand!$A:$A,A130,Weekly_Product_Demand!$B:$B,B130))</f>
        <v>2.7031593174522722E-2</v>
      </c>
      <c r="D130" s="25">
        <f>SUMIFS(Weekly_Inventory_Flow!$Q:$Q,Weekly_Inventory_Flow!$A:$A,A130,Weekly_Inventory_Flow!$B:$B,B130)</f>
        <v>1.01</v>
      </c>
      <c r="E130" s="26">
        <f>SUMIFS(Weekly_Inventory_Flow!$S:$S,Weekly_Inventory_Flow!$A:$A,A130,Weekly_Inventory_Flow!$B:$B,B130)</f>
        <v>2.078466853100839</v>
      </c>
      <c r="F130" s="27">
        <f>SUMIFS(Weekly_Inventory_Flow!$N:$N,Weekly_Inventory_Flow!$A:$A,A130,Weekly_Inventory_Flow!$B:$B,B130)</f>
        <v>0</v>
      </c>
      <c r="G130" s="13" t="str">
        <f>_xlfn.XLOOKUP(B130,Product_Line_Map!$A$2:$A$6,Product_Line_Map!$B$2:$B$6,"")</f>
        <v>L02</v>
      </c>
      <c r="H130" s="25">
        <f>SUMIFS(Weekly_Line_Capacity!$J:$J,Weekly_Line_Capacity!$A:$A,A130,Weekly_Line_Capacity!$B:$B,G130)</f>
        <v>0.4838095238095238</v>
      </c>
      <c r="I130" s="27">
        <f>SUMIFS(Weekly_Line_Capacity!$K:$K,Weekly_Line_Capacity!$A:$A,A130,Weekly_Line_Capacity!$B:$B,G130)</f>
        <v>0</v>
      </c>
      <c r="J130" s="13" t="str" cm="1">
        <f t="array" ref="J130">_xlfn.XLOOKUP(1,(Weekly_Line_Capacity!$A$2:$A$157=A130)*(Weekly_Line_Capacity!$B$2:$B$157=G130),Weekly_Line_Capacity!$L$2:$L$157,"")</f>
        <v>WITHIN CAPACITY</v>
      </c>
      <c r="K130" s="13" t="str">
        <f>_xlfn.XLOOKUP(B130,BOM!$A$2:$A$21,BOM!$B$2:$B$21,"")</f>
        <v>M004</v>
      </c>
      <c r="L130" s="27">
        <f>SUMIFS(Weekly_Material_Inventory!$K:$K,Weekly_Material_Inventory!$A:$A,A130,Weekly_Material_Inventory!$B:$B,K130)</f>
        <v>0</v>
      </c>
      <c r="M130">
        <f t="shared" si="3"/>
        <v>0</v>
      </c>
      <c r="N130" t="str">
        <f t="shared" si="4"/>
        <v>OK</v>
      </c>
      <c r="O130" t="str">
        <f t="shared" si="5"/>
        <v>NONE</v>
      </c>
      <c r="P130" t="str" cm="1">
        <f t="array" ref="P130">_xlfn.SWITCH(O130,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0" t="str" cm="1">
        <f t="array" ref="Q130">_xlfn.SWITCH(O130,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0" t="str" cm="1">
        <f t="array" ref="R130">_xlfn.SWITCH(P130,
"Inventory / Service","Operations / Planning",
"Material Supply","Materials / Procurement",
"Capacity","Production / Planning",
"Production Execution","Production",
"Inventory","Operations / Planning",
"Demand Planning","Commercial / Planning",
"None","None",
"Operations")</f>
        <v>None</v>
      </c>
    </row>
    <row r="131" spans="1:18">
      <c r="A131" s="30">
        <f>Weekly_Inventory_Flow!A131</f>
        <v>46202</v>
      </c>
      <c r="B131" s="13" t="str">
        <f>Weekly_Inventory_Flow!B131</f>
        <v>P005</v>
      </c>
      <c r="C131" s="25">
        <f>IF(SUMIFS(Weekly_Product_Demand!$C:$C,Weekly_Product_Demand!$A:$A,A131,Weekly_Product_Demand!$B:$B,B131)=0,0,
(SUMIFS(Weekly_Product_Demand!$D:$D,Weekly_Product_Demand!$A:$A,A131,Weekly_Product_Demand!$B:$B,B131)-
SUMIFS(Weekly_Product_Demand!$C:$C,Weekly_Product_Demand!$A:$A,A131,Weekly_Product_Demand!$B:$B,B131))/
SUMIFS(Weekly_Product_Demand!$C:$C,Weekly_Product_Demand!$A:$A,A131,Weekly_Product_Demand!$B:$B,B131))</f>
        <v>2.8094820017559263E-2</v>
      </c>
      <c r="D131" s="25">
        <f>SUMIFS(Weekly_Inventory_Flow!$Q:$Q,Weekly_Inventory_Flow!$A:$A,A131,Weekly_Inventory_Flow!$B:$B,B131)</f>
        <v>0.97</v>
      </c>
      <c r="E131" s="26">
        <f>SUMIFS(Weekly_Inventory_Flow!$S:$S,Weekly_Inventory_Flow!$A:$A,A131,Weekly_Inventory_Flow!$B:$B,B131)</f>
        <v>1.8179974380871051</v>
      </c>
      <c r="F131" s="27">
        <f>SUMIFS(Weekly_Inventory_Flow!$N:$N,Weekly_Inventory_Flow!$A:$A,A131,Weekly_Inventory_Flow!$B:$B,B131)</f>
        <v>0</v>
      </c>
      <c r="G131" s="13" t="str">
        <f>_xlfn.XLOOKUP(B131,Product_Line_Map!$A$2:$A$6,Product_Line_Map!$B$2:$B$6,"")</f>
        <v>L03</v>
      </c>
      <c r="H131" s="25">
        <f>SUMIFS(Weekly_Line_Capacity!$J:$J,Weekly_Line_Capacity!$A:$A,A131,Weekly_Line_Capacity!$B:$B,G131)</f>
        <v>0.50238095238095237</v>
      </c>
      <c r="I131" s="27">
        <f>SUMIFS(Weekly_Line_Capacity!$K:$K,Weekly_Line_Capacity!$A:$A,A131,Weekly_Line_Capacity!$B:$B,G131)</f>
        <v>0</v>
      </c>
      <c r="J131" s="13" t="str" cm="1">
        <f t="array" ref="J131">_xlfn.XLOOKUP(1,(Weekly_Line_Capacity!$A$2:$A$157=A131)*(Weekly_Line_Capacity!$B$2:$B$157=G131),Weekly_Line_Capacity!$L$2:$L$157,"")</f>
        <v>WITHIN CAPACITY</v>
      </c>
      <c r="K131" s="13" t="str">
        <f>_xlfn.XLOOKUP(B131,BOM!$A$2:$A$21,BOM!$B$2:$B$21,"")</f>
        <v>M005</v>
      </c>
      <c r="L131" s="27">
        <f>SUMIFS(Weekly_Material_Inventory!$K:$K,Weekly_Material_Inventory!$A:$A,A131,Weekly_Material_Inventory!$B:$B,K131)</f>
        <v>0</v>
      </c>
      <c r="M131">
        <f t="shared" ref="M131:M194" si="6">IF(F131&gt;0,5,0)
+IF(L131&gt;0,5,0)
+IF(J131="OVER CAPACITY",5,IF(H131&gt;=0.85,1,0))
+IF(D131&lt;0.9,3,IF(D131&lt;0.95,2,0))
+IF(E131&lt;1,3,IF(E131&lt;2,1,0))
+IF(ABS(C131)&gt;=0.1,2,IF(ABS(C131)&gt;=0.05,1,0))</f>
        <v>1</v>
      </c>
      <c r="N131" t="str">
        <f t="shared" ref="N131:N194" si="7">IF(OR(F131&gt;0,L131&gt;0,J131="OVER CAPACITY",M131&gt;=5),"CRITICAL",IF(M131&gt;=1,"WARNING","OK"))</f>
        <v>WARNING</v>
      </c>
      <c r="O131" t="str">
        <f t="shared" ref="O131:O194" si="8">IF(F131&gt;0,"FINISHED GOODS SHORTAGE",
IF(L131&gt;0,"MATERIAL SHORTAGE",
IF(J131="OVER CAPACITY","CAPACITY CONSTRAINT",
IF(D131&lt;0.9,"SEVERE PRODUCTION SHORTFALL",
IF(E131&lt;1,"CRITICAL LOW STOCK COVER",
IF(D131&lt;0.95,"LOW PRODUCTION ATTAINMENT",
IF(ABS(C131)&gt;=0.1,"HIGH FORECAST VARIANCE",
IF(E131&lt;2,"LOW STOCK COVER",
IF(H131&gt;=0.85,"HIGH CAPACITY UTILISATION",
IF(ABS(C131)&gt;=0.05,"FORECAST VARIANCE","NONE"))))))))))</f>
        <v>LOW STOCK COVER</v>
      </c>
      <c r="P131" t="str" cm="1">
        <f t="array" ref="P131">_xlfn.SWITCH(O131,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31" t="str" cm="1">
        <f t="array" ref="Q131">_xlfn.SWITCH(O131,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31" t="str" cm="1">
        <f t="array" ref="R131">_xlfn.SWITCH(P131,
"Inventory / Service","Operations / Planning",
"Material Supply","Materials / Procurement",
"Capacity","Production / Planning",
"Production Execution","Production",
"Inventory","Operations / Planning",
"Demand Planning","Commercial / Planning",
"None","None",
"Operations")</f>
        <v>Operations / Planning</v>
      </c>
    </row>
    <row r="132" spans="1:18">
      <c r="A132" s="30">
        <f>Weekly_Inventory_Flow!A132</f>
        <v>46209</v>
      </c>
      <c r="B132" s="13" t="str">
        <f>Weekly_Inventory_Flow!B132</f>
        <v>P001</v>
      </c>
      <c r="C132" s="25">
        <f>IF(SUMIFS(Weekly_Product_Demand!$C:$C,Weekly_Product_Demand!$A:$A,A132,Weekly_Product_Demand!$B:$B,B132)=0,0,
(SUMIFS(Weekly_Product_Demand!$D:$D,Weekly_Product_Demand!$A:$A,A132,Weekly_Product_Demand!$B:$B,B132)-
SUMIFS(Weekly_Product_Demand!$C:$C,Weekly_Product_Demand!$A:$A,A132,Weekly_Product_Demand!$B:$B,B132))/
SUMIFS(Weekly_Product_Demand!$C:$C,Weekly_Product_Demand!$A:$A,A132,Weekly_Product_Demand!$B:$B,B132))</f>
        <v>-4.659476117103236E-2</v>
      </c>
      <c r="D132" s="25">
        <f>SUMIFS(Weekly_Inventory_Flow!$Q:$Q,Weekly_Inventory_Flow!$A:$A,A132,Weekly_Inventory_Flow!$B:$B,B132)</f>
        <v>1</v>
      </c>
      <c r="E132" s="26">
        <f>SUMIFS(Weekly_Inventory_Flow!$S:$S,Weekly_Inventory_Flow!$A:$A,A132,Weekly_Inventory_Flow!$B:$B,B132)</f>
        <v>2.0051069881698882</v>
      </c>
      <c r="F132" s="27">
        <f>SUMIFS(Weekly_Inventory_Flow!$N:$N,Weekly_Inventory_Flow!$A:$A,A132,Weekly_Inventory_Flow!$B:$B,B132)</f>
        <v>0</v>
      </c>
      <c r="G132" s="13" t="str">
        <f>_xlfn.XLOOKUP(B132,Product_Line_Map!$A$2:$A$6,Product_Line_Map!$B$2:$B$6,"")</f>
        <v>L01</v>
      </c>
      <c r="H132" s="25">
        <f>SUMIFS(Weekly_Line_Capacity!$J:$J,Weekly_Line_Capacity!$A:$A,A132,Weekly_Line_Capacity!$B:$B,G132)</f>
        <v>0.23099415204678364</v>
      </c>
      <c r="I132" s="27">
        <f>SUMIFS(Weekly_Line_Capacity!$K:$K,Weekly_Line_Capacity!$A:$A,A132,Weekly_Line_Capacity!$B:$B,G132)</f>
        <v>0</v>
      </c>
      <c r="J132" s="13" t="str" cm="1">
        <f t="array" ref="J132">_xlfn.XLOOKUP(1,(Weekly_Line_Capacity!$A$2:$A$157=A132)*(Weekly_Line_Capacity!$B$2:$B$157=G132),Weekly_Line_Capacity!$L$2:$L$157,"")</f>
        <v>WITHIN CAPACITY</v>
      </c>
      <c r="K132" s="13" t="str">
        <f>_xlfn.XLOOKUP(B132,BOM!$A$2:$A$21,BOM!$B$2:$B$21,"")</f>
        <v>M001</v>
      </c>
      <c r="L132" s="27">
        <f>SUMIFS(Weekly_Material_Inventory!$K:$K,Weekly_Material_Inventory!$A:$A,A132,Weekly_Material_Inventory!$B:$B,K132)</f>
        <v>0</v>
      </c>
      <c r="M132">
        <f t="shared" si="6"/>
        <v>0</v>
      </c>
      <c r="N132" t="str">
        <f t="shared" si="7"/>
        <v>OK</v>
      </c>
      <c r="O132" t="str">
        <f t="shared" si="8"/>
        <v>NONE</v>
      </c>
      <c r="P132" t="str" cm="1">
        <f t="array" ref="P132">_xlfn.SWITCH(O132,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2" t="str" cm="1">
        <f t="array" ref="Q132">_xlfn.SWITCH(O132,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2" t="str" cm="1">
        <f t="array" ref="R132">_xlfn.SWITCH(P132,
"Inventory / Service","Operations / Planning",
"Material Supply","Materials / Procurement",
"Capacity","Production / Planning",
"Production Execution","Production",
"Inventory","Operations / Planning",
"Demand Planning","Commercial / Planning",
"None","None",
"Operations")</f>
        <v>None</v>
      </c>
    </row>
    <row r="133" spans="1:18">
      <c r="A133" s="30">
        <f>Weekly_Inventory_Flow!A133</f>
        <v>46209</v>
      </c>
      <c r="B133" s="13" t="str">
        <f>Weekly_Inventory_Flow!B133</f>
        <v>P002</v>
      </c>
      <c r="C133" s="25">
        <f>IF(SUMIFS(Weekly_Product_Demand!$C:$C,Weekly_Product_Demand!$A:$A,A133,Weekly_Product_Demand!$B:$B,B133)=0,0,
(SUMIFS(Weekly_Product_Demand!$D:$D,Weekly_Product_Demand!$A:$A,A133,Weekly_Product_Demand!$B:$B,B133)-
SUMIFS(Weekly_Product_Demand!$C:$C,Weekly_Product_Demand!$A:$A,A133,Weekly_Product_Demand!$B:$B,B133))/
SUMIFS(Weekly_Product_Demand!$C:$C,Weekly_Product_Demand!$A:$A,A133,Weekly_Product_Demand!$B:$B,B133))</f>
        <v>5.695509309967141E-3</v>
      </c>
      <c r="D133" s="25">
        <f>SUMIFS(Weekly_Inventory_Flow!$Q:$Q,Weekly_Inventory_Flow!$A:$A,A133,Weekly_Inventory_Flow!$B:$B,B133)</f>
        <v>0.97</v>
      </c>
      <c r="E133" s="26">
        <f>SUMIFS(Weekly_Inventory_Flow!$S:$S,Weekly_Inventory_Flow!$A:$A,A133,Weekly_Inventory_Flow!$B:$B,B133)</f>
        <v>1.8012052566615842</v>
      </c>
      <c r="F133" s="27">
        <f>SUMIFS(Weekly_Inventory_Flow!$N:$N,Weekly_Inventory_Flow!$A:$A,A133,Weekly_Inventory_Flow!$B:$B,B133)</f>
        <v>0</v>
      </c>
      <c r="G133" s="13" t="str">
        <f>_xlfn.XLOOKUP(B133,Product_Line_Map!$A$2:$A$6,Product_Line_Map!$B$2:$B$6,"")</f>
        <v>L02</v>
      </c>
      <c r="H133" s="25">
        <f>SUMIFS(Weekly_Line_Capacity!$J:$J,Weekly_Line_Capacity!$A:$A,A133,Weekly_Line_Capacity!$B:$B,G133)</f>
        <v>0.51047619047619053</v>
      </c>
      <c r="I133" s="27">
        <f>SUMIFS(Weekly_Line_Capacity!$K:$K,Weekly_Line_Capacity!$A:$A,A133,Weekly_Line_Capacity!$B:$B,G133)</f>
        <v>0</v>
      </c>
      <c r="J133" s="13" t="str" cm="1">
        <f t="array" ref="J133">_xlfn.XLOOKUP(1,(Weekly_Line_Capacity!$A$2:$A$157=A133)*(Weekly_Line_Capacity!$B$2:$B$157=G133),Weekly_Line_Capacity!$L$2:$L$157,"")</f>
        <v>WITHIN CAPACITY</v>
      </c>
      <c r="K133" s="13" t="str">
        <f>_xlfn.XLOOKUP(B133,BOM!$A$2:$A$21,BOM!$B$2:$B$21,"")</f>
        <v>M002</v>
      </c>
      <c r="L133" s="27">
        <f>SUMIFS(Weekly_Material_Inventory!$K:$K,Weekly_Material_Inventory!$A:$A,A133,Weekly_Material_Inventory!$B:$B,K133)</f>
        <v>0</v>
      </c>
      <c r="M133">
        <f t="shared" si="6"/>
        <v>1</v>
      </c>
      <c r="N133" t="str">
        <f t="shared" si="7"/>
        <v>WARNING</v>
      </c>
      <c r="O133" t="str">
        <f t="shared" si="8"/>
        <v>LOW STOCK COVER</v>
      </c>
      <c r="P133" t="str" cm="1">
        <f t="array" ref="P133">_xlfn.SWITCH(O133,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33" t="str" cm="1">
        <f t="array" ref="Q133">_xlfn.SWITCH(O133,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33" t="str" cm="1">
        <f t="array" ref="R133">_xlfn.SWITCH(P133,
"Inventory / Service","Operations / Planning",
"Material Supply","Materials / Procurement",
"Capacity","Production / Planning",
"Production Execution","Production",
"Inventory","Operations / Planning",
"Demand Planning","Commercial / Planning",
"None","None",
"Operations")</f>
        <v>Operations / Planning</v>
      </c>
    </row>
    <row r="134" spans="1:18">
      <c r="A134" s="30">
        <f>Weekly_Inventory_Flow!A134</f>
        <v>46209</v>
      </c>
      <c r="B134" s="13" t="str">
        <f>Weekly_Inventory_Flow!B134</f>
        <v>P003</v>
      </c>
      <c r="C134" s="25">
        <f>IF(SUMIFS(Weekly_Product_Demand!$C:$C,Weekly_Product_Demand!$A:$A,A134,Weekly_Product_Demand!$B:$B,B134)=0,0,
(SUMIFS(Weekly_Product_Demand!$D:$D,Weekly_Product_Demand!$A:$A,A134,Weekly_Product_Demand!$B:$B,B134)-
SUMIFS(Weekly_Product_Demand!$C:$C,Weekly_Product_Demand!$A:$A,A134,Weekly_Product_Demand!$B:$B,B134))/
SUMIFS(Weekly_Product_Demand!$C:$C,Weekly_Product_Demand!$A:$A,A134,Weekly_Product_Demand!$B:$B,B134))</f>
        <v>-1.7912707089395342E-2</v>
      </c>
      <c r="D134" s="25">
        <f>SUMIFS(Weekly_Inventory_Flow!$Q:$Q,Weekly_Inventory_Flow!$A:$A,A134,Weekly_Inventory_Flow!$B:$B,B134)</f>
        <v>1.01</v>
      </c>
      <c r="E134" s="26">
        <f>SUMIFS(Weekly_Inventory_Flow!$S:$S,Weekly_Inventory_Flow!$A:$A,A134,Weekly_Inventory_Flow!$B:$B,B134)</f>
        <v>2.1135468402123654</v>
      </c>
      <c r="F134" s="27">
        <f>SUMIFS(Weekly_Inventory_Flow!$N:$N,Weekly_Inventory_Flow!$A:$A,A134,Weekly_Inventory_Flow!$B:$B,B134)</f>
        <v>0</v>
      </c>
      <c r="G134" s="13" t="str">
        <f>_xlfn.XLOOKUP(B134,Product_Line_Map!$A$2:$A$6,Product_Line_Map!$B$2:$B$6,"")</f>
        <v>L03</v>
      </c>
      <c r="H134" s="25">
        <f>SUMIFS(Weekly_Line_Capacity!$J:$J,Weekly_Line_Capacity!$A:$A,A134,Weekly_Line_Capacity!$B:$B,G134)</f>
        <v>0.51666666666666661</v>
      </c>
      <c r="I134" s="27">
        <f>SUMIFS(Weekly_Line_Capacity!$K:$K,Weekly_Line_Capacity!$A:$A,A134,Weekly_Line_Capacity!$B:$B,G134)</f>
        <v>0</v>
      </c>
      <c r="J134" s="13" t="str" cm="1">
        <f t="array" ref="J134">_xlfn.XLOOKUP(1,(Weekly_Line_Capacity!$A$2:$A$157=A134)*(Weekly_Line_Capacity!$B$2:$B$157=G134),Weekly_Line_Capacity!$L$2:$L$157,"")</f>
        <v>WITHIN CAPACITY</v>
      </c>
      <c r="K134" s="13" t="str">
        <f>_xlfn.XLOOKUP(B134,BOM!$A$2:$A$21,BOM!$B$2:$B$21,"")</f>
        <v>M003</v>
      </c>
      <c r="L134" s="27">
        <f>SUMIFS(Weekly_Material_Inventory!$K:$K,Weekly_Material_Inventory!$A:$A,A134,Weekly_Material_Inventory!$B:$B,K134)</f>
        <v>0</v>
      </c>
      <c r="M134">
        <f t="shared" si="6"/>
        <v>0</v>
      </c>
      <c r="N134" t="str">
        <f t="shared" si="7"/>
        <v>OK</v>
      </c>
      <c r="O134" t="str">
        <f t="shared" si="8"/>
        <v>NONE</v>
      </c>
      <c r="P134" t="str" cm="1">
        <f t="array" ref="P134">_xlfn.SWITCH(O134,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4" t="str" cm="1">
        <f t="array" ref="Q134">_xlfn.SWITCH(O134,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4" t="str" cm="1">
        <f t="array" ref="R134">_xlfn.SWITCH(P134,
"Inventory / Service","Operations / Planning",
"Material Supply","Materials / Procurement",
"Capacity","Production / Planning",
"Production Execution","Production",
"Inventory","Operations / Planning",
"Demand Planning","Commercial / Planning",
"None","None",
"Operations")</f>
        <v>None</v>
      </c>
    </row>
    <row r="135" spans="1:18">
      <c r="A135" s="30">
        <f>Weekly_Inventory_Flow!A135</f>
        <v>46209</v>
      </c>
      <c r="B135" s="13" t="str">
        <f>Weekly_Inventory_Flow!B135</f>
        <v>P004</v>
      </c>
      <c r="C135" s="25">
        <f>IF(SUMIFS(Weekly_Product_Demand!$C:$C,Weekly_Product_Demand!$A:$A,A135,Weekly_Product_Demand!$B:$B,B135)=0,0,
(SUMIFS(Weekly_Product_Demand!$D:$D,Weekly_Product_Demand!$A:$A,A135,Weekly_Product_Demand!$B:$B,B135)-
SUMIFS(Weekly_Product_Demand!$C:$C,Weekly_Product_Demand!$A:$A,A135,Weekly_Product_Demand!$B:$B,B135))/
SUMIFS(Weekly_Product_Demand!$C:$C,Weekly_Product_Demand!$A:$A,A135,Weekly_Product_Demand!$B:$B,B135))</f>
        <v>-1.3721315353678732E-2</v>
      </c>
      <c r="D135" s="25">
        <f>SUMIFS(Weekly_Inventory_Flow!$Q:$Q,Weekly_Inventory_Flow!$A:$A,A135,Weekly_Inventory_Flow!$B:$B,B135)</f>
        <v>1.01</v>
      </c>
      <c r="E135" s="26">
        <f>SUMIFS(Weekly_Inventory_Flow!$S:$S,Weekly_Inventory_Flow!$A:$A,A135,Weekly_Inventory_Flow!$B:$B,B135)</f>
        <v>2.0865115535300229</v>
      </c>
      <c r="F135" s="27">
        <f>SUMIFS(Weekly_Inventory_Flow!$N:$N,Weekly_Inventory_Flow!$A:$A,A135,Weekly_Inventory_Flow!$B:$B,B135)</f>
        <v>0</v>
      </c>
      <c r="G135" s="13" t="str">
        <f>_xlfn.XLOOKUP(B135,Product_Line_Map!$A$2:$A$6,Product_Line_Map!$B$2:$B$6,"")</f>
        <v>L02</v>
      </c>
      <c r="H135" s="25">
        <f>SUMIFS(Weekly_Line_Capacity!$J:$J,Weekly_Line_Capacity!$A:$A,A135,Weekly_Line_Capacity!$B:$B,G135)</f>
        <v>0.51047619047619053</v>
      </c>
      <c r="I135" s="27">
        <f>SUMIFS(Weekly_Line_Capacity!$K:$K,Weekly_Line_Capacity!$A:$A,A135,Weekly_Line_Capacity!$B:$B,G135)</f>
        <v>0</v>
      </c>
      <c r="J135" s="13" t="str" cm="1">
        <f t="array" ref="J135">_xlfn.XLOOKUP(1,(Weekly_Line_Capacity!$A$2:$A$157=A135)*(Weekly_Line_Capacity!$B$2:$B$157=G135),Weekly_Line_Capacity!$L$2:$L$157,"")</f>
        <v>WITHIN CAPACITY</v>
      </c>
      <c r="K135" s="13" t="str">
        <f>_xlfn.XLOOKUP(B135,BOM!$A$2:$A$21,BOM!$B$2:$B$21,"")</f>
        <v>M004</v>
      </c>
      <c r="L135" s="27">
        <f>SUMIFS(Weekly_Material_Inventory!$K:$K,Weekly_Material_Inventory!$A:$A,A135,Weekly_Material_Inventory!$B:$B,K135)</f>
        <v>0</v>
      </c>
      <c r="M135">
        <f t="shared" si="6"/>
        <v>0</v>
      </c>
      <c r="N135" t="str">
        <f t="shared" si="7"/>
        <v>OK</v>
      </c>
      <c r="O135" t="str">
        <f t="shared" si="8"/>
        <v>NONE</v>
      </c>
      <c r="P135" t="str" cm="1">
        <f t="array" ref="P135">_xlfn.SWITCH(O135,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5" t="str" cm="1">
        <f t="array" ref="Q135">_xlfn.SWITCH(O135,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5" t="str" cm="1">
        <f t="array" ref="R135">_xlfn.SWITCH(P135,
"Inventory / Service","Operations / Planning",
"Material Supply","Materials / Procurement",
"Capacity","Production / Planning",
"Production Execution","Production",
"Inventory","Operations / Planning",
"Demand Planning","Commercial / Planning",
"None","None",
"Operations")</f>
        <v>None</v>
      </c>
    </row>
    <row r="136" spans="1:18">
      <c r="A136" s="30">
        <f>Weekly_Inventory_Flow!A136</f>
        <v>46209</v>
      </c>
      <c r="B136" s="13" t="str">
        <f>Weekly_Inventory_Flow!B136</f>
        <v>P005</v>
      </c>
      <c r="C136" s="25">
        <f>IF(SUMIFS(Weekly_Product_Demand!$C:$C,Weekly_Product_Demand!$A:$A,A136,Weekly_Product_Demand!$B:$B,B136)=0,0,
(SUMIFS(Weekly_Product_Demand!$D:$D,Weekly_Product_Demand!$A:$A,A136,Weekly_Product_Demand!$B:$B,B136)-
SUMIFS(Weekly_Product_Demand!$C:$C,Weekly_Product_Demand!$A:$A,A136,Weekly_Product_Demand!$B:$B,B136))/
SUMIFS(Weekly_Product_Demand!$C:$C,Weekly_Product_Demand!$A:$A,A136,Weekly_Product_Demand!$B:$B,B136))</f>
        <v>2.3917874907397607E-2</v>
      </c>
      <c r="D136" s="25">
        <f>SUMIFS(Weekly_Inventory_Flow!$Q:$Q,Weekly_Inventory_Flow!$A:$A,A136,Weekly_Inventory_Flow!$B:$B,B136)</f>
        <v>0.99</v>
      </c>
      <c r="E136" s="26">
        <f>SUMIFS(Weekly_Inventory_Flow!$S:$S,Weekly_Inventory_Flow!$A:$A,A136,Weekly_Inventory_Flow!$B:$B,B136)</f>
        <v>1.9947286821705428</v>
      </c>
      <c r="F136" s="27">
        <f>SUMIFS(Weekly_Inventory_Flow!$N:$N,Weekly_Inventory_Flow!$A:$A,A136,Weekly_Inventory_Flow!$B:$B,B136)</f>
        <v>0</v>
      </c>
      <c r="G136" s="13" t="str">
        <f>_xlfn.XLOOKUP(B136,Product_Line_Map!$A$2:$A$6,Product_Line_Map!$B$2:$B$6,"")</f>
        <v>L03</v>
      </c>
      <c r="H136" s="25">
        <f>SUMIFS(Weekly_Line_Capacity!$J:$J,Weekly_Line_Capacity!$A:$A,A136,Weekly_Line_Capacity!$B:$B,G136)</f>
        <v>0.51666666666666661</v>
      </c>
      <c r="I136" s="27">
        <f>SUMIFS(Weekly_Line_Capacity!$K:$K,Weekly_Line_Capacity!$A:$A,A136,Weekly_Line_Capacity!$B:$B,G136)</f>
        <v>0</v>
      </c>
      <c r="J136" s="13" t="str" cm="1">
        <f t="array" ref="J136">_xlfn.XLOOKUP(1,(Weekly_Line_Capacity!$A$2:$A$157=A136)*(Weekly_Line_Capacity!$B$2:$B$157=G136),Weekly_Line_Capacity!$L$2:$L$157,"")</f>
        <v>WITHIN CAPACITY</v>
      </c>
      <c r="K136" s="13" t="str">
        <f>_xlfn.XLOOKUP(B136,BOM!$A$2:$A$21,BOM!$B$2:$B$21,"")</f>
        <v>M005</v>
      </c>
      <c r="L136" s="27">
        <f>SUMIFS(Weekly_Material_Inventory!$K:$K,Weekly_Material_Inventory!$A:$A,A136,Weekly_Material_Inventory!$B:$B,K136)</f>
        <v>0</v>
      </c>
      <c r="M136">
        <f t="shared" si="6"/>
        <v>1</v>
      </c>
      <c r="N136" t="str">
        <f t="shared" si="7"/>
        <v>WARNING</v>
      </c>
      <c r="O136" t="str">
        <f t="shared" si="8"/>
        <v>LOW STOCK COVER</v>
      </c>
      <c r="P136" t="str" cm="1">
        <f t="array" ref="P136">_xlfn.SWITCH(O136,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36" t="str" cm="1">
        <f t="array" ref="Q136">_xlfn.SWITCH(O136,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36" t="str" cm="1">
        <f t="array" ref="R136">_xlfn.SWITCH(P136,
"Inventory / Service","Operations / Planning",
"Material Supply","Materials / Procurement",
"Capacity","Production / Planning",
"Production Execution","Production",
"Inventory","Operations / Planning",
"Demand Planning","Commercial / Planning",
"None","None",
"Operations")</f>
        <v>Operations / Planning</v>
      </c>
    </row>
    <row r="137" spans="1:18">
      <c r="A137" s="30">
        <f>Weekly_Inventory_Flow!A137</f>
        <v>46216</v>
      </c>
      <c r="B137" s="13" t="str">
        <f>Weekly_Inventory_Flow!B137</f>
        <v>P001</v>
      </c>
      <c r="C137" s="25">
        <f>IF(SUMIFS(Weekly_Product_Demand!$C:$C,Weekly_Product_Demand!$A:$A,A137,Weekly_Product_Demand!$B:$B,B137)=0,0,
(SUMIFS(Weekly_Product_Demand!$D:$D,Weekly_Product_Demand!$A:$A,A137,Weekly_Product_Demand!$B:$B,B137)-
SUMIFS(Weekly_Product_Demand!$C:$C,Weekly_Product_Demand!$A:$A,A137,Weekly_Product_Demand!$B:$B,B137))/
SUMIFS(Weekly_Product_Demand!$C:$C,Weekly_Product_Demand!$A:$A,A137,Weekly_Product_Demand!$B:$B,B137))</f>
        <v>-1.6269390843738175E-2</v>
      </c>
      <c r="D137" s="25">
        <f>SUMIFS(Weekly_Inventory_Flow!$Q:$Q,Weekly_Inventory_Flow!$A:$A,A137,Weekly_Inventory_Flow!$B:$B,B137)</f>
        <v>0.98</v>
      </c>
      <c r="E137" s="26">
        <f>SUMIFS(Weekly_Inventory_Flow!$S:$S,Weekly_Inventory_Flow!$A:$A,A137,Weekly_Inventory_Flow!$B:$B,B137)</f>
        <v>1.8922435897435899</v>
      </c>
      <c r="F137" s="27">
        <f>SUMIFS(Weekly_Inventory_Flow!$N:$N,Weekly_Inventory_Flow!$A:$A,A137,Weekly_Inventory_Flow!$B:$B,B137)</f>
        <v>0</v>
      </c>
      <c r="G137" s="13" t="str">
        <f>_xlfn.XLOOKUP(B137,Product_Line_Map!$A$2:$A$6,Product_Line_Map!$B$2:$B$6,"")</f>
        <v>L01</v>
      </c>
      <c r="H137" s="25">
        <f>SUMIFS(Weekly_Line_Capacity!$J:$J,Weekly_Line_Capacity!$A:$A,A137,Weekly_Line_Capacity!$B:$B,G137)</f>
        <v>0.22953216374269003</v>
      </c>
      <c r="I137" s="27">
        <f>SUMIFS(Weekly_Line_Capacity!$K:$K,Weekly_Line_Capacity!$A:$A,A137,Weekly_Line_Capacity!$B:$B,G137)</f>
        <v>0</v>
      </c>
      <c r="J137" s="13" t="str" cm="1">
        <f t="array" ref="J137">_xlfn.XLOOKUP(1,(Weekly_Line_Capacity!$A$2:$A$157=A137)*(Weekly_Line_Capacity!$B$2:$B$157=G137),Weekly_Line_Capacity!$L$2:$L$157,"")</f>
        <v>WITHIN CAPACITY</v>
      </c>
      <c r="K137" s="13" t="str">
        <f>_xlfn.XLOOKUP(B137,BOM!$A$2:$A$21,BOM!$B$2:$B$21,"")</f>
        <v>M001</v>
      </c>
      <c r="L137" s="27">
        <f>SUMIFS(Weekly_Material_Inventory!$K:$K,Weekly_Material_Inventory!$A:$A,A137,Weekly_Material_Inventory!$B:$B,K137)</f>
        <v>0</v>
      </c>
      <c r="M137">
        <f t="shared" si="6"/>
        <v>1</v>
      </c>
      <c r="N137" t="str">
        <f t="shared" si="7"/>
        <v>WARNING</v>
      </c>
      <c r="O137" t="str">
        <f t="shared" si="8"/>
        <v>LOW STOCK COVER</v>
      </c>
      <c r="P137" t="str" cm="1">
        <f t="array" ref="P137">_xlfn.SWITCH(O137,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37" t="str" cm="1">
        <f t="array" ref="Q137">_xlfn.SWITCH(O137,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37" t="str" cm="1">
        <f t="array" ref="R137">_xlfn.SWITCH(P137,
"Inventory / Service","Operations / Planning",
"Material Supply","Materials / Procurement",
"Capacity","Production / Planning",
"Production Execution","Production",
"Inventory","Operations / Planning",
"Demand Planning","Commercial / Planning",
"None","None",
"Operations")</f>
        <v>Operations / Planning</v>
      </c>
    </row>
    <row r="138" spans="1:18">
      <c r="A138" s="30">
        <f>Weekly_Inventory_Flow!A138</f>
        <v>46216</v>
      </c>
      <c r="B138" s="13" t="str">
        <f>Weekly_Inventory_Flow!B138</f>
        <v>P002</v>
      </c>
      <c r="C138" s="25">
        <f>IF(SUMIFS(Weekly_Product_Demand!$C:$C,Weekly_Product_Demand!$A:$A,A138,Weekly_Product_Demand!$B:$B,B138)=0,0,
(SUMIFS(Weekly_Product_Demand!$D:$D,Weekly_Product_Demand!$A:$A,A138,Weekly_Product_Demand!$B:$B,B138)-
SUMIFS(Weekly_Product_Demand!$C:$C,Weekly_Product_Demand!$A:$A,A138,Weekly_Product_Demand!$B:$B,B138))/
SUMIFS(Weekly_Product_Demand!$C:$C,Weekly_Product_Demand!$A:$A,A138,Weekly_Product_Demand!$B:$B,B138))</f>
        <v>-1.0855405992184108E-2</v>
      </c>
      <c r="D138" s="25">
        <f>SUMIFS(Weekly_Inventory_Flow!$Q:$Q,Weekly_Inventory_Flow!$A:$A,A138,Weekly_Inventory_Flow!$B:$B,B138)</f>
        <v>1</v>
      </c>
      <c r="E138" s="26">
        <f>SUMIFS(Weekly_Inventory_Flow!$S:$S,Weekly_Inventory_Flow!$A:$A,A138,Weekly_Inventory_Flow!$B:$B,B138)</f>
        <v>2.0362891425226808</v>
      </c>
      <c r="F138" s="27">
        <f>SUMIFS(Weekly_Inventory_Flow!$N:$N,Weekly_Inventory_Flow!$A:$A,A138,Weekly_Inventory_Flow!$B:$B,B138)</f>
        <v>0</v>
      </c>
      <c r="G138" s="13" t="str">
        <f>_xlfn.XLOOKUP(B138,Product_Line_Map!$A$2:$A$6,Product_Line_Map!$B$2:$B$6,"")</f>
        <v>L02</v>
      </c>
      <c r="H138" s="25">
        <f>SUMIFS(Weekly_Line_Capacity!$J:$J,Weekly_Line_Capacity!$A:$A,A138,Weekly_Line_Capacity!$B:$B,G138)</f>
        <v>0.49904761904761902</v>
      </c>
      <c r="I138" s="27">
        <f>SUMIFS(Weekly_Line_Capacity!$K:$K,Weekly_Line_Capacity!$A:$A,A138,Weekly_Line_Capacity!$B:$B,G138)</f>
        <v>0</v>
      </c>
      <c r="J138" s="13" t="str" cm="1">
        <f t="array" ref="J138">_xlfn.XLOOKUP(1,(Weekly_Line_Capacity!$A$2:$A$157=A138)*(Weekly_Line_Capacity!$B$2:$B$157=G138),Weekly_Line_Capacity!$L$2:$L$157,"")</f>
        <v>WITHIN CAPACITY</v>
      </c>
      <c r="K138" s="13" t="str">
        <f>_xlfn.XLOOKUP(B138,BOM!$A$2:$A$21,BOM!$B$2:$B$21,"")</f>
        <v>M002</v>
      </c>
      <c r="L138" s="27">
        <f>SUMIFS(Weekly_Material_Inventory!$K:$K,Weekly_Material_Inventory!$A:$A,A138,Weekly_Material_Inventory!$B:$B,K138)</f>
        <v>0</v>
      </c>
      <c r="M138">
        <f t="shared" si="6"/>
        <v>0</v>
      </c>
      <c r="N138" t="str">
        <f t="shared" si="7"/>
        <v>OK</v>
      </c>
      <c r="O138" t="str">
        <f t="shared" si="8"/>
        <v>NONE</v>
      </c>
      <c r="P138" t="str" cm="1">
        <f t="array" ref="P138">_xlfn.SWITCH(O138,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8" t="str" cm="1">
        <f t="array" ref="Q138">_xlfn.SWITCH(O138,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8" t="str" cm="1">
        <f t="array" ref="R138">_xlfn.SWITCH(P138,
"Inventory / Service","Operations / Planning",
"Material Supply","Materials / Procurement",
"Capacity","Production / Planning",
"Production Execution","Production",
"Inventory","Operations / Planning",
"Demand Planning","Commercial / Planning",
"None","None",
"Operations")</f>
        <v>None</v>
      </c>
    </row>
    <row r="139" spans="1:18">
      <c r="A139" s="30">
        <f>Weekly_Inventory_Flow!A139</f>
        <v>46216</v>
      </c>
      <c r="B139" s="13" t="str">
        <f>Weekly_Inventory_Flow!B139</f>
        <v>P003</v>
      </c>
      <c r="C139" s="25">
        <f>IF(SUMIFS(Weekly_Product_Demand!$C:$C,Weekly_Product_Demand!$A:$A,A139,Weekly_Product_Demand!$B:$B,B139)=0,0,
(SUMIFS(Weekly_Product_Demand!$D:$D,Weekly_Product_Demand!$A:$A,A139,Weekly_Product_Demand!$B:$B,B139)-
SUMIFS(Weekly_Product_Demand!$C:$C,Weekly_Product_Demand!$A:$A,A139,Weekly_Product_Demand!$B:$B,B139))/
SUMIFS(Weekly_Product_Demand!$C:$C,Weekly_Product_Demand!$A:$A,A139,Weekly_Product_Demand!$B:$B,B139))</f>
        <v>3.1529612270984234E-2</v>
      </c>
      <c r="D139" s="25">
        <f>SUMIFS(Weekly_Inventory_Flow!$Q:$Q,Weekly_Inventory_Flow!$A:$A,A139,Weekly_Inventory_Flow!$B:$B,B139)</f>
        <v>1</v>
      </c>
      <c r="E139" s="26">
        <f>SUMIFS(Weekly_Inventory_Flow!$S:$S,Weekly_Inventory_Flow!$A:$A,A139,Weekly_Inventory_Flow!$B:$B,B139)</f>
        <v>2.0361007847996695</v>
      </c>
      <c r="F139" s="27">
        <f>SUMIFS(Weekly_Inventory_Flow!$N:$N,Weekly_Inventory_Flow!$A:$A,A139,Weekly_Inventory_Flow!$B:$B,B139)</f>
        <v>0</v>
      </c>
      <c r="G139" s="13" t="str">
        <f>_xlfn.XLOOKUP(B139,Product_Line_Map!$A$2:$A$6,Product_Line_Map!$B$2:$B$6,"")</f>
        <v>L03</v>
      </c>
      <c r="H139" s="25">
        <f>SUMIFS(Weekly_Line_Capacity!$J:$J,Weekly_Line_Capacity!$A:$A,A139,Weekly_Line_Capacity!$B:$B,G139)</f>
        <v>0.52142857142857146</v>
      </c>
      <c r="I139" s="27">
        <f>SUMIFS(Weekly_Line_Capacity!$K:$K,Weekly_Line_Capacity!$A:$A,A139,Weekly_Line_Capacity!$B:$B,G139)</f>
        <v>0</v>
      </c>
      <c r="J139" s="13" t="str" cm="1">
        <f t="array" ref="J139">_xlfn.XLOOKUP(1,(Weekly_Line_Capacity!$A$2:$A$157=A139)*(Weekly_Line_Capacity!$B$2:$B$157=G139),Weekly_Line_Capacity!$L$2:$L$157,"")</f>
        <v>WITHIN CAPACITY</v>
      </c>
      <c r="K139" s="13" t="str">
        <f>_xlfn.XLOOKUP(B139,BOM!$A$2:$A$21,BOM!$B$2:$B$21,"")</f>
        <v>M003</v>
      </c>
      <c r="L139" s="27">
        <f>SUMIFS(Weekly_Material_Inventory!$K:$K,Weekly_Material_Inventory!$A:$A,A139,Weekly_Material_Inventory!$B:$B,K139)</f>
        <v>0</v>
      </c>
      <c r="M139">
        <f t="shared" si="6"/>
        <v>0</v>
      </c>
      <c r="N139" t="str">
        <f t="shared" si="7"/>
        <v>OK</v>
      </c>
      <c r="O139" t="str">
        <f t="shared" si="8"/>
        <v>NONE</v>
      </c>
      <c r="P139" t="str" cm="1">
        <f t="array" ref="P139">_xlfn.SWITCH(O139,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39" t="str" cm="1">
        <f t="array" ref="Q139">_xlfn.SWITCH(O139,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39" t="str" cm="1">
        <f t="array" ref="R139">_xlfn.SWITCH(P139,
"Inventory / Service","Operations / Planning",
"Material Supply","Materials / Procurement",
"Capacity","Production / Planning",
"Production Execution","Production",
"Inventory","Operations / Planning",
"Demand Planning","Commercial / Planning",
"None","None",
"Operations")</f>
        <v>None</v>
      </c>
    </row>
    <row r="140" spans="1:18">
      <c r="A140" s="30">
        <f>Weekly_Inventory_Flow!A140</f>
        <v>46216</v>
      </c>
      <c r="B140" s="13" t="str">
        <f>Weekly_Inventory_Flow!B140</f>
        <v>P004</v>
      </c>
      <c r="C140" s="25">
        <f>IF(SUMIFS(Weekly_Product_Demand!$C:$C,Weekly_Product_Demand!$A:$A,A140,Weekly_Product_Demand!$B:$B,B140)=0,0,
(SUMIFS(Weekly_Product_Demand!$D:$D,Weekly_Product_Demand!$A:$A,A140,Weekly_Product_Demand!$B:$B,B140)-
SUMIFS(Weekly_Product_Demand!$C:$C,Weekly_Product_Demand!$A:$A,A140,Weekly_Product_Demand!$B:$B,B140))/
SUMIFS(Weekly_Product_Demand!$C:$C,Weekly_Product_Demand!$A:$A,A140,Weekly_Product_Demand!$B:$B,B140))</f>
        <v>-5.4798737781882552E-2</v>
      </c>
      <c r="D140" s="25">
        <f>SUMIFS(Weekly_Inventory_Flow!$Q:$Q,Weekly_Inventory_Flow!$A:$A,A140,Weekly_Inventory_Flow!$B:$B,B140)</f>
        <v>0.99</v>
      </c>
      <c r="E140" s="26">
        <f>SUMIFS(Weekly_Inventory_Flow!$S:$S,Weekly_Inventory_Flow!$A:$A,A140,Weekly_Inventory_Flow!$B:$B,B140)</f>
        <v>1.952772575523166</v>
      </c>
      <c r="F140" s="27">
        <f>SUMIFS(Weekly_Inventory_Flow!$N:$N,Weekly_Inventory_Flow!$A:$A,A140,Weekly_Inventory_Flow!$B:$B,B140)</f>
        <v>0</v>
      </c>
      <c r="G140" s="13" t="str">
        <f>_xlfn.XLOOKUP(B140,Product_Line_Map!$A$2:$A$6,Product_Line_Map!$B$2:$B$6,"")</f>
        <v>L02</v>
      </c>
      <c r="H140" s="25">
        <f>SUMIFS(Weekly_Line_Capacity!$J:$J,Weekly_Line_Capacity!$A:$A,A140,Weekly_Line_Capacity!$B:$B,G140)</f>
        <v>0.49904761904761902</v>
      </c>
      <c r="I140" s="27">
        <f>SUMIFS(Weekly_Line_Capacity!$K:$K,Weekly_Line_Capacity!$A:$A,A140,Weekly_Line_Capacity!$B:$B,G140)</f>
        <v>0</v>
      </c>
      <c r="J140" s="13" t="str" cm="1">
        <f t="array" ref="J140">_xlfn.XLOOKUP(1,(Weekly_Line_Capacity!$A$2:$A$157=A140)*(Weekly_Line_Capacity!$B$2:$B$157=G140),Weekly_Line_Capacity!$L$2:$L$157,"")</f>
        <v>WITHIN CAPACITY</v>
      </c>
      <c r="K140" s="13" t="str">
        <f>_xlfn.XLOOKUP(B140,BOM!$A$2:$A$21,BOM!$B$2:$B$21,"")</f>
        <v>M004</v>
      </c>
      <c r="L140" s="27">
        <f>SUMIFS(Weekly_Material_Inventory!$K:$K,Weekly_Material_Inventory!$A:$A,A140,Weekly_Material_Inventory!$B:$B,K140)</f>
        <v>0</v>
      </c>
      <c r="M140">
        <f t="shared" si="6"/>
        <v>2</v>
      </c>
      <c r="N140" t="str">
        <f t="shared" si="7"/>
        <v>WARNING</v>
      </c>
      <c r="O140" t="str">
        <f t="shared" si="8"/>
        <v>LOW STOCK COVER</v>
      </c>
      <c r="P140" t="str" cm="1">
        <f t="array" ref="P140">_xlfn.SWITCH(O140,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40" t="str" cm="1">
        <f t="array" ref="Q140">_xlfn.SWITCH(O140,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40" t="str" cm="1">
        <f t="array" ref="R140">_xlfn.SWITCH(P140,
"Inventory / Service","Operations / Planning",
"Material Supply","Materials / Procurement",
"Capacity","Production / Planning",
"Production Execution","Production",
"Inventory","Operations / Planning",
"Demand Planning","Commercial / Planning",
"None","None",
"Operations")</f>
        <v>Operations / Planning</v>
      </c>
    </row>
    <row r="141" spans="1:18">
      <c r="A141" s="30">
        <f>Weekly_Inventory_Flow!A141</f>
        <v>46216</v>
      </c>
      <c r="B141" s="13" t="str">
        <f>Weekly_Inventory_Flow!B141</f>
        <v>P005</v>
      </c>
      <c r="C141" s="25">
        <f>IF(SUMIFS(Weekly_Product_Demand!$C:$C,Weekly_Product_Demand!$A:$A,A141,Weekly_Product_Demand!$B:$B,B141)=0,0,
(SUMIFS(Weekly_Product_Demand!$D:$D,Weekly_Product_Demand!$A:$A,A141,Weekly_Product_Demand!$B:$B,B141)-
SUMIFS(Weekly_Product_Demand!$C:$C,Weekly_Product_Demand!$A:$A,A141,Weekly_Product_Demand!$B:$B,B141))/
SUMIFS(Weekly_Product_Demand!$C:$C,Weekly_Product_Demand!$A:$A,A141,Weekly_Product_Demand!$B:$B,B141))</f>
        <v>-9.7829409966371135E-3</v>
      </c>
      <c r="D141" s="25">
        <f>SUMIFS(Weekly_Inventory_Flow!$Q:$Q,Weekly_Inventory_Flow!$A:$A,A141,Weekly_Inventory_Flow!$B:$B,B141)</f>
        <v>0.99</v>
      </c>
      <c r="E141" s="26">
        <f>SUMIFS(Weekly_Inventory_Flow!$S:$S,Weekly_Inventory_Flow!$A:$A,A141,Weekly_Inventory_Flow!$B:$B,B141)</f>
        <v>1.9753010188329732</v>
      </c>
      <c r="F141" s="27">
        <f>SUMIFS(Weekly_Inventory_Flow!$N:$N,Weekly_Inventory_Flow!$A:$A,A141,Weekly_Inventory_Flow!$B:$B,B141)</f>
        <v>0</v>
      </c>
      <c r="G141" s="13" t="str">
        <f>_xlfn.XLOOKUP(B141,Product_Line_Map!$A$2:$A$6,Product_Line_Map!$B$2:$B$6,"")</f>
        <v>L03</v>
      </c>
      <c r="H141" s="25">
        <f>SUMIFS(Weekly_Line_Capacity!$J:$J,Weekly_Line_Capacity!$A:$A,A141,Weekly_Line_Capacity!$B:$B,G141)</f>
        <v>0.52142857142857146</v>
      </c>
      <c r="I141" s="27">
        <f>SUMIFS(Weekly_Line_Capacity!$K:$K,Weekly_Line_Capacity!$A:$A,A141,Weekly_Line_Capacity!$B:$B,G141)</f>
        <v>0</v>
      </c>
      <c r="J141" s="13" t="str" cm="1">
        <f t="array" ref="J141">_xlfn.XLOOKUP(1,(Weekly_Line_Capacity!$A$2:$A$157=A141)*(Weekly_Line_Capacity!$B$2:$B$157=G141),Weekly_Line_Capacity!$L$2:$L$157,"")</f>
        <v>WITHIN CAPACITY</v>
      </c>
      <c r="K141" s="13" t="str">
        <f>_xlfn.XLOOKUP(B141,BOM!$A$2:$A$21,BOM!$B$2:$B$21,"")</f>
        <v>M005</v>
      </c>
      <c r="L141" s="27">
        <f>SUMIFS(Weekly_Material_Inventory!$K:$K,Weekly_Material_Inventory!$A:$A,A141,Weekly_Material_Inventory!$B:$B,K141)</f>
        <v>0</v>
      </c>
      <c r="M141">
        <f t="shared" si="6"/>
        <v>1</v>
      </c>
      <c r="N141" t="str">
        <f t="shared" si="7"/>
        <v>WARNING</v>
      </c>
      <c r="O141" t="str">
        <f t="shared" si="8"/>
        <v>LOW STOCK COVER</v>
      </c>
      <c r="P141" t="str" cm="1">
        <f t="array" ref="P141">_xlfn.SWITCH(O141,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41" t="str" cm="1">
        <f t="array" ref="Q141">_xlfn.SWITCH(O141,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41" t="str" cm="1">
        <f t="array" ref="R141">_xlfn.SWITCH(P141,
"Inventory / Service","Operations / Planning",
"Material Supply","Materials / Procurement",
"Capacity","Production / Planning",
"Production Execution","Production",
"Inventory","Operations / Planning",
"Demand Planning","Commercial / Planning",
"None","None",
"Operations")</f>
        <v>Operations / Planning</v>
      </c>
    </row>
    <row r="142" spans="1:18">
      <c r="A142" s="30">
        <f>Weekly_Inventory_Flow!A142</f>
        <v>46223</v>
      </c>
      <c r="B142" s="13" t="str">
        <f>Weekly_Inventory_Flow!B142</f>
        <v>P001</v>
      </c>
      <c r="C142" s="25">
        <f>IF(SUMIFS(Weekly_Product_Demand!$C:$C,Weekly_Product_Demand!$A:$A,A142,Weekly_Product_Demand!$B:$B,B142)=0,0,
(SUMIFS(Weekly_Product_Demand!$D:$D,Weekly_Product_Demand!$A:$A,A142,Weekly_Product_Demand!$B:$B,B142)-
SUMIFS(Weekly_Product_Demand!$C:$C,Weekly_Product_Demand!$A:$A,A142,Weekly_Product_Demand!$B:$B,B142))/
SUMIFS(Weekly_Product_Demand!$C:$C,Weekly_Product_Demand!$A:$A,A142,Weekly_Product_Demand!$B:$B,B142))</f>
        <v>-3.116255405749173E-3</v>
      </c>
      <c r="D142" s="25">
        <f>SUMIFS(Weekly_Inventory_Flow!$Q:$Q,Weekly_Inventory_Flow!$A:$A,A142,Weekly_Inventory_Flow!$B:$B,B142)</f>
        <v>1.01</v>
      </c>
      <c r="E142" s="26">
        <f>SUMIFS(Weekly_Inventory_Flow!$S:$S,Weekly_Inventory_Flow!$A:$A,A142,Weekly_Inventory_Flow!$B:$B,B142)</f>
        <v>2.0997767145135566</v>
      </c>
      <c r="F142" s="27">
        <f>SUMIFS(Weekly_Inventory_Flow!$N:$N,Weekly_Inventory_Flow!$A:$A,A142,Weekly_Inventory_Flow!$B:$B,B142)</f>
        <v>0</v>
      </c>
      <c r="G142" s="13" t="str">
        <f>_xlfn.XLOOKUP(B142,Product_Line_Map!$A$2:$A$6,Product_Line_Map!$B$2:$B$6,"")</f>
        <v>L01</v>
      </c>
      <c r="H142" s="25">
        <f>SUMIFS(Weekly_Line_Capacity!$J:$J,Weekly_Line_Capacity!$A:$A,A142,Weekly_Line_Capacity!$B:$B,G142)</f>
        <v>0.23391812865497078</v>
      </c>
      <c r="I142" s="27">
        <f>SUMIFS(Weekly_Line_Capacity!$K:$K,Weekly_Line_Capacity!$A:$A,A142,Weekly_Line_Capacity!$B:$B,G142)</f>
        <v>0</v>
      </c>
      <c r="J142" s="13" t="str" cm="1">
        <f t="array" ref="J142">_xlfn.XLOOKUP(1,(Weekly_Line_Capacity!$A$2:$A$157=A142)*(Weekly_Line_Capacity!$B$2:$B$157=G142),Weekly_Line_Capacity!$L$2:$L$157,"")</f>
        <v>WITHIN CAPACITY</v>
      </c>
      <c r="K142" s="13" t="str">
        <f>_xlfn.XLOOKUP(B142,BOM!$A$2:$A$21,BOM!$B$2:$B$21,"")</f>
        <v>M001</v>
      </c>
      <c r="L142" s="27">
        <f>SUMIFS(Weekly_Material_Inventory!$K:$K,Weekly_Material_Inventory!$A:$A,A142,Weekly_Material_Inventory!$B:$B,K142)</f>
        <v>0</v>
      </c>
      <c r="M142">
        <f t="shared" si="6"/>
        <v>0</v>
      </c>
      <c r="N142" t="str">
        <f t="shared" si="7"/>
        <v>OK</v>
      </c>
      <c r="O142" t="str">
        <f t="shared" si="8"/>
        <v>NONE</v>
      </c>
      <c r="P142" t="str" cm="1">
        <f t="array" ref="P142">_xlfn.SWITCH(O142,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42" t="str" cm="1">
        <f t="array" ref="Q142">_xlfn.SWITCH(O142,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42" t="str" cm="1">
        <f t="array" ref="R142">_xlfn.SWITCH(P142,
"Inventory / Service","Operations / Planning",
"Material Supply","Materials / Procurement",
"Capacity","Production / Planning",
"Production Execution","Production",
"Inventory","Operations / Planning",
"Demand Planning","Commercial / Planning",
"None","None",
"Operations")</f>
        <v>None</v>
      </c>
    </row>
    <row r="143" spans="1:18">
      <c r="A143" s="30">
        <f>Weekly_Inventory_Flow!A143</f>
        <v>46223</v>
      </c>
      <c r="B143" s="13" t="str">
        <f>Weekly_Inventory_Flow!B143</f>
        <v>P002</v>
      </c>
      <c r="C143" s="25">
        <f>IF(SUMIFS(Weekly_Product_Demand!$C:$C,Weekly_Product_Demand!$A:$A,A143,Weekly_Product_Demand!$B:$B,B143)=0,0,
(SUMIFS(Weekly_Product_Demand!$D:$D,Weekly_Product_Demand!$A:$A,A143,Weekly_Product_Demand!$B:$B,B143)-
SUMIFS(Weekly_Product_Demand!$C:$C,Weekly_Product_Demand!$A:$A,A143,Weekly_Product_Demand!$B:$B,B143))/
SUMIFS(Weekly_Product_Demand!$C:$C,Weekly_Product_Demand!$A:$A,A143,Weekly_Product_Demand!$B:$B,B143))</f>
        <v>5.5053952873816338E-3</v>
      </c>
      <c r="D143" s="25">
        <f>SUMIFS(Weekly_Inventory_Flow!$Q:$Q,Weekly_Inventory_Flow!$A:$A,A143,Weekly_Inventory_Flow!$B:$B,B143)</f>
        <v>0.98</v>
      </c>
      <c r="E143" s="26">
        <f>SUMIFS(Weekly_Inventory_Flow!$S:$S,Weekly_Inventory_Flow!$A:$A,A143,Weekly_Inventory_Flow!$B:$B,B143)</f>
        <v>1.8928310702292306</v>
      </c>
      <c r="F143" s="27">
        <f>SUMIFS(Weekly_Inventory_Flow!$N:$N,Weekly_Inventory_Flow!$A:$A,A143,Weekly_Inventory_Flow!$B:$B,B143)</f>
        <v>0</v>
      </c>
      <c r="G143" s="13" t="str">
        <f>_xlfn.XLOOKUP(B143,Product_Line_Map!$A$2:$A$6,Product_Line_Map!$B$2:$B$6,"")</f>
        <v>L02</v>
      </c>
      <c r="H143" s="25">
        <f>SUMIFS(Weekly_Line_Capacity!$J:$J,Weekly_Line_Capacity!$A:$A,A143,Weekly_Line_Capacity!$B:$B,G143)</f>
        <v>0.50476190476190474</v>
      </c>
      <c r="I143" s="27">
        <f>SUMIFS(Weekly_Line_Capacity!$K:$K,Weekly_Line_Capacity!$A:$A,A143,Weekly_Line_Capacity!$B:$B,G143)</f>
        <v>0</v>
      </c>
      <c r="J143" s="13" t="str" cm="1">
        <f t="array" ref="J143">_xlfn.XLOOKUP(1,(Weekly_Line_Capacity!$A$2:$A$157=A143)*(Weekly_Line_Capacity!$B$2:$B$157=G143),Weekly_Line_Capacity!$L$2:$L$157,"")</f>
        <v>WITHIN CAPACITY</v>
      </c>
      <c r="K143" s="13" t="str">
        <f>_xlfn.XLOOKUP(B143,BOM!$A$2:$A$21,BOM!$B$2:$B$21,"")</f>
        <v>M002</v>
      </c>
      <c r="L143" s="27">
        <f>SUMIFS(Weekly_Material_Inventory!$K:$K,Weekly_Material_Inventory!$A:$A,A143,Weekly_Material_Inventory!$B:$B,K143)</f>
        <v>0</v>
      </c>
      <c r="M143">
        <f t="shared" si="6"/>
        <v>1</v>
      </c>
      <c r="N143" t="str">
        <f t="shared" si="7"/>
        <v>WARNING</v>
      </c>
      <c r="O143" t="str">
        <f t="shared" si="8"/>
        <v>LOW STOCK COVER</v>
      </c>
      <c r="P143" t="str" cm="1">
        <f t="array" ref="P143">_xlfn.SWITCH(O143,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43" t="str" cm="1">
        <f t="array" ref="Q143">_xlfn.SWITCH(O143,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43" t="str" cm="1">
        <f t="array" ref="R143">_xlfn.SWITCH(P143,
"Inventory / Service","Operations / Planning",
"Material Supply","Materials / Procurement",
"Capacity","Production / Planning",
"Production Execution","Production",
"Inventory","Operations / Planning",
"Demand Planning","Commercial / Planning",
"None","None",
"Operations")</f>
        <v>Operations / Planning</v>
      </c>
    </row>
    <row r="144" spans="1:18">
      <c r="A144" s="30">
        <f>Weekly_Inventory_Flow!A144</f>
        <v>46223</v>
      </c>
      <c r="B144" s="13" t="str">
        <f>Weekly_Inventory_Flow!B144</f>
        <v>P003</v>
      </c>
      <c r="C144" s="25">
        <f>IF(SUMIFS(Weekly_Product_Demand!$C:$C,Weekly_Product_Demand!$A:$A,A144,Weekly_Product_Demand!$B:$B,B144)=0,0,
(SUMIFS(Weekly_Product_Demand!$D:$D,Weekly_Product_Demand!$A:$A,A144,Weekly_Product_Demand!$B:$B,B144)-
SUMIFS(Weekly_Product_Demand!$C:$C,Weekly_Product_Demand!$A:$A,A144,Weekly_Product_Demand!$B:$B,B144))/
SUMIFS(Weekly_Product_Demand!$C:$C,Weekly_Product_Demand!$A:$A,A144,Weekly_Product_Demand!$B:$B,B144))</f>
        <v>-5.3895231699126932E-2</v>
      </c>
      <c r="D144" s="25">
        <f>SUMIFS(Weekly_Inventory_Flow!$Q:$Q,Weekly_Inventory_Flow!$A:$A,A144,Weekly_Inventory_Flow!$B:$B,B144)</f>
        <v>0.98</v>
      </c>
      <c r="E144" s="26">
        <f>SUMIFS(Weekly_Inventory_Flow!$S:$S,Weekly_Inventory_Flow!$A:$A,A144,Weekly_Inventory_Flow!$B:$B,B144)</f>
        <v>1.8826086956521739</v>
      </c>
      <c r="F144" s="27">
        <f>SUMIFS(Weekly_Inventory_Flow!$N:$N,Weekly_Inventory_Flow!$A:$A,A144,Weekly_Inventory_Flow!$B:$B,B144)</f>
        <v>0</v>
      </c>
      <c r="G144" s="13" t="str">
        <f>_xlfn.XLOOKUP(B144,Product_Line_Map!$A$2:$A$6,Product_Line_Map!$B$2:$B$6,"")</f>
        <v>L03</v>
      </c>
      <c r="H144" s="25">
        <f>SUMIFS(Weekly_Line_Capacity!$J:$J,Weekly_Line_Capacity!$A:$A,A144,Weekly_Line_Capacity!$B:$B,G144)</f>
        <v>0.49285714285714288</v>
      </c>
      <c r="I144" s="27">
        <f>SUMIFS(Weekly_Line_Capacity!$K:$K,Weekly_Line_Capacity!$A:$A,A144,Weekly_Line_Capacity!$B:$B,G144)</f>
        <v>0</v>
      </c>
      <c r="J144" s="13" t="str" cm="1">
        <f t="array" ref="J144">_xlfn.XLOOKUP(1,(Weekly_Line_Capacity!$A$2:$A$157=A144)*(Weekly_Line_Capacity!$B$2:$B$157=G144),Weekly_Line_Capacity!$L$2:$L$157,"")</f>
        <v>WITHIN CAPACITY</v>
      </c>
      <c r="K144" s="13" t="str">
        <f>_xlfn.XLOOKUP(B144,BOM!$A$2:$A$21,BOM!$B$2:$B$21,"")</f>
        <v>M003</v>
      </c>
      <c r="L144" s="27">
        <f>SUMIFS(Weekly_Material_Inventory!$K:$K,Weekly_Material_Inventory!$A:$A,A144,Weekly_Material_Inventory!$B:$B,K144)</f>
        <v>0</v>
      </c>
      <c r="M144">
        <f t="shared" si="6"/>
        <v>2</v>
      </c>
      <c r="N144" t="str">
        <f t="shared" si="7"/>
        <v>WARNING</v>
      </c>
      <c r="O144" t="str">
        <f t="shared" si="8"/>
        <v>LOW STOCK COVER</v>
      </c>
      <c r="P144" t="str" cm="1">
        <f t="array" ref="P144">_xlfn.SWITCH(O144,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44" t="str" cm="1">
        <f t="array" ref="Q144">_xlfn.SWITCH(O144,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44" t="str" cm="1">
        <f t="array" ref="R144">_xlfn.SWITCH(P144,
"Inventory / Service","Operations / Planning",
"Material Supply","Materials / Procurement",
"Capacity","Production / Planning",
"Production Execution","Production",
"Inventory","Operations / Planning",
"Demand Planning","Commercial / Planning",
"None","None",
"Operations")</f>
        <v>Operations / Planning</v>
      </c>
    </row>
    <row r="145" spans="1:18">
      <c r="A145" s="30">
        <f>Weekly_Inventory_Flow!A145</f>
        <v>46223</v>
      </c>
      <c r="B145" s="13" t="str">
        <f>Weekly_Inventory_Flow!B145</f>
        <v>P004</v>
      </c>
      <c r="C145" s="25">
        <f>IF(SUMIFS(Weekly_Product_Demand!$C:$C,Weekly_Product_Demand!$A:$A,A145,Weekly_Product_Demand!$B:$B,B145)=0,0,
(SUMIFS(Weekly_Product_Demand!$D:$D,Weekly_Product_Demand!$A:$A,A145,Weekly_Product_Demand!$B:$B,B145)-
SUMIFS(Weekly_Product_Demand!$C:$C,Weekly_Product_Demand!$A:$A,A145,Weekly_Product_Demand!$B:$B,B145))/
SUMIFS(Weekly_Product_Demand!$C:$C,Weekly_Product_Demand!$A:$A,A145,Weekly_Product_Demand!$B:$B,B145))</f>
        <v>4.9481245011971271E-3</v>
      </c>
      <c r="D145" s="25">
        <f>SUMIFS(Weekly_Inventory_Flow!$Q:$Q,Weekly_Inventory_Flow!$A:$A,A145,Weekly_Inventory_Flow!$B:$B,B145)</f>
        <v>1.02</v>
      </c>
      <c r="E145" s="26">
        <f>SUMIFS(Weekly_Inventory_Flow!$S:$S,Weekly_Inventory_Flow!$A:$A,A145,Weekly_Inventory_Flow!$B:$B,B145)</f>
        <v>2.1624841168996189</v>
      </c>
      <c r="F145" s="27">
        <f>SUMIFS(Weekly_Inventory_Flow!$N:$N,Weekly_Inventory_Flow!$A:$A,A145,Weekly_Inventory_Flow!$B:$B,B145)</f>
        <v>0</v>
      </c>
      <c r="G145" s="13" t="str">
        <f>_xlfn.XLOOKUP(B145,Product_Line_Map!$A$2:$A$6,Product_Line_Map!$B$2:$B$6,"")</f>
        <v>L02</v>
      </c>
      <c r="H145" s="25">
        <f>SUMIFS(Weekly_Line_Capacity!$J:$J,Weekly_Line_Capacity!$A:$A,A145,Weekly_Line_Capacity!$B:$B,G145)</f>
        <v>0.50476190476190474</v>
      </c>
      <c r="I145" s="27">
        <f>SUMIFS(Weekly_Line_Capacity!$K:$K,Weekly_Line_Capacity!$A:$A,A145,Weekly_Line_Capacity!$B:$B,G145)</f>
        <v>0</v>
      </c>
      <c r="J145" s="13" t="str" cm="1">
        <f t="array" ref="J145">_xlfn.XLOOKUP(1,(Weekly_Line_Capacity!$A$2:$A$157=A145)*(Weekly_Line_Capacity!$B$2:$B$157=G145),Weekly_Line_Capacity!$L$2:$L$157,"")</f>
        <v>WITHIN CAPACITY</v>
      </c>
      <c r="K145" s="13" t="str">
        <f>_xlfn.XLOOKUP(B145,BOM!$A$2:$A$21,BOM!$B$2:$B$21,"")</f>
        <v>M004</v>
      </c>
      <c r="L145" s="27">
        <f>SUMIFS(Weekly_Material_Inventory!$K:$K,Weekly_Material_Inventory!$A:$A,A145,Weekly_Material_Inventory!$B:$B,K145)</f>
        <v>0</v>
      </c>
      <c r="M145">
        <f t="shared" si="6"/>
        <v>0</v>
      </c>
      <c r="N145" t="str">
        <f t="shared" si="7"/>
        <v>OK</v>
      </c>
      <c r="O145" t="str">
        <f t="shared" si="8"/>
        <v>NONE</v>
      </c>
      <c r="P145" t="str" cm="1">
        <f t="array" ref="P145">_xlfn.SWITCH(O145,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45" t="str" cm="1">
        <f t="array" ref="Q145">_xlfn.SWITCH(O145,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45" t="str" cm="1">
        <f t="array" ref="R145">_xlfn.SWITCH(P145,
"Inventory / Service","Operations / Planning",
"Material Supply","Materials / Procurement",
"Capacity","Production / Planning",
"Production Execution","Production",
"Inventory","Operations / Planning",
"Demand Planning","Commercial / Planning",
"None","None",
"Operations")</f>
        <v>None</v>
      </c>
    </row>
    <row r="146" spans="1:18">
      <c r="A146" s="30">
        <f>Weekly_Inventory_Flow!A146</f>
        <v>46223</v>
      </c>
      <c r="B146" s="13" t="str">
        <f>Weekly_Inventory_Flow!B146</f>
        <v>P005</v>
      </c>
      <c r="C146" s="25">
        <f>IF(SUMIFS(Weekly_Product_Demand!$C:$C,Weekly_Product_Demand!$A:$A,A146,Weekly_Product_Demand!$B:$B,B146)=0,0,
(SUMIFS(Weekly_Product_Demand!$D:$D,Weekly_Product_Demand!$A:$A,A146,Weekly_Product_Demand!$B:$B,B146)-
SUMIFS(Weekly_Product_Demand!$C:$C,Weekly_Product_Demand!$A:$A,A146,Weekly_Product_Demand!$B:$B,B146))/
SUMIFS(Weekly_Product_Demand!$C:$C,Weekly_Product_Demand!$A:$A,A146,Weekly_Product_Demand!$B:$B,B146))</f>
        <v>3.7511722413254142E-3</v>
      </c>
      <c r="D146" s="25">
        <f>SUMIFS(Weekly_Inventory_Flow!$Q:$Q,Weekly_Inventory_Flow!$A:$A,A146,Weekly_Inventory_Flow!$B:$B,B146)</f>
        <v>1.02</v>
      </c>
      <c r="E146" s="26">
        <f>SUMIFS(Weekly_Inventory_Flow!$S:$S,Weekly_Inventory_Flow!$A:$A,A146,Weekly_Inventory_Flow!$B:$B,B146)</f>
        <v>2.1821862348178138</v>
      </c>
      <c r="F146" s="27">
        <f>SUMIFS(Weekly_Inventory_Flow!$N:$N,Weekly_Inventory_Flow!$A:$A,A146,Weekly_Inventory_Flow!$B:$B,B146)</f>
        <v>0</v>
      </c>
      <c r="G146" s="13" t="str">
        <f>_xlfn.XLOOKUP(B146,Product_Line_Map!$A$2:$A$6,Product_Line_Map!$B$2:$B$6,"")</f>
        <v>L03</v>
      </c>
      <c r="H146" s="25">
        <f>SUMIFS(Weekly_Line_Capacity!$J:$J,Weekly_Line_Capacity!$A:$A,A146,Weekly_Line_Capacity!$B:$B,G146)</f>
        <v>0.49285714285714288</v>
      </c>
      <c r="I146" s="27">
        <f>SUMIFS(Weekly_Line_Capacity!$K:$K,Weekly_Line_Capacity!$A:$A,A146,Weekly_Line_Capacity!$B:$B,G146)</f>
        <v>0</v>
      </c>
      <c r="J146" s="13" t="str" cm="1">
        <f t="array" ref="J146">_xlfn.XLOOKUP(1,(Weekly_Line_Capacity!$A$2:$A$157=A146)*(Weekly_Line_Capacity!$B$2:$B$157=G146),Weekly_Line_Capacity!$L$2:$L$157,"")</f>
        <v>WITHIN CAPACITY</v>
      </c>
      <c r="K146" s="13" t="str">
        <f>_xlfn.XLOOKUP(B146,BOM!$A$2:$A$21,BOM!$B$2:$B$21,"")</f>
        <v>M005</v>
      </c>
      <c r="L146" s="27">
        <f>SUMIFS(Weekly_Material_Inventory!$K:$K,Weekly_Material_Inventory!$A:$A,A146,Weekly_Material_Inventory!$B:$B,K146)</f>
        <v>0</v>
      </c>
      <c r="M146">
        <f t="shared" si="6"/>
        <v>0</v>
      </c>
      <c r="N146" t="str">
        <f t="shared" si="7"/>
        <v>OK</v>
      </c>
      <c r="O146" t="str">
        <f t="shared" si="8"/>
        <v>NONE</v>
      </c>
      <c r="P146" t="str" cm="1">
        <f t="array" ref="P146">_xlfn.SWITCH(O146,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46" t="str" cm="1">
        <f t="array" ref="Q146">_xlfn.SWITCH(O146,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46" t="str" cm="1">
        <f t="array" ref="R146">_xlfn.SWITCH(P146,
"Inventory / Service","Operations / Planning",
"Material Supply","Materials / Procurement",
"Capacity","Production / Planning",
"Production Execution","Production",
"Inventory","Operations / Planning",
"Demand Planning","Commercial / Planning",
"None","None",
"Operations")</f>
        <v>None</v>
      </c>
    </row>
    <row r="147" spans="1:18">
      <c r="A147" s="30">
        <f>Weekly_Inventory_Flow!A147</f>
        <v>46230</v>
      </c>
      <c r="B147" s="13" t="str">
        <f>Weekly_Inventory_Flow!B147</f>
        <v>P001</v>
      </c>
      <c r="C147" s="25">
        <f>IF(SUMIFS(Weekly_Product_Demand!$C:$C,Weekly_Product_Demand!$A:$A,A147,Weekly_Product_Demand!$B:$B,B147)=0,0,
(SUMIFS(Weekly_Product_Demand!$D:$D,Weekly_Product_Demand!$A:$A,A147,Weekly_Product_Demand!$B:$B,B147)-
SUMIFS(Weekly_Product_Demand!$C:$C,Weekly_Product_Demand!$A:$A,A147,Weekly_Product_Demand!$B:$B,B147))/
SUMIFS(Weekly_Product_Demand!$C:$C,Weekly_Product_Demand!$A:$A,A147,Weekly_Product_Demand!$B:$B,B147))</f>
        <v>-2.6418417410995093E-3</v>
      </c>
      <c r="D147" s="25">
        <f>SUMIFS(Weekly_Inventory_Flow!$Q:$Q,Weekly_Inventory_Flow!$A:$A,A147,Weekly_Inventory_Flow!$B:$B,B147)</f>
        <v>0.98</v>
      </c>
      <c r="E147" s="26">
        <f>SUMIFS(Weekly_Inventory_Flow!$S:$S,Weekly_Inventory_Flow!$A:$A,A147,Weekly_Inventory_Flow!$B:$B,B147)</f>
        <v>1.8683148335015134</v>
      </c>
      <c r="F147" s="27">
        <f>SUMIFS(Weekly_Inventory_Flow!$N:$N,Weekly_Inventory_Flow!$A:$A,A147,Weekly_Inventory_Flow!$B:$B,B147)</f>
        <v>0</v>
      </c>
      <c r="G147" s="13" t="str">
        <f>_xlfn.XLOOKUP(B147,Product_Line_Map!$A$2:$A$6,Product_Line_Map!$B$2:$B$6,"")</f>
        <v>L01</v>
      </c>
      <c r="H147" s="25">
        <f>SUMIFS(Weekly_Line_Capacity!$J:$J,Weekly_Line_Capacity!$A:$A,A147,Weekly_Line_Capacity!$B:$B,G147)</f>
        <v>0.22953216374269003</v>
      </c>
      <c r="I147" s="27">
        <f>SUMIFS(Weekly_Line_Capacity!$K:$K,Weekly_Line_Capacity!$A:$A,A147,Weekly_Line_Capacity!$B:$B,G147)</f>
        <v>0</v>
      </c>
      <c r="J147" s="13" t="str" cm="1">
        <f t="array" ref="J147">_xlfn.XLOOKUP(1,(Weekly_Line_Capacity!$A$2:$A$157=A147)*(Weekly_Line_Capacity!$B$2:$B$157=G147),Weekly_Line_Capacity!$L$2:$L$157,"")</f>
        <v>WITHIN CAPACITY</v>
      </c>
      <c r="K147" s="13" t="str">
        <f>_xlfn.XLOOKUP(B147,BOM!$A$2:$A$21,BOM!$B$2:$B$21,"")</f>
        <v>M001</v>
      </c>
      <c r="L147" s="27">
        <f>SUMIFS(Weekly_Material_Inventory!$K:$K,Weekly_Material_Inventory!$A:$A,A147,Weekly_Material_Inventory!$B:$B,K147)</f>
        <v>0</v>
      </c>
      <c r="M147">
        <f t="shared" si="6"/>
        <v>1</v>
      </c>
      <c r="N147" t="str">
        <f t="shared" si="7"/>
        <v>WARNING</v>
      </c>
      <c r="O147" t="str">
        <f t="shared" si="8"/>
        <v>LOW STOCK COVER</v>
      </c>
      <c r="P147" t="str" cm="1">
        <f t="array" ref="P147">_xlfn.SWITCH(O147,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47" t="str" cm="1">
        <f t="array" ref="Q147">_xlfn.SWITCH(O147,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47" t="str" cm="1">
        <f t="array" ref="R147">_xlfn.SWITCH(P147,
"Inventory / Service","Operations / Planning",
"Material Supply","Materials / Procurement",
"Capacity","Production / Planning",
"Production Execution","Production",
"Inventory","Operations / Planning",
"Demand Planning","Commercial / Planning",
"None","None",
"Operations")</f>
        <v>Operations / Planning</v>
      </c>
    </row>
    <row r="148" spans="1:18">
      <c r="A148" s="30">
        <f>Weekly_Inventory_Flow!A148</f>
        <v>46230</v>
      </c>
      <c r="B148" s="13" t="str">
        <f>Weekly_Inventory_Flow!B148</f>
        <v>P002</v>
      </c>
      <c r="C148" s="25">
        <f>IF(SUMIFS(Weekly_Product_Demand!$C:$C,Weekly_Product_Demand!$A:$A,A148,Weekly_Product_Demand!$B:$B,B148)=0,0,
(SUMIFS(Weekly_Product_Demand!$D:$D,Weekly_Product_Demand!$A:$A,A148,Weekly_Product_Demand!$B:$B,B148)-
SUMIFS(Weekly_Product_Demand!$C:$C,Weekly_Product_Demand!$A:$A,A148,Weekly_Product_Demand!$B:$B,B148))/
SUMIFS(Weekly_Product_Demand!$C:$C,Weekly_Product_Demand!$A:$A,A148,Weekly_Product_Demand!$B:$B,B148))</f>
        <v>2.2179647778350894E-2</v>
      </c>
      <c r="D148" s="25">
        <f>SUMIFS(Weekly_Inventory_Flow!$Q:$Q,Weekly_Inventory_Flow!$A:$A,A148,Weekly_Inventory_Flow!$B:$B,B148)</f>
        <v>1.02</v>
      </c>
      <c r="E148" s="26">
        <f>SUMIFS(Weekly_Inventory_Flow!$S:$S,Weekly_Inventory_Flow!$A:$A,A148,Weekly_Inventory_Flow!$B:$B,B148)</f>
        <v>2.1779123414071511</v>
      </c>
      <c r="F148" s="27">
        <f>SUMIFS(Weekly_Inventory_Flow!$N:$N,Weekly_Inventory_Flow!$A:$A,A148,Weekly_Inventory_Flow!$B:$B,B148)</f>
        <v>0</v>
      </c>
      <c r="G148" s="13" t="str">
        <f>_xlfn.XLOOKUP(B148,Product_Line_Map!$A$2:$A$6,Product_Line_Map!$B$2:$B$6,"")</f>
        <v>L02</v>
      </c>
      <c r="H148" s="25">
        <f>SUMIFS(Weekly_Line_Capacity!$J:$J,Weekly_Line_Capacity!$A:$A,A148,Weekly_Line_Capacity!$B:$B,G148)</f>
        <v>0.49714285714285711</v>
      </c>
      <c r="I148" s="27">
        <f>SUMIFS(Weekly_Line_Capacity!$K:$K,Weekly_Line_Capacity!$A:$A,A148,Weekly_Line_Capacity!$B:$B,G148)</f>
        <v>0</v>
      </c>
      <c r="J148" s="13" t="str" cm="1">
        <f t="array" ref="J148">_xlfn.XLOOKUP(1,(Weekly_Line_Capacity!$A$2:$A$157=A148)*(Weekly_Line_Capacity!$B$2:$B$157=G148),Weekly_Line_Capacity!$L$2:$L$157,"")</f>
        <v>WITHIN CAPACITY</v>
      </c>
      <c r="K148" s="13" t="str">
        <f>_xlfn.XLOOKUP(B148,BOM!$A$2:$A$21,BOM!$B$2:$B$21,"")</f>
        <v>M002</v>
      </c>
      <c r="L148" s="27">
        <f>SUMIFS(Weekly_Material_Inventory!$K:$K,Weekly_Material_Inventory!$A:$A,A148,Weekly_Material_Inventory!$B:$B,K148)</f>
        <v>0</v>
      </c>
      <c r="M148">
        <f t="shared" si="6"/>
        <v>0</v>
      </c>
      <c r="N148" t="str">
        <f t="shared" si="7"/>
        <v>OK</v>
      </c>
      <c r="O148" t="str">
        <f t="shared" si="8"/>
        <v>NONE</v>
      </c>
      <c r="P148" t="str" cm="1">
        <f t="array" ref="P148">_xlfn.SWITCH(O148,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48" t="str" cm="1">
        <f t="array" ref="Q148">_xlfn.SWITCH(O148,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48" t="str" cm="1">
        <f t="array" ref="R148">_xlfn.SWITCH(P148,
"Inventory / Service","Operations / Planning",
"Material Supply","Materials / Procurement",
"Capacity","Production / Planning",
"Production Execution","Production",
"Inventory","Operations / Planning",
"Demand Planning","Commercial / Planning",
"None","None",
"Operations")</f>
        <v>None</v>
      </c>
    </row>
    <row r="149" spans="1:18">
      <c r="A149" s="30">
        <f>Weekly_Inventory_Flow!A149</f>
        <v>46230</v>
      </c>
      <c r="B149" s="13" t="str">
        <f>Weekly_Inventory_Flow!B149</f>
        <v>P003</v>
      </c>
      <c r="C149" s="25">
        <f>IF(SUMIFS(Weekly_Product_Demand!$C:$C,Weekly_Product_Demand!$A:$A,A149,Weekly_Product_Demand!$B:$B,B149)=0,0,
(SUMIFS(Weekly_Product_Demand!$D:$D,Weekly_Product_Demand!$A:$A,A149,Weekly_Product_Demand!$B:$B,B149)-
SUMIFS(Weekly_Product_Demand!$C:$C,Weekly_Product_Demand!$A:$A,A149,Weekly_Product_Demand!$B:$B,B149))/
SUMIFS(Weekly_Product_Demand!$C:$C,Weekly_Product_Demand!$A:$A,A149,Weekly_Product_Demand!$B:$B,B149))</f>
        <v>-1.3101516150296639E-2</v>
      </c>
      <c r="D149" s="25">
        <f>SUMIFS(Weekly_Inventory_Flow!$Q:$Q,Weekly_Inventory_Flow!$A:$A,A149,Weekly_Inventory_Flow!$B:$B,B149)</f>
        <v>1.01</v>
      </c>
      <c r="E149" s="26">
        <f>SUMIFS(Weekly_Inventory_Flow!$S:$S,Weekly_Inventory_Flow!$A:$A,A149,Weekly_Inventory_Flow!$B:$B,B149)</f>
        <v>2.0911747516072472</v>
      </c>
      <c r="F149" s="27">
        <f>SUMIFS(Weekly_Inventory_Flow!$N:$N,Weekly_Inventory_Flow!$A:$A,A149,Weekly_Inventory_Flow!$B:$B,B149)</f>
        <v>0</v>
      </c>
      <c r="G149" s="13" t="str">
        <f>_xlfn.XLOOKUP(B149,Product_Line_Map!$A$2:$A$6,Product_Line_Map!$B$2:$B$6,"")</f>
        <v>L03</v>
      </c>
      <c r="H149" s="25">
        <f>SUMIFS(Weekly_Line_Capacity!$J:$J,Weekly_Line_Capacity!$A:$A,A149,Weekly_Line_Capacity!$B:$B,G149)</f>
        <v>0.51666666666666661</v>
      </c>
      <c r="I149" s="27">
        <f>SUMIFS(Weekly_Line_Capacity!$K:$K,Weekly_Line_Capacity!$A:$A,A149,Weekly_Line_Capacity!$B:$B,G149)</f>
        <v>0</v>
      </c>
      <c r="J149" s="13" t="str" cm="1">
        <f t="array" ref="J149">_xlfn.XLOOKUP(1,(Weekly_Line_Capacity!$A$2:$A$157=A149)*(Weekly_Line_Capacity!$B$2:$B$157=G149),Weekly_Line_Capacity!$L$2:$L$157,"")</f>
        <v>WITHIN CAPACITY</v>
      </c>
      <c r="K149" s="13" t="str">
        <f>_xlfn.XLOOKUP(B149,BOM!$A$2:$A$21,BOM!$B$2:$B$21,"")</f>
        <v>M003</v>
      </c>
      <c r="L149" s="27">
        <f>SUMIFS(Weekly_Material_Inventory!$K:$K,Weekly_Material_Inventory!$A:$A,A149,Weekly_Material_Inventory!$B:$B,K149)</f>
        <v>0</v>
      </c>
      <c r="M149">
        <f t="shared" si="6"/>
        <v>0</v>
      </c>
      <c r="N149" t="str">
        <f t="shared" si="7"/>
        <v>OK</v>
      </c>
      <c r="O149" t="str">
        <f t="shared" si="8"/>
        <v>NONE</v>
      </c>
      <c r="P149" t="str" cm="1">
        <f t="array" ref="P149">_xlfn.SWITCH(O149,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49" t="str" cm="1">
        <f t="array" ref="Q149">_xlfn.SWITCH(O149,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49" t="str" cm="1">
        <f t="array" ref="R149">_xlfn.SWITCH(P149,
"Inventory / Service","Operations / Planning",
"Material Supply","Materials / Procurement",
"Capacity","Production / Planning",
"Production Execution","Production",
"Inventory","Operations / Planning",
"Demand Planning","Commercial / Planning",
"None","None",
"Operations")</f>
        <v>None</v>
      </c>
    </row>
    <row r="150" spans="1:18">
      <c r="A150" s="30">
        <f>Weekly_Inventory_Flow!A150</f>
        <v>46230</v>
      </c>
      <c r="B150" s="13" t="str">
        <f>Weekly_Inventory_Flow!B150</f>
        <v>P004</v>
      </c>
      <c r="C150" s="25">
        <f>IF(SUMIFS(Weekly_Product_Demand!$C:$C,Weekly_Product_Demand!$A:$A,A150,Weekly_Product_Demand!$B:$B,B150)=0,0,
(SUMIFS(Weekly_Product_Demand!$D:$D,Weekly_Product_Demand!$A:$A,A150,Weekly_Product_Demand!$B:$B,B150)-
SUMIFS(Weekly_Product_Demand!$C:$C,Weekly_Product_Demand!$A:$A,A150,Weekly_Product_Demand!$B:$B,B150))/
SUMIFS(Weekly_Product_Demand!$C:$C,Weekly_Product_Demand!$A:$A,A150,Weekly_Product_Demand!$B:$B,B150))</f>
        <v>-3.7066122192555361E-2</v>
      </c>
      <c r="D150" s="25">
        <f>SUMIFS(Weekly_Inventory_Flow!$Q:$Q,Weekly_Inventory_Flow!$A:$A,A150,Weekly_Inventory_Flow!$B:$B,B150)</f>
        <v>1.02</v>
      </c>
      <c r="E150" s="26">
        <f>SUMIFS(Weekly_Inventory_Flow!$S:$S,Weekly_Inventory_Flow!$A:$A,A150,Weekly_Inventory_Flow!$B:$B,B150)</f>
        <v>2.1498939814059694</v>
      </c>
      <c r="F150" s="27">
        <f>SUMIFS(Weekly_Inventory_Flow!$N:$N,Weekly_Inventory_Flow!$A:$A,A150,Weekly_Inventory_Flow!$B:$B,B150)</f>
        <v>0</v>
      </c>
      <c r="G150" s="13" t="str">
        <f>_xlfn.XLOOKUP(B150,Product_Line_Map!$A$2:$A$6,Product_Line_Map!$B$2:$B$6,"")</f>
        <v>L02</v>
      </c>
      <c r="H150" s="25">
        <f>SUMIFS(Weekly_Line_Capacity!$J:$J,Weekly_Line_Capacity!$A:$A,A150,Weekly_Line_Capacity!$B:$B,G150)</f>
        <v>0.49714285714285711</v>
      </c>
      <c r="I150" s="27">
        <f>SUMIFS(Weekly_Line_Capacity!$K:$K,Weekly_Line_Capacity!$A:$A,A150,Weekly_Line_Capacity!$B:$B,G150)</f>
        <v>0</v>
      </c>
      <c r="J150" s="13" t="str" cm="1">
        <f t="array" ref="J150">_xlfn.XLOOKUP(1,(Weekly_Line_Capacity!$A$2:$A$157=A150)*(Weekly_Line_Capacity!$B$2:$B$157=G150),Weekly_Line_Capacity!$L$2:$L$157,"")</f>
        <v>WITHIN CAPACITY</v>
      </c>
      <c r="K150" s="13" t="str">
        <f>_xlfn.XLOOKUP(B150,BOM!$A$2:$A$21,BOM!$B$2:$B$21,"")</f>
        <v>M004</v>
      </c>
      <c r="L150" s="27">
        <f>SUMIFS(Weekly_Material_Inventory!$K:$K,Weekly_Material_Inventory!$A:$A,A150,Weekly_Material_Inventory!$B:$B,K150)</f>
        <v>0</v>
      </c>
      <c r="M150">
        <f t="shared" si="6"/>
        <v>0</v>
      </c>
      <c r="N150" t="str">
        <f t="shared" si="7"/>
        <v>OK</v>
      </c>
      <c r="O150" t="str">
        <f t="shared" si="8"/>
        <v>NONE</v>
      </c>
      <c r="P150" t="str" cm="1">
        <f t="array" ref="P150">_xlfn.SWITCH(O150,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50" t="str" cm="1">
        <f t="array" ref="Q150">_xlfn.SWITCH(O150,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50" t="str" cm="1">
        <f t="array" ref="R150">_xlfn.SWITCH(P150,
"Inventory / Service","Operations / Planning",
"Material Supply","Materials / Procurement",
"Capacity","Production / Planning",
"Production Execution","Production",
"Inventory","Operations / Planning",
"Demand Planning","Commercial / Planning",
"None","None",
"Operations")</f>
        <v>None</v>
      </c>
    </row>
    <row r="151" spans="1:18">
      <c r="A151" s="30">
        <f>Weekly_Inventory_Flow!A151</f>
        <v>46230</v>
      </c>
      <c r="B151" s="13" t="str">
        <f>Weekly_Inventory_Flow!B151</f>
        <v>P005</v>
      </c>
      <c r="C151" s="25">
        <f>IF(SUMIFS(Weekly_Product_Demand!$C:$C,Weekly_Product_Demand!$A:$A,A151,Weekly_Product_Demand!$B:$B,B151)=0,0,
(SUMIFS(Weekly_Product_Demand!$D:$D,Weekly_Product_Demand!$A:$A,A151,Weekly_Product_Demand!$B:$B,B151)-
SUMIFS(Weekly_Product_Demand!$C:$C,Weekly_Product_Demand!$A:$A,A151,Weekly_Product_Demand!$B:$B,B151))/
SUMIFS(Weekly_Product_Demand!$C:$C,Weekly_Product_Demand!$A:$A,A151,Weekly_Product_Demand!$B:$B,B151))</f>
        <v>-1.9864141622066695E-2</v>
      </c>
      <c r="D151" s="25">
        <f>SUMIFS(Weekly_Inventory_Flow!$Q:$Q,Weekly_Inventory_Flow!$A:$A,A151,Weekly_Inventory_Flow!$B:$B,B151)</f>
        <v>0.98</v>
      </c>
      <c r="E151" s="26">
        <f>SUMIFS(Weekly_Inventory_Flow!$S:$S,Weekly_Inventory_Flow!$A:$A,A151,Weekly_Inventory_Flow!$B:$B,B151)</f>
        <v>1.9067520739262838</v>
      </c>
      <c r="F151" s="27">
        <f>SUMIFS(Weekly_Inventory_Flow!$N:$N,Weekly_Inventory_Flow!$A:$A,A151,Weekly_Inventory_Flow!$B:$B,B151)</f>
        <v>0</v>
      </c>
      <c r="G151" s="13" t="str">
        <f>_xlfn.XLOOKUP(B151,Product_Line_Map!$A$2:$A$6,Product_Line_Map!$B$2:$B$6,"")</f>
        <v>L03</v>
      </c>
      <c r="H151" s="25">
        <f>SUMIFS(Weekly_Line_Capacity!$J:$J,Weekly_Line_Capacity!$A:$A,A151,Weekly_Line_Capacity!$B:$B,G151)</f>
        <v>0.51666666666666661</v>
      </c>
      <c r="I151" s="27">
        <f>SUMIFS(Weekly_Line_Capacity!$K:$K,Weekly_Line_Capacity!$A:$A,A151,Weekly_Line_Capacity!$B:$B,G151)</f>
        <v>0</v>
      </c>
      <c r="J151" s="13" t="str" cm="1">
        <f t="array" ref="J151">_xlfn.XLOOKUP(1,(Weekly_Line_Capacity!$A$2:$A$157=A151)*(Weekly_Line_Capacity!$B$2:$B$157=G151),Weekly_Line_Capacity!$L$2:$L$157,"")</f>
        <v>WITHIN CAPACITY</v>
      </c>
      <c r="K151" s="13" t="str">
        <f>_xlfn.XLOOKUP(B151,BOM!$A$2:$A$21,BOM!$B$2:$B$21,"")</f>
        <v>M005</v>
      </c>
      <c r="L151" s="27">
        <f>SUMIFS(Weekly_Material_Inventory!$K:$K,Weekly_Material_Inventory!$A:$A,A151,Weekly_Material_Inventory!$B:$B,K151)</f>
        <v>0</v>
      </c>
      <c r="M151">
        <f t="shared" si="6"/>
        <v>1</v>
      </c>
      <c r="N151" t="str">
        <f t="shared" si="7"/>
        <v>WARNING</v>
      </c>
      <c r="O151" t="str">
        <f t="shared" si="8"/>
        <v>LOW STOCK COVER</v>
      </c>
      <c r="P151" t="str" cm="1">
        <f t="array" ref="P151">_xlfn.SWITCH(O151,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51" t="str" cm="1">
        <f t="array" ref="Q151">_xlfn.SWITCH(O151,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51" t="str" cm="1">
        <f t="array" ref="R151">_xlfn.SWITCH(P151,
"Inventory / Service","Operations / Planning",
"Material Supply","Materials / Procurement",
"Capacity","Production / Planning",
"Production Execution","Production",
"Inventory","Operations / Planning",
"Demand Planning","Commercial / Planning",
"None","None",
"Operations")</f>
        <v>Operations / Planning</v>
      </c>
    </row>
    <row r="152" spans="1:18">
      <c r="A152" s="30">
        <f>Weekly_Inventory_Flow!A152</f>
        <v>46237</v>
      </c>
      <c r="B152" s="13" t="str">
        <f>Weekly_Inventory_Flow!B152</f>
        <v>P001</v>
      </c>
      <c r="C152" s="25">
        <f>IF(SUMIFS(Weekly_Product_Demand!$C:$C,Weekly_Product_Demand!$A:$A,A152,Weekly_Product_Demand!$B:$B,B152)=0,0,
(SUMIFS(Weekly_Product_Demand!$D:$D,Weekly_Product_Demand!$A:$A,A152,Weekly_Product_Demand!$B:$B,B152)-
SUMIFS(Weekly_Product_Demand!$C:$C,Weekly_Product_Demand!$A:$A,A152,Weekly_Product_Demand!$B:$B,B152))/
SUMIFS(Weekly_Product_Demand!$C:$C,Weekly_Product_Demand!$A:$A,A152,Weekly_Product_Demand!$B:$B,B152))</f>
        <v>5.1265619993591796E-3</v>
      </c>
      <c r="D152" s="25">
        <f>SUMIFS(Weekly_Inventory_Flow!$Q:$Q,Weekly_Inventory_Flow!$A:$A,A152,Weekly_Inventory_Flow!$B:$B,B152)</f>
        <v>1.02</v>
      </c>
      <c r="E152" s="26">
        <f>SUMIFS(Weekly_Inventory_Flow!$S:$S,Weekly_Inventory_Flow!$A:$A,A152,Weekly_Inventory_Flow!$B:$B,B152)</f>
        <v>2.1720752311125278</v>
      </c>
      <c r="F152" s="27">
        <f>SUMIFS(Weekly_Inventory_Flow!$N:$N,Weekly_Inventory_Flow!$A:$A,A152,Weekly_Inventory_Flow!$B:$B,B152)</f>
        <v>0</v>
      </c>
      <c r="G152" s="13" t="str">
        <f>_xlfn.XLOOKUP(B152,Product_Line_Map!$A$2:$A$6,Product_Line_Map!$B$2:$B$6,"")</f>
        <v>L01</v>
      </c>
      <c r="H152" s="25">
        <f>SUMIFS(Weekly_Line_Capacity!$J:$J,Weekly_Line_Capacity!$A:$A,A152,Weekly_Line_Capacity!$B:$B,G152)</f>
        <v>0.23391812865497078</v>
      </c>
      <c r="I152" s="27">
        <f>SUMIFS(Weekly_Line_Capacity!$K:$K,Weekly_Line_Capacity!$A:$A,A152,Weekly_Line_Capacity!$B:$B,G152)</f>
        <v>0</v>
      </c>
      <c r="J152" s="13" t="str" cm="1">
        <f t="array" ref="J152">_xlfn.XLOOKUP(1,(Weekly_Line_Capacity!$A$2:$A$157=A152)*(Weekly_Line_Capacity!$B$2:$B$157=G152),Weekly_Line_Capacity!$L$2:$L$157,"")</f>
        <v>WITHIN CAPACITY</v>
      </c>
      <c r="K152" s="13" t="str">
        <f>_xlfn.XLOOKUP(B152,BOM!$A$2:$A$21,BOM!$B$2:$B$21,"")</f>
        <v>M001</v>
      </c>
      <c r="L152" s="27">
        <f>SUMIFS(Weekly_Material_Inventory!$K:$K,Weekly_Material_Inventory!$A:$A,A152,Weekly_Material_Inventory!$B:$B,K152)</f>
        <v>0</v>
      </c>
      <c r="M152">
        <f t="shared" si="6"/>
        <v>0</v>
      </c>
      <c r="N152" t="str">
        <f t="shared" si="7"/>
        <v>OK</v>
      </c>
      <c r="O152" t="str">
        <f t="shared" si="8"/>
        <v>NONE</v>
      </c>
      <c r="P152" t="str" cm="1">
        <f t="array" ref="P152">_xlfn.SWITCH(O152,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52" t="str" cm="1">
        <f t="array" ref="Q152">_xlfn.SWITCH(O152,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52" t="str" cm="1">
        <f t="array" ref="R152">_xlfn.SWITCH(P152,
"Inventory / Service","Operations / Planning",
"Material Supply","Materials / Procurement",
"Capacity","Production / Planning",
"Production Execution","Production",
"Inventory","Operations / Planning",
"Demand Planning","Commercial / Planning",
"None","None",
"Operations")</f>
        <v>None</v>
      </c>
    </row>
    <row r="153" spans="1:18">
      <c r="A153" s="30">
        <f>Weekly_Inventory_Flow!A153</f>
        <v>46237</v>
      </c>
      <c r="B153" s="13" t="str">
        <f>Weekly_Inventory_Flow!B153</f>
        <v>P002</v>
      </c>
      <c r="C153" s="25">
        <f>IF(SUMIFS(Weekly_Product_Demand!$C:$C,Weekly_Product_Demand!$A:$A,A153,Weekly_Product_Demand!$B:$B,B153)=0,0,
(SUMIFS(Weekly_Product_Demand!$D:$D,Weekly_Product_Demand!$A:$A,A153,Weekly_Product_Demand!$B:$B,B153)-
SUMIFS(Weekly_Product_Demand!$C:$C,Weekly_Product_Demand!$A:$A,A153,Weekly_Product_Demand!$B:$B,B153))/
SUMIFS(Weekly_Product_Demand!$C:$C,Weekly_Product_Demand!$A:$A,A153,Weekly_Product_Demand!$B:$B,B153))</f>
        <v>-1.4415067004708439E-2</v>
      </c>
      <c r="D153" s="25">
        <f>SUMIFS(Weekly_Inventory_Flow!$Q:$Q,Weekly_Inventory_Flow!$A:$A,A153,Weekly_Inventory_Flow!$B:$B,B153)</f>
        <v>1.01</v>
      </c>
      <c r="E153" s="26">
        <f>SUMIFS(Weekly_Inventory_Flow!$S:$S,Weekly_Inventory_Flow!$A:$A,A153,Weekly_Inventory_Flow!$B:$B,B153)</f>
        <v>2.0795237395266795</v>
      </c>
      <c r="F153" s="27">
        <f>SUMIFS(Weekly_Inventory_Flow!$N:$N,Weekly_Inventory_Flow!$A:$A,A153,Weekly_Inventory_Flow!$B:$B,B153)</f>
        <v>0</v>
      </c>
      <c r="G153" s="13" t="str">
        <f>_xlfn.XLOOKUP(B153,Product_Line_Map!$A$2:$A$6,Product_Line_Map!$B$2:$B$6,"")</f>
        <v>L02</v>
      </c>
      <c r="H153" s="25">
        <f>SUMIFS(Weekly_Line_Capacity!$J:$J,Weekly_Line_Capacity!$A:$A,A153,Weekly_Line_Capacity!$B:$B,G153)</f>
        <v>0.49142857142857138</v>
      </c>
      <c r="I153" s="27">
        <f>SUMIFS(Weekly_Line_Capacity!$K:$K,Weekly_Line_Capacity!$A:$A,A153,Weekly_Line_Capacity!$B:$B,G153)</f>
        <v>0</v>
      </c>
      <c r="J153" s="13" t="str" cm="1">
        <f t="array" ref="J153">_xlfn.XLOOKUP(1,(Weekly_Line_Capacity!$A$2:$A$157=A153)*(Weekly_Line_Capacity!$B$2:$B$157=G153),Weekly_Line_Capacity!$L$2:$L$157,"")</f>
        <v>WITHIN CAPACITY</v>
      </c>
      <c r="K153" s="13" t="str">
        <f>_xlfn.XLOOKUP(B153,BOM!$A$2:$A$21,BOM!$B$2:$B$21,"")</f>
        <v>M002</v>
      </c>
      <c r="L153" s="27">
        <f>SUMIFS(Weekly_Material_Inventory!$K:$K,Weekly_Material_Inventory!$A:$A,A153,Weekly_Material_Inventory!$B:$B,K153)</f>
        <v>0</v>
      </c>
      <c r="M153">
        <f t="shared" si="6"/>
        <v>0</v>
      </c>
      <c r="N153" t="str">
        <f t="shared" si="7"/>
        <v>OK</v>
      </c>
      <c r="O153" t="str">
        <f t="shared" si="8"/>
        <v>NONE</v>
      </c>
      <c r="P153" t="str" cm="1">
        <f t="array" ref="P153">_xlfn.SWITCH(O153,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53" t="str" cm="1">
        <f t="array" ref="Q153">_xlfn.SWITCH(O153,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53" t="str" cm="1">
        <f t="array" ref="R153">_xlfn.SWITCH(P153,
"Inventory / Service","Operations / Planning",
"Material Supply","Materials / Procurement",
"Capacity","Production / Planning",
"Production Execution","Production",
"Inventory","Operations / Planning",
"Demand Planning","Commercial / Planning",
"None","None",
"Operations")</f>
        <v>None</v>
      </c>
    </row>
    <row r="154" spans="1:18">
      <c r="A154" s="30">
        <f>Weekly_Inventory_Flow!A154</f>
        <v>46237</v>
      </c>
      <c r="B154" s="13" t="str">
        <f>Weekly_Inventory_Flow!B154</f>
        <v>P003</v>
      </c>
      <c r="C154" s="25">
        <f>IF(SUMIFS(Weekly_Product_Demand!$C:$C,Weekly_Product_Demand!$A:$A,A154,Weekly_Product_Demand!$B:$B,B154)=0,0,
(SUMIFS(Weekly_Product_Demand!$D:$D,Weekly_Product_Demand!$A:$A,A154,Weekly_Product_Demand!$B:$B,B154)-
SUMIFS(Weekly_Product_Demand!$C:$C,Weekly_Product_Demand!$A:$A,A154,Weekly_Product_Demand!$B:$B,B154))/
SUMIFS(Weekly_Product_Demand!$C:$C,Weekly_Product_Demand!$A:$A,A154,Weekly_Product_Demand!$B:$B,B154))</f>
        <v>9.1719959609559074E-3</v>
      </c>
      <c r="D154" s="25">
        <f>SUMIFS(Weekly_Inventory_Flow!$Q:$Q,Weekly_Inventory_Flow!$A:$A,A154,Weekly_Inventory_Flow!$B:$B,B154)</f>
        <v>1.02</v>
      </c>
      <c r="E154" s="26">
        <f>SUMIFS(Weekly_Inventory_Flow!$S:$S,Weekly_Inventory_Flow!$A:$A,A154,Weekly_Inventory_Flow!$B:$B,B154)</f>
        <v>2.1730175935962648</v>
      </c>
      <c r="F154" s="27">
        <f>SUMIFS(Weekly_Inventory_Flow!$N:$N,Weekly_Inventory_Flow!$A:$A,A154,Weekly_Inventory_Flow!$B:$B,B154)</f>
        <v>0</v>
      </c>
      <c r="G154" s="13" t="str">
        <f>_xlfn.XLOOKUP(B154,Product_Line_Map!$A$2:$A$6,Product_Line_Map!$B$2:$B$6,"")</f>
        <v>L03</v>
      </c>
      <c r="H154" s="25">
        <f>SUMIFS(Weekly_Line_Capacity!$J:$J,Weekly_Line_Capacity!$A:$A,A154,Weekly_Line_Capacity!$B:$B,G154)</f>
        <v>0.51428571428571423</v>
      </c>
      <c r="I154" s="27">
        <f>SUMIFS(Weekly_Line_Capacity!$K:$K,Weekly_Line_Capacity!$A:$A,A154,Weekly_Line_Capacity!$B:$B,G154)</f>
        <v>0</v>
      </c>
      <c r="J154" s="13" t="str" cm="1">
        <f t="array" ref="J154">_xlfn.XLOOKUP(1,(Weekly_Line_Capacity!$A$2:$A$157=A154)*(Weekly_Line_Capacity!$B$2:$B$157=G154),Weekly_Line_Capacity!$L$2:$L$157,"")</f>
        <v>WITHIN CAPACITY</v>
      </c>
      <c r="K154" s="13" t="str">
        <f>_xlfn.XLOOKUP(B154,BOM!$A$2:$A$21,BOM!$B$2:$B$21,"")</f>
        <v>M003</v>
      </c>
      <c r="L154" s="27">
        <f>SUMIFS(Weekly_Material_Inventory!$K:$K,Weekly_Material_Inventory!$A:$A,A154,Weekly_Material_Inventory!$B:$B,K154)</f>
        <v>0</v>
      </c>
      <c r="M154">
        <f t="shared" si="6"/>
        <v>0</v>
      </c>
      <c r="N154" t="str">
        <f t="shared" si="7"/>
        <v>OK</v>
      </c>
      <c r="O154" t="str">
        <f t="shared" si="8"/>
        <v>NONE</v>
      </c>
      <c r="P154" t="str" cm="1">
        <f t="array" ref="P154">_xlfn.SWITCH(O154,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54" t="str" cm="1">
        <f t="array" ref="Q154">_xlfn.SWITCH(O154,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54" t="str" cm="1">
        <f t="array" ref="R154">_xlfn.SWITCH(P154,
"Inventory / Service","Operations / Planning",
"Material Supply","Materials / Procurement",
"Capacity","Production / Planning",
"Production Execution","Production",
"Inventory","Operations / Planning",
"Demand Planning","Commercial / Planning",
"None","None",
"Operations")</f>
        <v>None</v>
      </c>
    </row>
    <row r="155" spans="1:18">
      <c r="A155" s="30">
        <f>Weekly_Inventory_Flow!A155</f>
        <v>46237</v>
      </c>
      <c r="B155" s="13" t="str">
        <f>Weekly_Inventory_Flow!B155</f>
        <v>P004</v>
      </c>
      <c r="C155" s="25">
        <f>IF(SUMIFS(Weekly_Product_Demand!$C:$C,Weekly_Product_Demand!$A:$A,A155,Weekly_Product_Demand!$B:$B,B155)=0,0,
(SUMIFS(Weekly_Product_Demand!$D:$D,Weekly_Product_Demand!$A:$A,A155,Weekly_Product_Demand!$B:$B,B155)-
SUMIFS(Weekly_Product_Demand!$C:$C,Weekly_Product_Demand!$A:$A,A155,Weekly_Product_Demand!$B:$B,B155))/
SUMIFS(Weekly_Product_Demand!$C:$C,Weekly_Product_Demand!$A:$A,A155,Weekly_Product_Demand!$B:$B,B155))</f>
        <v>-2.3833397608947166E-2</v>
      </c>
      <c r="D155" s="25">
        <f>SUMIFS(Weekly_Inventory_Flow!$Q:$Q,Weekly_Inventory_Flow!$A:$A,A155,Weekly_Inventory_Flow!$B:$B,B155)</f>
        <v>0.97</v>
      </c>
      <c r="E155" s="26">
        <f>SUMIFS(Weekly_Inventory_Flow!$S:$S,Weekly_Inventory_Flow!$A:$A,A155,Weekly_Inventory_Flow!$B:$B,B155)</f>
        <v>1.8429203539823009</v>
      </c>
      <c r="F155" s="27">
        <f>SUMIFS(Weekly_Inventory_Flow!$N:$N,Weekly_Inventory_Flow!$A:$A,A155,Weekly_Inventory_Flow!$B:$B,B155)</f>
        <v>0</v>
      </c>
      <c r="G155" s="13" t="str">
        <f>_xlfn.XLOOKUP(B155,Product_Line_Map!$A$2:$A$6,Product_Line_Map!$B$2:$B$6,"")</f>
        <v>L02</v>
      </c>
      <c r="H155" s="25">
        <f>SUMIFS(Weekly_Line_Capacity!$J:$J,Weekly_Line_Capacity!$A:$A,A155,Weekly_Line_Capacity!$B:$B,G155)</f>
        <v>0.49142857142857138</v>
      </c>
      <c r="I155" s="27">
        <f>SUMIFS(Weekly_Line_Capacity!$K:$K,Weekly_Line_Capacity!$A:$A,A155,Weekly_Line_Capacity!$B:$B,G155)</f>
        <v>0</v>
      </c>
      <c r="J155" s="13" t="str" cm="1">
        <f t="array" ref="J155">_xlfn.XLOOKUP(1,(Weekly_Line_Capacity!$A$2:$A$157=A155)*(Weekly_Line_Capacity!$B$2:$B$157=G155),Weekly_Line_Capacity!$L$2:$L$157,"")</f>
        <v>WITHIN CAPACITY</v>
      </c>
      <c r="K155" s="13" t="str">
        <f>_xlfn.XLOOKUP(B155,BOM!$A$2:$A$21,BOM!$B$2:$B$21,"")</f>
        <v>M004</v>
      </c>
      <c r="L155" s="27">
        <f>SUMIFS(Weekly_Material_Inventory!$K:$K,Weekly_Material_Inventory!$A:$A,A155,Weekly_Material_Inventory!$B:$B,K155)</f>
        <v>0</v>
      </c>
      <c r="M155">
        <f t="shared" si="6"/>
        <v>1</v>
      </c>
      <c r="N155" t="str">
        <f t="shared" si="7"/>
        <v>WARNING</v>
      </c>
      <c r="O155" t="str">
        <f t="shared" si="8"/>
        <v>LOW STOCK COVER</v>
      </c>
      <c r="P155" t="str" cm="1">
        <f t="array" ref="P155">_xlfn.SWITCH(O155,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55" t="str" cm="1">
        <f t="array" ref="Q155">_xlfn.SWITCH(O155,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55" t="str" cm="1">
        <f t="array" ref="R155">_xlfn.SWITCH(P155,
"Inventory / Service","Operations / Planning",
"Material Supply","Materials / Procurement",
"Capacity","Production / Planning",
"Production Execution","Production",
"Inventory","Operations / Planning",
"Demand Planning","Commercial / Planning",
"None","None",
"Operations")</f>
        <v>Operations / Planning</v>
      </c>
    </row>
    <row r="156" spans="1:18">
      <c r="A156" s="30">
        <f>Weekly_Inventory_Flow!A156</f>
        <v>46237</v>
      </c>
      <c r="B156" s="13" t="str">
        <f>Weekly_Inventory_Flow!B156</f>
        <v>P005</v>
      </c>
      <c r="C156" s="25">
        <f>IF(SUMIFS(Weekly_Product_Demand!$C:$C,Weekly_Product_Demand!$A:$A,A156,Weekly_Product_Demand!$B:$B,B156)=0,0,
(SUMIFS(Weekly_Product_Demand!$D:$D,Weekly_Product_Demand!$A:$A,A156,Weekly_Product_Demand!$B:$B,B156)-
SUMIFS(Weekly_Product_Demand!$C:$C,Weekly_Product_Demand!$A:$A,A156,Weekly_Product_Demand!$B:$B,B156))/
SUMIFS(Weekly_Product_Demand!$C:$C,Weekly_Product_Demand!$A:$A,A156,Weekly_Product_Demand!$B:$B,B156))</f>
        <v>-1.6905473662509021E-2</v>
      </c>
      <c r="D156" s="25">
        <f>SUMIFS(Weekly_Inventory_Flow!$Q:$Q,Weekly_Inventory_Flow!$A:$A,A156,Weekly_Inventory_Flow!$B:$B,B156)</f>
        <v>0.97</v>
      </c>
      <c r="E156" s="26">
        <f>SUMIFS(Weekly_Inventory_Flow!$S:$S,Weekly_Inventory_Flow!$A:$A,A156,Weekly_Inventory_Flow!$B:$B,B156)</f>
        <v>1.8100031456432841</v>
      </c>
      <c r="F156" s="27">
        <f>SUMIFS(Weekly_Inventory_Flow!$N:$N,Weekly_Inventory_Flow!$A:$A,A156,Weekly_Inventory_Flow!$B:$B,B156)</f>
        <v>0</v>
      </c>
      <c r="G156" s="13" t="str">
        <f>_xlfn.XLOOKUP(B156,Product_Line_Map!$A$2:$A$6,Product_Line_Map!$B$2:$B$6,"")</f>
        <v>L03</v>
      </c>
      <c r="H156" s="25">
        <f>SUMIFS(Weekly_Line_Capacity!$J:$J,Weekly_Line_Capacity!$A:$A,A156,Weekly_Line_Capacity!$B:$B,G156)</f>
        <v>0.51428571428571423</v>
      </c>
      <c r="I156" s="27">
        <f>SUMIFS(Weekly_Line_Capacity!$K:$K,Weekly_Line_Capacity!$A:$A,A156,Weekly_Line_Capacity!$B:$B,G156)</f>
        <v>0</v>
      </c>
      <c r="J156" s="13" t="str" cm="1">
        <f t="array" ref="J156">_xlfn.XLOOKUP(1,(Weekly_Line_Capacity!$A$2:$A$157=A156)*(Weekly_Line_Capacity!$B$2:$B$157=G156),Weekly_Line_Capacity!$L$2:$L$157,"")</f>
        <v>WITHIN CAPACITY</v>
      </c>
      <c r="K156" s="13" t="str">
        <f>_xlfn.XLOOKUP(B156,BOM!$A$2:$A$21,BOM!$B$2:$B$21,"")</f>
        <v>M005</v>
      </c>
      <c r="L156" s="27">
        <f>SUMIFS(Weekly_Material_Inventory!$K:$K,Weekly_Material_Inventory!$A:$A,A156,Weekly_Material_Inventory!$B:$B,K156)</f>
        <v>0</v>
      </c>
      <c r="M156">
        <f t="shared" si="6"/>
        <v>1</v>
      </c>
      <c r="N156" t="str">
        <f t="shared" si="7"/>
        <v>WARNING</v>
      </c>
      <c r="O156" t="str">
        <f t="shared" si="8"/>
        <v>LOW STOCK COVER</v>
      </c>
      <c r="P156" t="str" cm="1">
        <f t="array" ref="P156">_xlfn.SWITCH(O156,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56" t="str" cm="1">
        <f t="array" ref="Q156">_xlfn.SWITCH(O156,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56" t="str" cm="1">
        <f t="array" ref="R156">_xlfn.SWITCH(P156,
"Inventory / Service","Operations / Planning",
"Material Supply","Materials / Procurement",
"Capacity","Production / Planning",
"Production Execution","Production",
"Inventory","Operations / Planning",
"Demand Planning","Commercial / Planning",
"None","None",
"Operations")</f>
        <v>Operations / Planning</v>
      </c>
    </row>
    <row r="157" spans="1:18">
      <c r="A157" s="30">
        <f>Weekly_Inventory_Flow!A157</f>
        <v>46244</v>
      </c>
      <c r="B157" s="13" t="str">
        <f>Weekly_Inventory_Flow!B157</f>
        <v>P001</v>
      </c>
      <c r="C157" s="25">
        <f>IF(SUMIFS(Weekly_Product_Demand!$C:$C,Weekly_Product_Demand!$A:$A,A157,Weekly_Product_Demand!$B:$B,B157)=0,0,
(SUMIFS(Weekly_Product_Demand!$D:$D,Weekly_Product_Demand!$A:$A,A157,Weekly_Product_Demand!$B:$B,B157)-
SUMIFS(Weekly_Product_Demand!$C:$C,Weekly_Product_Demand!$A:$A,A157,Weekly_Product_Demand!$B:$B,B157))/
SUMIFS(Weekly_Product_Demand!$C:$C,Weekly_Product_Demand!$A:$A,A157,Weekly_Product_Demand!$B:$B,B157))</f>
        <v>-2.2179974651457541E-3</v>
      </c>
      <c r="D157" s="25">
        <f>SUMIFS(Weekly_Inventory_Flow!$Q:$Q,Weekly_Inventory_Flow!$A:$A,A157,Weekly_Inventory_Flow!$B:$B,B157)</f>
        <v>0.97</v>
      </c>
      <c r="E157" s="26">
        <f>SUMIFS(Weekly_Inventory_Flow!$S:$S,Weekly_Inventory_Flow!$A:$A,A157,Weekly_Inventory_Flow!$B:$B,B157)</f>
        <v>1.8050174658621785</v>
      </c>
      <c r="F157" s="27">
        <f>SUMIFS(Weekly_Inventory_Flow!$N:$N,Weekly_Inventory_Flow!$A:$A,A157,Weekly_Inventory_Flow!$B:$B,B157)</f>
        <v>0</v>
      </c>
      <c r="G157" s="13" t="str">
        <f>_xlfn.XLOOKUP(B157,Product_Line_Map!$A$2:$A$6,Product_Line_Map!$B$2:$B$6,"")</f>
        <v>L01</v>
      </c>
      <c r="H157" s="25">
        <f>SUMIFS(Weekly_Line_Capacity!$J:$J,Weekly_Line_Capacity!$A:$A,A157,Weekly_Line_Capacity!$B:$B,G157)</f>
        <v>0.22514619883040934</v>
      </c>
      <c r="I157" s="27">
        <f>SUMIFS(Weekly_Line_Capacity!$K:$K,Weekly_Line_Capacity!$A:$A,A157,Weekly_Line_Capacity!$B:$B,G157)</f>
        <v>0</v>
      </c>
      <c r="J157" s="13" t="str" cm="1">
        <f t="array" ref="J157">_xlfn.XLOOKUP(1,(Weekly_Line_Capacity!$A$2:$A$157=A157)*(Weekly_Line_Capacity!$B$2:$B$157=G157),Weekly_Line_Capacity!$L$2:$L$157,"")</f>
        <v>WITHIN CAPACITY</v>
      </c>
      <c r="K157" s="13" t="str">
        <f>_xlfn.XLOOKUP(B157,BOM!$A$2:$A$21,BOM!$B$2:$B$21,"")</f>
        <v>M001</v>
      </c>
      <c r="L157" s="27">
        <f>SUMIFS(Weekly_Material_Inventory!$K:$K,Weekly_Material_Inventory!$A:$A,A157,Weekly_Material_Inventory!$B:$B,K157)</f>
        <v>0</v>
      </c>
      <c r="M157">
        <f t="shared" si="6"/>
        <v>1</v>
      </c>
      <c r="N157" t="str">
        <f t="shared" si="7"/>
        <v>WARNING</v>
      </c>
      <c r="O157" t="str">
        <f t="shared" si="8"/>
        <v>LOW STOCK COVER</v>
      </c>
      <c r="P157" t="str" cm="1">
        <f t="array" ref="P157">_xlfn.SWITCH(O157,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57" t="str" cm="1">
        <f t="array" ref="Q157">_xlfn.SWITCH(O157,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57" t="str" cm="1">
        <f t="array" ref="R157">_xlfn.SWITCH(P157,
"Inventory / Service","Operations / Planning",
"Material Supply","Materials / Procurement",
"Capacity","Production / Planning",
"Production Execution","Production",
"Inventory","Operations / Planning",
"Demand Planning","Commercial / Planning",
"None","None",
"Operations")</f>
        <v>Operations / Planning</v>
      </c>
    </row>
    <row r="158" spans="1:18">
      <c r="A158" s="30">
        <f>Weekly_Inventory_Flow!A158</f>
        <v>46244</v>
      </c>
      <c r="B158" s="13" t="str">
        <f>Weekly_Inventory_Flow!B158</f>
        <v>P002</v>
      </c>
      <c r="C158" s="25">
        <f>IF(SUMIFS(Weekly_Product_Demand!$C:$C,Weekly_Product_Demand!$A:$A,A158,Weekly_Product_Demand!$B:$B,B158)=0,0,
(SUMIFS(Weekly_Product_Demand!$D:$D,Weekly_Product_Demand!$A:$A,A158,Weekly_Product_Demand!$B:$B,B158)-
SUMIFS(Weekly_Product_Demand!$C:$C,Weekly_Product_Demand!$A:$A,A158,Weekly_Product_Demand!$B:$B,B158))/
SUMIFS(Weekly_Product_Demand!$C:$C,Weekly_Product_Demand!$A:$A,A158,Weekly_Product_Demand!$B:$B,B158))</f>
        <v>-2.1942656524283205E-3</v>
      </c>
      <c r="D158" s="25">
        <f>SUMIFS(Weekly_Inventory_Flow!$Q:$Q,Weekly_Inventory_Flow!$A:$A,A158,Weekly_Inventory_Flow!$B:$B,B158)</f>
        <v>1.01</v>
      </c>
      <c r="E158" s="26">
        <f>SUMIFS(Weekly_Inventory_Flow!$S:$S,Weekly_Inventory_Flow!$A:$A,A158,Weekly_Inventory_Flow!$B:$B,B158)</f>
        <v>2.0704442163905585</v>
      </c>
      <c r="F158" s="27">
        <f>SUMIFS(Weekly_Inventory_Flow!$N:$N,Weekly_Inventory_Flow!$A:$A,A158,Weekly_Inventory_Flow!$B:$B,B158)</f>
        <v>0</v>
      </c>
      <c r="G158" s="13" t="str">
        <f>_xlfn.XLOOKUP(B158,Product_Line_Map!$A$2:$A$6,Product_Line_Map!$B$2:$B$6,"")</f>
        <v>L02</v>
      </c>
      <c r="H158" s="25">
        <f>SUMIFS(Weekly_Line_Capacity!$J:$J,Weekly_Line_Capacity!$A:$A,A158,Weekly_Line_Capacity!$B:$B,G158)</f>
        <v>0.50857142857142856</v>
      </c>
      <c r="I158" s="27">
        <f>SUMIFS(Weekly_Line_Capacity!$K:$K,Weekly_Line_Capacity!$A:$A,A158,Weekly_Line_Capacity!$B:$B,G158)</f>
        <v>0</v>
      </c>
      <c r="J158" s="13" t="str" cm="1">
        <f t="array" ref="J158">_xlfn.XLOOKUP(1,(Weekly_Line_Capacity!$A$2:$A$157=A158)*(Weekly_Line_Capacity!$B$2:$B$157=G158),Weekly_Line_Capacity!$L$2:$L$157,"")</f>
        <v>WITHIN CAPACITY</v>
      </c>
      <c r="K158" s="13" t="str">
        <f>_xlfn.XLOOKUP(B158,BOM!$A$2:$A$21,BOM!$B$2:$B$21,"")</f>
        <v>M002</v>
      </c>
      <c r="L158" s="27">
        <f>SUMIFS(Weekly_Material_Inventory!$K:$K,Weekly_Material_Inventory!$A:$A,A158,Weekly_Material_Inventory!$B:$B,K158)</f>
        <v>0</v>
      </c>
      <c r="M158">
        <f t="shared" si="6"/>
        <v>0</v>
      </c>
      <c r="N158" t="str">
        <f t="shared" si="7"/>
        <v>OK</v>
      </c>
      <c r="O158" t="str">
        <f t="shared" si="8"/>
        <v>NONE</v>
      </c>
      <c r="P158" t="str" cm="1">
        <f t="array" ref="P158">_xlfn.SWITCH(O158,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58" t="str" cm="1">
        <f t="array" ref="Q158">_xlfn.SWITCH(O158,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58" t="str" cm="1">
        <f t="array" ref="R158">_xlfn.SWITCH(P158,
"Inventory / Service","Operations / Planning",
"Material Supply","Materials / Procurement",
"Capacity","Production / Planning",
"Production Execution","Production",
"Inventory","Operations / Planning",
"Demand Planning","Commercial / Planning",
"None","None",
"Operations")</f>
        <v>None</v>
      </c>
    </row>
    <row r="159" spans="1:18">
      <c r="A159" s="30">
        <f>Weekly_Inventory_Flow!A159</f>
        <v>46244</v>
      </c>
      <c r="B159" s="13" t="str">
        <f>Weekly_Inventory_Flow!B159</f>
        <v>P003</v>
      </c>
      <c r="C159" s="25">
        <f>IF(SUMIFS(Weekly_Product_Demand!$C:$C,Weekly_Product_Demand!$A:$A,A159,Weekly_Product_Demand!$B:$B,B159)=0,0,
(SUMIFS(Weekly_Product_Demand!$D:$D,Weekly_Product_Demand!$A:$A,A159,Weekly_Product_Demand!$B:$B,B159)-
SUMIFS(Weekly_Product_Demand!$C:$C,Weekly_Product_Demand!$A:$A,A159,Weekly_Product_Demand!$B:$B,B159))/
SUMIFS(Weekly_Product_Demand!$C:$C,Weekly_Product_Demand!$A:$A,A159,Weekly_Product_Demand!$B:$B,B159))</f>
        <v>-4.6060806892552396E-2</v>
      </c>
      <c r="D159" s="25">
        <f>SUMIFS(Weekly_Inventory_Flow!$Q:$Q,Weekly_Inventory_Flow!$A:$A,A159,Weekly_Inventory_Flow!$B:$B,B159)</f>
        <v>1.01</v>
      </c>
      <c r="E159" s="26">
        <f>SUMIFS(Weekly_Inventory_Flow!$S:$S,Weekly_Inventory_Flow!$A:$A,A159,Weekly_Inventory_Flow!$B:$B,B159)</f>
        <v>2.0784194528875379</v>
      </c>
      <c r="F159" s="27">
        <f>SUMIFS(Weekly_Inventory_Flow!$N:$N,Weekly_Inventory_Flow!$A:$A,A159,Weekly_Inventory_Flow!$B:$B,B159)</f>
        <v>0</v>
      </c>
      <c r="G159" s="13" t="str">
        <f>_xlfn.XLOOKUP(B159,Product_Line_Map!$A$2:$A$6,Product_Line_Map!$B$2:$B$6,"")</f>
        <v>L03</v>
      </c>
      <c r="H159" s="25">
        <f>SUMIFS(Weekly_Line_Capacity!$J:$J,Weekly_Line_Capacity!$A:$A,A159,Weekly_Line_Capacity!$B:$B,G159)</f>
        <v>0.50714285714285712</v>
      </c>
      <c r="I159" s="27">
        <f>SUMIFS(Weekly_Line_Capacity!$K:$K,Weekly_Line_Capacity!$A:$A,A159,Weekly_Line_Capacity!$B:$B,G159)</f>
        <v>0</v>
      </c>
      <c r="J159" s="13" t="str" cm="1">
        <f t="array" ref="J159">_xlfn.XLOOKUP(1,(Weekly_Line_Capacity!$A$2:$A$157=A159)*(Weekly_Line_Capacity!$B$2:$B$157=G159),Weekly_Line_Capacity!$L$2:$L$157,"")</f>
        <v>WITHIN CAPACITY</v>
      </c>
      <c r="K159" s="13" t="str">
        <f>_xlfn.XLOOKUP(B159,BOM!$A$2:$A$21,BOM!$B$2:$B$21,"")</f>
        <v>M003</v>
      </c>
      <c r="L159" s="27">
        <f>SUMIFS(Weekly_Material_Inventory!$K:$K,Weekly_Material_Inventory!$A:$A,A159,Weekly_Material_Inventory!$B:$B,K159)</f>
        <v>0</v>
      </c>
      <c r="M159">
        <f t="shared" si="6"/>
        <v>0</v>
      </c>
      <c r="N159" t="str">
        <f t="shared" si="7"/>
        <v>OK</v>
      </c>
      <c r="O159" t="str">
        <f t="shared" si="8"/>
        <v>NONE</v>
      </c>
      <c r="P159" t="str" cm="1">
        <f t="array" ref="P159">_xlfn.SWITCH(O159,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59" t="str" cm="1">
        <f t="array" ref="Q159">_xlfn.SWITCH(O159,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59" t="str" cm="1">
        <f t="array" ref="R159">_xlfn.SWITCH(P159,
"Inventory / Service","Operations / Planning",
"Material Supply","Materials / Procurement",
"Capacity","Production / Planning",
"Production Execution","Production",
"Inventory","Operations / Planning",
"Demand Planning","Commercial / Planning",
"None","None",
"Operations")</f>
        <v>None</v>
      </c>
    </row>
    <row r="160" spans="1:18">
      <c r="A160" s="30">
        <f>Weekly_Inventory_Flow!A160</f>
        <v>46244</v>
      </c>
      <c r="B160" s="13" t="str">
        <f>Weekly_Inventory_Flow!B160</f>
        <v>P004</v>
      </c>
      <c r="C160" s="25">
        <f>IF(SUMIFS(Weekly_Product_Demand!$C:$C,Weekly_Product_Demand!$A:$A,A160,Weekly_Product_Demand!$B:$B,B160)=0,0,
(SUMIFS(Weekly_Product_Demand!$D:$D,Weekly_Product_Demand!$A:$A,A160,Weekly_Product_Demand!$B:$B,B160)-
SUMIFS(Weekly_Product_Demand!$C:$C,Weekly_Product_Demand!$A:$A,A160,Weekly_Product_Demand!$B:$B,B160))/
SUMIFS(Weekly_Product_Demand!$C:$C,Weekly_Product_Demand!$A:$A,A160,Weekly_Product_Demand!$B:$B,B160))</f>
        <v>-2.8733400636794283E-3</v>
      </c>
      <c r="D160" s="25">
        <f>SUMIFS(Weekly_Inventory_Flow!$Q:$Q,Weekly_Inventory_Flow!$A:$A,A160,Weekly_Inventory_Flow!$B:$B,B160)</f>
        <v>0.99</v>
      </c>
      <c r="E160" s="26">
        <f>SUMIFS(Weekly_Inventory_Flow!$S:$S,Weekly_Inventory_Flow!$A:$A,A160,Weekly_Inventory_Flow!$B:$B,B160)</f>
        <v>1.9408099688473521</v>
      </c>
      <c r="F160" s="27">
        <f>SUMIFS(Weekly_Inventory_Flow!$N:$N,Weekly_Inventory_Flow!$A:$A,A160,Weekly_Inventory_Flow!$B:$B,B160)</f>
        <v>0</v>
      </c>
      <c r="G160" s="13" t="str">
        <f>_xlfn.XLOOKUP(B160,Product_Line_Map!$A$2:$A$6,Product_Line_Map!$B$2:$B$6,"")</f>
        <v>L02</v>
      </c>
      <c r="H160" s="25">
        <f>SUMIFS(Weekly_Line_Capacity!$J:$J,Weekly_Line_Capacity!$A:$A,A160,Weekly_Line_Capacity!$B:$B,G160)</f>
        <v>0.50857142857142856</v>
      </c>
      <c r="I160" s="27">
        <f>SUMIFS(Weekly_Line_Capacity!$K:$K,Weekly_Line_Capacity!$A:$A,A160,Weekly_Line_Capacity!$B:$B,G160)</f>
        <v>0</v>
      </c>
      <c r="J160" s="13" t="str" cm="1">
        <f t="array" ref="J160">_xlfn.XLOOKUP(1,(Weekly_Line_Capacity!$A$2:$A$157=A160)*(Weekly_Line_Capacity!$B$2:$B$157=G160),Weekly_Line_Capacity!$L$2:$L$157,"")</f>
        <v>WITHIN CAPACITY</v>
      </c>
      <c r="K160" s="13" t="str">
        <f>_xlfn.XLOOKUP(B160,BOM!$A$2:$A$21,BOM!$B$2:$B$21,"")</f>
        <v>M004</v>
      </c>
      <c r="L160" s="27">
        <f>SUMIFS(Weekly_Material_Inventory!$K:$K,Weekly_Material_Inventory!$A:$A,A160,Weekly_Material_Inventory!$B:$B,K160)</f>
        <v>0</v>
      </c>
      <c r="M160">
        <f t="shared" si="6"/>
        <v>1</v>
      </c>
      <c r="N160" t="str">
        <f t="shared" si="7"/>
        <v>WARNING</v>
      </c>
      <c r="O160" t="str">
        <f t="shared" si="8"/>
        <v>LOW STOCK COVER</v>
      </c>
      <c r="P160" t="str" cm="1">
        <f t="array" ref="P160">_xlfn.SWITCH(O160,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0" t="str" cm="1">
        <f t="array" ref="Q160">_xlfn.SWITCH(O160,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0" t="str" cm="1">
        <f t="array" ref="R160">_xlfn.SWITCH(P160,
"Inventory / Service","Operations / Planning",
"Material Supply","Materials / Procurement",
"Capacity","Production / Planning",
"Production Execution","Production",
"Inventory","Operations / Planning",
"Demand Planning","Commercial / Planning",
"None","None",
"Operations")</f>
        <v>Operations / Planning</v>
      </c>
    </row>
    <row r="161" spans="1:18">
      <c r="A161" s="30">
        <f>Weekly_Inventory_Flow!A161</f>
        <v>46244</v>
      </c>
      <c r="B161" s="13" t="str">
        <f>Weekly_Inventory_Flow!B161</f>
        <v>P005</v>
      </c>
      <c r="C161" s="25">
        <f>IF(SUMIFS(Weekly_Product_Demand!$C:$C,Weekly_Product_Demand!$A:$A,A161,Weekly_Product_Demand!$B:$B,B161)=0,0,
(SUMIFS(Weekly_Product_Demand!$D:$D,Weekly_Product_Demand!$A:$A,A161,Weekly_Product_Demand!$B:$B,B161)-
SUMIFS(Weekly_Product_Demand!$C:$C,Weekly_Product_Demand!$A:$A,A161,Weekly_Product_Demand!$B:$B,B161))/
SUMIFS(Weekly_Product_Demand!$C:$C,Weekly_Product_Demand!$A:$A,A161,Weekly_Product_Demand!$B:$B,B161))</f>
        <v>3.4924330616996506E-2</v>
      </c>
      <c r="D161" s="25">
        <f>SUMIFS(Weekly_Inventory_Flow!$Q:$Q,Weekly_Inventory_Flow!$A:$A,A161,Weekly_Inventory_Flow!$B:$B,B161)</f>
        <v>1.02</v>
      </c>
      <c r="E161" s="26">
        <f>SUMIFS(Weekly_Inventory_Flow!$S:$S,Weekly_Inventory_Flow!$A:$A,A161,Weekly_Inventory_Flow!$B:$B,B161)</f>
        <v>2.2125984251968505</v>
      </c>
      <c r="F161" s="27">
        <f>SUMIFS(Weekly_Inventory_Flow!$N:$N,Weekly_Inventory_Flow!$A:$A,A161,Weekly_Inventory_Flow!$B:$B,B161)</f>
        <v>0</v>
      </c>
      <c r="G161" s="13" t="str">
        <f>_xlfn.XLOOKUP(B161,Product_Line_Map!$A$2:$A$6,Product_Line_Map!$B$2:$B$6,"")</f>
        <v>L03</v>
      </c>
      <c r="H161" s="25">
        <f>SUMIFS(Weekly_Line_Capacity!$J:$J,Weekly_Line_Capacity!$A:$A,A161,Weekly_Line_Capacity!$B:$B,G161)</f>
        <v>0.50714285714285712</v>
      </c>
      <c r="I161" s="27">
        <f>SUMIFS(Weekly_Line_Capacity!$K:$K,Weekly_Line_Capacity!$A:$A,A161,Weekly_Line_Capacity!$B:$B,G161)</f>
        <v>0</v>
      </c>
      <c r="J161" s="13" t="str" cm="1">
        <f t="array" ref="J161">_xlfn.XLOOKUP(1,(Weekly_Line_Capacity!$A$2:$A$157=A161)*(Weekly_Line_Capacity!$B$2:$B$157=G161),Weekly_Line_Capacity!$L$2:$L$157,"")</f>
        <v>WITHIN CAPACITY</v>
      </c>
      <c r="K161" s="13" t="str">
        <f>_xlfn.XLOOKUP(B161,BOM!$A$2:$A$21,BOM!$B$2:$B$21,"")</f>
        <v>M005</v>
      </c>
      <c r="L161" s="27">
        <f>SUMIFS(Weekly_Material_Inventory!$K:$K,Weekly_Material_Inventory!$A:$A,A161,Weekly_Material_Inventory!$B:$B,K161)</f>
        <v>0</v>
      </c>
      <c r="M161">
        <f t="shared" si="6"/>
        <v>0</v>
      </c>
      <c r="N161" t="str">
        <f t="shared" si="7"/>
        <v>OK</v>
      </c>
      <c r="O161" t="str">
        <f t="shared" si="8"/>
        <v>NONE</v>
      </c>
      <c r="P161" t="str" cm="1">
        <f t="array" ref="P161">_xlfn.SWITCH(O161,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61" t="str" cm="1">
        <f t="array" ref="Q161">_xlfn.SWITCH(O161,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61" t="str" cm="1">
        <f t="array" ref="R161">_xlfn.SWITCH(P161,
"Inventory / Service","Operations / Planning",
"Material Supply","Materials / Procurement",
"Capacity","Production / Planning",
"Production Execution","Production",
"Inventory","Operations / Planning",
"Demand Planning","Commercial / Planning",
"None","None",
"Operations")</f>
        <v>None</v>
      </c>
    </row>
    <row r="162" spans="1:18">
      <c r="A162" s="30">
        <f>Weekly_Inventory_Flow!A162</f>
        <v>46251</v>
      </c>
      <c r="B162" s="13" t="str">
        <f>Weekly_Inventory_Flow!B162</f>
        <v>P001</v>
      </c>
      <c r="C162" s="25">
        <f>IF(SUMIFS(Weekly_Product_Demand!$C:$C,Weekly_Product_Demand!$A:$A,A162,Weekly_Product_Demand!$B:$B,B162)=0,0,
(SUMIFS(Weekly_Product_Demand!$D:$D,Weekly_Product_Demand!$A:$A,A162,Weekly_Product_Demand!$B:$B,B162)-
SUMIFS(Weekly_Product_Demand!$C:$C,Weekly_Product_Demand!$A:$A,A162,Weekly_Product_Demand!$B:$B,B162))/
SUMIFS(Weekly_Product_Demand!$C:$C,Weekly_Product_Demand!$A:$A,A162,Weekly_Product_Demand!$B:$B,B162))</f>
        <v>3.0254264563887995E-2</v>
      </c>
      <c r="D162" s="25">
        <f>SUMIFS(Weekly_Inventory_Flow!$Q:$Q,Weekly_Inventory_Flow!$A:$A,A162,Weekly_Inventory_Flow!$B:$B,B162)</f>
        <v>1.02</v>
      </c>
      <c r="E162" s="26">
        <f>SUMIFS(Weekly_Inventory_Flow!$S:$S,Weekly_Inventory_Flow!$A:$A,A162,Weekly_Inventory_Flow!$B:$B,B162)</f>
        <v>2.181130896594814</v>
      </c>
      <c r="F162" s="27">
        <f>SUMIFS(Weekly_Inventory_Flow!$N:$N,Weekly_Inventory_Flow!$A:$A,A162,Weekly_Inventory_Flow!$B:$B,B162)</f>
        <v>0</v>
      </c>
      <c r="G162" s="13" t="str">
        <f>_xlfn.XLOOKUP(B162,Product_Line_Map!$A$2:$A$6,Product_Line_Map!$B$2:$B$6,"")</f>
        <v>L01</v>
      </c>
      <c r="H162" s="25">
        <f>SUMIFS(Weekly_Line_Capacity!$J:$J,Weekly_Line_Capacity!$A:$A,A162,Weekly_Line_Capacity!$B:$B,G162)</f>
        <v>0.24269005847953215</v>
      </c>
      <c r="I162" s="27">
        <f>SUMIFS(Weekly_Line_Capacity!$K:$K,Weekly_Line_Capacity!$A:$A,A162,Weekly_Line_Capacity!$B:$B,G162)</f>
        <v>0</v>
      </c>
      <c r="J162" s="13" t="str" cm="1">
        <f t="array" ref="J162">_xlfn.XLOOKUP(1,(Weekly_Line_Capacity!$A$2:$A$157=A162)*(Weekly_Line_Capacity!$B$2:$B$157=G162),Weekly_Line_Capacity!$L$2:$L$157,"")</f>
        <v>WITHIN CAPACITY</v>
      </c>
      <c r="K162" s="13" t="str">
        <f>_xlfn.XLOOKUP(B162,BOM!$A$2:$A$21,BOM!$B$2:$B$21,"")</f>
        <v>M001</v>
      </c>
      <c r="L162" s="27">
        <f>SUMIFS(Weekly_Material_Inventory!$K:$K,Weekly_Material_Inventory!$A:$A,A162,Weekly_Material_Inventory!$B:$B,K162)</f>
        <v>0</v>
      </c>
      <c r="M162">
        <f t="shared" si="6"/>
        <v>0</v>
      </c>
      <c r="N162" t="str">
        <f t="shared" si="7"/>
        <v>OK</v>
      </c>
      <c r="O162" t="str">
        <f t="shared" si="8"/>
        <v>NONE</v>
      </c>
      <c r="P162" t="str" cm="1">
        <f t="array" ref="P162">_xlfn.SWITCH(O162,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62" t="str" cm="1">
        <f t="array" ref="Q162">_xlfn.SWITCH(O162,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62" t="str" cm="1">
        <f t="array" ref="R162">_xlfn.SWITCH(P162,
"Inventory / Service","Operations / Planning",
"Material Supply","Materials / Procurement",
"Capacity","Production / Planning",
"Production Execution","Production",
"Inventory","Operations / Planning",
"Demand Planning","Commercial / Planning",
"None","None",
"Operations")</f>
        <v>None</v>
      </c>
    </row>
    <row r="163" spans="1:18">
      <c r="A163" s="30">
        <f>Weekly_Inventory_Flow!A163</f>
        <v>46251</v>
      </c>
      <c r="B163" s="13" t="str">
        <f>Weekly_Inventory_Flow!B163</f>
        <v>P002</v>
      </c>
      <c r="C163" s="25">
        <f>IF(SUMIFS(Weekly_Product_Demand!$C:$C,Weekly_Product_Demand!$A:$A,A163,Weekly_Product_Demand!$B:$B,B163)=0,0,
(SUMIFS(Weekly_Product_Demand!$D:$D,Weekly_Product_Demand!$A:$A,A163,Weekly_Product_Demand!$B:$B,B163)-
SUMIFS(Weekly_Product_Demand!$C:$C,Weekly_Product_Demand!$A:$A,A163,Weekly_Product_Demand!$B:$B,B163))/
SUMIFS(Weekly_Product_Demand!$C:$C,Weekly_Product_Demand!$A:$A,A163,Weekly_Product_Demand!$B:$B,B163))</f>
        <v>-1.7355008787346221E-2</v>
      </c>
      <c r="D163" s="25">
        <f>SUMIFS(Weekly_Inventory_Flow!$Q:$Q,Weekly_Inventory_Flow!$A:$A,A163,Weekly_Inventory_Flow!$B:$B,B163)</f>
        <v>1</v>
      </c>
      <c r="E163" s="26">
        <f>SUMIFS(Weekly_Inventory_Flow!$S:$S,Weekly_Inventory_Flow!$A:$A,A163,Weekly_Inventory_Flow!$B:$B,B163)</f>
        <v>2.0427751695357328</v>
      </c>
      <c r="F163" s="27">
        <f>SUMIFS(Weekly_Inventory_Flow!$N:$N,Weekly_Inventory_Flow!$A:$A,A163,Weekly_Inventory_Flow!$B:$B,B163)</f>
        <v>0</v>
      </c>
      <c r="G163" s="13" t="str">
        <f>_xlfn.XLOOKUP(B163,Product_Line_Map!$A$2:$A$6,Product_Line_Map!$B$2:$B$6,"")</f>
        <v>L02</v>
      </c>
      <c r="H163" s="25">
        <f>SUMIFS(Weekly_Line_Capacity!$J:$J,Weekly_Line_Capacity!$A:$A,A163,Weekly_Line_Capacity!$B:$B,G163)</f>
        <v>0.4952380952380952</v>
      </c>
      <c r="I163" s="27">
        <f>SUMIFS(Weekly_Line_Capacity!$K:$K,Weekly_Line_Capacity!$A:$A,A163,Weekly_Line_Capacity!$B:$B,G163)</f>
        <v>0</v>
      </c>
      <c r="J163" s="13" t="str" cm="1">
        <f t="array" ref="J163">_xlfn.XLOOKUP(1,(Weekly_Line_Capacity!$A$2:$A$157=A163)*(Weekly_Line_Capacity!$B$2:$B$157=G163),Weekly_Line_Capacity!$L$2:$L$157,"")</f>
        <v>WITHIN CAPACITY</v>
      </c>
      <c r="K163" s="13" t="str">
        <f>_xlfn.XLOOKUP(B163,BOM!$A$2:$A$21,BOM!$B$2:$B$21,"")</f>
        <v>M002</v>
      </c>
      <c r="L163" s="27">
        <f>SUMIFS(Weekly_Material_Inventory!$K:$K,Weekly_Material_Inventory!$A:$A,A163,Weekly_Material_Inventory!$B:$B,K163)</f>
        <v>0</v>
      </c>
      <c r="M163">
        <f t="shared" si="6"/>
        <v>0</v>
      </c>
      <c r="N163" t="str">
        <f t="shared" si="7"/>
        <v>OK</v>
      </c>
      <c r="O163" t="str">
        <f t="shared" si="8"/>
        <v>NONE</v>
      </c>
      <c r="P163" t="str" cm="1">
        <f t="array" ref="P163">_xlfn.SWITCH(O163,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63" t="str" cm="1">
        <f t="array" ref="Q163">_xlfn.SWITCH(O163,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63" t="str" cm="1">
        <f t="array" ref="R163">_xlfn.SWITCH(P163,
"Inventory / Service","Operations / Planning",
"Material Supply","Materials / Procurement",
"Capacity","Production / Planning",
"Production Execution","Production",
"Inventory","Operations / Planning",
"Demand Planning","Commercial / Planning",
"None","None",
"Operations")</f>
        <v>None</v>
      </c>
    </row>
    <row r="164" spans="1:18">
      <c r="A164" s="30">
        <f>Weekly_Inventory_Flow!A164</f>
        <v>46251</v>
      </c>
      <c r="B164" s="13" t="str">
        <f>Weekly_Inventory_Flow!B164</f>
        <v>P003</v>
      </c>
      <c r="C164" s="25">
        <f>IF(SUMIFS(Weekly_Product_Demand!$C:$C,Weekly_Product_Demand!$A:$A,A164,Weekly_Product_Demand!$B:$B,B164)=0,0,
(SUMIFS(Weekly_Product_Demand!$D:$D,Weekly_Product_Demand!$A:$A,A164,Weekly_Product_Demand!$B:$B,B164)-
SUMIFS(Weekly_Product_Demand!$C:$C,Weekly_Product_Demand!$A:$A,A164,Weekly_Product_Demand!$B:$B,B164))/
SUMIFS(Weekly_Product_Demand!$C:$C,Weekly_Product_Demand!$A:$A,A164,Weekly_Product_Demand!$B:$B,B164))</f>
        <v>-2.3801570068481711E-2</v>
      </c>
      <c r="D164" s="25">
        <f>SUMIFS(Weekly_Inventory_Flow!$Q:$Q,Weekly_Inventory_Flow!$A:$A,A164,Weekly_Inventory_Flow!$B:$B,B164)</f>
        <v>0.98</v>
      </c>
      <c r="E164" s="26">
        <f>SUMIFS(Weekly_Inventory_Flow!$S:$S,Weekly_Inventory_Flow!$A:$A,A164,Weekly_Inventory_Flow!$B:$B,B164)</f>
        <v>1.9139361793138847</v>
      </c>
      <c r="F164" s="27">
        <f>SUMIFS(Weekly_Inventory_Flow!$N:$N,Weekly_Inventory_Flow!$A:$A,A164,Weekly_Inventory_Flow!$B:$B,B164)</f>
        <v>0</v>
      </c>
      <c r="G164" s="13" t="str">
        <f>_xlfn.XLOOKUP(B164,Product_Line_Map!$A$2:$A$6,Product_Line_Map!$B$2:$B$6,"")</f>
        <v>L03</v>
      </c>
      <c r="H164" s="25">
        <f>SUMIFS(Weekly_Line_Capacity!$J:$J,Weekly_Line_Capacity!$A:$A,A164,Weekly_Line_Capacity!$B:$B,G164)</f>
        <v>0.5</v>
      </c>
      <c r="I164" s="27">
        <f>SUMIFS(Weekly_Line_Capacity!$K:$K,Weekly_Line_Capacity!$A:$A,A164,Weekly_Line_Capacity!$B:$B,G164)</f>
        <v>0</v>
      </c>
      <c r="J164" s="13" t="str" cm="1">
        <f t="array" ref="J164">_xlfn.XLOOKUP(1,(Weekly_Line_Capacity!$A$2:$A$157=A164)*(Weekly_Line_Capacity!$B$2:$B$157=G164),Weekly_Line_Capacity!$L$2:$L$157,"")</f>
        <v>WITHIN CAPACITY</v>
      </c>
      <c r="K164" s="13" t="str">
        <f>_xlfn.XLOOKUP(B164,BOM!$A$2:$A$21,BOM!$B$2:$B$21,"")</f>
        <v>M003</v>
      </c>
      <c r="L164" s="27">
        <f>SUMIFS(Weekly_Material_Inventory!$K:$K,Weekly_Material_Inventory!$A:$A,A164,Weekly_Material_Inventory!$B:$B,K164)</f>
        <v>0</v>
      </c>
      <c r="M164">
        <f t="shared" si="6"/>
        <v>1</v>
      </c>
      <c r="N164" t="str">
        <f t="shared" si="7"/>
        <v>WARNING</v>
      </c>
      <c r="O164" t="str">
        <f t="shared" si="8"/>
        <v>LOW STOCK COVER</v>
      </c>
      <c r="P164" t="str" cm="1">
        <f t="array" ref="P164">_xlfn.SWITCH(O164,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4" t="str" cm="1">
        <f t="array" ref="Q164">_xlfn.SWITCH(O164,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4" t="str" cm="1">
        <f t="array" ref="R164">_xlfn.SWITCH(P164,
"Inventory / Service","Operations / Planning",
"Material Supply","Materials / Procurement",
"Capacity","Production / Planning",
"Production Execution","Production",
"Inventory","Operations / Planning",
"Demand Planning","Commercial / Planning",
"None","None",
"Operations")</f>
        <v>Operations / Planning</v>
      </c>
    </row>
    <row r="165" spans="1:18">
      <c r="A165" s="30">
        <f>Weekly_Inventory_Flow!A165</f>
        <v>46251</v>
      </c>
      <c r="B165" s="13" t="str">
        <f>Weekly_Inventory_Flow!B165</f>
        <v>P004</v>
      </c>
      <c r="C165" s="25">
        <f>IF(SUMIFS(Weekly_Product_Demand!$C:$C,Weekly_Product_Demand!$A:$A,A165,Weekly_Product_Demand!$B:$B,B165)=0,0,
(SUMIFS(Weekly_Product_Demand!$D:$D,Weekly_Product_Demand!$A:$A,A165,Weekly_Product_Demand!$B:$B,B165)-
SUMIFS(Weekly_Product_Demand!$C:$C,Weekly_Product_Demand!$A:$A,A165,Weekly_Product_Demand!$B:$B,B165))/
SUMIFS(Weekly_Product_Demand!$C:$C,Weekly_Product_Demand!$A:$A,A165,Weekly_Product_Demand!$B:$B,B165))</f>
        <v>2.2475543697954563E-2</v>
      </c>
      <c r="D165" s="25">
        <f>SUMIFS(Weekly_Inventory_Flow!$Q:$Q,Weekly_Inventory_Flow!$A:$A,A165,Weekly_Inventory_Flow!$B:$B,B165)</f>
        <v>0.97</v>
      </c>
      <c r="E165" s="26">
        <f>SUMIFS(Weekly_Inventory_Flow!$S:$S,Weekly_Inventory_Flow!$A:$A,A165,Weekly_Inventory_Flow!$B:$B,B165)</f>
        <v>1.7888827389894837</v>
      </c>
      <c r="F165" s="27">
        <f>SUMIFS(Weekly_Inventory_Flow!$N:$N,Weekly_Inventory_Flow!$A:$A,A165,Weekly_Inventory_Flow!$B:$B,B165)</f>
        <v>0</v>
      </c>
      <c r="G165" s="13" t="str">
        <f>_xlfn.XLOOKUP(B165,Product_Line_Map!$A$2:$A$6,Product_Line_Map!$B$2:$B$6,"")</f>
        <v>L02</v>
      </c>
      <c r="H165" s="25">
        <f>SUMIFS(Weekly_Line_Capacity!$J:$J,Weekly_Line_Capacity!$A:$A,A165,Weekly_Line_Capacity!$B:$B,G165)</f>
        <v>0.4952380952380952</v>
      </c>
      <c r="I165" s="27">
        <f>SUMIFS(Weekly_Line_Capacity!$K:$K,Weekly_Line_Capacity!$A:$A,A165,Weekly_Line_Capacity!$B:$B,G165)</f>
        <v>0</v>
      </c>
      <c r="J165" s="13" t="str" cm="1">
        <f t="array" ref="J165">_xlfn.XLOOKUP(1,(Weekly_Line_Capacity!$A$2:$A$157=A165)*(Weekly_Line_Capacity!$B$2:$B$157=G165),Weekly_Line_Capacity!$L$2:$L$157,"")</f>
        <v>WITHIN CAPACITY</v>
      </c>
      <c r="K165" s="13" t="str">
        <f>_xlfn.XLOOKUP(B165,BOM!$A$2:$A$21,BOM!$B$2:$B$21,"")</f>
        <v>M004</v>
      </c>
      <c r="L165" s="27">
        <f>SUMIFS(Weekly_Material_Inventory!$K:$K,Weekly_Material_Inventory!$A:$A,A165,Weekly_Material_Inventory!$B:$B,K165)</f>
        <v>0</v>
      </c>
      <c r="M165">
        <f t="shared" si="6"/>
        <v>1</v>
      </c>
      <c r="N165" t="str">
        <f t="shared" si="7"/>
        <v>WARNING</v>
      </c>
      <c r="O165" t="str">
        <f t="shared" si="8"/>
        <v>LOW STOCK COVER</v>
      </c>
      <c r="P165" t="str" cm="1">
        <f t="array" ref="P165">_xlfn.SWITCH(O165,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5" t="str" cm="1">
        <f t="array" ref="Q165">_xlfn.SWITCH(O165,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5" t="str" cm="1">
        <f t="array" ref="R165">_xlfn.SWITCH(P165,
"Inventory / Service","Operations / Planning",
"Material Supply","Materials / Procurement",
"Capacity","Production / Planning",
"Production Execution","Production",
"Inventory","Operations / Planning",
"Demand Planning","Commercial / Planning",
"None","None",
"Operations")</f>
        <v>Operations / Planning</v>
      </c>
    </row>
    <row r="166" spans="1:18">
      <c r="A166" s="30">
        <f>Weekly_Inventory_Flow!A166</f>
        <v>46251</v>
      </c>
      <c r="B166" s="13" t="str">
        <f>Weekly_Inventory_Flow!B166</f>
        <v>P005</v>
      </c>
      <c r="C166" s="25">
        <f>IF(SUMIFS(Weekly_Product_Demand!$C:$C,Weekly_Product_Demand!$A:$A,A166,Weekly_Product_Demand!$B:$B,B166)=0,0,
(SUMIFS(Weekly_Product_Demand!$D:$D,Weekly_Product_Demand!$A:$A,A166,Weekly_Product_Demand!$B:$B,B166)-
SUMIFS(Weekly_Product_Demand!$C:$C,Weekly_Product_Demand!$A:$A,A166,Weekly_Product_Demand!$B:$B,B166))/
SUMIFS(Weekly_Product_Demand!$C:$C,Weekly_Product_Demand!$A:$A,A166,Weekly_Product_Demand!$B:$B,B166))</f>
        <v>1.8636171113934775E-2</v>
      </c>
      <c r="D166" s="25">
        <f>SUMIFS(Weekly_Inventory_Flow!$Q:$Q,Weekly_Inventory_Flow!$A:$A,A166,Weekly_Inventory_Flow!$B:$B,B166)</f>
        <v>0.99</v>
      </c>
      <c r="E166" s="26">
        <f>SUMIFS(Weekly_Inventory_Flow!$S:$S,Weekly_Inventory_Flow!$A:$A,A166,Weekly_Inventory_Flow!$B:$B,B166)</f>
        <v>1.9486486486486487</v>
      </c>
      <c r="F166" s="27">
        <f>SUMIFS(Weekly_Inventory_Flow!$N:$N,Weekly_Inventory_Flow!$A:$A,A166,Weekly_Inventory_Flow!$B:$B,B166)</f>
        <v>0</v>
      </c>
      <c r="G166" s="13" t="str">
        <f>_xlfn.XLOOKUP(B166,Product_Line_Map!$A$2:$A$6,Product_Line_Map!$B$2:$B$6,"")</f>
        <v>L03</v>
      </c>
      <c r="H166" s="25">
        <f>SUMIFS(Weekly_Line_Capacity!$J:$J,Weekly_Line_Capacity!$A:$A,A166,Weekly_Line_Capacity!$B:$B,G166)</f>
        <v>0.5</v>
      </c>
      <c r="I166" s="27">
        <f>SUMIFS(Weekly_Line_Capacity!$K:$K,Weekly_Line_Capacity!$A:$A,A166,Weekly_Line_Capacity!$B:$B,G166)</f>
        <v>0</v>
      </c>
      <c r="J166" s="13" t="str" cm="1">
        <f t="array" ref="J166">_xlfn.XLOOKUP(1,(Weekly_Line_Capacity!$A$2:$A$157=A166)*(Weekly_Line_Capacity!$B$2:$B$157=G166),Weekly_Line_Capacity!$L$2:$L$157,"")</f>
        <v>WITHIN CAPACITY</v>
      </c>
      <c r="K166" s="13" t="str">
        <f>_xlfn.XLOOKUP(B166,BOM!$A$2:$A$21,BOM!$B$2:$B$21,"")</f>
        <v>M005</v>
      </c>
      <c r="L166" s="27">
        <f>SUMIFS(Weekly_Material_Inventory!$K:$K,Weekly_Material_Inventory!$A:$A,A166,Weekly_Material_Inventory!$B:$B,K166)</f>
        <v>0</v>
      </c>
      <c r="M166">
        <f t="shared" si="6"/>
        <v>1</v>
      </c>
      <c r="N166" t="str">
        <f t="shared" si="7"/>
        <v>WARNING</v>
      </c>
      <c r="O166" t="str">
        <f t="shared" si="8"/>
        <v>LOW STOCK COVER</v>
      </c>
      <c r="P166" t="str" cm="1">
        <f t="array" ref="P166">_xlfn.SWITCH(O166,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6" t="str" cm="1">
        <f t="array" ref="Q166">_xlfn.SWITCH(O166,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6" t="str" cm="1">
        <f t="array" ref="R166">_xlfn.SWITCH(P166,
"Inventory / Service","Operations / Planning",
"Material Supply","Materials / Procurement",
"Capacity","Production / Planning",
"Production Execution","Production",
"Inventory","Operations / Planning",
"Demand Planning","Commercial / Planning",
"None","None",
"Operations")</f>
        <v>Operations / Planning</v>
      </c>
    </row>
    <row r="167" spans="1:18">
      <c r="A167" s="30">
        <f>Weekly_Inventory_Flow!A167</f>
        <v>46258</v>
      </c>
      <c r="B167" s="13" t="str">
        <f>Weekly_Inventory_Flow!B167</f>
        <v>P001</v>
      </c>
      <c r="C167" s="25">
        <f>IF(SUMIFS(Weekly_Product_Demand!$C:$C,Weekly_Product_Demand!$A:$A,A167,Weekly_Product_Demand!$B:$B,B167)=0,0,
(SUMIFS(Weekly_Product_Demand!$D:$D,Weekly_Product_Demand!$A:$A,A167,Weekly_Product_Demand!$B:$B,B167)-
SUMIFS(Weekly_Product_Demand!$C:$C,Weekly_Product_Demand!$A:$A,A167,Weekly_Product_Demand!$B:$B,B167))/
SUMIFS(Weekly_Product_Demand!$C:$C,Weekly_Product_Demand!$A:$A,A167,Weekly_Product_Demand!$B:$B,B167))</f>
        <v>-1.3747422358307818E-2</v>
      </c>
      <c r="D167" s="25">
        <f>SUMIFS(Weekly_Inventory_Flow!$Q:$Q,Weekly_Inventory_Flow!$A:$A,A167,Weekly_Inventory_Flow!$B:$B,B167)</f>
        <v>0.99</v>
      </c>
      <c r="E167" s="26">
        <f>SUMIFS(Weekly_Inventory_Flow!$S:$S,Weekly_Inventory_Flow!$A:$A,A167,Weekly_Inventory_Flow!$B:$B,B167)</f>
        <v>1.9736425267693087</v>
      </c>
      <c r="F167" s="27">
        <f>SUMIFS(Weekly_Inventory_Flow!$N:$N,Weekly_Inventory_Flow!$A:$A,A167,Weekly_Inventory_Flow!$B:$B,B167)</f>
        <v>0</v>
      </c>
      <c r="G167" s="13" t="str">
        <f>_xlfn.XLOOKUP(B167,Product_Line_Map!$A$2:$A$6,Product_Line_Map!$B$2:$B$6,"")</f>
        <v>L01</v>
      </c>
      <c r="H167" s="25">
        <f>SUMIFS(Weekly_Line_Capacity!$J:$J,Weekly_Line_Capacity!$A:$A,A167,Weekly_Line_Capacity!$B:$B,G167)</f>
        <v>0.22514619883040934</v>
      </c>
      <c r="I167" s="27">
        <f>SUMIFS(Weekly_Line_Capacity!$K:$K,Weekly_Line_Capacity!$A:$A,A167,Weekly_Line_Capacity!$B:$B,G167)</f>
        <v>0</v>
      </c>
      <c r="J167" s="13" t="str" cm="1">
        <f t="array" ref="J167">_xlfn.XLOOKUP(1,(Weekly_Line_Capacity!$A$2:$A$157=A167)*(Weekly_Line_Capacity!$B$2:$B$157=G167),Weekly_Line_Capacity!$L$2:$L$157,"")</f>
        <v>WITHIN CAPACITY</v>
      </c>
      <c r="K167" s="13" t="str">
        <f>_xlfn.XLOOKUP(B167,BOM!$A$2:$A$21,BOM!$B$2:$B$21,"")</f>
        <v>M001</v>
      </c>
      <c r="L167" s="27">
        <f>SUMIFS(Weekly_Material_Inventory!$K:$K,Weekly_Material_Inventory!$A:$A,A167,Weekly_Material_Inventory!$B:$B,K167)</f>
        <v>0</v>
      </c>
      <c r="M167">
        <f t="shared" si="6"/>
        <v>1</v>
      </c>
      <c r="N167" t="str">
        <f t="shared" si="7"/>
        <v>WARNING</v>
      </c>
      <c r="O167" t="str">
        <f t="shared" si="8"/>
        <v>LOW STOCK COVER</v>
      </c>
      <c r="P167" t="str" cm="1">
        <f t="array" ref="P167">_xlfn.SWITCH(O167,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7" t="str" cm="1">
        <f t="array" ref="Q167">_xlfn.SWITCH(O167,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7" t="str" cm="1">
        <f t="array" ref="R167">_xlfn.SWITCH(P167,
"Inventory / Service","Operations / Planning",
"Material Supply","Materials / Procurement",
"Capacity","Production / Planning",
"Production Execution","Production",
"Inventory","Operations / Planning",
"Demand Planning","Commercial / Planning",
"None","None",
"Operations")</f>
        <v>Operations / Planning</v>
      </c>
    </row>
    <row r="168" spans="1:18">
      <c r="A168" s="30">
        <f>Weekly_Inventory_Flow!A168</f>
        <v>46258</v>
      </c>
      <c r="B168" s="13" t="str">
        <f>Weekly_Inventory_Flow!B168</f>
        <v>P002</v>
      </c>
      <c r="C168" s="25">
        <f>IF(SUMIFS(Weekly_Product_Demand!$C:$C,Weekly_Product_Demand!$A:$A,A168,Weekly_Product_Demand!$B:$B,B168)=0,0,
(SUMIFS(Weekly_Product_Demand!$D:$D,Weekly_Product_Demand!$A:$A,A168,Weekly_Product_Demand!$B:$B,B168)-
SUMIFS(Weekly_Product_Demand!$C:$C,Weekly_Product_Demand!$A:$A,A168,Weekly_Product_Demand!$B:$B,B168))/
SUMIFS(Weekly_Product_Demand!$C:$C,Weekly_Product_Demand!$A:$A,A168,Weekly_Product_Demand!$B:$B,B168))</f>
        <v>-2.7033015732328827E-2</v>
      </c>
      <c r="D168" s="25">
        <f>SUMIFS(Weekly_Inventory_Flow!$Q:$Q,Weekly_Inventory_Flow!$A:$A,A168,Weekly_Inventory_Flow!$B:$B,B168)</f>
        <v>0.99</v>
      </c>
      <c r="E168" s="26">
        <f>SUMIFS(Weekly_Inventory_Flow!$S:$S,Weekly_Inventory_Flow!$A:$A,A168,Weekly_Inventory_Flow!$B:$B,B168)</f>
        <v>1.9725195475594017</v>
      </c>
      <c r="F168" s="27">
        <f>SUMIFS(Weekly_Inventory_Flow!$N:$N,Weekly_Inventory_Flow!$A:$A,A168,Weekly_Inventory_Flow!$B:$B,B168)</f>
        <v>0</v>
      </c>
      <c r="G168" s="13" t="str">
        <f>_xlfn.XLOOKUP(B168,Product_Line_Map!$A$2:$A$6,Product_Line_Map!$B$2:$B$6,"")</f>
        <v>L02</v>
      </c>
      <c r="H168" s="25">
        <f>SUMIFS(Weekly_Line_Capacity!$J:$J,Weekly_Line_Capacity!$A:$A,A168,Weekly_Line_Capacity!$B:$B,G168)</f>
        <v>0.4952380952380952</v>
      </c>
      <c r="I168" s="27">
        <f>SUMIFS(Weekly_Line_Capacity!$K:$K,Weekly_Line_Capacity!$A:$A,A168,Weekly_Line_Capacity!$B:$B,G168)</f>
        <v>0</v>
      </c>
      <c r="J168" s="13" t="str" cm="1">
        <f t="array" ref="J168">_xlfn.XLOOKUP(1,(Weekly_Line_Capacity!$A$2:$A$157=A168)*(Weekly_Line_Capacity!$B$2:$B$157=G168),Weekly_Line_Capacity!$L$2:$L$157,"")</f>
        <v>WITHIN CAPACITY</v>
      </c>
      <c r="K168" s="13" t="str">
        <f>_xlfn.XLOOKUP(B168,BOM!$A$2:$A$21,BOM!$B$2:$B$21,"")</f>
        <v>M002</v>
      </c>
      <c r="L168" s="27">
        <f>SUMIFS(Weekly_Material_Inventory!$K:$K,Weekly_Material_Inventory!$A:$A,A168,Weekly_Material_Inventory!$B:$B,K168)</f>
        <v>0</v>
      </c>
      <c r="M168">
        <f t="shared" si="6"/>
        <v>1</v>
      </c>
      <c r="N168" t="str">
        <f t="shared" si="7"/>
        <v>WARNING</v>
      </c>
      <c r="O168" t="str">
        <f t="shared" si="8"/>
        <v>LOW STOCK COVER</v>
      </c>
      <c r="P168" t="str" cm="1">
        <f t="array" ref="P168">_xlfn.SWITCH(O168,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68" t="str" cm="1">
        <f t="array" ref="Q168">_xlfn.SWITCH(O168,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68" t="str" cm="1">
        <f t="array" ref="R168">_xlfn.SWITCH(P168,
"Inventory / Service","Operations / Planning",
"Material Supply","Materials / Procurement",
"Capacity","Production / Planning",
"Production Execution","Production",
"Inventory","Operations / Planning",
"Demand Planning","Commercial / Planning",
"None","None",
"Operations")</f>
        <v>Operations / Planning</v>
      </c>
    </row>
    <row r="169" spans="1:18">
      <c r="A169" s="30">
        <f>Weekly_Inventory_Flow!A169</f>
        <v>46258</v>
      </c>
      <c r="B169" s="13" t="str">
        <f>Weekly_Inventory_Flow!B169</f>
        <v>P003</v>
      </c>
      <c r="C169" s="25">
        <f>IF(SUMIFS(Weekly_Product_Demand!$C:$C,Weekly_Product_Demand!$A:$A,A169,Weekly_Product_Demand!$B:$B,B169)=0,0,
(SUMIFS(Weekly_Product_Demand!$D:$D,Weekly_Product_Demand!$A:$A,A169,Weekly_Product_Demand!$B:$B,B169)-
SUMIFS(Weekly_Product_Demand!$C:$C,Weekly_Product_Demand!$A:$A,A169,Weekly_Product_Demand!$B:$B,B169))/
SUMIFS(Weekly_Product_Demand!$C:$C,Weekly_Product_Demand!$A:$A,A169,Weekly_Product_Demand!$B:$B,B169))</f>
        <v>1.4637103758877534E-2</v>
      </c>
      <c r="D169" s="25">
        <f>SUMIFS(Weekly_Inventory_Flow!$Q:$Q,Weekly_Inventory_Flow!$A:$A,A169,Weekly_Inventory_Flow!$B:$B,B169)</f>
        <v>1</v>
      </c>
      <c r="E169" s="26">
        <f>SUMIFS(Weekly_Inventory_Flow!$S:$S,Weekly_Inventory_Flow!$A:$A,A169,Weekly_Inventory_Flow!$B:$B,B169)</f>
        <v>2.0202304737516004</v>
      </c>
      <c r="F169" s="27">
        <f>SUMIFS(Weekly_Inventory_Flow!$N:$N,Weekly_Inventory_Flow!$A:$A,A169,Weekly_Inventory_Flow!$B:$B,B169)</f>
        <v>0</v>
      </c>
      <c r="G169" s="13" t="str">
        <f>_xlfn.XLOOKUP(B169,Product_Line_Map!$A$2:$A$6,Product_Line_Map!$B$2:$B$6,"")</f>
        <v>L03</v>
      </c>
      <c r="H169" s="25">
        <f>SUMIFS(Weekly_Line_Capacity!$J:$J,Weekly_Line_Capacity!$A:$A,A169,Weekly_Line_Capacity!$B:$B,G169)</f>
        <v>0.51904761904761909</v>
      </c>
      <c r="I169" s="27">
        <f>SUMIFS(Weekly_Line_Capacity!$K:$K,Weekly_Line_Capacity!$A:$A,A169,Weekly_Line_Capacity!$B:$B,G169)</f>
        <v>0</v>
      </c>
      <c r="J169" s="13" t="str" cm="1">
        <f t="array" ref="J169">_xlfn.XLOOKUP(1,(Weekly_Line_Capacity!$A$2:$A$157=A169)*(Weekly_Line_Capacity!$B$2:$B$157=G169),Weekly_Line_Capacity!$L$2:$L$157,"")</f>
        <v>WITHIN CAPACITY</v>
      </c>
      <c r="K169" s="13" t="str">
        <f>_xlfn.XLOOKUP(B169,BOM!$A$2:$A$21,BOM!$B$2:$B$21,"")</f>
        <v>M003</v>
      </c>
      <c r="L169" s="27">
        <f>SUMIFS(Weekly_Material_Inventory!$K:$K,Weekly_Material_Inventory!$A:$A,A169,Weekly_Material_Inventory!$B:$B,K169)</f>
        <v>0</v>
      </c>
      <c r="M169">
        <f t="shared" si="6"/>
        <v>0</v>
      </c>
      <c r="N169" t="str">
        <f t="shared" si="7"/>
        <v>OK</v>
      </c>
      <c r="O169" t="str">
        <f t="shared" si="8"/>
        <v>NONE</v>
      </c>
      <c r="P169" t="str" cm="1">
        <f t="array" ref="P169">_xlfn.SWITCH(O169,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69" t="str" cm="1">
        <f t="array" ref="Q169">_xlfn.SWITCH(O169,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69" t="str" cm="1">
        <f t="array" ref="R169">_xlfn.SWITCH(P169,
"Inventory / Service","Operations / Planning",
"Material Supply","Materials / Procurement",
"Capacity","Production / Planning",
"Production Execution","Production",
"Inventory","Operations / Planning",
"Demand Planning","Commercial / Planning",
"None","None",
"Operations")</f>
        <v>None</v>
      </c>
    </row>
    <row r="170" spans="1:18">
      <c r="A170" s="30">
        <f>Weekly_Inventory_Flow!A170</f>
        <v>46258</v>
      </c>
      <c r="B170" s="13" t="str">
        <f>Weekly_Inventory_Flow!B170</f>
        <v>P004</v>
      </c>
      <c r="C170" s="25">
        <f>IF(SUMIFS(Weekly_Product_Demand!$C:$C,Weekly_Product_Demand!$A:$A,A170,Weekly_Product_Demand!$B:$B,B170)=0,0,
(SUMIFS(Weekly_Product_Demand!$D:$D,Weekly_Product_Demand!$A:$A,A170,Weekly_Product_Demand!$B:$B,B170)-
SUMIFS(Weekly_Product_Demand!$C:$C,Weekly_Product_Demand!$A:$A,A170,Weekly_Product_Demand!$B:$B,B170))/
SUMIFS(Weekly_Product_Demand!$C:$C,Weekly_Product_Demand!$A:$A,A170,Weekly_Product_Demand!$B:$B,B170))</f>
        <v>1.9694010416666668E-2</v>
      </c>
      <c r="D170" s="25">
        <f>SUMIFS(Weekly_Inventory_Flow!$Q:$Q,Weekly_Inventory_Flow!$A:$A,A170,Weekly_Inventory_Flow!$B:$B,B170)</f>
        <v>0.99</v>
      </c>
      <c r="E170" s="26">
        <f>SUMIFS(Weekly_Inventory_Flow!$S:$S,Weekly_Inventory_Flow!$A:$A,A170,Weekly_Inventory_Flow!$B:$B,B170)</f>
        <v>1.9402234636871509</v>
      </c>
      <c r="F170" s="27">
        <f>SUMIFS(Weekly_Inventory_Flow!$N:$N,Weekly_Inventory_Flow!$A:$A,A170,Weekly_Inventory_Flow!$B:$B,B170)</f>
        <v>0</v>
      </c>
      <c r="G170" s="13" t="str">
        <f>_xlfn.XLOOKUP(B170,Product_Line_Map!$A$2:$A$6,Product_Line_Map!$B$2:$B$6,"")</f>
        <v>L02</v>
      </c>
      <c r="H170" s="25">
        <f>SUMIFS(Weekly_Line_Capacity!$J:$J,Weekly_Line_Capacity!$A:$A,A170,Weekly_Line_Capacity!$B:$B,G170)</f>
        <v>0.4952380952380952</v>
      </c>
      <c r="I170" s="27">
        <f>SUMIFS(Weekly_Line_Capacity!$K:$K,Weekly_Line_Capacity!$A:$A,A170,Weekly_Line_Capacity!$B:$B,G170)</f>
        <v>0</v>
      </c>
      <c r="J170" s="13" t="str" cm="1">
        <f t="array" ref="J170">_xlfn.XLOOKUP(1,(Weekly_Line_Capacity!$A$2:$A$157=A170)*(Weekly_Line_Capacity!$B$2:$B$157=G170),Weekly_Line_Capacity!$L$2:$L$157,"")</f>
        <v>WITHIN CAPACITY</v>
      </c>
      <c r="K170" s="13" t="str">
        <f>_xlfn.XLOOKUP(B170,BOM!$A$2:$A$21,BOM!$B$2:$B$21,"")</f>
        <v>M004</v>
      </c>
      <c r="L170" s="27">
        <f>SUMIFS(Weekly_Material_Inventory!$K:$K,Weekly_Material_Inventory!$A:$A,A170,Weekly_Material_Inventory!$B:$B,K170)</f>
        <v>0</v>
      </c>
      <c r="M170">
        <f t="shared" si="6"/>
        <v>1</v>
      </c>
      <c r="N170" t="str">
        <f t="shared" si="7"/>
        <v>WARNING</v>
      </c>
      <c r="O170" t="str">
        <f t="shared" si="8"/>
        <v>LOW STOCK COVER</v>
      </c>
      <c r="P170" t="str" cm="1">
        <f t="array" ref="P170">_xlfn.SWITCH(O170,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0" t="str" cm="1">
        <f t="array" ref="Q170">_xlfn.SWITCH(O170,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0" t="str" cm="1">
        <f t="array" ref="R170">_xlfn.SWITCH(P170,
"Inventory / Service","Operations / Planning",
"Material Supply","Materials / Procurement",
"Capacity","Production / Planning",
"Production Execution","Production",
"Inventory","Operations / Planning",
"Demand Planning","Commercial / Planning",
"None","None",
"Operations")</f>
        <v>Operations / Planning</v>
      </c>
    </row>
    <row r="171" spans="1:18">
      <c r="A171" s="30">
        <f>Weekly_Inventory_Flow!A171</f>
        <v>46258</v>
      </c>
      <c r="B171" s="13" t="str">
        <f>Weekly_Inventory_Flow!B171</f>
        <v>P005</v>
      </c>
      <c r="C171" s="25">
        <f>IF(SUMIFS(Weekly_Product_Demand!$C:$C,Weekly_Product_Demand!$A:$A,A171,Weekly_Product_Demand!$B:$B,B171)=0,0,
(SUMIFS(Weekly_Product_Demand!$D:$D,Weekly_Product_Demand!$A:$A,A171,Weekly_Product_Demand!$B:$B,B171)-
SUMIFS(Weekly_Product_Demand!$C:$C,Weekly_Product_Demand!$A:$A,A171,Weekly_Product_Demand!$B:$B,B171))/
SUMIFS(Weekly_Product_Demand!$C:$C,Weekly_Product_Demand!$A:$A,A171,Weekly_Product_Demand!$B:$B,B171))</f>
        <v>3.41065565088444E-2</v>
      </c>
      <c r="D171" s="25">
        <f>SUMIFS(Weekly_Inventory_Flow!$Q:$Q,Weekly_Inventory_Flow!$A:$A,A171,Weekly_Inventory_Flow!$B:$B,B171)</f>
        <v>1</v>
      </c>
      <c r="E171" s="26">
        <f>SUMIFS(Weekly_Inventory_Flow!$S:$S,Weekly_Inventory_Flow!$A:$A,A171,Weekly_Inventory_Flow!$B:$B,B171)</f>
        <v>2.0183345283212129</v>
      </c>
      <c r="F171" s="27">
        <f>SUMIFS(Weekly_Inventory_Flow!$N:$N,Weekly_Inventory_Flow!$A:$A,A171,Weekly_Inventory_Flow!$B:$B,B171)</f>
        <v>0</v>
      </c>
      <c r="G171" s="13" t="str">
        <f>_xlfn.XLOOKUP(B171,Product_Line_Map!$A$2:$A$6,Product_Line_Map!$B$2:$B$6,"")</f>
        <v>L03</v>
      </c>
      <c r="H171" s="25">
        <f>SUMIFS(Weekly_Line_Capacity!$J:$J,Weekly_Line_Capacity!$A:$A,A171,Weekly_Line_Capacity!$B:$B,G171)</f>
        <v>0.51904761904761909</v>
      </c>
      <c r="I171" s="27">
        <f>SUMIFS(Weekly_Line_Capacity!$K:$K,Weekly_Line_Capacity!$A:$A,A171,Weekly_Line_Capacity!$B:$B,G171)</f>
        <v>0</v>
      </c>
      <c r="J171" s="13" t="str" cm="1">
        <f t="array" ref="J171">_xlfn.XLOOKUP(1,(Weekly_Line_Capacity!$A$2:$A$157=A171)*(Weekly_Line_Capacity!$B$2:$B$157=G171),Weekly_Line_Capacity!$L$2:$L$157,"")</f>
        <v>WITHIN CAPACITY</v>
      </c>
      <c r="K171" s="13" t="str">
        <f>_xlfn.XLOOKUP(B171,BOM!$A$2:$A$21,BOM!$B$2:$B$21,"")</f>
        <v>M005</v>
      </c>
      <c r="L171" s="27">
        <f>SUMIFS(Weekly_Material_Inventory!$K:$K,Weekly_Material_Inventory!$A:$A,A171,Weekly_Material_Inventory!$B:$B,K171)</f>
        <v>0</v>
      </c>
      <c r="M171">
        <f t="shared" si="6"/>
        <v>0</v>
      </c>
      <c r="N171" t="str">
        <f t="shared" si="7"/>
        <v>OK</v>
      </c>
      <c r="O171" t="str">
        <f t="shared" si="8"/>
        <v>NONE</v>
      </c>
      <c r="P171" t="str" cm="1">
        <f t="array" ref="P171">_xlfn.SWITCH(O171,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71" t="str" cm="1">
        <f t="array" ref="Q171">_xlfn.SWITCH(O171,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71" t="str" cm="1">
        <f t="array" ref="R171">_xlfn.SWITCH(P171,
"Inventory / Service","Operations / Planning",
"Material Supply","Materials / Procurement",
"Capacity","Production / Planning",
"Production Execution","Production",
"Inventory","Operations / Planning",
"Demand Planning","Commercial / Planning",
"None","None",
"Operations")</f>
        <v>None</v>
      </c>
    </row>
    <row r="172" spans="1:18">
      <c r="A172" s="30">
        <f>Weekly_Inventory_Flow!A172</f>
        <v>46265</v>
      </c>
      <c r="B172" s="13" t="str">
        <f>Weekly_Inventory_Flow!B172</f>
        <v>P001</v>
      </c>
      <c r="C172" s="25">
        <f>IF(SUMIFS(Weekly_Product_Demand!$C:$C,Weekly_Product_Demand!$A:$A,A172,Weekly_Product_Demand!$B:$B,B172)=0,0,
(SUMIFS(Weekly_Product_Demand!$D:$D,Weekly_Product_Demand!$A:$A,A172,Weekly_Product_Demand!$B:$B,B172)-
SUMIFS(Weekly_Product_Demand!$C:$C,Weekly_Product_Demand!$A:$A,A172,Weekly_Product_Demand!$B:$B,B172))/
SUMIFS(Weekly_Product_Demand!$C:$C,Weekly_Product_Demand!$A:$A,A172,Weekly_Product_Demand!$B:$B,B172))</f>
        <v>4.5369110117311554E-3</v>
      </c>
      <c r="D172" s="25">
        <f>SUMIFS(Weekly_Inventory_Flow!$Q:$Q,Weekly_Inventory_Flow!$A:$A,A172,Weekly_Inventory_Flow!$B:$B,B172)</f>
        <v>0.97</v>
      </c>
      <c r="E172" s="26">
        <f>SUMIFS(Weekly_Inventory_Flow!$S:$S,Weekly_Inventory_Flow!$A:$A,A172,Weekly_Inventory_Flow!$B:$B,B172)</f>
        <v>1.8002451771082004</v>
      </c>
      <c r="F172" s="27">
        <f>SUMIFS(Weekly_Inventory_Flow!$N:$N,Weekly_Inventory_Flow!$A:$A,A172,Weekly_Inventory_Flow!$B:$B,B172)</f>
        <v>0</v>
      </c>
      <c r="G172" s="13" t="str">
        <f>_xlfn.XLOOKUP(B172,Product_Line_Map!$A$2:$A$6,Product_Line_Map!$B$2:$B$6,"")</f>
        <v>L01</v>
      </c>
      <c r="H172" s="25">
        <f>SUMIFS(Weekly_Line_Capacity!$J:$J,Weekly_Line_Capacity!$A:$A,A172,Weekly_Line_Capacity!$B:$B,G172)</f>
        <v>0.22660818713450293</v>
      </c>
      <c r="I172" s="27">
        <f>SUMIFS(Weekly_Line_Capacity!$K:$K,Weekly_Line_Capacity!$A:$A,A172,Weekly_Line_Capacity!$B:$B,G172)</f>
        <v>0</v>
      </c>
      <c r="J172" s="13" t="str" cm="1">
        <f t="array" ref="J172">_xlfn.XLOOKUP(1,(Weekly_Line_Capacity!$A$2:$A$157=A172)*(Weekly_Line_Capacity!$B$2:$B$157=G172),Weekly_Line_Capacity!$L$2:$L$157,"")</f>
        <v>WITHIN CAPACITY</v>
      </c>
      <c r="K172" s="13" t="str">
        <f>_xlfn.XLOOKUP(B172,BOM!$A$2:$A$21,BOM!$B$2:$B$21,"")</f>
        <v>M001</v>
      </c>
      <c r="L172" s="27">
        <f>SUMIFS(Weekly_Material_Inventory!$K:$K,Weekly_Material_Inventory!$A:$A,A172,Weekly_Material_Inventory!$B:$B,K172)</f>
        <v>0</v>
      </c>
      <c r="M172">
        <f t="shared" si="6"/>
        <v>1</v>
      </c>
      <c r="N172" t="str">
        <f t="shared" si="7"/>
        <v>WARNING</v>
      </c>
      <c r="O172" t="str">
        <f t="shared" si="8"/>
        <v>LOW STOCK COVER</v>
      </c>
      <c r="P172" t="str" cm="1">
        <f t="array" ref="P172">_xlfn.SWITCH(O172,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2" t="str" cm="1">
        <f t="array" ref="Q172">_xlfn.SWITCH(O172,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2" t="str" cm="1">
        <f t="array" ref="R172">_xlfn.SWITCH(P172,
"Inventory / Service","Operations / Planning",
"Material Supply","Materials / Procurement",
"Capacity","Production / Planning",
"Production Execution","Production",
"Inventory","Operations / Planning",
"Demand Planning","Commercial / Planning",
"None","None",
"Operations")</f>
        <v>Operations / Planning</v>
      </c>
    </row>
    <row r="173" spans="1:18">
      <c r="A173" s="30">
        <f>Weekly_Inventory_Flow!A173</f>
        <v>46265</v>
      </c>
      <c r="B173" s="13" t="str">
        <f>Weekly_Inventory_Flow!B173</f>
        <v>P002</v>
      </c>
      <c r="C173" s="25">
        <f>IF(SUMIFS(Weekly_Product_Demand!$C:$C,Weekly_Product_Demand!$A:$A,A173,Weekly_Product_Demand!$B:$B,B173)=0,0,
(SUMIFS(Weekly_Product_Demand!$D:$D,Weekly_Product_Demand!$A:$A,A173,Weekly_Product_Demand!$B:$B,B173)-
SUMIFS(Weekly_Product_Demand!$C:$C,Weekly_Product_Demand!$A:$A,A173,Weekly_Product_Demand!$B:$B,B173))/
SUMIFS(Weekly_Product_Demand!$C:$C,Weekly_Product_Demand!$A:$A,A173,Weekly_Product_Demand!$B:$B,B173))</f>
        <v>-1.4412416851441241E-2</v>
      </c>
      <c r="D173" s="25">
        <f>SUMIFS(Weekly_Inventory_Flow!$Q:$Q,Weekly_Inventory_Flow!$A:$A,A173,Weekly_Inventory_Flow!$B:$B,B173)</f>
        <v>0.98</v>
      </c>
      <c r="E173" s="26">
        <f>SUMIFS(Weekly_Inventory_Flow!$S:$S,Weekly_Inventory_Flow!$A:$A,A173,Weekly_Inventory_Flow!$B:$B,B173)</f>
        <v>1.8934383202099738</v>
      </c>
      <c r="F173" s="27">
        <f>SUMIFS(Weekly_Inventory_Flow!$N:$N,Weekly_Inventory_Flow!$A:$A,A173,Weekly_Inventory_Flow!$B:$B,B173)</f>
        <v>0</v>
      </c>
      <c r="G173" s="13" t="str">
        <f>_xlfn.XLOOKUP(B173,Product_Line_Map!$A$2:$A$6,Product_Line_Map!$B$2:$B$6,"")</f>
        <v>L02</v>
      </c>
      <c r="H173" s="25">
        <f>SUMIFS(Weekly_Line_Capacity!$J:$J,Weekly_Line_Capacity!$A:$A,A173,Weekly_Line_Capacity!$B:$B,G173)</f>
        <v>0.50285714285714289</v>
      </c>
      <c r="I173" s="27">
        <f>SUMIFS(Weekly_Line_Capacity!$K:$K,Weekly_Line_Capacity!$A:$A,A173,Weekly_Line_Capacity!$B:$B,G173)</f>
        <v>0</v>
      </c>
      <c r="J173" s="13" t="str" cm="1">
        <f t="array" ref="J173">_xlfn.XLOOKUP(1,(Weekly_Line_Capacity!$A$2:$A$157=A173)*(Weekly_Line_Capacity!$B$2:$B$157=G173),Weekly_Line_Capacity!$L$2:$L$157,"")</f>
        <v>WITHIN CAPACITY</v>
      </c>
      <c r="K173" s="13" t="str">
        <f>_xlfn.XLOOKUP(B173,BOM!$A$2:$A$21,BOM!$B$2:$B$21,"")</f>
        <v>M002</v>
      </c>
      <c r="L173" s="27">
        <f>SUMIFS(Weekly_Material_Inventory!$K:$K,Weekly_Material_Inventory!$A:$A,A173,Weekly_Material_Inventory!$B:$B,K173)</f>
        <v>0</v>
      </c>
      <c r="M173">
        <f t="shared" si="6"/>
        <v>1</v>
      </c>
      <c r="N173" t="str">
        <f t="shared" si="7"/>
        <v>WARNING</v>
      </c>
      <c r="O173" t="str">
        <f t="shared" si="8"/>
        <v>LOW STOCK COVER</v>
      </c>
      <c r="P173" t="str" cm="1">
        <f t="array" ref="P173">_xlfn.SWITCH(O173,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3" t="str" cm="1">
        <f t="array" ref="Q173">_xlfn.SWITCH(O173,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3" t="str" cm="1">
        <f t="array" ref="R173">_xlfn.SWITCH(P173,
"Inventory / Service","Operations / Planning",
"Material Supply","Materials / Procurement",
"Capacity","Production / Planning",
"Production Execution","Production",
"Inventory","Operations / Planning",
"Demand Planning","Commercial / Planning",
"None","None",
"Operations")</f>
        <v>Operations / Planning</v>
      </c>
    </row>
    <row r="174" spans="1:18">
      <c r="A174" s="30">
        <f>Weekly_Inventory_Flow!A174</f>
        <v>46265</v>
      </c>
      <c r="B174" s="13" t="str">
        <f>Weekly_Inventory_Flow!B174</f>
        <v>P003</v>
      </c>
      <c r="C174" s="25">
        <f>IF(SUMIFS(Weekly_Product_Demand!$C:$C,Weekly_Product_Demand!$A:$A,A174,Weekly_Product_Demand!$B:$B,B174)=0,0,
(SUMIFS(Weekly_Product_Demand!$D:$D,Weekly_Product_Demand!$A:$A,A174,Weekly_Product_Demand!$B:$B,B174)-
SUMIFS(Weekly_Product_Demand!$C:$C,Weekly_Product_Demand!$A:$A,A174,Weekly_Product_Demand!$B:$B,B174))/
SUMIFS(Weekly_Product_Demand!$C:$C,Weekly_Product_Demand!$A:$A,A174,Weekly_Product_Demand!$B:$B,B174))</f>
        <v>-9.6692111959287529E-3</v>
      </c>
      <c r="D174" s="25">
        <f>SUMIFS(Weekly_Inventory_Flow!$Q:$Q,Weekly_Inventory_Flow!$A:$A,A174,Weekly_Inventory_Flow!$B:$B,B174)</f>
        <v>1.02</v>
      </c>
      <c r="E174" s="26">
        <f>SUMIFS(Weekly_Inventory_Flow!$S:$S,Weekly_Inventory_Flow!$A:$A,A174,Weekly_Inventory_Flow!$B:$B,B174)</f>
        <v>2.1816546762589928</v>
      </c>
      <c r="F174" s="27">
        <f>SUMIFS(Weekly_Inventory_Flow!$N:$N,Weekly_Inventory_Flow!$A:$A,A174,Weekly_Inventory_Flow!$B:$B,B174)</f>
        <v>0</v>
      </c>
      <c r="G174" s="13" t="str">
        <f>_xlfn.XLOOKUP(B174,Product_Line_Map!$A$2:$A$6,Product_Line_Map!$B$2:$B$6,"")</f>
        <v>L03</v>
      </c>
      <c r="H174" s="25">
        <f>SUMIFS(Weekly_Line_Capacity!$J:$J,Weekly_Line_Capacity!$A:$A,A174,Weekly_Line_Capacity!$B:$B,G174)</f>
        <v>0.50714285714285712</v>
      </c>
      <c r="I174" s="27">
        <f>SUMIFS(Weekly_Line_Capacity!$K:$K,Weekly_Line_Capacity!$A:$A,A174,Weekly_Line_Capacity!$B:$B,G174)</f>
        <v>0</v>
      </c>
      <c r="J174" s="13" t="str" cm="1">
        <f t="array" ref="J174">_xlfn.XLOOKUP(1,(Weekly_Line_Capacity!$A$2:$A$157=A174)*(Weekly_Line_Capacity!$B$2:$B$157=G174),Weekly_Line_Capacity!$L$2:$L$157,"")</f>
        <v>WITHIN CAPACITY</v>
      </c>
      <c r="K174" s="13" t="str">
        <f>_xlfn.XLOOKUP(B174,BOM!$A$2:$A$21,BOM!$B$2:$B$21,"")</f>
        <v>M003</v>
      </c>
      <c r="L174" s="27">
        <f>SUMIFS(Weekly_Material_Inventory!$K:$K,Weekly_Material_Inventory!$A:$A,A174,Weekly_Material_Inventory!$B:$B,K174)</f>
        <v>0</v>
      </c>
      <c r="M174">
        <f t="shared" si="6"/>
        <v>0</v>
      </c>
      <c r="N174" t="str">
        <f t="shared" si="7"/>
        <v>OK</v>
      </c>
      <c r="O174" t="str">
        <f t="shared" si="8"/>
        <v>NONE</v>
      </c>
      <c r="P174" t="str" cm="1">
        <f t="array" ref="P174">_xlfn.SWITCH(O174,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74" t="str" cm="1">
        <f t="array" ref="Q174">_xlfn.SWITCH(O174,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74" t="str" cm="1">
        <f t="array" ref="R174">_xlfn.SWITCH(P174,
"Inventory / Service","Operations / Planning",
"Material Supply","Materials / Procurement",
"Capacity","Production / Planning",
"Production Execution","Production",
"Inventory","Operations / Planning",
"Demand Planning","Commercial / Planning",
"None","None",
"Operations")</f>
        <v>None</v>
      </c>
    </row>
    <row r="175" spans="1:18">
      <c r="A175" s="30">
        <f>Weekly_Inventory_Flow!A175</f>
        <v>46265</v>
      </c>
      <c r="B175" s="13" t="str">
        <f>Weekly_Inventory_Flow!B175</f>
        <v>P004</v>
      </c>
      <c r="C175" s="25">
        <f>IF(SUMIFS(Weekly_Product_Demand!$C:$C,Weekly_Product_Demand!$A:$A,A175,Weekly_Product_Demand!$B:$B,B175)=0,0,
(SUMIFS(Weekly_Product_Demand!$D:$D,Weekly_Product_Demand!$A:$A,A175,Weekly_Product_Demand!$B:$B,B175)-
SUMIFS(Weekly_Product_Demand!$C:$C,Weekly_Product_Demand!$A:$A,A175,Weekly_Product_Demand!$B:$B,B175))/
SUMIFS(Weekly_Product_Demand!$C:$C,Weekly_Product_Demand!$A:$A,A175,Weekly_Product_Demand!$B:$B,B175))</f>
        <v>2.1338039467351196E-2</v>
      </c>
      <c r="D175" s="25">
        <f>SUMIFS(Weekly_Inventory_Flow!$Q:$Q,Weekly_Inventory_Flow!$A:$A,A175,Weekly_Inventory_Flow!$B:$B,B175)</f>
        <v>0.99</v>
      </c>
      <c r="E175" s="26">
        <f>SUMIFS(Weekly_Inventory_Flow!$S:$S,Weekly_Inventory_Flow!$A:$A,A175,Weekly_Inventory_Flow!$B:$B,B175)</f>
        <v>1.9308828149544455</v>
      </c>
      <c r="F175" s="27">
        <f>SUMIFS(Weekly_Inventory_Flow!$N:$N,Weekly_Inventory_Flow!$A:$A,A175,Weekly_Inventory_Flow!$B:$B,B175)</f>
        <v>0</v>
      </c>
      <c r="G175" s="13" t="str">
        <f>_xlfn.XLOOKUP(B175,Product_Line_Map!$A$2:$A$6,Product_Line_Map!$B$2:$B$6,"")</f>
        <v>L02</v>
      </c>
      <c r="H175" s="25">
        <f>SUMIFS(Weekly_Line_Capacity!$J:$J,Weekly_Line_Capacity!$A:$A,A175,Weekly_Line_Capacity!$B:$B,G175)</f>
        <v>0.50285714285714289</v>
      </c>
      <c r="I175" s="27">
        <f>SUMIFS(Weekly_Line_Capacity!$K:$K,Weekly_Line_Capacity!$A:$A,A175,Weekly_Line_Capacity!$B:$B,G175)</f>
        <v>0</v>
      </c>
      <c r="J175" s="13" t="str" cm="1">
        <f t="array" ref="J175">_xlfn.XLOOKUP(1,(Weekly_Line_Capacity!$A$2:$A$157=A175)*(Weekly_Line_Capacity!$B$2:$B$157=G175),Weekly_Line_Capacity!$L$2:$L$157,"")</f>
        <v>WITHIN CAPACITY</v>
      </c>
      <c r="K175" s="13" t="str">
        <f>_xlfn.XLOOKUP(B175,BOM!$A$2:$A$21,BOM!$B$2:$B$21,"")</f>
        <v>M004</v>
      </c>
      <c r="L175" s="27">
        <f>SUMIFS(Weekly_Material_Inventory!$K:$K,Weekly_Material_Inventory!$A:$A,A175,Weekly_Material_Inventory!$B:$B,K175)</f>
        <v>0</v>
      </c>
      <c r="M175">
        <f t="shared" si="6"/>
        <v>1</v>
      </c>
      <c r="N175" t="str">
        <f t="shared" si="7"/>
        <v>WARNING</v>
      </c>
      <c r="O175" t="str">
        <f t="shared" si="8"/>
        <v>LOW STOCK COVER</v>
      </c>
      <c r="P175" t="str" cm="1">
        <f t="array" ref="P175">_xlfn.SWITCH(O175,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5" t="str" cm="1">
        <f t="array" ref="Q175">_xlfn.SWITCH(O175,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5" t="str" cm="1">
        <f t="array" ref="R175">_xlfn.SWITCH(P175,
"Inventory / Service","Operations / Planning",
"Material Supply","Materials / Procurement",
"Capacity","Production / Planning",
"Production Execution","Production",
"Inventory","Operations / Planning",
"Demand Planning","Commercial / Planning",
"None","None",
"Operations")</f>
        <v>Operations / Planning</v>
      </c>
    </row>
    <row r="176" spans="1:18">
      <c r="A176" s="30">
        <f>Weekly_Inventory_Flow!A176</f>
        <v>46265</v>
      </c>
      <c r="B176" s="13" t="str">
        <f>Weekly_Inventory_Flow!B176</f>
        <v>P005</v>
      </c>
      <c r="C176" s="25">
        <f>IF(SUMIFS(Weekly_Product_Demand!$C:$C,Weekly_Product_Demand!$A:$A,A176,Weekly_Product_Demand!$B:$B,B176)=0,0,
(SUMIFS(Weekly_Product_Demand!$D:$D,Weekly_Product_Demand!$A:$A,A176,Weekly_Product_Demand!$B:$B,B176)-
SUMIFS(Weekly_Product_Demand!$C:$C,Weekly_Product_Demand!$A:$A,A176,Weekly_Product_Demand!$B:$B,B176))/
SUMIFS(Weekly_Product_Demand!$C:$C,Weekly_Product_Demand!$A:$A,A176,Weekly_Product_Demand!$B:$B,B176))</f>
        <v>6.2182609596849413E-4</v>
      </c>
      <c r="D176" s="25">
        <f>SUMIFS(Weekly_Inventory_Flow!$Q:$Q,Weekly_Inventory_Flow!$A:$A,A176,Weekly_Inventory_Flow!$B:$B,B176)</f>
        <v>1</v>
      </c>
      <c r="E176" s="26">
        <f>SUMIFS(Weekly_Inventory_Flow!$S:$S,Weekly_Inventory_Flow!$A:$A,A176,Weekly_Inventory_Flow!$B:$B,B176)</f>
        <v>2.0010357327809425</v>
      </c>
      <c r="F176" s="27">
        <f>SUMIFS(Weekly_Inventory_Flow!$N:$N,Weekly_Inventory_Flow!$A:$A,A176,Weekly_Inventory_Flow!$B:$B,B176)</f>
        <v>0</v>
      </c>
      <c r="G176" s="13" t="str">
        <f>_xlfn.XLOOKUP(B176,Product_Line_Map!$A$2:$A$6,Product_Line_Map!$B$2:$B$6,"")</f>
        <v>L03</v>
      </c>
      <c r="H176" s="25">
        <f>SUMIFS(Weekly_Line_Capacity!$J:$J,Weekly_Line_Capacity!$A:$A,A176,Weekly_Line_Capacity!$B:$B,G176)</f>
        <v>0.50714285714285712</v>
      </c>
      <c r="I176" s="27">
        <f>SUMIFS(Weekly_Line_Capacity!$K:$K,Weekly_Line_Capacity!$A:$A,A176,Weekly_Line_Capacity!$B:$B,G176)</f>
        <v>0</v>
      </c>
      <c r="J176" s="13" t="str" cm="1">
        <f t="array" ref="J176">_xlfn.XLOOKUP(1,(Weekly_Line_Capacity!$A$2:$A$157=A176)*(Weekly_Line_Capacity!$B$2:$B$157=G176),Weekly_Line_Capacity!$L$2:$L$157,"")</f>
        <v>WITHIN CAPACITY</v>
      </c>
      <c r="K176" s="13" t="str">
        <f>_xlfn.XLOOKUP(B176,BOM!$A$2:$A$21,BOM!$B$2:$B$21,"")</f>
        <v>M005</v>
      </c>
      <c r="L176" s="27">
        <f>SUMIFS(Weekly_Material_Inventory!$K:$K,Weekly_Material_Inventory!$A:$A,A176,Weekly_Material_Inventory!$B:$B,K176)</f>
        <v>0</v>
      </c>
      <c r="M176">
        <f t="shared" si="6"/>
        <v>0</v>
      </c>
      <c r="N176" t="str">
        <f t="shared" si="7"/>
        <v>OK</v>
      </c>
      <c r="O176" t="str">
        <f t="shared" si="8"/>
        <v>NONE</v>
      </c>
      <c r="P176" t="str" cm="1">
        <f t="array" ref="P176">_xlfn.SWITCH(O176,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76" t="str" cm="1">
        <f t="array" ref="Q176">_xlfn.SWITCH(O176,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76" t="str" cm="1">
        <f t="array" ref="R176">_xlfn.SWITCH(P176,
"Inventory / Service","Operations / Planning",
"Material Supply","Materials / Procurement",
"Capacity","Production / Planning",
"Production Execution","Production",
"Inventory","Operations / Planning",
"Demand Planning","Commercial / Planning",
"None","None",
"Operations")</f>
        <v>None</v>
      </c>
    </row>
    <row r="177" spans="1:18">
      <c r="A177" s="30">
        <f>Weekly_Inventory_Flow!A177</f>
        <v>46272</v>
      </c>
      <c r="B177" s="13" t="str">
        <f>Weekly_Inventory_Flow!B177</f>
        <v>P001</v>
      </c>
      <c r="C177" s="25">
        <f>IF(SUMIFS(Weekly_Product_Demand!$C:$C,Weekly_Product_Demand!$A:$A,A177,Weekly_Product_Demand!$B:$B,B177)=0,0,
(SUMIFS(Weekly_Product_Demand!$D:$D,Weekly_Product_Demand!$A:$A,A177,Weekly_Product_Demand!$B:$B,B177)-
SUMIFS(Weekly_Product_Demand!$C:$C,Weekly_Product_Demand!$A:$A,A177,Weekly_Product_Demand!$B:$B,B177))/
SUMIFS(Weekly_Product_Demand!$C:$C,Weekly_Product_Demand!$A:$A,A177,Weekly_Product_Demand!$B:$B,B177))</f>
        <v>3.367838910947249E-2</v>
      </c>
      <c r="D177" s="25">
        <f>SUMIFS(Weekly_Inventory_Flow!$Q:$Q,Weekly_Inventory_Flow!$A:$A,A177,Weekly_Inventory_Flow!$B:$B,B177)</f>
        <v>0.98</v>
      </c>
      <c r="E177" s="26">
        <f>SUMIFS(Weekly_Inventory_Flow!$S:$S,Weekly_Inventory_Flow!$A:$A,A177,Weekly_Inventory_Flow!$B:$B,B177)</f>
        <v>1.8778379861444543</v>
      </c>
      <c r="F177" s="27">
        <f>SUMIFS(Weekly_Inventory_Flow!$N:$N,Weekly_Inventory_Flow!$A:$A,A177,Weekly_Inventory_Flow!$B:$B,B177)</f>
        <v>0</v>
      </c>
      <c r="G177" s="13" t="str">
        <f>_xlfn.XLOOKUP(B177,Product_Line_Map!$A$2:$A$6,Product_Line_Map!$B$2:$B$6,"")</f>
        <v>L01</v>
      </c>
      <c r="H177" s="25">
        <f>SUMIFS(Weekly_Line_Capacity!$J:$J,Weekly_Line_Capacity!$A:$A,A177,Weekly_Line_Capacity!$B:$B,G177)</f>
        <v>0.21637426900584794</v>
      </c>
      <c r="I177" s="27">
        <f>SUMIFS(Weekly_Line_Capacity!$K:$K,Weekly_Line_Capacity!$A:$A,A177,Weekly_Line_Capacity!$B:$B,G177)</f>
        <v>0</v>
      </c>
      <c r="J177" s="13" t="str" cm="1">
        <f t="array" ref="J177">_xlfn.XLOOKUP(1,(Weekly_Line_Capacity!$A$2:$A$157=A177)*(Weekly_Line_Capacity!$B$2:$B$157=G177),Weekly_Line_Capacity!$L$2:$L$157,"")</f>
        <v>WITHIN CAPACITY</v>
      </c>
      <c r="K177" s="13" t="str">
        <f>_xlfn.XLOOKUP(B177,BOM!$A$2:$A$21,BOM!$B$2:$B$21,"")</f>
        <v>M001</v>
      </c>
      <c r="L177" s="27">
        <f>SUMIFS(Weekly_Material_Inventory!$K:$K,Weekly_Material_Inventory!$A:$A,A177,Weekly_Material_Inventory!$B:$B,K177)</f>
        <v>0</v>
      </c>
      <c r="M177">
        <f t="shared" si="6"/>
        <v>1</v>
      </c>
      <c r="N177" t="str">
        <f t="shared" si="7"/>
        <v>WARNING</v>
      </c>
      <c r="O177" t="str">
        <f t="shared" si="8"/>
        <v>LOW STOCK COVER</v>
      </c>
      <c r="P177" t="str" cm="1">
        <f t="array" ref="P177">_xlfn.SWITCH(O177,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7" t="str" cm="1">
        <f t="array" ref="Q177">_xlfn.SWITCH(O177,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7" t="str" cm="1">
        <f t="array" ref="R177">_xlfn.SWITCH(P177,
"Inventory / Service","Operations / Planning",
"Material Supply","Materials / Procurement",
"Capacity","Production / Planning",
"Production Execution","Production",
"Inventory","Operations / Planning",
"Demand Planning","Commercial / Planning",
"None","None",
"Operations")</f>
        <v>Operations / Planning</v>
      </c>
    </row>
    <row r="178" spans="1:18">
      <c r="A178" s="30">
        <f>Weekly_Inventory_Flow!A178</f>
        <v>46272</v>
      </c>
      <c r="B178" s="13" t="str">
        <f>Weekly_Inventory_Flow!B178</f>
        <v>P002</v>
      </c>
      <c r="C178" s="25">
        <f>IF(SUMIFS(Weekly_Product_Demand!$C:$C,Weekly_Product_Demand!$A:$A,A178,Weekly_Product_Demand!$B:$B,B178)=0,0,
(SUMIFS(Weekly_Product_Demand!$D:$D,Weekly_Product_Demand!$A:$A,A178,Weekly_Product_Demand!$B:$B,B178)-
SUMIFS(Weekly_Product_Demand!$C:$C,Weekly_Product_Demand!$A:$A,A178,Weekly_Product_Demand!$B:$B,B178))/
SUMIFS(Weekly_Product_Demand!$C:$C,Weekly_Product_Demand!$A:$A,A178,Weekly_Product_Demand!$B:$B,B178))</f>
        <v>-1.0744066709429121E-2</v>
      </c>
      <c r="D178" s="25">
        <f>SUMIFS(Weekly_Inventory_Flow!$Q:$Q,Weekly_Inventory_Flow!$A:$A,A178,Weekly_Inventory_Flow!$B:$B,B178)</f>
        <v>1</v>
      </c>
      <c r="E178" s="26">
        <f>SUMIFS(Weekly_Inventory_Flow!$S:$S,Weekly_Inventory_Flow!$A:$A,A178,Weekly_Inventory_Flow!$B:$B,B178)</f>
        <v>2.0248824769006322</v>
      </c>
      <c r="F178" s="27">
        <f>SUMIFS(Weekly_Inventory_Flow!$N:$N,Weekly_Inventory_Flow!$A:$A,A178,Weekly_Inventory_Flow!$B:$B,B178)</f>
        <v>0</v>
      </c>
      <c r="G178" s="13" t="str">
        <f>_xlfn.XLOOKUP(B178,Product_Line_Map!$A$2:$A$6,Product_Line_Map!$B$2:$B$6,"")</f>
        <v>L02</v>
      </c>
      <c r="H178" s="25">
        <f>SUMIFS(Weekly_Line_Capacity!$J:$J,Weekly_Line_Capacity!$A:$A,A178,Weekly_Line_Capacity!$B:$B,G178)</f>
        <v>0.45142857142857146</v>
      </c>
      <c r="I178" s="27">
        <f>SUMIFS(Weekly_Line_Capacity!$K:$K,Weekly_Line_Capacity!$A:$A,A178,Weekly_Line_Capacity!$B:$B,G178)</f>
        <v>0</v>
      </c>
      <c r="J178" s="13" t="str" cm="1">
        <f t="array" ref="J178">_xlfn.XLOOKUP(1,(Weekly_Line_Capacity!$A$2:$A$157=A178)*(Weekly_Line_Capacity!$B$2:$B$157=G178),Weekly_Line_Capacity!$L$2:$L$157,"")</f>
        <v>WITHIN CAPACITY</v>
      </c>
      <c r="K178" s="13" t="str">
        <f>_xlfn.XLOOKUP(B178,BOM!$A$2:$A$21,BOM!$B$2:$B$21,"")</f>
        <v>M002</v>
      </c>
      <c r="L178" s="27">
        <f>SUMIFS(Weekly_Material_Inventory!$K:$K,Weekly_Material_Inventory!$A:$A,A178,Weekly_Material_Inventory!$B:$B,K178)</f>
        <v>0</v>
      </c>
      <c r="M178">
        <f t="shared" si="6"/>
        <v>0</v>
      </c>
      <c r="N178" t="str">
        <f t="shared" si="7"/>
        <v>OK</v>
      </c>
      <c r="O178" t="str">
        <f t="shared" si="8"/>
        <v>NONE</v>
      </c>
      <c r="P178" t="str" cm="1">
        <f t="array" ref="P178">_xlfn.SWITCH(O178,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78" t="str" cm="1">
        <f t="array" ref="Q178">_xlfn.SWITCH(O178,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78" t="str" cm="1">
        <f t="array" ref="R178">_xlfn.SWITCH(P178,
"Inventory / Service","Operations / Planning",
"Material Supply","Materials / Procurement",
"Capacity","Production / Planning",
"Production Execution","Production",
"Inventory","Operations / Planning",
"Demand Planning","Commercial / Planning",
"None","None",
"Operations")</f>
        <v>None</v>
      </c>
    </row>
    <row r="179" spans="1:18">
      <c r="A179" s="30">
        <f>Weekly_Inventory_Flow!A179</f>
        <v>46272</v>
      </c>
      <c r="B179" s="13" t="str">
        <f>Weekly_Inventory_Flow!B179</f>
        <v>P003</v>
      </c>
      <c r="C179" s="25">
        <f>IF(SUMIFS(Weekly_Product_Demand!$C:$C,Weekly_Product_Demand!$A:$A,A179,Weekly_Product_Demand!$B:$B,B179)=0,0,
(SUMIFS(Weekly_Product_Demand!$D:$D,Weekly_Product_Demand!$A:$A,A179,Weekly_Product_Demand!$B:$B,B179)-
SUMIFS(Weekly_Product_Demand!$C:$C,Weekly_Product_Demand!$A:$A,A179,Weekly_Product_Demand!$B:$B,B179))/
SUMIFS(Weekly_Product_Demand!$C:$C,Weekly_Product_Demand!$A:$A,A179,Weekly_Product_Demand!$B:$B,B179))</f>
        <v>2.6701040419850842E-3</v>
      </c>
      <c r="D179" s="25">
        <f>SUMIFS(Weekly_Inventory_Flow!$Q:$Q,Weekly_Inventory_Flow!$A:$A,A179,Weekly_Inventory_Flow!$B:$B,B179)</f>
        <v>0.97</v>
      </c>
      <c r="E179" s="26">
        <f>SUMIFS(Weekly_Inventory_Flow!$S:$S,Weekly_Inventory_Flow!$A:$A,A179,Weekly_Inventory_Flow!$B:$B,B179)</f>
        <v>1.8235996326905417</v>
      </c>
      <c r="F179" s="27">
        <f>SUMIFS(Weekly_Inventory_Flow!$N:$N,Weekly_Inventory_Flow!$A:$A,A179,Weekly_Inventory_Flow!$B:$B,B179)</f>
        <v>0</v>
      </c>
      <c r="G179" s="13" t="str">
        <f>_xlfn.XLOOKUP(B179,Product_Line_Map!$A$2:$A$6,Product_Line_Map!$B$2:$B$6,"")</f>
        <v>L03</v>
      </c>
      <c r="H179" s="25">
        <f>SUMIFS(Weekly_Line_Capacity!$J:$J,Weekly_Line_Capacity!$A:$A,A179,Weekly_Line_Capacity!$B:$B,G179)</f>
        <v>0.45</v>
      </c>
      <c r="I179" s="27">
        <f>SUMIFS(Weekly_Line_Capacity!$K:$K,Weekly_Line_Capacity!$A:$A,A179,Weekly_Line_Capacity!$B:$B,G179)</f>
        <v>0</v>
      </c>
      <c r="J179" s="13" t="str" cm="1">
        <f t="array" ref="J179">_xlfn.XLOOKUP(1,(Weekly_Line_Capacity!$A$2:$A$157=A179)*(Weekly_Line_Capacity!$B$2:$B$157=G179),Weekly_Line_Capacity!$L$2:$L$157,"")</f>
        <v>WITHIN CAPACITY</v>
      </c>
      <c r="K179" s="13" t="str">
        <f>_xlfn.XLOOKUP(B179,BOM!$A$2:$A$21,BOM!$B$2:$B$21,"")</f>
        <v>M003</v>
      </c>
      <c r="L179" s="27">
        <f>SUMIFS(Weekly_Material_Inventory!$K:$K,Weekly_Material_Inventory!$A:$A,A179,Weekly_Material_Inventory!$B:$B,K179)</f>
        <v>0</v>
      </c>
      <c r="M179">
        <f t="shared" si="6"/>
        <v>1</v>
      </c>
      <c r="N179" t="str">
        <f t="shared" si="7"/>
        <v>WARNING</v>
      </c>
      <c r="O179" t="str">
        <f t="shared" si="8"/>
        <v>LOW STOCK COVER</v>
      </c>
      <c r="P179" t="str" cm="1">
        <f t="array" ref="P179">_xlfn.SWITCH(O179,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79" t="str" cm="1">
        <f t="array" ref="Q179">_xlfn.SWITCH(O179,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79" t="str" cm="1">
        <f t="array" ref="R179">_xlfn.SWITCH(P179,
"Inventory / Service","Operations / Planning",
"Material Supply","Materials / Procurement",
"Capacity","Production / Planning",
"Production Execution","Production",
"Inventory","Operations / Planning",
"Demand Planning","Commercial / Planning",
"None","None",
"Operations")</f>
        <v>Operations / Planning</v>
      </c>
    </row>
    <row r="180" spans="1:18">
      <c r="A180" s="30">
        <f>Weekly_Inventory_Flow!A180</f>
        <v>46272</v>
      </c>
      <c r="B180" s="13" t="str">
        <f>Weekly_Inventory_Flow!B180</f>
        <v>P004</v>
      </c>
      <c r="C180" s="25">
        <f>IF(SUMIFS(Weekly_Product_Demand!$C:$C,Weekly_Product_Demand!$A:$A,A180,Weekly_Product_Demand!$B:$B,B180)=0,0,
(SUMIFS(Weekly_Product_Demand!$D:$D,Weekly_Product_Demand!$A:$A,A180,Weekly_Product_Demand!$B:$B,B180)-
SUMIFS(Weekly_Product_Demand!$C:$C,Weekly_Product_Demand!$A:$A,A180,Weekly_Product_Demand!$B:$B,B180))/
SUMIFS(Weekly_Product_Demand!$C:$C,Weekly_Product_Demand!$A:$A,A180,Weekly_Product_Demand!$B:$B,B180))</f>
        <v>1.0135430318916557E-2</v>
      </c>
      <c r="D180" s="25">
        <f>SUMIFS(Weekly_Inventory_Flow!$Q:$Q,Weekly_Inventory_Flow!$A:$A,A180,Weekly_Inventory_Flow!$B:$B,B180)</f>
        <v>0.99</v>
      </c>
      <c r="E180" s="26">
        <f>SUMIFS(Weekly_Inventory_Flow!$S:$S,Weekly_Inventory_Flow!$A:$A,A180,Weekly_Inventory_Flow!$B:$B,B180)</f>
        <v>1.9599515612836258</v>
      </c>
      <c r="F180" s="27">
        <f>SUMIFS(Weekly_Inventory_Flow!$N:$N,Weekly_Inventory_Flow!$A:$A,A180,Weekly_Inventory_Flow!$B:$B,B180)</f>
        <v>0</v>
      </c>
      <c r="G180" s="13" t="str">
        <f>_xlfn.XLOOKUP(B180,Product_Line_Map!$A$2:$A$6,Product_Line_Map!$B$2:$B$6,"")</f>
        <v>L02</v>
      </c>
      <c r="H180" s="25">
        <f>SUMIFS(Weekly_Line_Capacity!$J:$J,Weekly_Line_Capacity!$A:$A,A180,Weekly_Line_Capacity!$B:$B,G180)</f>
        <v>0.45142857142857146</v>
      </c>
      <c r="I180" s="27">
        <f>SUMIFS(Weekly_Line_Capacity!$K:$K,Weekly_Line_Capacity!$A:$A,A180,Weekly_Line_Capacity!$B:$B,G180)</f>
        <v>0</v>
      </c>
      <c r="J180" s="13" t="str" cm="1">
        <f t="array" ref="J180">_xlfn.XLOOKUP(1,(Weekly_Line_Capacity!$A$2:$A$157=A180)*(Weekly_Line_Capacity!$B$2:$B$157=G180),Weekly_Line_Capacity!$L$2:$L$157,"")</f>
        <v>WITHIN CAPACITY</v>
      </c>
      <c r="K180" s="13" t="str">
        <f>_xlfn.XLOOKUP(B180,BOM!$A$2:$A$21,BOM!$B$2:$B$21,"")</f>
        <v>M004</v>
      </c>
      <c r="L180" s="27">
        <f>SUMIFS(Weekly_Material_Inventory!$K:$K,Weekly_Material_Inventory!$A:$A,A180,Weekly_Material_Inventory!$B:$B,K180)</f>
        <v>0</v>
      </c>
      <c r="M180">
        <f t="shared" si="6"/>
        <v>1</v>
      </c>
      <c r="N180" t="str">
        <f t="shared" si="7"/>
        <v>WARNING</v>
      </c>
      <c r="O180" t="str">
        <f t="shared" si="8"/>
        <v>LOW STOCK COVER</v>
      </c>
      <c r="P180" t="str" cm="1">
        <f t="array" ref="P180">_xlfn.SWITCH(O180,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80" t="str" cm="1">
        <f t="array" ref="Q180">_xlfn.SWITCH(O180,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80" t="str" cm="1">
        <f t="array" ref="R180">_xlfn.SWITCH(P180,
"Inventory / Service","Operations / Planning",
"Material Supply","Materials / Procurement",
"Capacity","Production / Planning",
"Production Execution","Production",
"Inventory","Operations / Planning",
"Demand Planning","Commercial / Planning",
"None","None",
"Operations")</f>
        <v>Operations / Planning</v>
      </c>
    </row>
    <row r="181" spans="1:18">
      <c r="A181" s="30">
        <f>Weekly_Inventory_Flow!A181</f>
        <v>46272</v>
      </c>
      <c r="B181" s="13" t="str">
        <f>Weekly_Inventory_Flow!B181</f>
        <v>P005</v>
      </c>
      <c r="C181" s="25">
        <f>IF(SUMIFS(Weekly_Product_Demand!$C:$C,Weekly_Product_Demand!$A:$A,A181,Weekly_Product_Demand!$B:$B,B181)=0,0,
(SUMIFS(Weekly_Product_Demand!$D:$D,Weekly_Product_Demand!$A:$A,A181,Weekly_Product_Demand!$B:$B,B181)-
SUMIFS(Weekly_Product_Demand!$C:$C,Weekly_Product_Demand!$A:$A,A181,Weekly_Product_Demand!$B:$B,B181))/
SUMIFS(Weekly_Product_Demand!$C:$C,Weekly_Product_Demand!$A:$A,A181,Weekly_Product_Demand!$B:$B,B181))</f>
        <v>1.49756210819596E-2</v>
      </c>
      <c r="D181" s="25">
        <f>SUMIFS(Weekly_Inventory_Flow!$Q:$Q,Weekly_Inventory_Flow!$A:$A,A181,Weekly_Inventory_Flow!$B:$B,B181)</f>
        <v>1.01</v>
      </c>
      <c r="E181" s="26">
        <f>SUMIFS(Weekly_Inventory_Flow!$S:$S,Weekly_Inventory_Flow!$A:$A,A181,Weekly_Inventory_Flow!$B:$B,B181)</f>
        <v>2.0832666132906326</v>
      </c>
      <c r="F181" s="27">
        <f>SUMIFS(Weekly_Inventory_Flow!$N:$N,Weekly_Inventory_Flow!$A:$A,A181,Weekly_Inventory_Flow!$B:$B,B181)</f>
        <v>0</v>
      </c>
      <c r="G181" s="13" t="str">
        <f>_xlfn.XLOOKUP(B181,Product_Line_Map!$A$2:$A$6,Product_Line_Map!$B$2:$B$6,"")</f>
        <v>L03</v>
      </c>
      <c r="H181" s="25">
        <f>SUMIFS(Weekly_Line_Capacity!$J:$J,Weekly_Line_Capacity!$A:$A,A181,Weekly_Line_Capacity!$B:$B,G181)</f>
        <v>0.45</v>
      </c>
      <c r="I181" s="27">
        <f>SUMIFS(Weekly_Line_Capacity!$K:$K,Weekly_Line_Capacity!$A:$A,A181,Weekly_Line_Capacity!$B:$B,G181)</f>
        <v>0</v>
      </c>
      <c r="J181" s="13" t="str" cm="1">
        <f t="array" ref="J181">_xlfn.XLOOKUP(1,(Weekly_Line_Capacity!$A$2:$A$157=A181)*(Weekly_Line_Capacity!$B$2:$B$157=G181),Weekly_Line_Capacity!$L$2:$L$157,"")</f>
        <v>WITHIN CAPACITY</v>
      </c>
      <c r="K181" s="13" t="str">
        <f>_xlfn.XLOOKUP(B181,BOM!$A$2:$A$21,BOM!$B$2:$B$21,"")</f>
        <v>M005</v>
      </c>
      <c r="L181" s="27">
        <f>SUMIFS(Weekly_Material_Inventory!$K:$K,Weekly_Material_Inventory!$A:$A,A181,Weekly_Material_Inventory!$B:$B,K181)</f>
        <v>0</v>
      </c>
      <c r="M181">
        <f t="shared" si="6"/>
        <v>0</v>
      </c>
      <c r="N181" t="str">
        <f t="shared" si="7"/>
        <v>OK</v>
      </c>
      <c r="O181" t="str">
        <f t="shared" si="8"/>
        <v>NONE</v>
      </c>
      <c r="P181" t="str" cm="1">
        <f t="array" ref="P181">_xlfn.SWITCH(O181,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81" t="str" cm="1">
        <f t="array" ref="Q181">_xlfn.SWITCH(O181,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81" t="str" cm="1">
        <f t="array" ref="R181">_xlfn.SWITCH(P181,
"Inventory / Service","Operations / Planning",
"Material Supply","Materials / Procurement",
"Capacity","Production / Planning",
"Production Execution","Production",
"Inventory","Operations / Planning",
"Demand Planning","Commercial / Planning",
"None","None",
"Operations")</f>
        <v>None</v>
      </c>
    </row>
    <row r="182" spans="1:18">
      <c r="A182" s="30">
        <f>Weekly_Inventory_Flow!A182</f>
        <v>46279</v>
      </c>
      <c r="B182" s="13" t="str">
        <f>Weekly_Inventory_Flow!B182</f>
        <v>P001</v>
      </c>
      <c r="C182" s="25">
        <f>IF(SUMIFS(Weekly_Product_Demand!$C:$C,Weekly_Product_Demand!$A:$A,A182,Weekly_Product_Demand!$B:$B,B182)=0,0,
(SUMIFS(Weekly_Product_Demand!$D:$D,Weekly_Product_Demand!$A:$A,A182,Weekly_Product_Demand!$B:$B,B182)-
SUMIFS(Weekly_Product_Demand!$C:$C,Weekly_Product_Demand!$A:$A,A182,Weekly_Product_Demand!$B:$B,B182))/
SUMIFS(Weekly_Product_Demand!$C:$C,Weekly_Product_Demand!$A:$A,A182,Weekly_Product_Demand!$B:$B,B182))</f>
        <v>-2.0833333333333332E-2</v>
      </c>
      <c r="D182" s="25">
        <f>SUMIFS(Weekly_Inventory_Flow!$Q:$Q,Weekly_Inventory_Flow!$A:$A,A182,Weekly_Inventory_Flow!$B:$B,B182)</f>
        <v>0.99</v>
      </c>
      <c r="E182" s="26">
        <f>SUMIFS(Weekly_Inventory_Flow!$S:$S,Weekly_Inventory_Flow!$A:$A,A182,Weekly_Inventory_Flow!$B:$B,B182)</f>
        <v>1.9612436420947059</v>
      </c>
      <c r="F182" s="27">
        <f>SUMIFS(Weekly_Inventory_Flow!$N:$N,Weekly_Inventory_Flow!$A:$A,A182,Weekly_Inventory_Flow!$B:$B,B182)</f>
        <v>0</v>
      </c>
      <c r="G182" s="13" t="str">
        <f>_xlfn.XLOOKUP(B182,Product_Line_Map!$A$2:$A$6,Product_Line_Map!$B$2:$B$6,"")</f>
        <v>L01</v>
      </c>
      <c r="H182" s="25">
        <f>SUMIFS(Weekly_Line_Capacity!$J:$J,Weekly_Line_Capacity!$A:$A,A182,Weekly_Line_Capacity!$B:$B,G182)</f>
        <v>0.20614035087719298</v>
      </c>
      <c r="I182" s="27">
        <f>SUMIFS(Weekly_Line_Capacity!$K:$K,Weekly_Line_Capacity!$A:$A,A182,Weekly_Line_Capacity!$B:$B,G182)</f>
        <v>0</v>
      </c>
      <c r="J182" s="13" t="str" cm="1">
        <f t="array" ref="J182">_xlfn.XLOOKUP(1,(Weekly_Line_Capacity!$A$2:$A$157=A182)*(Weekly_Line_Capacity!$B$2:$B$157=G182),Weekly_Line_Capacity!$L$2:$L$157,"")</f>
        <v>WITHIN CAPACITY</v>
      </c>
      <c r="K182" s="13" t="str">
        <f>_xlfn.XLOOKUP(B182,BOM!$A$2:$A$21,BOM!$B$2:$B$21,"")</f>
        <v>M001</v>
      </c>
      <c r="L182" s="27">
        <f>SUMIFS(Weekly_Material_Inventory!$K:$K,Weekly_Material_Inventory!$A:$A,A182,Weekly_Material_Inventory!$B:$B,K182)</f>
        <v>0</v>
      </c>
      <c r="M182">
        <f t="shared" si="6"/>
        <v>1</v>
      </c>
      <c r="N182" t="str">
        <f t="shared" si="7"/>
        <v>WARNING</v>
      </c>
      <c r="O182" t="str">
        <f t="shared" si="8"/>
        <v>LOW STOCK COVER</v>
      </c>
      <c r="P182" t="str" cm="1">
        <f t="array" ref="P182">_xlfn.SWITCH(O182,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82" t="str" cm="1">
        <f t="array" ref="Q182">_xlfn.SWITCH(O182,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82" t="str" cm="1">
        <f t="array" ref="R182">_xlfn.SWITCH(P182,
"Inventory / Service","Operations / Planning",
"Material Supply","Materials / Procurement",
"Capacity","Production / Planning",
"Production Execution","Production",
"Inventory","Operations / Planning",
"Demand Planning","Commercial / Planning",
"None","None",
"Operations")</f>
        <v>Operations / Planning</v>
      </c>
    </row>
    <row r="183" spans="1:18">
      <c r="A183" s="30">
        <f>Weekly_Inventory_Flow!A183</f>
        <v>46279</v>
      </c>
      <c r="B183" s="13" t="str">
        <f>Weekly_Inventory_Flow!B183</f>
        <v>P002</v>
      </c>
      <c r="C183" s="25">
        <f>IF(SUMIFS(Weekly_Product_Demand!$C:$C,Weekly_Product_Demand!$A:$A,A183,Weekly_Product_Demand!$B:$B,B183)=0,0,
(SUMIFS(Weekly_Product_Demand!$D:$D,Weekly_Product_Demand!$A:$A,A183,Weekly_Product_Demand!$B:$B,B183)-
SUMIFS(Weekly_Product_Demand!$C:$C,Weekly_Product_Demand!$A:$A,A183,Weekly_Product_Demand!$B:$B,B183))/
SUMIFS(Weekly_Product_Demand!$C:$C,Weekly_Product_Demand!$A:$A,A183,Weekly_Product_Demand!$B:$B,B183))</f>
        <v>3.3363539006507952E-2</v>
      </c>
      <c r="D183" s="25">
        <f>SUMIFS(Weekly_Inventory_Flow!$Q:$Q,Weekly_Inventory_Flow!$A:$A,A183,Weekly_Inventory_Flow!$B:$B,B183)</f>
        <v>0.97</v>
      </c>
      <c r="E183" s="26">
        <f>SUMIFS(Weekly_Inventory_Flow!$S:$S,Weekly_Inventory_Flow!$A:$A,A183,Weekly_Inventory_Flow!$B:$B,B183)</f>
        <v>1.8119419642857142</v>
      </c>
      <c r="F183" s="27">
        <f>SUMIFS(Weekly_Inventory_Flow!$N:$N,Weekly_Inventory_Flow!$A:$A,A183,Weekly_Inventory_Flow!$B:$B,B183)</f>
        <v>0</v>
      </c>
      <c r="G183" s="13" t="str">
        <f>_xlfn.XLOOKUP(B183,Product_Line_Map!$A$2:$A$6,Product_Line_Map!$B$2:$B$6,"")</f>
        <v>L02</v>
      </c>
      <c r="H183" s="25">
        <f>SUMIFS(Weekly_Line_Capacity!$J:$J,Weekly_Line_Capacity!$A:$A,A183,Weekly_Line_Capacity!$B:$B,G183)</f>
        <v>0.45333333333333337</v>
      </c>
      <c r="I183" s="27">
        <f>SUMIFS(Weekly_Line_Capacity!$K:$K,Weekly_Line_Capacity!$A:$A,A183,Weekly_Line_Capacity!$B:$B,G183)</f>
        <v>0</v>
      </c>
      <c r="J183" s="13" t="str" cm="1">
        <f t="array" ref="J183">_xlfn.XLOOKUP(1,(Weekly_Line_Capacity!$A$2:$A$157=A183)*(Weekly_Line_Capacity!$B$2:$B$157=G183),Weekly_Line_Capacity!$L$2:$L$157,"")</f>
        <v>WITHIN CAPACITY</v>
      </c>
      <c r="K183" s="13" t="str">
        <f>_xlfn.XLOOKUP(B183,BOM!$A$2:$A$21,BOM!$B$2:$B$21,"")</f>
        <v>M002</v>
      </c>
      <c r="L183" s="27">
        <f>SUMIFS(Weekly_Material_Inventory!$K:$K,Weekly_Material_Inventory!$A:$A,A183,Weekly_Material_Inventory!$B:$B,K183)</f>
        <v>398</v>
      </c>
      <c r="M183">
        <f t="shared" si="6"/>
        <v>6</v>
      </c>
      <c r="N183" t="str">
        <f t="shared" si="7"/>
        <v>CRITICAL</v>
      </c>
      <c r="O183" t="str">
        <f t="shared" si="8"/>
        <v>MATERIAL SHORTAGE</v>
      </c>
      <c r="P183" t="str" cm="1">
        <f t="array" ref="P183">_xlfn.SWITCH(O183,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Material Supply</v>
      </c>
      <c r="Q183" t="str" cm="1">
        <f t="array" ref="Q183">_xlfn.SWITCH(O183,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material availability and expedite or reschedule supply</v>
      </c>
      <c r="R183" t="str" cm="1">
        <f t="array" ref="R183">_xlfn.SWITCH(P183,
"Inventory / Service","Operations / Planning",
"Material Supply","Materials / Procurement",
"Capacity","Production / Planning",
"Production Execution","Production",
"Inventory","Operations / Planning",
"Demand Planning","Commercial / Planning",
"None","None",
"Operations")</f>
        <v>Materials / Procurement</v>
      </c>
    </row>
    <row r="184" spans="1:18">
      <c r="A184" s="30">
        <f>Weekly_Inventory_Flow!A184</f>
        <v>46279</v>
      </c>
      <c r="B184" s="13" t="str">
        <f>Weekly_Inventory_Flow!B184</f>
        <v>P003</v>
      </c>
      <c r="C184" s="25">
        <f>IF(SUMIFS(Weekly_Product_Demand!$C:$C,Weekly_Product_Demand!$A:$A,A184,Weekly_Product_Demand!$B:$B,B184)=0,0,
(SUMIFS(Weekly_Product_Demand!$D:$D,Weekly_Product_Demand!$A:$A,A184,Weekly_Product_Demand!$B:$B,B184)-
SUMIFS(Weekly_Product_Demand!$C:$C,Weekly_Product_Demand!$A:$A,A184,Weekly_Product_Demand!$B:$B,B184))/
SUMIFS(Weekly_Product_Demand!$C:$C,Weekly_Product_Demand!$A:$A,A184,Weekly_Product_Demand!$B:$B,B184))</f>
        <v>1.3428490938116254E-2</v>
      </c>
      <c r="D184" s="25">
        <f>SUMIFS(Weekly_Inventory_Flow!$Q:$Q,Weekly_Inventory_Flow!$A:$A,A184,Weekly_Inventory_Flow!$B:$B,B184)</f>
        <v>0.98</v>
      </c>
      <c r="E184" s="26">
        <f>SUMIFS(Weekly_Inventory_Flow!$S:$S,Weekly_Inventory_Flow!$A:$A,A184,Weekly_Inventory_Flow!$B:$B,B184)</f>
        <v>1.8959414381022979</v>
      </c>
      <c r="F184" s="27">
        <f>SUMIFS(Weekly_Inventory_Flow!$N:$N,Weekly_Inventory_Flow!$A:$A,A184,Weekly_Inventory_Flow!$B:$B,B184)</f>
        <v>0</v>
      </c>
      <c r="G184" s="13" t="str">
        <f>_xlfn.XLOOKUP(B184,Product_Line_Map!$A$2:$A$6,Product_Line_Map!$B$2:$B$6,"")</f>
        <v>L03</v>
      </c>
      <c r="H184" s="25">
        <f>SUMIFS(Weekly_Line_Capacity!$J:$J,Weekly_Line_Capacity!$A:$A,A184,Weekly_Line_Capacity!$B:$B,G184)</f>
        <v>0.46666666666666662</v>
      </c>
      <c r="I184" s="27">
        <f>SUMIFS(Weekly_Line_Capacity!$K:$K,Weekly_Line_Capacity!$A:$A,A184,Weekly_Line_Capacity!$B:$B,G184)</f>
        <v>0</v>
      </c>
      <c r="J184" s="13" t="str" cm="1">
        <f t="array" ref="J184">_xlfn.XLOOKUP(1,(Weekly_Line_Capacity!$A$2:$A$157=A184)*(Weekly_Line_Capacity!$B$2:$B$157=G184),Weekly_Line_Capacity!$L$2:$L$157,"")</f>
        <v>WITHIN CAPACITY</v>
      </c>
      <c r="K184" s="13" t="str">
        <f>_xlfn.XLOOKUP(B184,BOM!$A$2:$A$21,BOM!$B$2:$B$21,"")</f>
        <v>M003</v>
      </c>
      <c r="L184" s="27">
        <f>SUMIFS(Weekly_Material_Inventory!$K:$K,Weekly_Material_Inventory!$A:$A,A184,Weekly_Material_Inventory!$B:$B,K184)</f>
        <v>0</v>
      </c>
      <c r="M184">
        <f t="shared" si="6"/>
        <v>1</v>
      </c>
      <c r="N184" t="str">
        <f t="shared" si="7"/>
        <v>WARNING</v>
      </c>
      <c r="O184" t="str">
        <f t="shared" si="8"/>
        <v>LOW STOCK COVER</v>
      </c>
      <c r="P184" t="str" cm="1">
        <f t="array" ref="P184">_xlfn.SWITCH(O184,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84" t="str" cm="1">
        <f t="array" ref="Q184">_xlfn.SWITCH(O184,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84" t="str" cm="1">
        <f t="array" ref="R184">_xlfn.SWITCH(P184,
"Inventory / Service","Operations / Planning",
"Material Supply","Materials / Procurement",
"Capacity","Production / Planning",
"Production Execution","Production",
"Inventory","Operations / Planning",
"Demand Planning","Commercial / Planning",
"None","None",
"Operations")</f>
        <v>Operations / Planning</v>
      </c>
    </row>
    <row r="185" spans="1:18">
      <c r="A185" s="30">
        <f>Weekly_Inventory_Flow!A185</f>
        <v>46279</v>
      </c>
      <c r="B185" s="13" t="str">
        <f>Weekly_Inventory_Flow!B185</f>
        <v>P004</v>
      </c>
      <c r="C185" s="25">
        <f>IF(SUMIFS(Weekly_Product_Demand!$C:$C,Weekly_Product_Demand!$A:$A,A185,Weekly_Product_Demand!$B:$B,B185)=0,0,
(SUMIFS(Weekly_Product_Demand!$D:$D,Weekly_Product_Demand!$A:$A,A185,Weekly_Product_Demand!$B:$B,B185)-
SUMIFS(Weekly_Product_Demand!$C:$C,Weekly_Product_Demand!$A:$A,A185,Weekly_Product_Demand!$B:$B,B185))/
SUMIFS(Weekly_Product_Demand!$C:$C,Weekly_Product_Demand!$A:$A,A185,Weekly_Product_Demand!$B:$B,B185))</f>
        <v>-3.2291576486884251E-2</v>
      </c>
      <c r="D185" s="25">
        <f>SUMIFS(Weekly_Inventory_Flow!$Q:$Q,Weekly_Inventory_Flow!$A:$A,A185,Weekly_Inventory_Flow!$B:$B,B185)</f>
        <v>1.02</v>
      </c>
      <c r="E185" s="26">
        <f>SUMIFS(Weekly_Inventory_Flow!$S:$S,Weekly_Inventory_Flow!$A:$A,A185,Weekly_Inventory_Flow!$B:$B,B185)</f>
        <v>2.181159420289855</v>
      </c>
      <c r="F185" s="27">
        <f>SUMIFS(Weekly_Inventory_Flow!$N:$N,Weekly_Inventory_Flow!$A:$A,A185,Weekly_Inventory_Flow!$B:$B,B185)</f>
        <v>0</v>
      </c>
      <c r="G185" s="13" t="str">
        <f>_xlfn.XLOOKUP(B185,Product_Line_Map!$A$2:$A$6,Product_Line_Map!$B$2:$B$6,"")</f>
        <v>L02</v>
      </c>
      <c r="H185" s="25">
        <f>SUMIFS(Weekly_Line_Capacity!$J:$J,Weekly_Line_Capacity!$A:$A,A185,Weekly_Line_Capacity!$B:$B,G185)</f>
        <v>0.45333333333333337</v>
      </c>
      <c r="I185" s="27">
        <f>SUMIFS(Weekly_Line_Capacity!$K:$K,Weekly_Line_Capacity!$A:$A,A185,Weekly_Line_Capacity!$B:$B,G185)</f>
        <v>0</v>
      </c>
      <c r="J185" s="13" t="str" cm="1">
        <f t="array" ref="J185">_xlfn.XLOOKUP(1,(Weekly_Line_Capacity!$A$2:$A$157=A185)*(Weekly_Line_Capacity!$B$2:$B$157=G185),Weekly_Line_Capacity!$L$2:$L$157,"")</f>
        <v>WITHIN CAPACITY</v>
      </c>
      <c r="K185" s="13" t="str">
        <f>_xlfn.XLOOKUP(B185,BOM!$A$2:$A$21,BOM!$B$2:$B$21,"")</f>
        <v>M004</v>
      </c>
      <c r="L185" s="27">
        <f>SUMIFS(Weekly_Material_Inventory!$K:$K,Weekly_Material_Inventory!$A:$A,A185,Weekly_Material_Inventory!$B:$B,K185)</f>
        <v>0</v>
      </c>
      <c r="M185">
        <f t="shared" si="6"/>
        <v>0</v>
      </c>
      <c r="N185" t="str">
        <f t="shared" si="7"/>
        <v>OK</v>
      </c>
      <c r="O185" t="str">
        <f t="shared" si="8"/>
        <v>NONE</v>
      </c>
      <c r="P185" t="str" cm="1">
        <f t="array" ref="P185">_xlfn.SWITCH(O185,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85" t="str" cm="1">
        <f t="array" ref="Q185">_xlfn.SWITCH(O185,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85" t="str" cm="1">
        <f t="array" ref="R185">_xlfn.SWITCH(P185,
"Inventory / Service","Operations / Planning",
"Material Supply","Materials / Procurement",
"Capacity","Production / Planning",
"Production Execution","Production",
"Inventory","Operations / Planning",
"Demand Planning","Commercial / Planning",
"None","None",
"Operations")</f>
        <v>None</v>
      </c>
    </row>
    <row r="186" spans="1:18">
      <c r="A186" s="30">
        <f>Weekly_Inventory_Flow!A186</f>
        <v>46279</v>
      </c>
      <c r="B186" s="13" t="str">
        <f>Weekly_Inventory_Flow!B186</f>
        <v>P005</v>
      </c>
      <c r="C186" s="25">
        <f>IF(SUMIFS(Weekly_Product_Demand!$C:$C,Weekly_Product_Demand!$A:$A,A186,Weekly_Product_Demand!$B:$B,B186)=0,0,
(SUMIFS(Weekly_Product_Demand!$D:$D,Weekly_Product_Demand!$A:$A,A186,Weekly_Product_Demand!$B:$B,B186)-
SUMIFS(Weekly_Product_Demand!$C:$C,Weekly_Product_Demand!$A:$A,A186,Weekly_Product_Demand!$B:$B,B186))/
SUMIFS(Weekly_Product_Demand!$C:$C,Weekly_Product_Demand!$A:$A,A186,Weekly_Product_Demand!$B:$B,B186))</f>
        <v>-1.4613540358488412E-2</v>
      </c>
      <c r="D186" s="25">
        <f>SUMIFS(Weekly_Inventory_Flow!$Q:$Q,Weekly_Inventory_Flow!$A:$A,A186,Weekly_Inventory_Flow!$B:$B,B186)</f>
        <v>1</v>
      </c>
      <c r="E186" s="26">
        <f>SUMIFS(Weekly_Inventory_Flow!$S:$S,Weekly_Inventory_Flow!$A:$A,A186,Weekly_Inventory_Flow!$B:$B,B186)</f>
        <v>2.0040551500405517</v>
      </c>
      <c r="F186" s="27">
        <f>SUMIFS(Weekly_Inventory_Flow!$N:$N,Weekly_Inventory_Flow!$A:$A,A186,Weekly_Inventory_Flow!$B:$B,B186)</f>
        <v>0</v>
      </c>
      <c r="G186" s="13" t="str">
        <f>_xlfn.XLOOKUP(B186,Product_Line_Map!$A$2:$A$6,Product_Line_Map!$B$2:$B$6,"")</f>
        <v>L03</v>
      </c>
      <c r="H186" s="25">
        <f>SUMIFS(Weekly_Line_Capacity!$J:$J,Weekly_Line_Capacity!$A:$A,A186,Weekly_Line_Capacity!$B:$B,G186)</f>
        <v>0.46666666666666662</v>
      </c>
      <c r="I186" s="27">
        <f>SUMIFS(Weekly_Line_Capacity!$K:$K,Weekly_Line_Capacity!$A:$A,A186,Weekly_Line_Capacity!$B:$B,G186)</f>
        <v>0</v>
      </c>
      <c r="J186" s="13" t="str" cm="1">
        <f t="array" ref="J186">_xlfn.XLOOKUP(1,(Weekly_Line_Capacity!$A$2:$A$157=A186)*(Weekly_Line_Capacity!$B$2:$B$157=G186),Weekly_Line_Capacity!$L$2:$L$157,"")</f>
        <v>WITHIN CAPACITY</v>
      </c>
      <c r="K186" s="13" t="str">
        <f>_xlfn.XLOOKUP(B186,BOM!$A$2:$A$21,BOM!$B$2:$B$21,"")</f>
        <v>M005</v>
      </c>
      <c r="L186" s="27">
        <f>SUMIFS(Weekly_Material_Inventory!$K:$K,Weekly_Material_Inventory!$A:$A,A186,Weekly_Material_Inventory!$B:$B,K186)</f>
        <v>0</v>
      </c>
      <c r="M186">
        <f t="shared" si="6"/>
        <v>0</v>
      </c>
      <c r="N186" t="str">
        <f t="shared" si="7"/>
        <v>OK</v>
      </c>
      <c r="O186" t="str">
        <f t="shared" si="8"/>
        <v>NONE</v>
      </c>
      <c r="P186" t="str" cm="1">
        <f t="array" ref="P186">_xlfn.SWITCH(O186,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86" t="str" cm="1">
        <f t="array" ref="Q186">_xlfn.SWITCH(O186,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86" t="str" cm="1">
        <f t="array" ref="R186">_xlfn.SWITCH(P186,
"Inventory / Service","Operations / Planning",
"Material Supply","Materials / Procurement",
"Capacity","Production / Planning",
"Production Execution","Production",
"Inventory","Operations / Planning",
"Demand Planning","Commercial / Planning",
"None","None",
"Operations")</f>
        <v>None</v>
      </c>
    </row>
    <row r="187" spans="1:18">
      <c r="A187" s="30">
        <f>Weekly_Inventory_Flow!A187</f>
        <v>46286</v>
      </c>
      <c r="B187" s="13" t="str">
        <f>Weekly_Inventory_Flow!B187</f>
        <v>P001</v>
      </c>
      <c r="C187" s="25">
        <f>IF(SUMIFS(Weekly_Product_Demand!$C:$C,Weekly_Product_Demand!$A:$A,A187,Weekly_Product_Demand!$B:$B,B187)=0,0,
(SUMIFS(Weekly_Product_Demand!$D:$D,Weekly_Product_Demand!$A:$A,A187,Weekly_Product_Demand!$B:$B,B187)-
SUMIFS(Weekly_Product_Demand!$C:$C,Weekly_Product_Demand!$A:$A,A187,Weekly_Product_Demand!$B:$B,B187))/
SUMIFS(Weekly_Product_Demand!$C:$C,Weekly_Product_Demand!$A:$A,A187,Weekly_Product_Demand!$B:$B,B187))</f>
        <v>-1.5302218821729151E-2</v>
      </c>
      <c r="D187" s="25">
        <f>SUMIFS(Weekly_Inventory_Flow!$Q:$Q,Weekly_Inventory_Flow!$A:$A,A187,Weekly_Inventory_Flow!$B:$B,B187)</f>
        <v>0.99</v>
      </c>
      <c r="E187" s="26">
        <f>SUMIFS(Weekly_Inventory_Flow!$S:$S,Weekly_Inventory_Flow!$A:$A,A187,Weekly_Inventory_Flow!$B:$B,B187)</f>
        <v>1.9338136610863885</v>
      </c>
      <c r="F187" s="27">
        <f>SUMIFS(Weekly_Inventory_Flow!$N:$N,Weekly_Inventory_Flow!$A:$A,A187,Weekly_Inventory_Flow!$B:$B,B187)</f>
        <v>0</v>
      </c>
      <c r="G187" s="13" t="str">
        <f>_xlfn.XLOOKUP(B187,Product_Line_Map!$A$2:$A$6,Product_Line_Map!$B$2:$B$6,"")</f>
        <v>L01</v>
      </c>
      <c r="H187" s="25">
        <f>SUMIFS(Weekly_Line_Capacity!$J:$J,Weekly_Line_Capacity!$A:$A,A187,Weekly_Line_Capacity!$B:$B,G187)</f>
        <v>0.20906432748538012</v>
      </c>
      <c r="I187" s="27">
        <f>SUMIFS(Weekly_Line_Capacity!$K:$K,Weekly_Line_Capacity!$A:$A,A187,Weekly_Line_Capacity!$B:$B,G187)</f>
        <v>0</v>
      </c>
      <c r="J187" s="13" t="str" cm="1">
        <f t="array" ref="J187">_xlfn.XLOOKUP(1,(Weekly_Line_Capacity!$A$2:$A$157=A187)*(Weekly_Line_Capacity!$B$2:$B$157=G187),Weekly_Line_Capacity!$L$2:$L$157,"")</f>
        <v>WITHIN CAPACITY</v>
      </c>
      <c r="K187" s="13" t="str">
        <f>_xlfn.XLOOKUP(B187,BOM!$A$2:$A$21,BOM!$B$2:$B$21,"")</f>
        <v>M001</v>
      </c>
      <c r="L187" s="27">
        <f>SUMIFS(Weekly_Material_Inventory!$K:$K,Weekly_Material_Inventory!$A:$A,A187,Weekly_Material_Inventory!$B:$B,K187)</f>
        <v>0</v>
      </c>
      <c r="M187">
        <f t="shared" si="6"/>
        <v>1</v>
      </c>
      <c r="N187" t="str">
        <f t="shared" si="7"/>
        <v>WARNING</v>
      </c>
      <c r="O187" t="str">
        <f t="shared" si="8"/>
        <v>LOW STOCK COVER</v>
      </c>
      <c r="P187" t="str" cm="1">
        <f t="array" ref="P187">_xlfn.SWITCH(O187,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87" t="str" cm="1">
        <f t="array" ref="Q187">_xlfn.SWITCH(O187,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87" t="str" cm="1">
        <f t="array" ref="R187">_xlfn.SWITCH(P187,
"Inventory / Service","Operations / Planning",
"Material Supply","Materials / Procurement",
"Capacity","Production / Planning",
"Production Execution","Production",
"Inventory","Operations / Planning",
"Demand Planning","Commercial / Planning",
"None","None",
"Operations")</f>
        <v>Operations / Planning</v>
      </c>
    </row>
    <row r="188" spans="1:18">
      <c r="A188" s="30">
        <f>Weekly_Inventory_Flow!A188</f>
        <v>46286</v>
      </c>
      <c r="B188" s="13" t="str">
        <f>Weekly_Inventory_Flow!B188</f>
        <v>P002</v>
      </c>
      <c r="C188" s="25">
        <f>IF(SUMIFS(Weekly_Product_Demand!$C:$C,Weekly_Product_Demand!$A:$A,A188,Weekly_Product_Demand!$B:$B,B188)=0,0,
(SUMIFS(Weekly_Product_Demand!$D:$D,Weekly_Product_Demand!$A:$A,A188,Weekly_Product_Demand!$B:$B,B188)-
SUMIFS(Weekly_Product_Demand!$C:$C,Weekly_Product_Demand!$A:$A,A188,Weekly_Product_Demand!$B:$B,B188))/
SUMIFS(Weekly_Product_Demand!$C:$C,Weekly_Product_Demand!$A:$A,A188,Weekly_Product_Demand!$B:$B,B188))</f>
        <v>2.095299733031308E-2</v>
      </c>
      <c r="D188" s="25">
        <f>SUMIFS(Weekly_Inventory_Flow!$Q:$Q,Weekly_Inventory_Flow!$A:$A,A188,Weekly_Inventory_Flow!$B:$B,B188)</f>
        <v>1.01</v>
      </c>
      <c r="E188" s="26">
        <f>SUMIFS(Weekly_Inventory_Flow!$S:$S,Weekly_Inventory_Flow!$A:$A,A188,Weekly_Inventory_Flow!$B:$B,B188)</f>
        <v>2.0839144215530903</v>
      </c>
      <c r="F188" s="27">
        <f>SUMIFS(Weekly_Inventory_Flow!$N:$N,Weekly_Inventory_Flow!$A:$A,A188,Weekly_Inventory_Flow!$B:$B,B188)</f>
        <v>0</v>
      </c>
      <c r="G188" s="13" t="str">
        <f>_xlfn.XLOOKUP(B188,Product_Line_Map!$A$2:$A$6,Product_Line_Map!$B$2:$B$6,"")</f>
        <v>L02</v>
      </c>
      <c r="H188" s="25">
        <f>SUMIFS(Weekly_Line_Capacity!$J:$J,Weekly_Line_Capacity!$A:$A,A188,Weekly_Line_Capacity!$B:$B,G188)</f>
        <v>0.46857142857142853</v>
      </c>
      <c r="I188" s="27">
        <f>SUMIFS(Weekly_Line_Capacity!$K:$K,Weekly_Line_Capacity!$A:$A,A188,Weekly_Line_Capacity!$B:$B,G188)</f>
        <v>0</v>
      </c>
      <c r="J188" s="13" t="str" cm="1">
        <f t="array" ref="J188">_xlfn.XLOOKUP(1,(Weekly_Line_Capacity!$A$2:$A$157=A188)*(Weekly_Line_Capacity!$B$2:$B$157=G188),Weekly_Line_Capacity!$L$2:$L$157,"")</f>
        <v>WITHIN CAPACITY</v>
      </c>
      <c r="K188" s="13" t="str">
        <f>_xlfn.XLOOKUP(B188,BOM!$A$2:$A$21,BOM!$B$2:$B$21,"")</f>
        <v>M002</v>
      </c>
      <c r="L188" s="27">
        <f>SUMIFS(Weekly_Material_Inventory!$K:$K,Weekly_Material_Inventory!$A:$A,A188,Weekly_Material_Inventory!$B:$B,K188)</f>
        <v>0</v>
      </c>
      <c r="M188">
        <f t="shared" si="6"/>
        <v>0</v>
      </c>
      <c r="N188" t="str">
        <f t="shared" si="7"/>
        <v>OK</v>
      </c>
      <c r="O188" t="str">
        <f t="shared" si="8"/>
        <v>NONE</v>
      </c>
      <c r="P188" t="str" cm="1">
        <f t="array" ref="P188">_xlfn.SWITCH(O188,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88" t="str" cm="1">
        <f t="array" ref="Q188">_xlfn.SWITCH(O188,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88" t="str" cm="1">
        <f t="array" ref="R188">_xlfn.SWITCH(P188,
"Inventory / Service","Operations / Planning",
"Material Supply","Materials / Procurement",
"Capacity","Production / Planning",
"Production Execution","Production",
"Inventory","Operations / Planning",
"Demand Planning","Commercial / Planning",
"None","None",
"Operations")</f>
        <v>None</v>
      </c>
    </row>
    <row r="189" spans="1:18">
      <c r="A189" s="30">
        <f>Weekly_Inventory_Flow!A189</f>
        <v>46286</v>
      </c>
      <c r="B189" s="13" t="str">
        <f>Weekly_Inventory_Flow!B189</f>
        <v>P003</v>
      </c>
      <c r="C189" s="25">
        <f>IF(SUMIFS(Weekly_Product_Demand!$C:$C,Weekly_Product_Demand!$A:$A,A189,Weekly_Product_Demand!$B:$B,B189)=0,0,
(SUMIFS(Weekly_Product_Demand!$D:$D,Weekly_Product_Demand!$A:$A,A189,Weekly_Product_Demand!$B:$B,B189)-
SUMIFS(Weekly_Product_Demand!$C:$C,Weekly_Product_Demand!$A:$A,A189,Weekly_Product_Demand!$B:$B,B189))/
SUMIFS(Weekly_Product_Demand!$C:$C,Weekly_Product_Demand!$A:$A,A189,Weekly_Product_Demand!$B:$B,B189))</f>
        <v>3.2114761684405371E-2</v>
      </c>
      <c r="D189" s="25">
        <f>SUMIFS(Weekly_Inventory_Flow!$Q:$Q,Weekly_Inventory_Flow!$A:$A,A189,Weekly_Inventory_Flow!$B:$B,B189)</f>
        <v>0.98</v>
      </c>
      <c r="E189" s="26">
        <f>SUMIFS(Weekly_Inventory_Flow!$S:$S,Weekly_Inventory_Flow!$A:$A,A189,Weekly_Inventory_Flow!$B:$B,B189)</f>
        <v>1.9088055954088954</v>
      </c>
      <c r="F189" s="27">
        <f>SUMIFS(Weekly_Inventory_Flow!$N:$N,Weekly_Inventory_Flow!$A:$A,A189,Weekly_Inventory_Flow!$B:$B,B189)</f>
        <v>0</v>
      </c>
      <c r="G189" s="13" t="str">
        <f>_xlfn.XLOOKUP(B189,Product_Line_Map!$A$2:$A$6,Product_Line_Map!$B$2:$B$6,"")</f>
        <v>L03</v>
      </c>
      <c r="H189" s="25">
        <f>SUMIFS(Weekly_Line_Capacity!$J:$J,Weekly_Line_Capacity!$A:$A,A189,Weekly_Line_Capacity!$B:$B,G189)</f>
        <v>0.48095238095238091</v>
      </c>
      <c r="I189" s="27">
        <f>SUMIFS(Weekly_Line_Capacity!$K:$K,Weekly_Line_Capacity!$A:$A,A189,Weekly_Line_Capacity!$B:$B,G189)</f>
        <v>0</v>
      </c>
      <c r="J189" s="13" t="str" cm="1">
        <f t="array" ref="J189">_xlfn.XLOOKUP(1,(Weekly_Line_Capacity!$A$2:$A$157=A189)*(Weekly_Line_Capacity!$B$2:$B$157=G189),Weekly_Line_Capacity!$L$2:$L$157,"")</f>
        <v>WITHIN CAPACITY</v>
      </c>
      <c r="K189" s="13" t="str">
        <f>_xlfn.XLOOKUP(B189,BOM!$A$2:$A$21,BOM!$B$2:$B$21,"")</f>
        <v>M003</v>
      </c>
      <c r="L189" s="27">
        <f>SUMIFS(Weekly_Material_Inventory!$K:$K,Weekly_Material_Inventory!$A:$A,A189,Weekly_Material_Inventory!$B:$B,K189)</f>
        <v>0</v>
      </c>
      <c r="M189">
        <f t="shared" si="6"/>
        <v>1</v>
      </c>
      <c r="N189" t="str">
        <f t="shared" si="7"/>
        <v>WARNING</v>
      </c>
      <c r="O189" t="str">
        <f t="shared" si="8"/>
        <v>LOW STOCK COVER</v>
      </c>
      <c r="P189" t="str" cm="1">
        <f t="array" ref="P189">_xlfn.SWITCH(O189,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89" t="str" cm="1">
        <f t="array" ref="Q189">_xlfn.SWITCH(O189,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89" t="str" cm="1">
        <f t="array" ref="R189">_xlfn.SWITCH(P189,
"Inventory / Service","Operations / Planning",
"Material Supply","Materials / Procurement",
"Capacity","Production / Planning",
"Production Execution","Production",
"Inventory","Operations / Planning",
"Demand Planning","Commercial / Planning",
"None","None",
"Operations")</f>
        <v>Operations / Planning</v>
      </c>
    </row>
    <row r="190" spans="1:18">
      <c r="A190" s="30">
        <f>Weekly_Inventory_Flow!A190</f>
        <v>46286</v>
      </c>
      <c r="B190" s="13" t="str">
        <f>Weekly_Inventory_Flow!B190</f>
        <v>P004</v>
      </c>
      <c r="C190" s="25">
        <f>IF(SUMIFS(Weekly_Product_Demand!$C:$C,Weekly_Product_Demand!$A:$A,A190,Weekly_Product_Demand!$B:$B,B190)=0,0,
(SUMIFS(Weekly_Product_Demand!$D:$D,Weekly_Product_Demand!$A:$A,A190,Weekly_Product_Demand!$B:$B,B190)-
SUMIFS(Weekly_Product_Demand!$C:$C,Weekly_Product_Demand!$A:$A,A190,Weekly_Product_Demand!$B:$B,B190))/
SUMIFS(Weekly_Product_Demand!$C:$C,Weekly_Product_Demand!$A:$A,A190,Weekly_Product_Demand!$B:$B,B190))</f>
        <v>-8.0515297906602248E-3</v>
      </c>
      <c r="D190" s="25">
        <f>SUMIFS(Weekly_Inventory_Flow!$Q:$Q,Weekly_Inventory_Flow!$A:$A,A190,Weekly_Inventory_Flow!$B:$B,B190)</f>
        <v>0.97</v>
      </c>
      <c r="E190" s="26">
        <f>SUMIFS(Weekly_Inventory_Flow!$S:$S,Weekly_Inventory_Flow!$A:$A,A190,Weekly_Inventory_Flow!$B:$B,B190)</f>
        <v>1.812799043062201</v>
      </c>
      <c r="F190" s="27">
        <f>SUMIFS(Weekly_Inventory_Flow!$N:$N,Weekly_Inventory_Flow!$A:$A,A190,Weekly_Inventory_Flow!$B:$B,B190)</f>
        <v>0</v>
      </c>
      <c r="G190" s="13" t="str">
        <f>_xlfn.XLOOKUP(B190,Product_Line_Map!$A$2:$A$6,Product_Line_Map!$B$2:$B$6,"")</f>
        <v>L02</v>
      </c>
      <c r="H190" s="25">
        <f>SUMIFS(Weekly_Line_Capacity!$J:$J,Weekly_Line_Capacity!$A:$A,A190,Weekly_Line_Capacity!$B:$B,G190)</f>
        <v>0.46857142857142853</v>
      </c>
      <c r="I190" s="27">
        <f>SUMIFS(Weekly_Line_Capacity!$K:$K,Weekly_Line_Capacity!$A:$A,A190,Weekly_Line_Capacity!$B:$B,G190)</f>
        <v>0</v>
      </c>
      <c r="J190" s="13" t="str" cm="1">
        <f t="array" ref="J190">_xlfn.XLOOKUP(1,(Weekly_Line_Capacity!$A$2:$A$157=A190)*(Weekly_Line_Capacity!$B$2:$B$157=G190),Weekly_Line_Capacity!$L$2:$L$157,"")</f>
        <v>WITHIN CAPACITY</v>
      </c>
      <c r="K190" s="13" t="str">
        <f>_xlfn.XLOOKUP(B190,BOM!$A$2:$A$21,BOM!$B$2:$B$21,"")</f>
        <v>M004</v>
      </c>
      <c r="L190" s="27">
        <f>SUMIFS(Weekly_Material_Inventory!$K:$K,Weekly_Material_Inventory!$A:$A,A190,Weekly_Material_Inventory!$B:$B,K190)</f>
        <v>0</v>
      </c>
      <c r="M190">
        <f t="shared" si="6"/>
        <v>1</v>
      </c>
      <c r="N190" t="str">
        <f t="shared" si="7"/>
        <v>WARNING</v>
      </c>
      <c r="O190" t="str">
        <f t="shared" si="8"/>
        <v>LOW STOCK COVER</v>
      </c>
      <c r="P190" t="str" cm="1">
        <f t="array" ref="P190">_xlfn.SWITCH(O190,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90" t="str" cm="1">
        <f t="array" ref="Q190">_xlfn.SWITCH(O190,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90" t="str" cm="1">
        <f t="array" ref="R190">_xlfn.SWITCH(P190,
"Inventory / Service","Operations / Planning",
"Material Supply","Materials / Procurement",
"Capacity","Production / Planning",
"Production Execution","Production",
"Inventory","Operations / Planning",
"Demand Planning","Commercial / Planning",
"None","None",
"Operations")</f>
        <v>Operations / Planning</v>
      </c>
    </row>
    <row r="191" spans="1:18">
      <c r="A191" s="30">
        <f>Weekly_Inventory_Flow!A191</f>
        <v>46286</v>
      </c>
      <c r="B191" s="13" t="str">
        <f>Weekly_Inventory_Flow!B191</f>
        <v>P005</v>
      </c>
      <c r="C191" s="25">
        <f>IF(SUMIFS(Weekly_Product_Demand!$C:$C,Weekly_Product_Demand!$A:$A,A191,Weekly_Product_Demand!$B:$B,B191)=0,0,
(SUMIFS(Weekly_Product_Demand!$D:$D,Weekly_Product_Demand!$A:$A,A191,Weekly_Product_Demand!$B:$B,B191)-
SUMIFS(Weekly_Product_Demand!$C:$C,Weekly_Product_Demand!$A:$A,A191,Weekly_Product_Demand!$B:$B,B191))/
SUMIFS(Weekly_Product_Demand!$C:$C,Weekly_Product_Demand!$A:$A,A191,Weekly_Product_Demand!$B:$B,B191))</f>
        <v>6.4072693383038209E-3</v>
      </c>
      <c r="D191" s="25">
        <f>SUMIFS(Weekly_Inventory_Flow!$Q:$Q,Weekly_Inventory_Flow!$A:$A,A191,Weekly_Inventory_Flow!$B:$B,B191)</f>
        <v>0.97</v>
      </c>
      <c r="E191" s="26">
        <f>SUMIFS(Weekly_Inventory_Flow!$S:$S,Weekly_Inventory_Flow!$A:$A,A191,Weekly_Inventory_Flow!$B:$B,B191)</f>
        <v>1.8401435351313811</v>
      </c>
      <c r="F191" s="27">
        <f>SUMIFS(Weekly_Inventory_Flow!$N:$N,Weekly_Inventory_Flow!$A:$A,A191,Weekly_Inventory_Flow!$B:$B,B191)</f>
        <v>0</v>
      </c>
      <c r="G191" s="13" t="str">
        <f>_xlfn.XLOOKUP(B191,Product_Line_Map!$A$2:$A$6,Product_Line_Map!$B$2:$B$6,"")</f>
        <v>L03</v>
      </c>
      <c r="H191" s="25">
        <f>SUMIFS(Weekly_Line_Capacity!$J:$J,Weekly_Line_Capacity!$A:$A,A191,Weekly_Line_Capacity!$B:$B,G191)</f>
        <v>0.48095238095238091</v>
      </c>
      <c r="I191" s="27">
        <f>SUMIFS(Weekly_Line_Capacity!$K:$K,Weekly_Line_Capacity!$A:$A,A191,Weekly_Line_Capacity!$B:$B,G191)</f>
        <v>0</v>
      </c>
      <c r="J191" s="13" t="str" cm="1">
        <f t="array" ref="J191">_xlfn.XLOOKUP(1,(Weekly_Line_Capacity!$A$2:$A$157=A191)*(Weekly_Line_Capacity!$B$2:$B$157=G191),Weekly_Line_Capacity!$L$2:$L$157,"")</f>
        <v>WITHIN CAPACITY</v>
      </c>
      <c r="K191" s="13" t="str">
        <f>_xlfn.XLOOKUP(B191,BOM!$A$2:$A$21,BOM!$B$2:$B$21,"")</f>
        <v>M005</v>
      </c>
      <c r="L191" s="27">
        <f>SUMIFS(Weekly_Material_Inventory!$K:$K,Weekly_Material_Inventory!$A:$A,A191,Weekly_Material_Inventory!$B:$B,K191)</f>
        <v>0</v>
      </c>
      <c r="M191">
        <f t="shared" si="6"/>
        <v>1</v>
      </c>
      <c r="N191" t="str">
        <f t="shared" si="7"/>
        <v>WARNING</v>
      </c>
      <c r="O191" t="str">
        <f t="shared" si="8"/>
        <v>LOW STOCK COVER</v>
      </c>
      <c r="P191" t="str" cm="1">
        <f t="array" ref="P191">_xlfn.SWITCH(O191,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91" t="str" cm="1">
        <f t="array" ref="Q191">_xlfn.SWITCH(O191,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91" t="str" cm="1">
        <f t="array" ref="R191">_xlfn.SWITCH(P191,
"Inventory / Service","Operations / Planning",
"Material Supply","Materials / Procurement",
"Capacity","Production / Planning",
"Production Execution","Production",
"Inventory","Operations / Planning",
"Demand Planning","Commercial / Planning",
"None","None",
"Operations")</f>
        <v>Operations / Planning</v>
      </c>
    </row>
    <row r="192" spans="1:18">
      <c r="A192" s="30">
        <f>Weekly_Inventory_Flow!A192</f>
        <v>46293</v>
      </c>
      <c r="B192" s="13" t="str">
        <f>Weekly_Inventory_Flow!B192</f>
        <v>P001</v>
      </c>
      <c r="C192" s="25">
        <f>IF(SUMIFS(Weekly_Product_Demand!$C:$C,Weekly_Product_Demand!$A:$A,A192,Weekly_Product_Demand!$B:$B,B192)=0,0,
(SUMIFS(Weekly_Product_Demand!$D:$D,Weekly_Product_Demand!$A:$A,A192,Weekly_Product_Demand!$B:$B,B192)-
SUMIFS(Weekly_Product_Demand!$C:$C,Weekly_Product_Demand!$A:$A,A192,Weekly_Product_Demand!$B:$B,B192))/
SUMIFS(Weekly_Product_Demand!$C:$C,Weekly_Product_Demand!$A:$A,A192,Weekly_Product_Demand!$B:$B,B192))</f>
        <v>-1.4836592369752495E-2</v>
      </c>
      <c r="D192" s="25">
        <f>SUMIFS(Weekly_Inventory_Flow!$Q:$Q,Weekly_Inventory_Flow!$A:$A,A192,Weekly_Inventory_Flow!$B:$B,B192)</f>
        <v>0.98</v>
      </c>
      <c r="E192" s="26">
        <f>SUMIFS(Weekly_Inventory_Flow!$S:$S,Weekly_Inventory_Flow!$A:$A,A192,Weekly_Inventory_Flow!$B:$B,B192)</f>
        <v>1.8985356374488165</v>
      </c>
      <c r="F192" s="27">
        <f>SUMIFS(Weekly_Inventory_Flow!$N:$N,Weekly_Inventory_Flow!$A:$A,A192,Weekly_Inventory_Flow!$B:$B,B192)</f>
        <v>0</v>
      </c>
      <c r="G192" s="13" t="str">
        <f>_xlfn.XLOOKUP(B192,Product_Line_Map!$A$2:$A$6,Product_Line_Map!$B$2:$B$6,"")</f>
        <v>L01</v>
      </c>
      <c r="H192" s="25">
        <f>SUMIFS(Weekly_Line_Capacity!$J:$J,Weekly_Line_Capacity!$A:$A,A192,Weekly_Line_Capacity!$B:$B,G192)</f>
        <v>0.21491228070175436</v>
      </c>
      <c r="I192" s="27">
        <f>SUMIFS(Weekly_Line_Capacity!$K:$K,Weekly_Line_Capacity!$A:$A,A192,Weekly_Line_Capacity!$B:$B,G192)</f>
        <v>0</v>
      </c>
      <c r="J192" s="13" t="str" cm="1">
        <f t="array" ref="J192">_xlfn.XLOOKUP(1,(Weekly_Line_Capacity!$A$2:$A$157=A192)*(Weekly_Line_Capacity!$B$2:$B$157=G192),Weekly_Line_Capacity!$L$2:$L$157,"")</f>
        <v>WITHIN CAPACITY</v>
      </c>
      <c r="K192" s="13" t="str">
        <f>_xlfn.XLOOKUP(B192,BOM!$A$2:$A$21,BOM!$B$2:$B$21,"")</f>
        <v>M001</v>
      </c>
      <c r="L192" s="27">
        <f>SUMIFS(Weekly_Material_Inventory!$K:$K,Weekly_Material_Inventory!$A:$A,A192,Weekly_Material_Inventory!$B:$B,K192)</f>
        <v>0</v>
      </c>
      <c r="M192">
        <f t="shared" si="6"/>
        <v>1</v>
      </c>
      <c r="N192" t="str">
        <f t="shared" si="7"/>
        <v>WARNING</v>
      </c>
      <c r="O192" t="str">
        <f t="shared" si="8"/>
        <v>LOW STOCK COVER</v>
      </c>
      <c r="P192" t="str" cm="1">
        <f t="array" ref="P192">_xlfn.SWITCH(O192,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92" t="str" cm="1">
        <f t="array" ref="Q192">_xlfn.SWITCH(O192,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92" t="str" cm="1">
        <f t="array" ref="R192">_xlfn.SWITCH(P192,
"Inventory / Service","Operations / Planning",
"Material Supply","Materials / Procurement",
"Capacity","Production / Planning",
"Production Execution","Production",
"Inventory","Operations / Planning",
"Demand Planning","Commercial / Planning",
"None","None",
"Operations")</f>
        <v>Operations / Planning</v>
      </c>
    </row>
    <row r="193" spans="1:18">
      <c r="A193" s="30">
        <f>Weekly_Inventory_Flow!A193</f>
        <v>46293</v>
      </c>
      <c r="B193" s="13" t="str">
        <f>Weekly_Inventory_Flow!B193</f>
        <v>P002</v>
      </c>
      <c r="C193" s="25">
        <f>IF(SUMIFS(Weekly_Product_Demand!$C:$C,Weekly_Product_Demand!$A:$A,A193,Weekly_Product_Demand!$B:$B,B193)=0,0,
(SUMIFS(Weekly_Product_Demand!$D:$D,Weekly_Product_Demand!$A:$A,A193,Weekly_Product_Demand!$B:$B,B193)-
SUMIFS(Weekly_Product_Demand!$C:$C,Weekly_Product_Demand!$A:$A,A193,Weekly_Product_Demand!$B:$B,B193))/
SUMIFS(Weekly_Product_Demand!$C:$C,Weekly_Product_Demand!$A:$A,A193,Weekly_Product_Demand!$B:$B,B193))</f>
        <v>1.0819908631882664E-2</v>
      </c>
      <c r="D193" s="25">
        <f>SUMIFS(Weekly_Inventory_Flow!$Q:$Q,Weekly_Inventory_Flow!$A:$A,A193,Weekly_Inventory_Flow!$B:$B,B193)</f>
        <v>1.01</v>
      </c>
      <c r="E193" s="26">
        <f>SUMIFS(Weekly_Inventory_Flow!$S:$S,Weekly_Inventory_Flow!$A:$A,A193,Weekly_Inventory_Flow!$B:$B,B193)</f>
        <v>2.0924516333650489</v>
      </c>
      <c r="F193" s="27">
        <f>SUMIFS(Weekly_Inventory_Flow!$N:$N,Weekly_Inventory_Flow!$A:$A,A193,Weekly_Inventory_Flow!$B:$B,B193)</f>
        <v>0</v>
      </c>
      <c r="G193" s="13" t="str">
        <f>_xlfn.XLOOKUP(B193,Product_Line_Map!$A$2:$A$6,Product_Line_Map!$B$2:$B$6,"")</f>
        <v>L02</v>
      </c>
      <c r="H193" s="25">
        <f>SUMIFS(Weekly_Line_Capacity!$J:$J,Weekly_Line_Capacity!$A:$A,A193,Weekly_Line_Capacity!$B:$B,G193)</f>
        <v>0.46095238095238095</v>
      </c>
      <c r="I193" s="27">
        <f>SUMIFS(Weekly_Line_Capacity!$K:$K,Weekly_Line_Capacity!$A:$A,A193,Weekly_Line_Capacity!$B:$B,G193)</f>
        <v>0</v>
      </c>
      <c r="J193" s="13" t="str" cm="1">
        <f t="array" ref="J193">_xlfn.XLOOKUP(1,(Weekly_Line_Capacity!$A$2:$A$157=A193)*(Weekly_Line_Capacity!$B$2:$B$157=G193),Weekly_Line_Capacity!$L$2:$L$157,"")</f>
        <v>WITHIN CAPACITY</v>
      </c>
      <c r="K193" s="13" t="str">
        <f>_xlfn.XLOOKUP(B193,BOM!$A$2:$A$21,BOM!$B$2:$B$21,"")</f>
        <v>M002</v>
      </c>
      <c r="L193" s="27">
        <f>SUMIFS(Weekly_Material_Inventory!$K:$K,Weekly_Material_Inventory!$A:$A,A193,Weekly_Material_Inventory!$B:$B,K193)</f>
        <v>0</v>
      </c>
      <c r="M193">
        <f t="shared" si="6"/>
        <v>0</v>
      </c>
      <c r="N193" t="str">
        <f t="shared" si="7"/>
        <v>OK</v>
      </c>
      <c r="O193" t="str">
        <f t="shared" si="8"/>
        <v>NONE</v>
      </c>
      <c r="P193" t="str" cm="1">
        <f t="array" ref="P193">_xlfn.SWITCH(O193,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93" t="str" cm="1">
        <f t="array" ref="Q193">_xlfn.SWITCH(O193,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93" t="str" cm="1">
        <f t="array" ref="R193">_xlfn.SWITCH(P193,
"Inventory / Service","Operations / Planning",
"Material Supply","Materials / Procurement",
"Capacity","Production / Planning",
"Production Execution","Production",
"Inventory","Operations / Planning",
"Demand Planning","Commercial / Planning",
"None","None",
"Operations")</f>
        <v>None</v>
      </c>
    </row>
    <row r="194" spans="1:18">
      <c r="A194" s="30">
        <f>Weekly_Inventory_Flow!A194</f>
        <v>46293</v>
      </c>
      <c r="B194" s="13" t="str">
        <f>Weekly_Inventory_Flow!B194</f>
        <v>P003</v>
      </c>
      <c r="C194" s="25">
        <f>IF(SUMIFS(Weekly_Product_Demand!$C:$C,Weekly_Product_Demand!$A:$A,A194,Weekly_Product_Demand!$B:$B,B194)=0,0,
(SUMIFS(Weekly_Product_Demand!$D:$D,Weekly_Product_Demand!$A:$A,A194,Weekly_Product_Demand!$B:$B,B194)-
SUMIFS(Weekly_Product_Demand!$C:$C,Weekly_Product_Demand!$A:$A,A194,Weekly_Product_Demand!$B:$B,B194))/
SUMIFS(Weekly_Product_Demand!$C:$C,Weekly_Product_Demand!$A:$A,A194,Weekly_Product_Demand!$B:$B,B194))</f>
        <v>-4.2695377761277145E-3</v>
      </c>
      <c r="D194" s="25">
        <f>SUMIFS(Weekly_Inventory_Flow!$Q:$Q,Weekly_Inventory_Flow!$A:$A,A194,Weekly_Inventory_Flow!$B:$B,B194)</f>
        <v>0.97</v>
      </c>
      <c r="E194" s="26">
        <f>SUMIFS(Weekly_Inventory_Flow!$S:$S,Weekly_Inventory_Flow!$A:$A,A194,Weekly_Inventory_Flow!$B:$B,B194)</f>
        <v>1.8198173005219984</v>
      </c>
      <c r="F194" s="27">
        <f>SUMIFS(Weekly_Inventory_Flow!$N:$N,Weekly_Inventory_Flow!$A:$A,A194,Weekly_Inventory_Flow!$B:$B,B194)</f>
        <v>0</v>
      </c>
      <c r="G194" s="13" t="str">
        <f>_xlfn.XLOOKUP(B194,Product_Line_Map!$A$2:$A$6,Product_Line_Map!$B$2:$B$6,"")</f>
        <v>L03</v>
      </c>
      <c r="H194" s="25">
        <f>SUMIFS(Weekly_Line_Capacity!$J:$J,Weekly_Line_Capacity!$A:$A,A194,Weekly_Line_Capacity!$B:$B,G194)</f>
        <v>0.47142857142857142</v>
      </c>
      <c r="I194" s="27">
        <f>SUMIFS(Weekly_Line_Capacity!$K:$K,Weekly_Line_Capacity!$A:$A,A194,Weekly_Line_Capacity!$B:$B,G194)</f>
        <v>0</v>
      </c>
      <c r="J194" s="13" t="str" cm="1">
        <f t="array" ref="J194">_xlfn.XLOOKUP(1,(Weekly_Line_Capacity!$A$2:$A$157=A194)*(Weekly_Line_Capacity!$B$2:$B$157=G194),Weekly_Line_Capacity!$L$2:$L$157,"")</f>
        <v>WITHIN CAPACITY</v>
      </c>
      <c r="K194" s="13" t="str">
        <f>_xlfn.XLOOKUP(B194,BOM!$A$2:$A$21,BOM!$B$2:$B$21,"")</f>
        <v>M003</v>
      </c>
      <c r="L194" s="27">
        <f>SUMIFS(Weekly_Material_Inventory!$K:$K,Weekly_Material_Inventory!$A:$A,A194,Weekly_Material_Inventory!$B:$B,K194)</f>
        <v>0</v>
      </c>
      <c r="M194">
        <f t="shared" si="6"/>
        <v>1</v>
      </c>
      <c r="N194" t="str">
        <f t="shared" si="7"/>
        <v>WARNING</v>
      </c>
      <c r="O194" t="str">
        <f t="shared" si="8"/>
        <v>LOW STOCK COVER</v>
      </c>
      <c r="P194" t="str" cm="1">
        <f t="array" ref="P194">_xlfn.SWITCH(O194,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94" t="str" cm="1">
        <f t="array" ref="Q194">_xlfn.SWITCH(O194,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94" t="str" cm="1">
        <f t="array" ref="R194">_xlfn.SWITCH(P194,
"Inventory / Service","Operations / Planning",
"Material Supply","Materials / Procurement",
"Capacity","Production / Planning",
"Production Execution","Production",
"Inventory","Operations / Planning",
"Demand Planning","Commercial / Planning",
"None","None",
"Operations")</f>
        <v>Operations / Planning</v>
      </c>
    </row>
    <row r="195" spans="1:18">
      <c r="A195" s="30">
        <f>Weekly_Inventory_Flow!A195</f>
        <v>46293</v>
      </c>
      <c r="B195" s="13" t="str">
        <f>Weekly_Inventory_Flow!B195</f>
        <v>P004</v>
      </c>
      <c r="C195" s="25">
        <f>IF(SUMIFS(Weekly_Product_Demand!$C:$C,Weekly_Product_Demand!$A:$A,A195,Weekly_Product_Demand!$B:$B,B195)=0,0,
(SUMIFS(Weekly_Product_Demand!$D:$D,Weekly_Product_Demand!$A:$A,A195,Weekly_Product_Demand!$B:$B,B195)-
SUMIFS(Weekly_Product_Demand!$C:$C,Weekly_Product_Demand!$A:$A,A195,Weekly_Product_Demand!$B:$B,B195))/
SUMIFS(Weekly_Product_Demand!$C:$C,Weekly_Product_Demand!$A:$A,A195,Weekly_Product_Demand!$B:$B,B195))</f>
        <v>-2.3560209424083769E-3</v>
      </c>
      <c r="D195" s="25">
        <f>SUMIFS(Weekly_Inventory_Flow!$Q:$Q,Weekly_Inventory_Flow!$A:$A,A195,Weekly_Inventory_Flow!$B:$B,B195)</f>
        <v>1</v>
      </c>
      <c r="E195" s="26">
        <f>SUMIFS(Weekly_Inventory_Flow!$S:$S,Weekly_Inventory_Flow!$A:$A,A195,Weekly_Inventory_Flow!$B:$B,B195)</f>
        <v>2.0192425435143884</v>
      </c>
      <c r="F195" s="27">
        <f>SUMIFS(Weekly_Inventory_Flow!$N:$N,Weekly_Inventory_Flow!$A:$A,A195,Weekly_Inventory_Flow!$B:$B,B195)</f>
        <v>0</v>
      </c>
      <c r="G195" s="13" t="str">
        <f>_xlfn.XLOOKUP(B195,Product_Line_Map!$A$2:$A$6,Product_Line_Map!$B$2:$B$6,"")</f>
        <v>L02</v>
      </c>
      <c r="H195" s="25">
        <f>SUMIFS(Weekly_Line_Capacity!$J:$J,Weekly_Line_Capacity!$A:$A,A195,Weekly_Line_Capacity!$B:$B,G195)</f>
        <v>0.46095238095238095</v>
      </c>
      <c r="I195" s="27">
        <f>SUMIFS(Weekly_Line_Capacity!$K:$K,Weekly_Line_Capacity!$A:$A,A195,Weekly_Line_Capacity!$B:$B,G195)</f>
        <v>0</v>
      </c>
      <c r="J195" s="13" t="str" cm="1">
        <f t="array" ref="J195">_xlfn.XLOOKUP(1,(Weekly_Line_Capacity!$A$2:$A$157=A195)*(Weekly_Line_Capacity!$B$2:$B$157=G195),Weekly_Line_Capacity!$L$2:$L$157,"")</f>
        <v>WITHIN CAPACITY</v>
      </c>
      <c r="K195" s="13" t="str">
        <f>_xlfn.XLOOKUP(B195,BOM!$A$2:$A$21,BOM!$B$2:$B$21,"")</f>
        <v>M004</v>
      </c>
      <c r="L195" s="27">
        <f>SUMIFS(Weekly_Material_Inventory!$K:$K,Weekly_Material_Inventory!$A:$A,A195,Weekly_Material_Inventory!$B:$B,K195)</f>
        <v>0</v>
      </c>
      <c r="M195">
        <f t="shared" ref="M195:M258" si="9">IF(F195&gt;0,5,0)
+IF(L195&gt;0,5,0)
+IF(J195="OVER CAPACITY",5,IF(H195&gt;=0.85,1,0))
+IF(D195&lt;0.9,3,IF(D195&lt;0.95,2,0))
+IF(E195&lt;1,3,IF(E195&lt;2,1,0))
+IF(ABS(C195)&gt;=0.1,2,IF(ABS(C195)&gt;=0.05,1,0))</f>
        <v>0</v>
      </c>
      <c r="N195" t="str">
        <f t="shared" ref="N195:N258" si="10">IF(OR(F195&gt;0,L195&gt;0,J195="OVER CAPACITY",M195&gt;=5),"CRITICAL",IF(M195&gt;=1,"WARNING","OK"))</f>
        <v>OK</v>
      </c>
      <c r="O195" t="str">
        <f t="shared" ref="O195:O258" si="11">IF(F195&gt;0,"FINISHED GOODS SHORTAGE",
IF(L195&gt;0,"MATERIAL SHORTAGE",
IF(J195="OVER CAPACITY","CAPACITY CONSTRAINT",
IF(D195&lt;0.9,"SEVERE PRODUCTION SHORTFALL",
IF(E195&lt;1,"CRITICAL LOW STOCK COVER",
IF(D195&lt;0.95,"LOW PRODUCTION ATTAINMENT",
IF(ABS(C195)&gt;=0.1,"HIGH FORECAST VARIANCE",
IF(E195&lt;2,"LOW STOCK COVER",
IF(H195&gt;=0.85,"HIGH CAPACITY UTILISATION",
IF(ABS(C195)&gt;=0.05,"FORECAST VARIANCE","NONE"))))))))))</f>
        <v>NONE</v>
      </c>
      <c r="P195" t="str" cm="1">
        <f t="array" ref="P195">_xlfn.SWITCH(O195,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95" t="str" cm="1">
        <f t="array" ref="Q195">_xlfn.SWITCH(O195,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95" t="str" cm="1">
        <f t="array" ref="R195">_xlfn.SWITCH(P195,
"Inventory / Service","Operations / Planning",
"Material Supply","Materials / Procurement",
"Capacity","Production / Planning",
"Production Execution","Production",
"Inventory","Operations / Planning",
"Demand Planning","Commercial / Planning",
"None","None",
"Operations")</f>
        <v>None</v>
      </c>
    </row>
    <row r="196" spans="1:18">
      <c r="A196" s="30">
        <f>Weekly_Inventory_Flow!A196</f>
        <v>46293</v>
      </c>
      <c r="B196" s="13" t="str">
        <f>Weekly_Inventory_Flow!B196</f>
        <v>P005</v>
      </c>
      <c r="C196" s="25">
        <f>IF(SUMIFS(Weekly_Product_Demand!$C:$C,Weekly_Product_Demand!$A:$A,A196,Weekly_Product_Demand!$B:$B,B196)=0,0,
(SUMIFS(Weekly_Product_Demand!$D:$D,Weekly_Product_Demand!$A:$A,A196,Weekly_Product_Demand!$B:$B,B196)-
SUMIFS(Weekly_Product_Demand!$C:$C,Weekly_Product_Demand!$A:$A,A196,Weekly_Product_Demand!$B:$B,B196))/
SUMIFS(Weekly_Product_Demand!$C:$C,Weekly_Product_Demand!$A:$A,A196,Weekly_Product_Demand!$B:$B,B196))</f>
        <v>-8.5538321167883211E-3</v>
      </c>
      <c r="D196" s="25">
        <f>SUMIFS(Weekly_Inventory_Flow!$Q:$Q,Weekly_Inventory_Flow!$A:$A,A196,Weekly_Inventory_Flow!$B:$B,B196)</f>
        <v>0.97</v>
      </c>
      <c r="E196" s="26">
        <f>SUMIFS(Weekly_Inventory_Flow!$S:$S,Weekly_Inventory_Flow!$A:$A,A196,Weekly_Inventory_Flow!$B:$B,B196)</f>
        <v>1.8585068445875992</v>
      </c>
      <c r="F196" s="27">
        <f>SUMIFS(Weekly_Inventory_Flow!$N:$N,Weekly_Inventory_Flow!$A:$A,A196,Weekly_Inventory_Flow!$B:$B,B196)</f>
        <v>0</v>
      </c>
      <c r="G196" s="13" t="str">
        <f>_xlfn.XLOOKUP(B196,Product_Line_Map!$A$2:$A$6,Product_Line_Map!$B$2:$B$6,"")</f>
        <v>L03</v>
      </c>
      <c r="H196" s="25">
        <f>SUMIFS(Weekly_Line_Capacity!$J:$J,Weekly_Line_Capacity!$A:$A,A196,Weekly_Line_Capacity!$B:$B,G196)</f>
        <v>0.47142857142857142</v>
      </c>
      <c r="I196" s="27">
        <f>SUMIFS(Weekly_Line_Capacity!$K:$K,Weekly_Line_Capacity!$A:$A,A196,Weekly_Line_Capacity!$B:$B,G196)</f>
        <v>0</v>
      </c>
      <c r="J196" s="13" t="str" cm="1">
        <f t="array" ref="J196">_xlfn.XLOOKUP(1,(Weekly_Line_Capacity!$A$2:$A$157=A196)*(Weekly_Line_Capacity!$B$2:$B$157=G196),Weekly_Line_Capacity!$L$2:$L$157,"")</f>
        <v>WITHIN CAPACITY</v>
      </c>
      <c r="K196" s="13" t="str">
        <f>_xlfn.XLOOKUP(B196,BOM!$A$2:$A$21,BOM!$B$2:$B$21,"")</f>
        <v>M005</v>
      </c>
      <c r="L196" s="27">
        <f>SUMIFS(Weekly_Material_Inventory!$K:$K,Weekly_Material_Inventory!$A:$A,A196,Weekly_Material_Inventory!$B:$B,K196)</f>
        <v>0</v>
      </c>
      <c r="M196">
        <f t="shared" si="9"/>
        <v>1</v>
      </c>
      <c r="N196" t="str">
        <f t="shared" si="10"/>
        <v>WARNING</v>
      </c>
      <c r="O196" t="str">
        <f t="shared" si="11"/>
        <v>LOW STOCK COVER</v>
      </c>
      <c r="P196" t="str" cm="1">
        <f t="array" ref="P196">_xlfn.SWITCH(O196,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196" t="str" cm="1">
        <f t="array" ref="Q196">_xlfn.SWITCH(O196,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196" t="str" cm="1">
        <f t="array" ref="R196">_xlfn.SWITCH(P196,
"Inventory / Service","Operations / Planning",
"Material Supply","Materials / Procurement",
"Capacity","Production / Planning",
"Production Execution","Production",
"Inventory","Operations / Planning",
"Demand Planning","Commercial / Planning",
"None","None",
"Operations")</f>
        <v>Operations / Planning</v>
      </c>
    </row>
    <row r="197" spans="1:18">
      <c r="A197" s="30">
        <f>Weekly_Inventory_Flow!A197</f>
        <v>46300</v>
      </c>
      <c r="B197" s="13" t="str">
        <f>Weekly_Inventory_Flow!B197</f>
        <v>P001</v>
      </c>
      <c r="C197" s="25">
        <f>IF(SUMIFS(Weekly_Product_Demand!$C:$C,Weekly_Product_Demand!$A:$A,A197,Weekly_Product_Demand!$B:$B,B197)=0,0,
(SUMIFS(Weekly_Product_Demand!$D:$D,Weekly_Product_Demand!$A:$A,A197,Weekly_Product_Demand!$B:$B,B197)-
SUMIFS(Weekly_Product_Demand!$C:$C,Weekly_Product_Demand!$A:$A,A197,Weekly_Product_Demand!$B:$B,B197))/
SUMIFS(Weekly_Product_Demand!$C:$C,Weekly_Product_Demand!$A:$A,A197,Weekly_Product_Demand!$B:$B,B197))</f>
        <v>1.4092290688035369E-2</v>
      </c>
      <c r="D197" s="25">
        <f>SUMIFS(Weekly_Inventory_Flow!$Q:$Q,Weekly_Inventory_Flow!$A:$A,A197,Weekly_Inventory_Flow!$B:$B,B197)</f>
        <v>1.01</v>
      </c>
      <c r="E197" s="26">
        <f>SUMIFS(Weekly_Inventory_Flow!$S:$S,Weekly_Inventory_Flow!$A:$A,A197,Weekly_Inventory_Flow!$B:$B,B197)</f>
        <v>2.0876021798365119</v>
      </c>
      <c r="F197" s="27">
        <f>SUMIFS(Weekly_Inventory_Flow!$N:$N,Weekly_Inventory_Flow!$A:$A,A197,Weekly_Inventory_Flow!$B:$B,B197)</f>
        <v>0</v>
      </c>
      <c r="G197" s="13" t="str">
        <f>_xlfn.XLOOKUP(B197,Product_Line_Map!$A$2:$A$6,Product_Line_Map!$B$2:$B$6,"")</f>
        <v>L01</v>
      </c>
      <c r="H197" s="25">
        <f>SUMIFS(Weekly_Line_Capacity!$J:$J,Weekly_Line_Capacity!$A:$A,A197,Weekly_Line_Capacity!$B:$B,G197)</f>
        <v>0.2192982456140351</v>
      </c>
      <c r="I197" s="27">
        <f>SUMIFS(Weekly_Line_Capacity!$K:$K,Weekly_Line_Capacity!$A:$A,A197,Weekly_Line_Capacity!$B:$B,G197)</f>
        <v>0</v>
      </c>
      <c r="J197" s="13" t="str" cm="1">
        <f t="array" ref="J197">_xlfn.XLOOKUP(1,(Weekly_Line_Capacity!$A$2:$A$157=A197)*(Weekly_Line_Capacity!$B$2:$B$157=G197),Weekly_Line_Capacity!$L$2:$L$157,"")</f>
        <v>WITHIN CAPACITY</v>
      </c>
      <c r="K197" s="13" t="str">
        <f>_xlfn.XLOOKUP(B197,BOM!$A$2:$A$21,BOM!$B$2:$B$21,"")</f>
        <v>M001</v>
      </c>
      <c r="L197" s="27">
        <f>SUMIFS(Weekly_Material_Inventory!$K:$K,Weekly_Material_Inventory!$A:$A,A197,Weekly_Material_Inventory!$B:$B,K197)</f>
        <v>0</v>
      </c>
      <c r="M197">
        <f t="shared" si="9"/>
        <v>0</v>
      </c>
      <c r="N197" t="str">
        <f t="shared" si="10"/>
        <v>OK</v>
      </c>
      <c r="O197" t="str">
        <f t="shared" si="11"/>
        <v>NONE</v>
      </c>
      <c r="P197" t="str" cm="1">
        <f t="array" ref="P197">_xlfn.SWITCH(O197,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97" t="str" cm="1">
        <f t="array" ref="Q197">_xlfn.SWITCH(O197,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97" t="str" cm="1">
        <f t="array" ref="R197">_xlfn.SWITCH(P197,
"Inventory / Service","Operations / Planning",
"Material Supply","Materials / Procurement",
"Capacity","Production / Planning",
"Production Execution","Production",
"Inventory","Operations / Planning",
"Demand Planning","Commercial / Planning",
"None","None",
"Operations")</f>
        <v>None</v>
      </c>
    </row>
    <row r="198" spans="1:18">
      <c r="A198" s="30">
        <f>Weekly_Inventory_Flow!A198</f>
        <v>46300</v>
      </c>
      <c r="B198" s="13" t="str">
        <f>Weekly_Inventory_Flow!B198</f>
        <v>P002</v>
      </c>
      <c r="C198" s="25">
        <f>IF(SUMIFS(Weekly_Product_Demand!$C:$C,Weekly_Product_Demand!$A:$A,A198,Weekly_Product_Demand!$B:$B,B198)=0,0,
(SUMIFS(Weekly_Product_Demand!$D:$D,Weekly_Product_Demand!$A:$A,A198,Weekly_Product_Demand!$B:$B,B198)-
SUMIFS(Weekly_Product_Demand!$C:$C,Weekly_Product_Demand!$A:$A,A198,Weekly_Product_Demand!$B:$B,B198))/
SUMIFS(Weekly_Product_Demand!$C:$C,Weekly_Product_Demand!$A:$A,A198,Weekly_Product_Demand!$B:$B,B198))</f>
        <v>7.9275198187995465E-3</v>
      </c>
      <c r="D198" s="25">
        <f>SUMIFS(Weekly_Inventory_Flow!$Q:$Q,Weekly_Inventory_Flow!$A:$A,A198,Weekly_Inventory_Flow!$B:$B,B198)</f>
        <v>1.02</v>
      </c>
      <c r="E198" s="26">
        <f>SUMIFS(Weekly_Inventory_Flow!$S:$S,Weekly_Inventory_Flow!$A:$A,A198,Weekly_Inventory_Flow!$B:$B,B198)</f>
        <v>2.1662921348314605</v>
      </c>
      <c r="F198" s="27">
        <f>SUMIFS(Weekly_Inventory_Flow!$N:$N,Weekly_Inventory_Flow!$A:$A,A198,Weekly_Inventory_Flow!$B:$B,B198)</f>
        <v>0</v>
      </c>
      <c r="G198" s="13" t="str">
        <f>_xlfn.XLOOKUP(B198,Product_Line_Map!$A$2:$A$6,Product_Line_Map!$B$2:$B$6,"")</f>
        <v>L02</v>
      </c>
      <c r="H198" s="25">
        <f>SUMIFS(Weekly_Line_Capacity!$J:$J,Weekly_Line_Capacity!$A:$A,A198,Weekly_Line_Capacity!$B:$B,G198)</f>
        <v>0.46476190476190471</v>
      </c>
      <c r="I198" s="27">
        <f>SUMIFS(Weekly_Line_Capacity!$K:$K,Weekly_Line_Capacity!$A:$A,A198,Weekly_Line_Capacity!$B:$B,G198)</f>
        <v>0</v>
      </c>
      <c r="J198" s="13" t="str" cm="1">
        <f t="array" ref="J198">_xlfn.XLOOKUP(1,(Weekly_Line_Capacity!$A$2:$A$157=A198)*(Weekly_Line_Capacity!$B$2:$B$157=G198),Weekly_Line_Capacity!$L$2:$L$157,"")</f>
        <v>WITHIN CAPACITY</v>
      </c>
      <c r="K198" s="13" t="str">
        <f>_xlfn.XLOOKUP(B198,BOM!$A$2:$A$21,BOM!$B$2:$B$21,"")</f>
        <v>M002</v>
      </c>
      <c r="L198" s="27">
        <f>SUMIFS(Weekly_Material_Inventory!$K:$K,Weekly_Material_Inventory!$A:$A,A198,Weekly_Material_Inventory!$B:$B,K198)</f>
        <v>0</v>
      </c>
      <c r="M198">
        <f t="shared" si="9"/>
        <v>0</v>
      </c>
      <c r="N198" t="str">
        <f t="shared" si="10"/>
        <v>OK</v>
      </c>
      <c r="O198" t="str">
        <f t="shared" si="11"/>
        <v>NONE</v>
      </c>
      <c r="P198" t="str" cm="1">
        <f t="array" ref="P198">_xlfn.SWITCH(O198,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98" t="str" cm="1">
        <f t="array" ref="Q198">_xlfn.SWITCH(O198,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98" t="str" cm="1">
        <f t="array" ref="R198">_xlfn.SWITCH(P198,
"Inventory / Service","Operations / Planning",
"Material Supply","Materials / Procurement",
"Capacity","Production / Planning",
"Production Execution","Production",
"Inventory","Operations / Planning",
"Demand Planning","Commercial / Planning",
"None","None",
"Operations")</f>
        <v>None</v>
      </c>
    </row>
    <row r="199" spans="1:18">
      <c r="A199" s="30">
        <f>Weekly_Inventory_Flow!A199</f>
        <v>46300</v>
      </c>
      <c r="B199" s="13" t="str">
        <f>Weekly_Inventory_Flow!B199</f>
        <v>P003</v>
      </c>
      <c r="C199" s="25">
        <f>IF(SUMIFS(Weekly_Product_Demand!$C:$C,Weekly_Product_Demand!$A:$A,A199,Weekly_Product_Demand!$B:$B,B199)=0,0,
(SUMIFS(Weekly_Product_Demand!$D:$D,Weekly_Product_Demand!$A:$A,A199,Weekly_Product_Demand!$B:$B,B199)-
SUMIFS(Weekly_Product_Demand!$C:$C,Weekly_Product_Demand!$A:$A,A199,Weekly_Product_Demand!$B:$B,B199))/
SUMIFS(Weekly_Product_Demand!$C:$C,Weekly_Product_Demand!$A:$A,A199,Weekly_Product_Demand!$B:$B,B199))</f>
        <v>-8.1202165391077094E-3</v>
      </c>
      <c r="D199" s="25">
        <f>SUMIFS(Weekly_Inventory_Flow!$Q:$Q,Weekly_Inventory_Flow!$A:$A,A199,Weekly_Inventory_Flow!$B:$B,B199)</f>
        <v>1.02</v>
      </c>
      <c r="E199" s="26">
        <f>SUMIFS(Weekly_Inventory_Flow!$S:$S,Weekly_Inventory_Flow!$A:$A,A199,Weekly_Inventory_Flow!$B:$B,B199)</f>
        <v>2.1605344876258585</v>
      </c>
      <c r="F199" s="27">
        <f>SUMIFS(Weekly_Inventory_Flow!$N:$N,Weekly_Inventory_Flow!$A:$A,A199,Weekly_Inventory_Flow!$B:$B,B199)</f>
        <v>0</v>
      </c>
      <c r="G199" s="13" t="str">
        <f>_xlfn.XLOOKUP(B199,Product_Line_Map!$A$2:$A$6,Product_Line_Map!$B$2:$B$6,"")</f>
        <v>L03</v>
      </c>
      <c r="H199" s="25">
        <f>SUMIFS(Weekly_Line_Capacity!$J:$J,Weekly_Line_Capacity!$A:$A,A199,Weekly_Line_Capacity!$B:$B,G199)</f>
        <v>0.4690476190476191</v>
      </c>
      <c r="I199" s="27">
        <f>SUMIFS(Weekly_Line_Capacity!$K:$K,Weekly_Line_Capacity!$A:$A,A199,Weekly_Line_Capacity!$B:$B,G199)</f>
        <v>0</v>
      </c>
      <c r="J199" s="13" t="str" cm="1">
        <f t="array" ref="J199">_xlfn.XLOOKUP(1,(Weekly_Line_Capacity!$A$2:$A$157=A199)*(Weekly_Line_Capacity!$B$2:$B$157=G199),Weekly_Line_Capacity!$L$2:$L$157,"")</f>
        <v>WITHIN CAPACITY</v>
      </c>
      <c r="K199" s="13" t="str">
        <f>_xlfn.XLOOKUP(B199,BOM!$A$2:$A$21,BOM!$B$2:$B$21,"")</f>
        <v>M003</v>
      </c>
      <c r="L199" s="27">
        <f>SUMIFS(Weekly_Material_Inventory!$K:$K,Weekly_Material_Inventory!$A:$A,A199,Weekly_Material_Inventory!$B:$B,K199)</f>
        <v>0</v>
      </c>
      <c r="M199">
        <f t="shared" si="9"/>
        <v>0</v>
      </c>
      <c r="N199" t="str">
        <f t="shared" si="10"/>
        <v>OK</v>
      </c>
      <c r="O199" t="str">
        <f t="shared" si="11"/>
        <v>NONE</v>
      </c>
      <c r="P199" t="str" cm="1">
        <f t="array" ref="P199">_xlfn.SWITCH(O199,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199" t="str" cm="1">
        <f t="array" ref="Q199">_xlfn.SWITCH(O199,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199" t="str" cm="1">
        <f t="array" ref="R199">_xlfn.SWITCH(P199,
"Inventory / Service","Operations / Planning",
"Material Supply","Materials / Procurement",
"Capacity","Production / Planning",
"Production Execution","Production",
"Inventory","Operations / Planning",
"Demand Planning","Commercial / Planning",
"None","None",
"Operations")</f>
        <v>None</v>
      </c>
    </row>
    <row r="200" spans="1:18">
      <c r="A200" s="30">
        <f>Weekly_Inventory_Flow!A200</f>
        <v>46300</v>
      </c>
      <c r="B200" s="13" t="str">
        <f>Weekly_Inventory_Flow!B200</f>
        <v>P004</v>
      </c>
      <c r="C200" s="25">
        <f>IF(SUMIFS(Weekly_Product_Demand!$C:$C,Weekly_Product_Demand!$A:$A,A200,Weekly_Product_Demand!$B:$B,B200)=0,0,
(SUMIFS(Weekly_Product_Demand!$D:$D,Weekly_Product_Demand!$A:$A,A200,Weekly_Product_Demand!$B:$B,B200)-
SUMIFS(Weekly_Product_Demand!$C:$C,Weekly_Product_Demand!$A:$A,A200,Weekly_Product_Demand!$B:$B,B200))/
SUMIFS(Weekly_Product_Demand!$C:$C,Weekly_Product_Demand!$A:$A,A200,Weekly_Product_Demand!$B:$B,B200))</f>
        <v>5.000881989768919E-2</v>
      </c>
      <c r="D200" s="25">
        <f>SUMIFS(Weekly_Inventory_Flow!$Q:$Q,Weekly_Inventory_Flow!$A:$A,A200,Weekly_Inventory_Flow!$B:$B,B200)</f>
        <v>0.98</v>
      </c>
      <c r="E200" s="26">
        <f>SUMIFS(Weekly_Inventory_Flow!$S:$S,Weekly_Inventory_Flow!$A:$A,A200,Weekly_Inventory_Flow!$B:$B,B200)</f>
        <v>1.9115497690046199</v>
      </c>
      <c r="F200" s="27">
        <f>SUMIFS(Weekly_Inventory_Flow!$N:$N,Weekly_Inventory_Flow!$A:$A,A200,Weekly_Inventory_Flow!$B:$B,B200)</f>
        <v>0</v>
      </c>
      <c r="G200" s="13" t="str">
        <f>_xlfn.XLOOKUP(B200,Product_Line_Map!$A$2:$A$6,Product_Line_Map!$B$2:$B$6,"")</f>
        <v>L02</v>
      </c>
      <c r="H200" s="25">
        <f>SUMIFS(Weekly_Line_Capacity!$J:$J,Weekly_Line_Capacity!$A:$A,A200,Weekly_Line_Capacity!$B:$B,G200)</f>
        <v>0.46476190476190471</v>
      </c>
      <c r="I200" s="27">
        <f>SUMIFS(Weekly_Line_Capacity!$K:$K,Weekly_Line_Capacity!$A:$A,A200,Weekly_Line_Capacity!$B:$B,G200)</f>
        <v>0</v>
      </c>
      <c r="J200" s="13" t="str" cm="1">
        <f t="array" ref="J200">_xlfn.XLOOKUP(1,(Weekly_Line_Capacity!$A$2:$A$157=A200)*(Weekly_Line_Capacity!$B$2:$B$157=G200),Weekly_Line_Capacity!$L$2:$L$157,"")</f>
        <v>WITHIN CAPACITY</v>
      </c>
      <c r="K200" s="13" t="str">
        <f>_xlfn.XLOOKUP(B200,BOM!$A$2:$A$21,BOM!$B$2:$B$21,"")</f>
        <v>M004</v>
      </c>
      <c r="L200" s="27">
        <f>SUMIFS(Weekly_Material_Inventory!$K:$K,Weekly_Material_Inventory!$A:$A,A200,Weekly_Material_Inventory!$B:$B,K200)</f>
        <v>0</v>
      </c>
      <c r="M200">
        <f t="shared" si="9"/>
        <v>2</v>
      </c>
      <c r="N200" t="str">
        <f t="shared" si="10"/>
        <v>WARNING</v>
      </c>
      <c r="O200" t="str">
        <f t="shared" si="11"/>
        <v>LOW STOCK COVER</v>
      </c>
      <c r="P200" t="str" cm="1">
        <f t="array" ref="P200">_xlfn.SWITCH(O200,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0" t="str" cm="1">
        <f t="array" ref="Q200">_xlfn.SWITCH(O200,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0" t="str" cm="1">
        <f t="array" ref="R200">_xlfn.SWITCH(P200,
"Inventory / Service","Operations / Planning",
"Material Supply","Materials / Procurement",
"Capacity","Production / Planning",
"Production Execution","Production",
"Inventory","Operations / Planning",
"Demand Planning","Commercial / Planning",
"None","None",
"Operations")</f>
        <v>Operations / Planning</v>
      </c>
    </row>
    <row r="201" spans="1:18">
      <c r="A201" s="30">
        <f>Weekly_Inventory_Flow!A201</f>
        <v>46300</v>
      </c>
      <c r="B201" s="13" t="str">
        <f>Weekly_Inventory_Flow!B201</f>
        <v>P005</v>
      </c>
      <c r="C201" s="25">
        <f>IF(SUMIFS(Weekly_Product_Demand!$C:$C,Weekly_Product_Demand!$A:$A,A201,Weekly_Product_Demand!$B:$B,B201)=0,0,
(SUMIFS(Weekly_Product_Demand!$D:$D,Weekly_Product_Demand!$A:$A,A201,Weekly_Product_Demand!$B:$B,B201)-
SUMIFS(Weekly_Product_Demand!$C:$C,Weekly_Product_Demand!$A:$A,A201,Weekly_Product_Demand!$B:$B,B201))/
SUMIFS(Weekly_Product_Demand!$C:$C,Weekly_Product_Demand!$A:$A,A201,Weekly_Product_Demand!$B:$B,B201))</f>
        <v>-2.6372627031942708E-2</v>
      </c>
      <c r="D201" s="25">
        <f>SUMIFS(Weekly_Inventory_Flow!$Q:$Q,Weekly_Inventory_Flow!$A:$A,A201,Weekly_Inventory_Flow!$B:$B,B201)</f>
        <v>0.98</v>
      </c>
      <c r="E201" s="26">
        <f>SUMIFS(Weekly_Inventory_Flow!$S:$S,Weekly_Inventory_Flow!$A:$A,A201,Weekly_Inventory_Flow!$B:$B,B201)</f>
        <v>1.9345008756567423</v>
      </c>
      <c r="F201" s="27">
        <f>SUMIFS(Weekly_Inventory_Flow!$N:$N,Weekly_Inventory_Flow!$A:$A,A201,Weekly_Inventory_Flow!$B:$B,B201)</f>
        <v>0</v>
      </c>
      <c r="G201" s="13" t="str">
        <f>_xlfn.XLOOKUP(B201,Product_Line_Map!$A$2:$A$6,Product_Line_Map!$B$2:$B$6,"")</f>
        <v>L03</v>
      </c>
      <c r="H201" s="25">
        <f>SUMIFS(Weekly_Line_Capacity!$J:$J,Weekly_Line_Capacity!$A:$A,A201,Weekly_Line_Capacity!$B:$B,G201)</f>
        <v>0.4690476190476191</v>
      </c>
      <c r="I201" s="27">
        <f>SUMIFS(Weekly_Line_Capacity!$K:$K,Weekly_Line_Capacity!$A:$A,A201,Weekly_Line_Capacity!$B:$B,G201)</f>
        <v>0</v>
      </c>
      <c r="J201" s="13" t="str" cm="1">
        <f t="array" ref="J201">_xlfn.XLOOKUP(1,(Weekly_Line_Capacity!$A$2:$A$157=A201)*(Weekly_Line_Capacity!$B$2:$B$157=G201),Weekly_Line_Capacity!$L$2:$L$157,"")</f>
        <v>WITHIN CAPACITY</v>
      </c>
      <c r="K201" s="13" t="str">
        <f>_xlfn.XLOOKUP(B201,BOM!$A$2:$A$21,BOM!$B$2:$B$21,"")</f>
        <v>M005</v>
      </c>
      <c r="L201" s="27">
        <f>SUMIFS(Weekly_Material_Inventory!$K:$K,Weekly_Material_Inventory!$A:$A,A201,Weekly_Material_Inventory!$B:$B,K201)</f>
        <v>0</v>
      </c>
      <c r="M201">
        <f t="shared" si="9"/>
        <v>1</v>
      </c>
      <c r="N201" t="str">
        <f t="shared" si="10"/>
        <v>WARNING</v>
      </c>
      <c r="O201" t="str">
        <f t="shared" si="11"/>
        <v>LOW STOCK COVER</v>
      </c>
      <c r="P201" t="str" cm="1">
        <f t="array" ref="P201">_xlfn.SWITCH(O201,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1" t="str" cm="1">
        <f t="array" ref="Q201">_xlfn.SWITCH(O201,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1" t="str" cm="1">
        <f t="array" ref="R201">_xlfn.SWITCH(P201,
"Inventory / Service","Operations / Planning",
"Material Supply","Materials / Procurement",
"Capacity","Production / Planning",
"Production Execution","Production",
"Inventory","Operations / Planning",
"Demand Planning","Commercial / Planning",
"None","None",
"Operations")</f>
        <v>Operations / Planning</v>
      </c>
    </row>
    <row r="202" spans="1:18">
      <c r="A202" s="30">
        <f>Weekly_Inventory_Flow!A202</f>
        <v>46307</v>
      </c>
      <c r="B202" s="13" t="str">
        <f>Weekly_Inventory_Flow!B202</f>
        <v>P001</v>
      </c>
      <c r="C202" s="25">
        <f>IF(SUMIFS(Weekly_Product_Demand!$C:$C,Weekly_Product_Demand!$A:$A,A202,Weekly_Product_Demand!$B:$B,B202)=0,0,
(SUMIFS(Weekly_Product_Demand!$D:$D,Weekly_Product_Demand!$A:$A,A202,Weekly_Product_Demand!$B:$B,B202)-
SUMIFS(Weekly_Product_Demand!$C:$C,Weekly_Product_Demand!$A:$A,A202,Weekly_Product_Demand!$B:$B,B202))/
SUMIFS(Weekly_Product_Demand!$C:$C,Weekly_Product_Demand!$A:$A,A202,Weekly_Product_Demand!$B:$B,B202))</f>
        <v>-6.7137320044296789E-3</v>
      </c>
      <c r="D202" s="25">
        <f>SUMIFS(Weekly_Inventory_Flow!$Q:$Q,Weekly_Inventory_Flow!$A:$A,A202,Weekly_Inventory_Flow!$B:$B,B202)</f>
        <v>0.98</v>
      </c>
      <c r="E202" s="26">
        <f>SUMIFS(Weekly_Inventory_Flow!$S:$S,Weekly_Inventory_Flow!$A:$A,A202,Weekly_Inventory_Flow!$B:$B,B202)</f>
        <v>1.8754790606926346</v>
      </c>
      <c r="F202" s="27">
        <f>SUMIFS(Weekly_Inventory_Flow!$N:$N,Weekly_Inventory_Flow!$A:$A,A202,Weekly_Inventory_Flow!$B:$B,B202)</f>
        <v>0</v>
      </c>
      <c r="G202" s="13" t="str">
        <f>_xlfn.XLOOKUP(B202,Product_Line_Map!$A$2:$A$6,Product_Line_Map!$B$2:$B$6,"")</f>
        <v>L01</v>
      </c>
      <c r="H202" s="25">
        <f>SUMIFS(Weekly_Line_Capacity!$J:$J,Weekly_Line_Capacity!$A:$A,A202,Weekly_Line_Capacity!$B:$B,G202)</f>
        <v>0.20614035087719298</v>
      </c>
      <c r="I202" s="27">
        <f>SUMIFS(Weekly_Line_Capacity!$K:$K,Weekly_Line_Capacity!$A:$A,A202,Weekly_Line_Capacity!$B:$B,G202)</f>
        <v>0</v>
      </c>
      <c r="J202" s="13" t="str" cm="1">
        <f t="array" ref="J202">_xlfn.XLOOKUP(1,(Weekly_Line_Capacity!$A$2:$A$157=A202)*(Weekly_Line_Capacity!$B$2:$B$157=G202),Weekly_Line_Capacity!$L$2:$L$157,"")</f>
        <v>WITHIN CAPACITY</v>
      </c>
      <c r="K202" s="13" t="str">
        <f>_xlfn.XLOOKUP(B202,BOM!$A$2:$A$21,BOM!$B$2:$B$21,"")</f>
        <v>M001</v>
      </c>
      <c r="L202" s="27">
        <f>SUMIFS(Weekly_Material_Inventory!$K:$K,Weekly_Material_Inventory!$A:$A,A202,Weekly_Material_Inventory!$B:$B,K202)</f>
        <v>0</v>
      </c>
      <c r="M202">
        <f t="shared" si="9"/>
        <v>1</v>
      </c>
      <c r="N202" t="str">
        <f t="shared" si="10"/>
        <v>WARNING</v>
      </c>
      <c r="O202" t="str">
        <f t="shared" si="11"/>
        <v>LOW STOCK COVER</v>
      </c>
      <c r="P202" t="str" cm="1">
        <f t="array" ref="P202">_xlfn.SWITCH(O202,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2" t="str" cm="1">
        <f t="array" ref="Q202">_xlfn.SWITCH(O202,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2" t="str" cm="1">
        <f t="array" ref="R202">_xlfn.SWITCH(P202,
"Inventory / Service","Operations / Planning",
"Material Supply","Materials / Procurement",
"Capacity","Production / Planning",
"Production Execution","Production",
"Inventory","Operations / Planning",
"Demand Planning","Commercial / Planning",
"None","None",
"Operations")</f>
        <v>Operations / Planning</v>
      </c>
    </row>
    <row r="203" spans="1:18">
      <c r="A203" s="30">
        <f>Weekly_Inventory_Flow!A203</f>
        <v>46307</v>
      </c>
      <c r="B203" s="13" t="str">
        <f>Weekly_Inventory_Flow!B203</f>
        <v>P002</v>
      </c>
      <c r="C203" s="25">
        <f>IF(SUMIFS(Weekly_Product_Demand!$C:$C,Weekly_Product_Demand!$A:$A,A203,Weekly_Product_Demand!$B:$B,B203)=0,0,
(SUMIFS(Weekly_Product_Demand!$D:$D,Weekly_Product_Demand!$A:$A,A203,Weekly_Product_Demand!$B:$B,B203)-
SUMIFS(Weekly_Product_Demand!$C:$C,Weekly_Product_Demand!$A:$A,A203,Weekly_Product_Demand!$B:$B,B203))/
SUMIFS(Weekly_Product_Demand!$C:$C,Weekly_Product_Demand!$A:$A,A203,Weekly_Product_Demand!$B:$B,B203))</f>
        <v>-2.6390420671183235E-2</v>
      </c>
      <c r="D203" s="25">
        <f>SUMIFS(Weekly_Inventory_Flow!$Q:$Q,Weekly_Inventory_Flow!$A:$A,A203,Weekly_Inventory_Flow!$B:$B,B203)</f>
        <v>1.02</v>
      </c>
      <c r="E203" s="26">
        <f>SUMIFS(Weekly_Inventory_Flow!$S:$S,Weekly_Inventory_Flow!$A:$A,A203,Weekly_Inventory_Flow!$B:$B,B203)</f>
        <v>2.1743668581600453</v>
      </c>
      <c r="F203" s="27">
        <f>SUMIFS(Weekly_Inventory_Flow!$N:$N,Weekly_Inventory_Flow!$A:$A,A203,Weekly_Inventory_Flow!$B:$B,B203)</f>
        <v>0</v>
      </c>
      <c r="G203" s="13" t="str">
        <f>_xlfn.XLOOKUP(B203,Product_Line_Map!$A$2:$A$6,Product_Line_Map!$B$2:$B$6,"")</f>
        <v>L02</v>
      </c>
      <c r="H203" s="25">
        <f>SUMIFS(Weekly_Line_Capacity!$J:$J,Weekly_Line_Capacity!$A:$A,A203,Weekly_Line_Capacity!$B:$B,G203)</f>
        <v>0.44380952380952382</v>
      </c>
      <c r="I203" s="27">
        <f>SUMIFS(Weekly_Line_Capacity!$K:$K,Weekly_Line_Capacity!$A:$A,A203,Weekly_Line_Capacity!$B:$B,G203)</f>
        <v>0</v>
      </c>
      <c r="J203" s="13" t="str" cm="1">
        <f t="array" ref="J203">_xlfn.XLOOKUP(1,(Weekly_Line_Capacity!$A$2:$A$157=A203)*(Weekly_Line_Capacity!$B$2:$B$157=G203),Weekly_Line_Capacity!$L$2:$L$157,"")</f>
        <v>WITHIN CAPACITY</v>
      </c>
      <c r="K203" s="13" t="str">
        <f>_xlfn.XLOOKUP(B203,BOM!$A$2:$A$21,BOM!$B$2:$B$21,"")</f>
        <v>M002</v>
      </c>
      <c r="L203" s="27">
        <f>SUMIFS(Weekly_Material_Inventory!$K:$K,Weekly_Material_Inventory!$A:$A,A203,Weekly_Material_Inventory!$B:$B,K203)</f>
        <v>0</v>
      </c>
      <c r="M203">
        <f t="shared" si="9"/>
        <v>0</v>
      </c>
      <c r="N203" t="str">
        <f t="shared" si="10"/>
        <v>OK</v>
      </c>
      <c r="O203" t="str">
        <f t="shared" si="11"/>
        <v>NONE</v>
      </c>
      <c r="P203" t="str" cm="1">
        <f t="array" ref="P203">_xlfn.SWITCH(O203,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03" t="str" cm="1">
        <f t="array" ref="Q203">_xlfn.SWITCH(O203,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03" t="str" cm="1">
        <f t="array" ref="R203">_xlfn.SWITCH(P203,
"Inventory / Service","Operations / Planning",
"Material Supply","Materials / Procurement",
"Capacity","Production / Planning",
"Production Execution","Production",
"Inventory","Operations / Planning",
"Demand Planning","Commercial / Planning",
"None","None",
"Operations")</f>
        <v>None</v>
      </c>
    </row>
    <row r="204" spans="1:18">
      <c r="A204" s="30">
        <f>Weekly_Inventory_Flow!A204</f>
        <v>46307</v>
      </c>
      <c r="B204" s="13" t="str">
        <f>Weekly_Inventory_Flow!B204</f>
        <v>P003</v>
      </c>
      <c r="C204" s="25">
        <f>IF(SUMIFS(Weekly_Product_Demand!$C:$C,Weekly_Product_Demand!$A:$A,A204,Weekly_Product_Demand!$B:$B,B204)=0,0,
(SUMIFS(Weekly_Product_Demand!$D:$D,Weekly_Product_Demand!$A:$A,A204,Weekly_Product_Demand!$B:$B,B204)-
SUMIFS(Weekly_Product_Demand!$C:$C,Weekly_Product_Demand!$A:$A,A204,Weekly_Product_Demand!$B:$B,B204))/
SUMIFS(Weekly_Product_Demand!$C:$C,Weekly_Product_Demand!$A:$A,A204,Weekly_Product_Demand!$B:$B,B204))</f>
        <v>-1.7693376563223714E-2</v>
      </c>
      <c r="D204" s="25">
        <f>SUMIFS(Weekly_Inventory_Flow!$Q:$Q,Weekly_Inventory_Flow!$A:$A,A204,Weekly_Inventory_Flow!$B:$B,B204)</f>
        <v>1</v>
      </c>
      <c r="E204" s="26">
        <f>SUMIFS(Weekly_Inventory_Flow!$S:$S,Weekly_Inventory_Flow!$A:$A,A204,Weekly_Inventory_Flow!$B:$B,B204)</f>
        <v>2.0305545077329308</v>
      </c>
      <c r="F204" s="27">
        <f>SUMIFS(Weekly_Inventory_Flow!$N:$N,Weekly_Inventory_Flow!$A:$A,A204,Weekly_Inventory_Flow!$B:$B,B204)</f>
        <v>0</v>
      </c>
      <c r="G204" s="13" t="str">
        <f>_xlfn.XLOOKUP(B204,Product_Line_Map!$A$2:$A$6,Product_Line_Map!$B$2:$B$6,"")</f>
        <v>L03</v>
      </c>
      <c r="H204" s="25">
        <f>SUMIFS(Weekly_Line_Capacity!$J:$J,Weekly_Line_Capacity!$A:$A,A204,Weekly_Line_Capacity!$B:$B,G204)</f>
        <v>0.45238095238095238</v>
      </c>
      <c r="I204" s="27">
        <f>SUMIFS(Weekly_Line_Capacity!$K:$K,Weekly_Line_Capacity!$A:$A,A204,Weekly_Line_Capacity!$B:$B,G204)</f>
        <v>0</v>
      </c>
      <c r="J204" s="13" t="str" cm="1">
        <f t="array" ref="J204">_xlfn.XLOOKUP(1,(Weekly_Line_Capacity!$A$2:$A$157=A204)*(Weekly_Line_Capacity!$B$2:$B$157=G204),Weekly_Line_Capacity!$L$2:$L$157,"")</f>
        <v>WITHIN CAPACITY</v>
      </c>
      <c r="K204" s="13" t="str">
        <f>_xlfn.XLOOKUP(B204,BOM!$A$2:$A$21,BOM!$B$2:$B$21,"")</f>
        <v>M003</v>
      </c>
      <c r="L204" s="27">
        <f>SUMIFS(Weekly_Material_Inventory!$K:$K,Weekly_Material_Inventory!$A:$A,A204,Weekly_Material_Inventory!$B:$B,K204)</f>
        <v>0</v>
      </c>
      <c r="M204">
        <f t="shared" si="9"/>
        <v>0</v>
      </c>
      <c r="N204" t="str">
        <f t="shared" si="10"/>
        <v>OK</v>
      </c>
      <c r="O204" t="str">
        <f t="shared" si="11"/>
        <v>NONE</v>
      </c>
      <c r="P204" t="str" cm="1">
        <f t="array" ref="P204">_xlfn.SWITCH(O204,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04" t="str" cm="1">
        <f t="array" ref="Q204">_xlfn.SWITCH(O204,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04" t="str" cm="1">
        <f t="array" ref="R204">_xlfn.SWITCH(P204,
"Inventory / Service","Operations / Planning",
"Material Supply","Materials / Procurement",
"Capacity","Production / Planning",
"Production Execution","Production",
"Inventory","Operations / Planning",
"Demand Planning","Commercial / Planning",
"None","None",
"Operations")</f>
        <v>None</v>
      </c>
    </row>
    <row r="205" spans="1:18">
      <c r="A205" s="30">
        <f>Weekly_Inventory_Flow!A205</f>
        <v>46307</v>
      </c>
      <c r="B205" s="13" t="str">
        <f>Weekly_Inventory_Flow!B205</f>
        <v>P004</v>
      </c>
      <c r="C205" s="25">
        <f>IF(SUMIFS(Weekly_Product_Demand!$C:$C,Weekly_Product_Demand!$A:$A,A205,Weekly_Product_Demand!$B:$B,B205)=0,0,
(SUMIFS(Weekly_Product_Demand!$D:$D,Weekly_Product_Demand!$A:$A,A205,Weekly_Product_Demand!$B:$B,B205)-
SUMIFS(Weekly_Product_Demand!$C:$C,Weekly_Product_Demand!$A:$A,A205,Weekly_Product_Demand!$B:$B,B205))/
SUMIFS(Weekly_Product_Demand!$C:$C,Weekly_Product_Demand!$A:$A,A205,Weekly_Product_Demand!$B:$B,B205))</f>
        <v>-1.8364669873196328E-2</v>
      </c>
      <c r="D205" s="25">
        <f>SUMIFS(Weekly_Inventory_Flow!$Q:$Q,Weekly_Inventory_Flow!$A:$A,A205,Weekly_Inventory_Flow!$B:$B,B205)</f>
        <v>0.99</v>
      </c>
      <c r="E205" s="26">
        <f>SUMIFS(Weekly_Inventory_Flow!$S:$S,Weekly_Inventory_Flow!$A:$A,A205,Weekly_Inventory_Flow!$B:$B,B205)</f>
        <v>1.9419153674832961</v>
      </c>
      <c r="F205" s="27">
        <f>SUMIFS(Weekly_Inventory_Flow!$N:$N,Weekly_Inventory_Flow!$A:$A,A205,Weekly_Inventory_Flow!$B:$B,B205)</f>
        <v>0</v>
      </c>
      <c r="G205" s="13" t="str">
        <f>_xlfn.XLOOKUP(B205,Product_Line_Map!$A$2:$A$6,Product_Line_Map!$B$2:$B$6,"")</f>
        <v>L02</v>
      </c>
      <c r="H205" s="25">
        <f>SUMIFS(Weekly_Line_Capacity!$J:$J,Weekly_Line_Capacity!$A:$A,A205,Weekly_Line_Capacity!$B:$B,G205)</f>
        <v>0.44380952380952382</v>
      </c>
      <c r="I205" s="27">
        <f>SUMIFS(Weekly_Line_Capacity!$K:$K,Weekly_Line_Capacity!$A:$A,A205,Weekly_Line_Capacity!$B:$B,G205)</f>
        <v>0</v>
      </c>
      <c r="J205" s="13" t="str" cm="1">
        <f t="array" ref="J205">_xlfn.XLOOKUP(1,(Weekly_Line_Capacity!$A$2:$A$157=A205)*(Weekly_Line_Capacity!$B$2:$B$157=G205),Weekly_Line_Capacity!$L$2:$L$157,"")</f>
        <v>WITHIN CAPACITY</v>
      </c>
      <c r="K205" s="13" t="str">
        <f>_xlfn.XLOOKUP(B205,BOM!$A$2:$A$21,BOM!$B$2:$B$21,"")</f>
        <v>M004</v>
      </c>
      <c r="L205" s="27">
        <f>SUMIFS(Weekly_Material_Inventory!$K:$K,Weekly_Material_Inventory!$A:$A,A205,Weekly_Material_Inventory!$B:$B,K205)</f>
        <v>0</v>
      </c>
      <c r="M205">
        <f t="shared" si="9"/>
        <v>1</v>
      </c>
      <c r="N205" t="str">
        <f t="shared" si="10"/>
        <v>WARNING</v>
      </c>
      <c r="O205" t="str">
        <f t="shared" si="11"/>
        <v>LOW STOCK COVER</v>
      </c>
      <c r="P205" t="str" cm="1">
        <f t="array" ref="P205">_xlfn.SWITCH(O205,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5" t="str" cm="1">
        <f t="array" ref="Q205">_xlfn.SWITCH(O205,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5" t="str" cm="1">
        <f t="array" ref="R205">_xlfn.SWITCH(P205,
"Inventory / Service","Operations / Planning",
"Material Supply","Materials / Procurement",
"Capacity","Production / Planning",
"Production Execution","Production",
"Inventory","Operations / Planning",
"Demand Planning","Commercial / Planning",
"None","None",
"Operations")</f>
        <v>Operations / Planning</v>
      </c>
    </row>
    <row r="206" spans="1:18">
      <c r="A206" s="30">
        <f>Weekly_Inventory_Flow!A206</f>
        <v>46307</v>
      </c>
      <c r="B206" s="13" t="str">
        <f>Weekly_Inventory_Flow!B206</f>
        <v>P005</v>
      </c>
      <c r="C206" s="25">
        <f>IF(SUMIFS(Weekly_Product_Demand!$C:$C,Weekly_Product_Demand!$A:$A,A206,Weekly_Product_Demand!$B:$B,B206)=0,0,
(SUMIFS(Weekly_Product_Demand!$D:$D,Weekly_Product_Demand!$A:$A,A206,Weekly_Product_Demand!$B:$B,B206)-
SUMIFS(Weekly_Product_Demand!$C:$C,Weekly_Product_Demand!$A:$A,A206,Weekly_Product_Demand!$B:$B,B206))/
SUMIFS(Weekly_Product_Demand!$C:$C,Weekly_Product_Demand!$A:$A,A206,Weekly_Product_Demand!$B:$B,B206))</f>
        <v>-1.7004048582995951E-2</v>
      </c>
      <c r="D206" s="25">
        <f>SUMIFS(Weekly_Inventory_Flow!$Q:$Q,Weekly_Inventory_Flow!$A:$A,A206,Weekly_Inventory_Flow!$B:$B,B206)</f>
        <v>0.99</v>
      </c>
      <c r="E206" s="26">
        <f>SUMIFS(Weekly_Inventory_Flow!$S:$S,Weekly_Inventory_Flow!$A:$A,A206,Weekly_Inventory_Flow!$B:$B,B206)</f>
        <v>1.9629324546952225</v>
      </c>
      <c r="F206" s="27">
        <f>SUMIFS(Weekly_Inventory_Flow!$N:$N,Weekly_Inventory_Flow!$A:$A,A206,Weekly_Inventory_Flow!$B:$B,B206)</f>
        <v>0</v>
      </c>
      <c r="G206" s="13" t="str">
        <f>_xlfn.XLOOKUP(B206,Product_Line_Map!$A$2:$A$6,Product_Line_Map!$B$2:$B$6,"")</f>
        <v>L03</v>
      </c>
      <c r="H206" s="25">
        <f>SUMIFS(Weekly_Line_Capacity!$J:$J,Weekly_Line_Capacity!$A:$A,A206,Weekly_Line_Capacity!$B:$B,G206)</f>
        <v>0.45238095238095238</v>
      </c>
      <c r="I206" s="27">
        <f>SUMIFS(Weekly_Line_Capacity!$K:$K,Weekly_Line_Capacity!$A:$A,A206,Weekly_Line_Capacity!$B:$B,G206)</f>
        <v>0</v>
      </c>
      <c r="J206" s="13" t="str" cm="1">
        <f t="array" ref="J206">_xlfn.XLOOKUP(1,(Weekly_Line_Capacity!$A$2:$A$157=A206)*(Weekly_Line_Capacity!$B$2:$B$157=G206),Weekly_Line_Capacity!$L$2:$L$157,"")</f>
        <v>WITHIN CAPACITY</v>
      </c>
      <c r="K206" s="13" t="str">
        <f>_xlfn.XLOOKUP(B206,BOM!$A$2:$A$21,BOM!$B$2:$B$21,"")</f>
        <v>M005</v>
      </c>
      <c r="L206" s="27">
        <f>SUMIFS(Weekly_Material_Inventory!$K:$K,Weekly_Material_Inventory!$A:$A,A206,Weekly_Material_Inventory!$B:$B,K206)</f>
        <v>0</v>
      </c>
      <c r="M206">
        <f t="shared" si="9"/>
        <v>1</v>
      </c>
      <c r="N206" t="str">
        <f t="shared" si="10"/>
        <v>WARNING</v>
      </c>
      <c r="O206" t="str">
        <f t="shared" si="11"/>
        <v>LOW STOCK COVER</v>
      </c>
      <c r="P206" t="str" cm="1">
        <f t="array" ref="P206">_xlfn.SWITCH(O206,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6" t="str" cm="1">
        <f t="array" ref="Q206">_xlfn.SWITCH(O206,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6" t="str" cm="1">
        <f t="array" ref="R206">_xlfn.SWITCH(P206,
"Inventory / Service","Operations / Planning",
"Material Supply","Materials / Procurement",
"Capacity","Production / Planning",
"Production Execution","Production",
"Inventory","Operations / Planning",
"Demand Planning","Commercial / Planning",
"None","None",
"Operations")</f>
        <v>Operations / Planning</v>
      </c>
    </row>
    <row r="207" spans="1:18">
      <c r="A207" s="30">
        <f>Weekly_Inventory_Flow!A207</f>
        <v>46314</v>
      </c>
      <c r="B207" s="13" t="str">
        <f>Weekly_Inventory_Flow!B207</f>
        <v>P001</v>
      </c>
      <c r="C207" s="25">
        <f>IF(SUMIFS(Weekly_Product_Demand!$C:$C,Weekly_Product_Demand!$A:$A,A207,Weekly_Product_Demand!$B:$B,B207)=0,0,
(SUMIFS(Weekly_Product_Demand!$D:$D,Weekly_Product_Demand!$A:$A,A207,Weekly_Product_Demand!$B:$B,B207)-
SUMIFS(Weekly_Product_Demand!$C:$C,Weekly_Product_Demand!$A:$A,A207,Weekly_Product_Demand!$B:$B,B207))/
SUMIFS(Weekly_Product_Demand!$C:$C,Weekly_Product_Demand!$A:$A,A207,Weekly_Product_Demand!$B:$B,B207))</f>
        <v>-3.9907582440663726E-3</v>
      </c>
      <c r="D207" s="25">
        <f>SUMIFS(Weekly_Inventory_Flow!$Q:$Q,Weekly_Inventory_Flow!$A:$A,A207,Weekly_Inventory_Flow!$B:$B,B207)</f>
        <v>1.02</v>
      </c>
      <c r="E207" s="26">
        <f>SUMIFS(Weekly_Inventory_Flow!$S:$S,Weekly_Inventory_Flow!$A:$A,A207,Weekly_Inventory_Flow!$B:$B,B207)</f>
        <v>2.1694784197947419</v>
      </c>
      <c r="F207" s="27">
        <f>SUMIFS(Weekly_Inventory_Flow!$N:$N,Weekly_Inventory_Flow!$A:$A,A207,Weekly_Inventory_Flow!$B:$B,B207)</f>
        <v>0</v>
      </c>
      <c r="G207" s="13" t="str">
        <f>_xlfn.XLOOKUP(B207,Product_Line_Map!$A$2:$A$6,Product_Line_Map!$B$2:$B$6,"")</f>
        <v>L01</v>
      </c>
      <c r="H207" s="25">
        <f>SUMIFS(Weekly_Line_Capacity!$J:$J,Weekly_Line_Capacity!$A:$A,A207,Weekly_Line_Capacity!$B:$B,G207)</f>
        <v>0.21198830409356725</v>
      </c>
      <c r="I207" s="27">
        <f>SUMIFS(Weekly_Line_Capacity!$K:$K,Weekly_Line_Capacity!$A:$A,A207,Weekly_Line_Capacity!$B:$B,G207)</f>
        <v>0</v>
      </c>
      <c r="J207" s="13" t="str" cm="1">
        <f t="array" ref="J207">_xlfn.XLOOKUP(1,(Weekly_Line_Capacity!$A$2:$A$157=A207)*(Weekly_Line_Capacity!$B$2:$B$157=G207),Weekly_Line_Capacity!$L$2:$L$157,"")</f>
        <v>WITHIN CAPACITY</v>
      </c>
      <c r="K207" s="13" t="str">
        <f>_xlfn.XLOOKUP(B207,BOM!$A$2:$A$21,BOM!$B$2:$B$21,"")</f>
        <v>M001</v>
      </c>
      <c r="L207" s="27">
        <f>SUMIFS(Weekly_Material_Inventory!$K:$K,Weekly_Material_Inventory!$A:$A,A207,Weekly_Material_Inventory!$B:$B,K207)</f>
        <v>0</v>
      </c>
      <c r="M207">
        <f t="shared" si="9"/>
        <v>0</v>
      </c>
      <c r="N207" t="str">
        <f t="shared" si="10"/>
        <v>OK</v>
      </c>
      <c r="O207" t="str">
        <f t="shared" si="11"/>
        <v>NONE</v>
      </c>
      <c r="P207" t="str" cm="1">
        <f t="array" ref="P207">_xlfn.SWITCH(O207,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07" t="str" cm="1">
        <f t="array" ref="Q207">_xlfn.SWITCH(O207,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07" t="str" cm="1">
        <f t="array" ref="R207">_xlfn.SWITCH(P207,
"Inventory / Service","Operations / Planning",
"Material Supply","Materials / Procurement",
"Capacity","Production / Planning",
"Production Execution","Production",
"Inventory","Operations / Planning",
"Demand Planning","Commercial / Planning",
"None","None",
"Operations")</f>
        <v>None</v>
      </c>
    </row>
    <row r="208" spans="1:18">
      <c r="A208" s="30">
        <f>Weekly_Inventory_Flow!A208</f>
        <v>46314</v>
      </c>
      <c r="B208" s="13" t="str">
        <f>Weekly_Inventory_Flow!B208</f>
        <v>P002</v>
      </c>
      <c r="C208" s="25">
        <f>IF(SUMIFS(Weekly_Product_Demand!$C:$C,Weekly_Product_Demand!$A:$A,A208,Weekly_Product_Demand!$B:$B,B208)=0,0,
(SUMIFS(Weekly_Product_Demand!$D:$D,Weekly_Product_Demand!$A:$A,A208,Weekly_Product_Demand!$B:$B,B208)-
SUMIFS(Weekly_Product_Demand!$C:$C,Weekly_Product_Demand!$A:$A,A208,Weekly_Product_Demand!$B:$B,B208))/
SUMIFS(Weekly_Product_Demand!$C:$C,Weekly_Product_Demand!$A:$A,A208,Weekly_Product_Demand!$B:$B,B208))</f>
        <v>-7.3239436619718309E-3</v>
      </c>
      <c r="D208" s="25">
        <f>SUMIFS(Weekly_Inventory_Flow!$Q:$Q,Weekly_Inventory_Flow!$A:$A,A208,Weekly_Inventory_Flow!$B:$B,B208)</f>
        <v>1</v>
      </c>
      <c r="E208" s="26">
        <f>SUMIFS(Weekly_Inventory_Flow!$S:$S,Weekly_Inventory_Flow!$A:$A,A208,Weekly_Inventory_Flow!$B:$B,B208)</f>
        <v>2.0459704880817253</v>
      </c>
      <c r="F208" s="27">
        <f>SUMIFS(Weekly_Inventory_Flow!$N:$N,Weekly_Inventory_Flow!$A:$A,A208,Weekly_Inventory_Flow!$B:$B,B208)</f>
        <v>0</v>
      </c>
      <c r="G208" s="13" t="str">
        <f>_xlfn.XLOOKUP(B208,Product_Line_Map!$A$2:$A$6,Product_Line_Map!$B$2:$B$6,"")</f>
        <v>L02</v>
      </c>
      <c r="H208" s="25">
        <f>SUMIFS(Weekly_Line_Capacity!$J:$J,Weekly_Line_Capacity!$A:$A,A208,Weekly_Line_Capacity!$B:$B,G208)</f>
        <v>0.45523809523809522</v>
      </c>
      <c r="I208" s="27">
        <f>SUMIFS(Weekly_Line_Capacity!$K:$K,Weekly_Line_Capacity!$A:$A,A208,Weekly_Line_Capacity!$B:$B,G208)</f>
        <v>0</v>
      </c>
      <c r="J208" s="13" t="str" cm="1">
        <f t="array" ref="J208">_xlfn.XLOOKUP(1,(Weekly_Line_Capacity!$A$2:$A$157=A208)*(Weekly_Line_Capacity!$B$2:$B$157=G208),Weekly_Line_Capacity!$L$2:$L$157,"")</f>
        <v>WITHIN CAPACITY</v>
      </c>
      <c r="K208" s="13" t="str">
        <f>_xlfn.XLOOKUP(B208,BOM!$A$2:$A$21,BOM!$B$2:$B$21,"")</f>
        <v>M002</v>
      </c>
      <c r="L208" s="27">
        <f>SUMIFS(Weekly_Material_Inventory!$K:$K,Weekly_Material_Inventory!$A:$A,A208,Weekly_Material_Inventory!$B:$B,K208)</f>
        <v>0</v>
      </c>
      <c r="M208">
        <f t="shared" si="9"/>
        <v>0</v>
      </c>
      <c r="N208" t="str">
        <f t="shared" si="10"/>
        <v>OK</v>
      </c>
      <c r="O208" t="str">
        <f t="shared" si="11"/>
        <v>NONE</v>
      </c>
      <c r="P208" t="str" cm="1">
        <f t="array" ref="P208">_xlfn.SWITCH(O208,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08" t="str" cm="1">
        <f t="array" ref="Q208">_xlfn.SWITCH(O208,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08" t="str" cm="1">
        <f t="array" ref="R208">_xlfn.SWITCH(P208,
"Inventory / Service","Operations / Planning",
"Material Supply","Materials / Procurement",
"Capacity","Production / Planning",
"Production Execution","Production",
"Inventory","Operations / Planning",
"Demand Planning","Commercial / Planning",
"None","None",
"Operations")</f>
        <v>None</v>
      </c>
    </row>
    <row r="209" spans="1:18">
      <c r="A209" s="30">
        <f>Weekly_Inventory_Flow!A209</f>
        <v>46314</v>
      </c>
      <c r="B209" s="13" t="str">
        <f>Weekly_Inventory_Flow!B209</f>
        <v>P003</v>
      </c>
      <c r="C209" s="25">
        <f>IF(SUMIFS(Weekly_Product_Demand!$C:$C,Weekly_Product_Demand!$A:$A,A209,Weekly_Product_Demand!$B:$B,B209)=0,0,
(SUMIFS(Weekly_Product_Demand!$D:$D,Weekly_Product_Demand!$A:$A,A209,Weekly_Product_Demand!$B:$B,B209)-
SUMIFS(Weekly_Product_Demand!$C:$C,Weekly_Product_Demand!$A:$A,A209,Weekly_Product_Demand!$B:$B,B209))/
SUMIFS(Weekly_Product_Demand!$C:$C,Weekly_Product_Demand!$A:$A,A209,Weekly_Product_Demand!$B:$B,B209))</f>
        <v>-4.5625977370987031E-2</v>
      </c>
      <c r="D209" s="25">
        <f>SUMIFS(Weekly_Inventory_Flow!$Q:$Q,Weekly_Inventory_Flow!$A:$A,A209,Weekly_Inventory_Flow!$B:$B,B209)</f>
        <v>0.97</v>
      </c>
      <c r="E209" s="26">
        <f>SUMIFS(Weekly_Inventory_Flow!$S:$S,Weekly_Inventory_Flow!$A:$A,A209,Weekly_Inventory_Flow!$B:$B,B209)</f>
        <v>1.816289156626506</v>
      </c>
      <c r="F209" s="27">
        <f>SUMIFS(Weekly_Inventory_Flow!$N:$N,Weekly_Inventory_Flow!$A:$A,A209,Weekly_Inventory_Flow!$B:$B,B209)</f>
        <v>0</v>
      </c>
      <c r="G209" s="13" t="str">
        <f>_xlfn.XLOOKUP(B209,Product_Line_Map!$A$2:$A$6,Product_Line_Map!$B$2:$B$6,"")</f>
        <v>L03</v>
      </c>
      <c r="H209" s="25">
        <f>SUMIFS(Weekly_Line_Capacity!$J:$J,Weekly_Line_Capacity!$A:$A,A209,Weekly_Line_Capacity!$B:$B,G209)</f>
        <v>0.45714285714285713</v>
      </c>
      <c r="I209" s="27">
        <f>SUMIFS(Weekly_Line_Capacity!$K:$K,Weekly_Line_Capacity!$A:$A,A209,Weekly_Line_Capacity!$B:$B,G209)</f>
        <v>0</v>
      </c>
      <c r="J209" s="13" t="str" cm="1">
        <f t="array" ref="J209">_xlfn.XLOOKUP(1,(Weekly_Line_Capacity!$A$2:$A$157=A209)*(Weekly_Line_Capacity!$B$2:$B$157=G209),Weekly_Line_Capacity!$L$2:$L$157,"")</f>
        <v>WITHIN CAPACITY</v>
      </c>
      <c r="K209" s="13" t="str">
        <f>_xlfn.XLOOKUP(B209,BOM!$A$2:$A$21,BOM!$B$2:$B$21,"")</f>
        <v>M003</v>
      </c>
      <c r="L209" s="27">
        <f>SUMIFS(Weekly_Material_Inventory!$K:$K,Weekly_Material_Inventory!$A:$A,A209,Weekly_Material_Inventory!$B:$B,K209)</f>
        <v>0</v>
      </c>
      <c r="M209">
        <f t="shared" si="9"/>
        <v>1</v>
      </c>
      <c r="N209" t="str">
        <f t="shared" si="10"/>
        <v>WARNING</v>
      </c>
      <c r="O209" t="str">
        <f t="shared" si="11"/>
        <v>LOW STOCK COVER</v>
      </c>
      <c r="P209" t="str" cm="1">
        <f t="array" ref="P209">_xlfn.SWITCH(O209,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09" t="str" cm="1">
        <f t="array" ref="Q209">_xlfn.SWITCH(O209,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09" t="str" cm="1">
        <f t="array" ref="R209">_xlfn.SWITCH(P209,
"Inventory / Service","Operations / Planning",
"Material Supply","Materials / Procurement",
"Capacity","Production / Planning",
"Production Execution","Production",
"Inventory","Operations / Planning",
"Demand Planning","Commercial / Planning",
"None","None",
"Operations")</f>
        <v>Operations / Planning</v>
      </c>
    </row>
    <row r="210" spans="1:18">
      <c r="A210" s="30">
        <f>Weekly_Inventory_Flow!A210</f>
        <v>46314</v>
      </c>
      <c r="B210" s="13" t="str">
        <f>Weekly_Inventory_Flow!B210</f>
        <v>P004</v>
      </c>
      <c r="C210" s="25">
        <f>IF(SUMIFS(Weekly_Product_Demand!$C:$C,Weekly_Product_Demand!$A:$A,A210,Weekly_Product_Demand!$B:$B,B210)=0,0,
(SUMIFS(Weekly_Product_Demand!$D:$D,Weekly_Product_Demand!$A:$A,A210,Weekly_Product_Demand!$B:$B,B210)-
SUMIFS(Weekly_Product_Demand!$C:$C,Weekly_Product_Demand!$A:$A,A210,Weekly_Product_Demand!$B:$B,B210))/
SUMIFS(Weekly_Product_Demand!$C:$C,Weekly_Product_Demand!$A:$A,A210,Weekly_Product_Demand!$B:$B,B210))</f>
        <v>1.613045394446893E-2</v>
      </c>
      <c r="D210" s="25">
        <f>SUMIFS(Weekly_Inventory_Flow!$Q:$Q,Weekly_Inventory_Flow!$A:$A,A210,Weekly_Inventory_Flow!$B:$B,B210)</f>
        <v>0.99</v>
      </c>
      <c r="E210" s="26">
        <f>SUMIFS(Weekly_Inventory_Flow!$S:$S,Weekly_Inventory_Flow!$A:$A,A210,Weekly_Inventory_Flow!$B:$B,B210)</f>
        <v>1.984385843164469</v>
      </c>
      <c r="F210" s="27">
        <f>SUMIFS(Weekly_Inventory_Flow!$N:$N,Weekly_Inventory_Flow!$A:$A,A210,Weekly_Inventory_Flow!$B:$B,B210)</f>
        <v>0</v>
      </c>
      <c r="G210" s="13" t="str">
        <f>_xlfn.XLOOKUP(B210,Product_Line_Map!$A$2:$A$6,Product_Line_Map!$B$2:$B$6,"")</f>
        <v>L02</v>
      </c>
      <c r="H210" s="25">
        <f>SUMIFS(Weekly_Line_Capacity!$J:$J,Weekly_Line_Capacity!$A:$A,A210,Weekly_Line_Capacity!$B:$B,G210)</f>
        <v>0.45523809523809522</v>
      </c>
      <c r="I210" s="27">
        <f>SUMIFS(Weekly_Line_Capacity!$K:$K,Weekly_Line_Capacity!$A:$A,A210,Weekly_Line_Capacity!$B:$B,G210)</f>
        <v>0</v>
      </c>
      <c r="J210" s="13" t="str" cm="1">
        <f t="array" ref="J210">_xlfn.XLOOKUP(1,(Weekly_Line_Capacity!$A$2:$A$157=A210)*(Weekly_Line_Capacity!$B$2:$B$157=G210),Weekly_Line_Capacity!$L$2:$L$157,"")</f>
        <v>WITHIN CAPACITY</v>
      </c>
      <c r="K210" s="13" t="str">
        <f>_xlfn.XLOOKUP(B210,BOM!$A$2:$A$21,BOM!$B$2:$B$21,"")</f>
        <v>M004</v>
      </c>
      <c r="L210" s="27">
        <f>SUMIFS(Weekly_Material_Inventory!$K:$K,Weekly_Material_Inventory!$A:$A,A210,Weekly_Material_Inventory!$B:$B,K210)</f>
        <v>0</v>
      </c>
      <c r="M210">
        <f t="shared" si="9"/>
        <v>1</v>
      </c>
      <c r="N210" t="str">
        <f t="shared" si="10"/>
        <v>WARNING</v>
      </c>
      <c r="O210" t="str">
        <f t="shared" si="11"/>
        <v>LOW STOCK COVER</v>
      </c>
      <c r="P210" t="str" cm="1">
        <f t="array" ref="P210">_xlfn.SWITCH(O210,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0" t="str" cm="1">
        <f t="array" ref="Q210">_xlfn.SWITCH(O210,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0" t="str" cm="1">
        <f t="array" ref="R210">_xlfn.SWITCH(P210,
"Inventory / Service","Operations / Planning",
"Material Supply","Materials / Procurement",
"Capacity","Production / Planning",
"Production Execution","Production",
"Inventory","Operations / Planning",
"Demand Planning","Commercial / Planning",
"None","None",
"Operations")</f>
        <v>Operations / Planning</v>
      </c>
    </row>
    <row r="211" spans="1:18">
      <c r="A211" s="30">
        <f>Weekly_Inventory_Flow!A211</f>
        <v>46314</v>
      </c>
      <c r="B211" s="13" t="str">
        <f>Weekly_Inventory_Flow!B211</f>
        <v>P005</v>
      </c>
      <c r="C211" s="25">
        <f>IF(SUMIFS(Weekly_Product_Demand!$C:$C,Weekly_Product_Demand!$A:$A,A211,Weekly_Product_Demand!$B:$B,B211)=0,0,
(SUMIFS(Weekly_Product_Demand!$D:$D,Weekly_Product_Demand!$A:$A,A211,Weekly_Product_Demand!$B:$B,B211)-
SUMIFS(Weekly_Product_Demand!$C:$C,Weekly_Product_Demand!$A:$A,A211,Weekly_Product_Demand!$B:$B,B211))/
SUMIFS(Weekly_Product_Demand!$C:$C,Weekly_Product_Demand!$A:$A,A211,Weekly_Product_Demand!$B:$B,B211))</f>
        <v>1.6923611916077431E-2</v>
      </c>
      <c r="D211" s="25">
        <f>SUMIFS(Weekly_Inventory_Flow!$Q:$Q,Weekly_Inventory_Flow!$A:$A,A211,Weekly_Inventory_Flow!$B:$B,B211)</f>
        <v>0.97</v>
      </c>
      <c r="E211" s="26">
        <f>SUMIFS(Weekly_Inventory_Flow!$S:$S,Weekly_Inventory_Flow!$A:$A,A211,Weekly_Inventory_Flow!$B:$B,B211)</f>
        <v>1.7896956571298304</v>
      </c>
      <c r="F211" s="27">
        <f>SUMIFS(Weekly_Inventory_Flow!$N:$N,Weekly_Inventory_Flow!$A:$A,A211,Weekly_Inventory_Flow!$B:$B,B211)</f>
        <v>0</v>
      </c>
      <c r="G211" s="13" t="str">
        <f>_xlfn.XLOOKUP(B211,Product_Line_Map!$A$2:$A$6,Product_Line_Map!$B$2:$B$6,"")</f>
        <v>L03</v>
      </c>
      <c r="H211" s="25">
        <f>SUMIFS(Weekly_Line_Capacity!$J:$J,Weekly_Line_Capacity!$A:$A,A211,Weekly_Line_Capacity!$B:$B,G211)</f>
        <v>0.45714285714285713</v>
      </c>
      <c r="I211" s="27">
        <f>SUMIFS(Weekly_Line_Capacity!$K:$K,Weekly_Line_Capacity!$A:$A,A211,Weekly_Line_Capacity!$B:$B,G211)</f>
        <v>0</v>
      </c>
      <c r="J211" s="13" t="str" cm="1">
        <f t="array" ref="J211">_xlfn.XLOOKUP(1,(Weekly_Line_Capacity!$A$2:$A$157=A211)*(Weekly_Line_Capacity!$B$2:$B$157=G211),Weekly_Line_Capacity!$L$2:$L$157,"")</f>
        <v>WITHIN CAPACITY</v>
      </c>
      <c r="K211" s="13" t="str">
        <f>_xlfn.XLOOKUP(B211,BOM!$A$2:$A$21,BOM!$B$2:$B$21,"")</f>
        <v>M005</v>
      </c>
      <c r="L211" s="27">
        <f>SUMIFS(Weekly_Material_Inventory!$K:$K,Weekly_Material_Inventory!$A:$A,A211,Weekly_Material_Inventory!$B:$B,K211)</f>
        <v>0</v>
      </c>
      <c r="M211">
        <f t="shared" si="9"/>
        <v>1</v>
      </c>
      <c r="N211" t="str">
        <f t="shared" si="10"/>
        <v>WARNING</v>
      </c>
      <c r="O211" t="str">
        <f t="shared" si="11"/>
        <v>LOW STOCK COVER</v>
      </c>
      <c r="P211" t="str" cm="1">
        <f t="array" ref="P211">_xlfn.SWITCH(O211,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1" t="str" cm="1">
        <f t="array" ref="Q211">_xlfn.SWITCH(O211,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1" t="str" cm="1">
        <f t="array" ref="R211">_xlfn.SWITCH(P211,
"Inventory / Service","Operations / Planning",
"Material Supply","Materials / Procurement",
"Capacity","Production / Planning",
"Production Execution","Production",
"Inventory","Operations / Planning",
"Demand Planning","Commercial / Planning",
"None","None",
"Operations")</f>
        <v>Operations / Planning</v>
      </c>
    </row>
    <row r="212" spans="1:18">
      <c r="A212" s="30">
        <f>Weekly_Inventory_Flow!A212</f>
        <v>46321</v>
      </c>
      <c r="B212" s="13" t="str">
        <f>Weekly_Inventory_Flow!B212</f>
        <v>P001</v>
      </c>
      <c r="C212" s="25">
        <f>IF(SUMIFS(Weekly_Product_Demand!$C:$C,Weekly_Product_Demand!$A:$A,A212,Weekly_Product_Demand!$B:$B,B212)=0,0,
(SUMIFS(Weekly_Product_Demand!$D:$D,Weekly_Product_Demand!$A:$A,A212,Weekly_Product_Demand!$B:$B,B212)-
SUMIFS(Weekly_Product_Demand!$C:$C,Weekly_Product_Demand!$A:$A,A212,Weekly_Product_Demand!$B:$B,B212))/
SUMIFS(Weekly_Product_Demand!$C:$C,Weekly_Product_Demand!$A:$A,A212,Weekly_Product_Demand!$B:$B,B212))</f>
        <v>-2.8622787610619468E-2</v>
      </c>
      <c r="D212" s="25">
        <f>SUMIFS(Weekly_Inventory_Flow!$Q:$Q,Weekly_Inventory_Flow!$A:$A,A212,Weekly_Inventory_Flow!$B:$B,B212)</f>
        <v>0.98</v>
      </c>
      <c r="E212" s="26">
        <f>SUMIFS(Weekly_Inventory_Flow!$S:$S,Weekly_Inventory_Flow!$A:$A,A212,Weekly_Inventory_Flow!$B:$B,B212)</f>
        <v>1.8857651245551601</v>
      </c>
      <c r="F212" s="27">
        <f>SUMIFS(Weekly_Inventory_Flow!$N:$N,Weekly_Inventory_Flow!$A:$A,A212,Weekly_Inventory_Flow!$B:$B,B212)</f>
        <v>0</v>
      </c>
      <c r="G212" s="13" t="str">
        <f>_xlfn.XLOOKUP(B212,Product_Line_Map!$A$2:$A$6,Product_Line_Map!$B$2:$B$6,"")</f>
        <v>L01</v>
      </c>
      <c r="H212" s="25">
        <f>SUMIFS(Weekly_Line_Capacity!$J:$J,Weekly_Line_Capacity!$A:$A,A212,Weekly_Line_Capacity!$B:$B,G212)</f>
        <v>0.20029239766081872</v>
      </c>
      <c r="I212" s="27">
        <f>SUMIFS(Weekly_Line_Capacity!$K:$K,Weekly_Line_Capacity!$A:$A,A212,Weekly_Line_Capacity!$B:$B,G212)</f>
        <v>0</v>
      </c>
      <c r="J212" s="13" t="str" cm="1">
        <f t="array" ref="J212">_xlfn.XLOOKUP(1,(Weekly_Line_Capacity!$A$2:$A$157=A212)*(Weekly_Line_Capacity!$B$2:$B$157=G212),Weekly_Line_Capacity!$L$2:$L$157,"")</f>
        <v>WITHIN CAPACITY</v>
      </c>
      <c r="K212" s="13" t="str">
        <f>_xlfn.XLOOKUP(B212,BOM!$A$2:$A$21,BOM!$B$2:$B$21,"")</f>
        <v>M001</v>
      </c>
      <c r="L212" s="27">
        <f>SUMIFS(Weekly_Material_Inventory!$K:$K,Weekly_Material_Inventory!$A:$A,A212,Weekly_Material_Inventory!$B:$B,K212)</f>
        <v>0</v>
      </c>
      <c r="M212">
        <f t="shared" si="9"/>
        <v>1</v>
      </c>
      <c r="N212" t="str">
        <f t="shared" si="10"/>
        <v>WARNING</v>
      </c>
      <c r="O212" t="str">
        <f t="shared" si="11"/>
        <v>LOW STOCK COVER</v>
      </c>
      <c r="P212" t="str" cm="1">
        <f t="array" ref="P212">_xlfn.SWITCH(O212,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2" t="str" cm="1">
        <f t="array" ref="Q212">_xlfn.SWITCH(O212,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2" t="str" cm="1">
        <f t="array" ref="R212">_xlfn.SWITCH(P212,
"Inventory / Service","Operations / Planning",
"Material Supply","Materials / Procurement",
"Capacity","Production / Planning",
"Production Execution","Production",
"Inventory","Operations / Planning",
"Demand Planning","Commercial / Planning",
"None","None",
"Operations")</f>
        <v>Operations / Planning</v>
      </c>
    </row>
    <row r="213" spans="1:18">
      <c r="A213" s="30">
        <f>Weekly_Inventory_Flow!A213</f>
        <v>46321</v>
      </c>
      <c r="B213" s="13" t="str">
        <f>Weekly_Inventory_Flow!B213</f>
        <v>P002</v>
      </c>
      <c r="C213" s="25">
        <f>IF(SUMIFS(Weekly_Product_Demand!$C:$C,Weekly_Product_Demand!$A:$A,A213,Weekly_Product_Demand!$B:$B,B213)=0,0,
(SUMIFS(Weekly_Product_Demand!$D:$D,Weekly_Product_Demand!$A:$A,A213,Weekly_Product_Demand!$B:$B,B213)-
SUMIFS(Weekly_Product_Demand!$C:$C,Weekly_Product_Demand!$A:$A,A213,Weekly_Product_Demand!$B:$B,B213))/
SUMIFS(Weekly_Product_Demand!$C:$C,Weekly_Product_Demand!$A:$A,A213,Weekly_Product_Demand!$B:$B,B213))</f>
        <v>-7.0242656449553001E-3</v>
      </c>
      <c r="D213" s="25">
        <f>SUMIFS(Weekly_Inventory_Flow!$Q:$Q,Weekly_Inventory_Flow!$A:$A,A213,Weekly_Inventory_Flow!$B:$B,B213)</f>
        <v>1</v>
      </c>
      <c r="E213" s="26">
        <f>SUMIFS(Weekly_Inventory_Flow!$S:$S,Weekly_Inventory_Flow!$A:$A,A213,Weekly_Inventory_Flow!$B:$B,B213)</f>
        <v>2.0060289389067525</v>
      </c>
      <c r="F213" s="27">
        <f>SUMIFS(Weekly_Inventory_Flow!$N:$N,Weekly_Inventory_Flow!$A:$A,A213,Weekly_Inventory_Flow!$B:$B,B213)</f>
        <v>0</v>
      </c>
      <c r="G213" s="13" t="str">
        <f>_xlfn.XLOOKUP(B213,Product_Line_Map!$A$2:$A$6,Product_Line_Map!$B$2:$B$6,"")</f>
        <v>L02</v>
      </c>
      <c r="H213" s="25">
        <f>SUMIFS(Weekly_Line_Capacity!$J:$J,Weekly_Line_Capacity!$A:$A,A213,Weekly_Line_Capacity!$B:$B,G213)</f>
        <v>0.45714285714285713</v>
      </c>
      <c r="I213" s="27">
        <f>SUMIFS(Weekly_Line_Capacity!$K:$K,Weekly_Line_Capacity!$A:$A,A213,Weekly_Line_Capacity!$B:$B,G213)</f>
        <v>0</v>
      </c>
      <c r="J213" s="13" t="str" cm="1">
        <f t="array" ref="J213">_xlfn.XLOOKUP(1,(Weekly_Line_Capacity!$A$2:$A$157=A213)*(Weekly_Line_Capacity!$B$2:$B$157=G213),Weekly_Line_Capacity!$L$2:$L$157,"")</f>
        <v>WITHIN CAPACITY</v>
      </c>
      <c r="K213" s="13" t="str">
        <f>_xlfn.XLOOKUP(B213,BOM!$A$2:$A$21,BOM!$B$2:$B$21,"")</f>
        <v>M002</v>
      </c>
      <c r="L213" s="27">
        <f>SUMIFS(Weekly_Material_Inventory!$K:$K,Weekly_Material_Inventory!$A:$A,A213,Weekly_Material_Inventory!$B:$B,K213)</f>
        <v>0</v>
      </c>
      <c r="M213">
        <f t="shared" si="9"/>
        <v>0</v>
      </c>
      <c r="N213" t="str">
        <f t="shared" si="10"/>
        <v>OK</v>
      </c>
      <c r="O213" t="str">
        <f t="shared" si="11"/>
        <v>NONE</v>
      </c>
      <c r="P213" t="str" cm="1">
        <f t="array" ref="P213">_xlfn.SWITCH(O213,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13" t="str" cm="1">
        <f t="array" ref="Q213">_xlfn.SWITCH(O213,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13" t="str" cm="1">
        <f t="array" ref="R213">_xlfn.SWITCH(P213,
"Inventory / Service","Operations / Planning",
"Material Supply","Materials / Procurement",
"Capacity","Production / Planning",
"Production Execution","Production",
"Inventory","Operations / Planning",
"Demand Planning","Commercial / Planning",
"None","None",
"Operations")</f>
        <v>None</v>
      </c>
    </row>
    <row r="214" spans="1:18">
      <c r="A214" s="30">
        <f>Weekly_Inventory_Flow!A214</f>
        <v>46321</v>
      </c>
      <c r="B214" s="13" t="str">
        <f>Weekly_Inventory_Flow!B214</f>
        <v>P003</v>
      </c>
      <c r="C214" s="25">
        <f>IF(SUMIFS(Weekly_Product_Demand!$C:$C,Weekly_Product_Demand!$A:$A,A214,Weekly_Product_Demand!$B:$B,B214)=0,0,
(SUMIFS(Weekly_Product_Demand!$D:$D,Weekly_Product_Demand!$A:$A,A214,Weekly_Product_Demand!$B:$B,B214)-
SUMIFS(Weekly_Product_Demand!$C:$C,Weekly_Product_Demand!$A:$A,A214,Weekly_Product_Demand!$B:$B,B214))/
SUMIFS(Weekly_Product_Demand!$C:$C,Weekly_Product_Demand!$A:$A,A214,Weekly_Product_Demand!$B:$B,B214))</f>
        <v>2.5904761904761906E-2</v>
      </c>
      <c r="D214" s="25">
        <f>SUMIFS(Weekly_Inventory_Flow!$Q:$Q,Weekly_Inventory_Flow!$A:$A,A214,Weekly_Inventory_Flow!$B:$B,B214)</f>
        <v>1</v>
      </c>
      <c r="E214" s="26">
        <f>SUMIFS(Weekly_Inventory_Flow!$S:$S,Weekly_Inventory_Flow!$A:$A,A214,Weekly_Inventory_Flow!$B:$B,B214)</f>
        <v>2.0274786483475675</v>
      </c>
      <c r="F214" s="27">
        <f>SUMIFS(Weekly_Inventory_Flow!$N:$N,Weekly_Inventory_Flow!$A:$A,A214,Weekly_Inventory_Flow!$B:$B,B214)</f>
        <v>0</v>
      </c>
      <c r="G214" s="13" t="str">
        <f>_xlfn.XLOOKUP(B214,Product_Line_Map!$A$2:$A$6,Product_Line_Map!$B$2:$B$6,"")</f>
        <v>L03</v>
      </c>
      <c r="H214" s="25">
        <f>SUMIFS(Weekly_Line_Capacity!$J:$J,Weekly_Line_Capacity!$A:$A,A214,Weekly_Line_Capacity!$B:$B,G214)</f>
        <v>0.48095238095238091</v>
      </c>
      <c r="I214" s="27">
        <f>SUMIFS(Weekly_Line_Capacity!$K:$K,Weekly_Line_Capacity!$A:$A,A214,Weekly_Line_Capacity!$B:$B,G214)</f>
        <v>0</v>
      </c>
      <c r="J214" s="13" t="str" cm="1">
        <f t="array" ref="J214">_xlfn.XLOOKUP(1,(Weekly_Line_Capacity!$A$2:$A$157=A214)*(Weekly_Line_Capacity!$B$2:$B$157=G214),Weekly_Line_Capacity!$L$2:$L$157,"")</f>
        <v>WITHIN CAPACITY</v>
      </c>
      <c r="K214" s="13" t="str">
        <f>_xlfn.XLOOKUP(B214,BOM!$A$2:$A$21,BOM!$B$2:$B$21,"")</f>
        <v>M003</v>
      </c>
      <c r="L214" s="27">
        <f>SUMIFS(Weekly_Material_Inventory!$K:$K,Weekly_Material_Inventory!$A:$A,A214,Weekly_Material_Inventory!$B:$B,K214)</f>
        <v>0</v>
      </c>
      <c r="M214">
        <f t="shared" si="9"/>
        <v>0</v>
      </c>
      <c r="N214" t="str">
        <f t="shared" si="10"/>
        <v>OK</v>
      </c>
      <c r="O214" t="str">
        <f t="shared" si="11"/>
        <v>NONE</v>
      </c>
      <c r="P214" t="str" cm="1">
        <f t="array" ref="P214">_xlfn.SWITCH(O214,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14" t="str" cm="1">
        <f t="array" ref="Q214">_xlfn.SWITCH(O214,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14" t="str" cm="1">
        <f t="array" ref="R214">_xlfn.SWITCH(P214,
"Inventory / Service","Operations / Planning",
"Material Supply","Materials / Procurement",
"Capacity","Production / Planning",
"Production Execution","Production",
"Inventory","Operations / Planning",
"Demand Planning","Commercial / Planning",
"None","None",
"Operations")</f>
        <v>None</v>
      </c>
    </row>
    <row r="215" spans="1:18">
      <c r="A215" s="30">
        <f>Weekly_Inventory_Flow!A215</f>
        <v>46321</v>
      </c>
      <c r="B215" s="13" t="str">
        <f>Weekly_Inventory_Flow!B215</f>
        <v>P004</v>
      </c>
      <c r="C215" s="25">
        <f>IF(SUMIFS(Weekly_Product_Demand!$C:$C,Weekly_Product_Demand!$A:$A,A215,Weekly_Product_Demand!$B:$B,B215)=0,0,
(SUMIFS(Weekly_Product_Demand!$D:$D,Weekly_Product_Demand!$A:$A,A215,Weekly_Product_Demand!$B:$B,B215)-
SUMIFS(Weekly_Product_Demand!$C:$C,Weekly_Product_Demand!$A:$A,A215,Weekly_Product_Demand!$B:$B,B215))/
SUMIFS(Weekly_Product_Demand!$C:$C,Weekly_Product_Demand!$A:$A,A215,Weekly_Product_Demand!$B:$B,B215))</f>
        <v>-8.6535133264105233E-5</v>
      </c>
      <c r="D215" s="25">
        <f>SUMIFS(Weekly_Inventory_Flow!$Q:$Q,Weekly_Inventory_Flow!$A:$A,A215,Weekly_Inventory_Flow!$B:$B,B215)</f>
        <v>0.99</v>
      </c>
      <c r="E215" s="26">
        <f>SUMIFS(Weekly_Inventory_Flow!$S:$S,Weekly_Inventory_Flow!$A:$A,A215,Weekly_Inventory_Flow!$B:$B,B215)</f>
        <v>1.9367373431414971</v>
      </c>
      <c r="F215" s="27">
        <f>SUMIFS(Weekly_Inventory_Flow!$N:$N,Weekly_Inventory_Flow!$A:$A,A215,Weekly_Inventory_Flow!$B:$B,B215)</f>
        <v>0</v>
      </c>
      <c r="G215" s="13" t="str">
        <f>_xlfn.XLOOKUP(B215,Product_Line_Map!$A$2:$A$6,Product_Line_Map!$B$2:$B$6,"")</f>
        <v>L02</v>
      </c>
      <c r="H215" s="25">
        <f>SUMIFS(Weekly_Line_Capacity!$J:$J,Weekly_Line_Capacity!$A:$A,A215,Weekly_Line_Capacity!$B:$B,G215)</f>
        <v>0.45714285714285713</v>
      </c>
      <c r="I215" s="27">
        <f>SUMIFS(Weekly_Line_Capacity!$K:$K,Weekly_Line_Capacity!$A:$A,A215,Weekly_Line_Capacity!$B:$B,G215)</f>
        <v>0</v>
      </c>
      <c r="J215" s="13" t="str" cm="1">
        <f t="array" ref="J215">_xlfn.XLOOKUP(1,(Weekly_Line_Capacity!$A$2:$A$157=A215)*(Weekly_Line_Capacity!$B$2:$B$157=G215),Weekly_Line_Capacity!$L$2:$L$157,"")</f>
        <v>WITHIN CAPACITY</v>
      </c>
      <c r="K215" s="13" t="str">
        <f>_xlfn.XLOOKUP(B215,BOM!$A$2:$A$21,BOM!$B$2:$B$21,"")</f>
        <v>M004</v>
      </c>
      <c r="L215" s="27">
        <f>SUMIFS(Weekly_Material_Inventory!$K:$K,Weekly_Material_Inventory!$A:$A,A215,Weekly_Material_Inventory!$B:$B,K215)</f>
        <v>0</v>
      </c>
      <c r="M215">
        <f t="shared" si="9"/>
        <v>1</v>
      </c>
      <c r="N215" t="str">
        <f t="shared" si="10"/>
        <v>WARNING</v>
      </c>
      <c r="O215" t="str">
        <f t="shared" si="11"/>
        <v>LOW STOCK COVER</v>
      </c>
      <c r="P215" t="str" cm="1">
        <f t="array" ref="P215">_xlfn.SWITCH(O215,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5" t="str" cm="1">
        <f t="array" ref="Q215">_xlfn.SWITCH(O215,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5" t="str" cm="1">
        <f t="array" ref="R215">_xlfn.SWITCH(P215,
"Inventory / Service","Operations / Planning",
"Material Supply","Materials / Procurement",
"Capacity","Production / Planning",
"Production Execution","Production",
"Inventory","Operations / Planning",
"Demand Planning","Commercial / Planning",
"None","None",
"Operations")</f>
        <v>Operations / Planning</v>
      </c>
    </row>
    <row r="216" spans="1:18">
      <c r="A216" s="30">
        <f>Weekly_Inventory_Flow!A216</f>
        <v>46321</v>
      </c>
      <c r="B216" s="13" t="str">
        <f>Weekly_Inventory_Flow!B216</f>
        <v>P005</v>
      </c>
      <c r="C216" s="25">
        <f>IF(SUMIFS(Weekly_Product_Demand!$C:$C,Weekly_Product_Demand!$A:$A,A216,Weekly_Product_Demand!$B:$B,B216)=0,0,
(SUMIFS(Weekly_Product_Demand!$D:$D,Weekly_Product_Demand!$A:$A,A216,Weekly_Product_Demand!$B:$B,B216)-
SUMIFS(Weekly_Product_Demand!$C:$C,Weekly_Product_Demand!$A:$A,A216,Weekly_Product_Demand!$B:$B,B216))/
SUMIFS(Weekly_Product_Demand!$C:$C,Weekly_Product_Demand!$A:$A,A216,Weekly_Product_Demand!$B:$B,B216))</f>
        <v>-8.8858509911141498E-3</v>
      </c>
      <c r="D216" s="25">
        <f>SUMIFS(Weekly_Inventory_Flow!$Q:$Q,Weekly_Inventory_Flow!$A:$A,A216,Weekly_Inventory_Flow!$B:$B,B216)</f>
        <v>1.02</v>
      </c>
      <c r="E216" s="26">
        <f>SUMIFS(Weekly_Inventory_Flow!$S:$S,Weekly_Inventory_Flow!$A:$A,A216,Weekly_Inventory_Flow!$B:$B,B216)</f>
        <v>2.1909195402298849</v>
      </c>
      <c r="F216" s="27">
        <f>SUMIFS(Weekly_Inventory_Flow!$N:$N,Weekly_Inventory_Flow!$A:$A,A216,Weekly_Inventory_Flow!$B:$B,B216)</f>
        <v>0</v>
      </c>
      <c r="G216" s="13" t="str">
        <f>_xlfn.XLOOKUP(B216,Product_Line_Map!$A$2:$A$6,Product_Line_Map!$B$2:$B$6,"")</f>
        <v>L03</v>
      </c>
      <c r="H216" s="25">
        <f>SUMIFS(Weekly_Line_Capacity!$J:$J,Weekly_Line_Capacity!$A:$A,A216,Weekly_Line_Capacity!$B:$B,G216)</f>
        <v>0.48095238095238091</v>
      </c>
      <c r="I216" s="27">
        <f>SUMIFS(Weekly_Line_Capacity!$K:$K,Weekly_Line_Capacity!$A:$A,A216,Weekly_Line_Capacity!$B:$B,G216)</f>
        <v>0</v>
      </c>
      <c r="J216" s="13" t="str" cm="1">
        <f t="array" ref="J216">_xlfn.XLOOKUP(1,(Weekly_Line_Capacity!$A$2:$A$157=A216)*(Weekly_Line_Capacity!$B$2:$B$157=G216),Weekly_Line_Capacity!$L$2:$L$157,"")</f>
        <v>WITHIN CAPACITY</v>
      </c>
      <c r="K216" s="13" t="str">
        <f>_xlfn.XLOOKUP(B216,BOM!$A$2:$A$21,BOM!$B$2:$B$21,"")</f>
        <v>M005</v>
      </c>
      <c r="L216" s="27">
        <f>SUMIFS(Weekly_Material_Inventory!$K:$K,Weekly_Material_Inventory!$A:$A,A216,Weekly_Material_Inventory!$B:$B,K216)</f>
        <v>0</v>
      </c>
      <c r="M216">
        <f t="shared" si="9"/>
        <v>0</v>
      </c>
      <c r="N216" t="str">
        <f t="shared" si="10"/>
        <v>OK</v>
      </c>
      <c r="O216" t="str">
        <f t="shared" si="11"/>
        <v>NONE</v>
      </c>
      <c r="P216" t="str" cm="1">
        <f t="array" ref="P216">_xlfn.SWITCH(O216,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16" t="str" cm="1">
        <f t="array" ref="Q216">_xlfn.SWITCH(O216,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16" t="str" cm="1">
        <f t="array" ref="R216">_xlfn.SWITCH(P216,
"Inventory / Service","Operations / Planning",
"Material Supply","Materials / Procurement",
"Capacity","Production / Planning",
"Production Execution","Production",
"Inventory","Operations / Planning",
"Demand Planning","Commercial / Planning",
"None","None",
"Operations")</f>
        <v>None</v>
      </c>
    </row>
    <row r="217" spans="1:18">
      <c r="A217" s="30">
        <f>Weekly_Inventory_Flow!A217</f>
        <v>46328</v>
      </c>
      <c r="B217" s="13" t="str">
        <f>Weekly_Inventory_Flow!B217</f>
        <v>P001</v>
      </c>
      <c r="C217" s="25">
        <f>IF(SUMIFS(Weekly_Product_Demand!$C:$C,Weekly_Product_Demand!$A:$A,A217,Weekly_Product_Demand!$B:$B,B217)=0,0,
(SUMIFS(Weekly_Product_Demand!$D:$D,Weekly_Product_Demand!$A:$A,A217,Weekly_Product_Demand!$B:$B,B217)-
SUMIFS(Weekly_Product_Demand!$C:$C,Weekly_Product_Demand!$A:$A,A217,Weekly_Product_Demand!$B:$B,B217))/
SUMIFS(Weekly_Product_Demand!$C:$C,Weekly_Product_Demand!$A:$A,A217,Weekly_Product_Demand!$B:$B,B217))</f>
        <v>1.0813662138995121E-2</v>
      </c>
      <c r="D217" s="25">
        <f>SUMIFS(Weekly_Inventory_Flow!$Q:$Q,Weekly_Inventory_Flow!$A:$A,A217,Weekly_Inventory_Flow!$B:$B,B217)</f>
        <v>0.99</v>
      </c>
      <c r="E217" s="26">
        <f>SUMIFS(Weekly_Inventory_Flow!$S:$S,Weekly_Inventory_Flow!$A:$A,A217,Weekly_Inventory_Flow!$B:$B,B217)</f>
        <v>1.9611872146118721</v>
      </c>
      <c r="F217" s="27">
        <f>SUMIFS(Weekly_Inventory_Flow!$N:$N,Weekly_Inventory_Flow!$A:$A,A217,Weekly_Inventory_Flow!$B:$B,B217)</f>
        <v>0</v>
      </c>
      <c r="G217" s="13" t="str">
        <f>_xlfn.XLOOKUP(B217,Product_Line_Map!$A$2:$A$6,Product_Line_Map!$B$2:$B$6,"")</f>
        <v>L01</v>
      </c>
      <c r="H217" s="25">
        <f>SUMIFS(Weekly_Line_Capacity!$J:$J,Weekly_Line_Capacity!$A:$A,A217,Weekly_Line_Capacity!$B:$B,G217)</f>
        <v>0.23391812865497078</v>
      </c>
      <c r="I217" s="27">
        <f>SUMIFS(Weekly_Line_Capacity!$K:$K,Weekly_Line_Capacity!$A:$A,A217,Weekly_Line_Capacity!$B:$B,G217)</f>
        <v>0</v>
      </c>
      <c r="J217" s="13" t="str" cm="1">
        <f t="array" ref="J217">_xlfn.XLOOKUP(1,(Weekly_Line_Capacity!$A$2:$A$157=A217)*(Weekly_Line_Capacity!$B$2:$B$157=G217),Weekly_Line_Capacity!$L$2:$L$157,"")</f>
        <v>WITHIN CAPACITY</v>
      </c>
      <c r="K217" s="13" t="str">
        <f>_xlfn.XLOOKUP(B217,BOM!$A$2:$A$21,BOM!$B$2:$B$21,"")</f>
        <v>M001</v>
      </c>
      <c r="L217" s="27">
        <f>SUMIFS(Weekly_Material_Inventory!$K:$K,Weekly_Material_Inventory!$A:$A,A217,Weekly_Material_Inventory!$B:$B,K217)</f>
        <v>0</v>
      </c>
      <c r="M217">
        <f t="shared" si="9"/>
        <v>1</v>
      </c>
      <c r="N217" t="str">
        <f t="shared" si="10"/>
        <v>WARNING</v>
      </c>
      <c r="O217" t="str">
        <f t="shared" si="11"/>
        <v>LOW STOCK COVER</v>
      </c>
      <c r="P217" t="str" cm="1">
        <f t="array" ref="P217">_xlfn.SWITCH(O217,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7" t="str" cm="1">
        <f t="array" ref="Q217">_xlfn.SWITCH(O217,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7" t="str" cm="1">
        <f t="array" ref="R217">_xlfn.SWITCH(P217,
"Inventory / Service","Operations / Planning",
"Material Supply","Materials / Procurement",
"Capacity","Production / Planning",
"Production Execution","Production",
"Inventory","Operations / Planning",
"Demand Planning","Commercial / Planning",
"None","None",
"Operations")</f>
        <v>Operations / Planning</v>
      </c>
    </row>
    <row r="218" spans="1:18">
      <c r="A218" s="30">
        <f>Weekly_Inventory_Flow!A218</f>
        <v>46328</v>
      </c>
      <c r="B218" s="13" t="str">
        <f>Weekly_Inventory_Flow!B218</f>
        <v>P002</v>
      </c>
      <c r="C218" s="25">
        <f>IF(SUMIFS(Weekly_Product_Demand!$C:$C,Weekly_Product_Demand!$A:$A,A218,Weekly_Product_Demand!$B:$B,B218)=0,0,
(SUMIFS(Weekly_Product_Demand!$D:$D,Weekly_Product_Demand!$A:$A,A218,Weekly_Product_Demand!$B:$B,B218)-
SUMIFS(Weekly_Product_Demand!$C:$C,Weekly_Product_Demand!$A:$A,A218,Weekly_Product_Demand!$B:$B,B218))/
SUMIFS(Weekly_Product_Demand!$C:$C,Weekly_Product_Demand!$A:$A,A218,Weekly_Product_Demand!$B:$B,B218))</f>
        <v>-9.4676392984634483E-3</v>
      </c>
      <c r="D218" s="25">
        <f>SUMIFS(Weekly_Inventory_Flow!$Q:$Q,Weekly_Inventory_Flow!$A:$A,A218,Weekly_Inventory_Flow!$B:$B,B218)</f>
        <v>0.99</v>
      </c>
      <c r="E218" s="26">
        <f>SUMIFS(Weekly_Inventory_Flow!$S:$S,Weekly_Inventory_Flow!$A:$A,A218,Weekly_Inventory_Flow!$B:$B,B218)</f>
        <v>1.9589470385459105</v>
      </c>
      <c r="F218" s="27">
        <f>SUMIFS(Weekly_Inventory_Flow!$N:$N,Weekly_Inventory_Flow!$A:$A,A218,Weekly_Inventory_Flow!$B:$B,B218)</f>
        <v>0</v>
      </c>
      <c r="G218" s="13" t="str">
        <f>_xlfn.XLOOKUP(B218,Product_Line_Map!$A$2:$A$6,Product_Line_Map!$B$2:$B$6,"")</f>
        <v>L02</v>
      </c>
      <c r="H218" s="25">
        <f>SUMIFS(Weekly_Line_Capacity!$J:$J,Weekly_Line_Capacity!$A:$A,A218,Weekly_Line_Capacity!$B:$B,G218)</f>
        <v>1.6190476190476188</v>
      </c>
      <c r="I218" s="27">
        <f>SUMIFS(Weekly_Line_Capacity!$K:$K,Weekly_Line_Capacity!$A:$A,A218,Weekly_Line_Capacity!$B:$B,G218)</f>
        <v>9749.9999999999982</v>
      </c>
      <c r="J218" s="13" t="str" cm="1">
        <f t="array" ref="J218">_xlfn.XLOOKUP(1,(Weekly_Line_Capacity!$A$2:$A$157=A218)*(Weekly_Line_Capacity!$B$2:$B$157=G218),Weekly_Line_Capacity!$L$2:$L$157,"")</f>
        <v>OVER CAPACITY</v>
      </c>
      <c r="K218" s="13" t="str">
        <f>_xlfn.XLOOKUP(B218,BOM!$A$2:$A$21,BOM!$B$2:$B$21,"")</f>
        <v>M002</v>
      </c>
      <c r="L218" s="27">
        <f>SUMIFS(Weekly_Material_Inventory!$K:$K,Weekly_Material_Inventory!$A:$A,A218,Weekly_Material_Inventory!$B:$B,K218)</f>
        <v>0</v>
      </c>
      <c r="M218">
        <f t="shared" si="9"/>
        <v>6</v>
      </c>
      <c r="N218" t="str">
        <f t="shared" si="10"/>
        <v>CRITICAL</v>
      </c>
      <c r="O218" t="str">
        <f t="shared" si="11"/>
        <v>CAPACITY CONSTRAINT</v>
      </c>
      <c r="P218" t="str" cm="1">
        <f t="array" ref="P218">_xlfn.SWITCH(O218,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Capacity</v>
      </c>
      <c r="Q218" t="str" cm="1">
        <f t="array" ref="Q218">_xlfn.SWITCH(O218,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line loading and production schedule; assess recovery capacity</v>
      </c>
      <c r="R218" t="str" cm="1">
        <f t="array" ref="R218">_xlfn.SWITCH(P218,
"Inventory / Service","Operations / Planning",
"Material Supply","Materials / Procurement",
"Capacity","Production / Planning",
"Production Execution","Production",
"Inventory","Operations / Planning",
"Demand Planning","Commercial / Planning",
"None","None",
"Operations")</f>
        <v>Production / Planning</v>
      </c>
    </row>
    <row r="219" spans="1:18">
      <c r="A219" s="30">
        <f>Weekly_Inventory_Flow!A219</f>
        <v>46328</v>
      </c>
      <c r="B219" s="13" t="str">
        <f>Weekly_Inventory_Flow!B219</f>
        <v>P003</v>
      </c>
      <c r="C219" s="25">
        <f>IF(SUMIFS(Weekly_Product_Demand!$C:$C,Weekly_Product_Demand!$A:$A,A219,Weekly_Product_Demand!$B:$B,B219)=0,0,
(SUMIFS(Weekly_Product_Demand!$D:$D,Weekly_Product_Demand!$A:$A,A219,Weekly_Product_Demand!$B:$B,B219)-
SUMIFS(Weekly_Product_Demand!$C:$C,Weekly_Product_Demand!$A:$A,A219,Weekly_Product_Demand!$B:$B,B219))/
SUMIFS(Weekly_Product_Demand!$C:$C,Weekly_Product_Demand!$A:$A,A219,Weekly_Product_Demand!$B:$B,B219))</f>
        <v>-3.1182888068035392E-2</v>
      </c>
      <c r="D219" s="25">
        <f>SUMIFS(Weekly_Inventory_Flow!$Q:$Q,Weekly_Inventory_Flow!$A:$A,A219,Weekly_Inventory_Flow!$B:$B,B219)</f>
        <v>0.98</v>
      </c>
      <c r="E219" s="26">
        <f>SUMIFS(Weekly_Inventory_Flow!$S:$S,Weekly_Inventory_Flow!$A:$A,A219,Weekly_Inventory_Flow!$B:$B,B219)</f>
        <v>1.8707217591771592</v>
      </c>
      <c r="F219" s="27">
        <f>SUMIFS(Weekly_Inventory_Flow!$N:$N,Weekly_Inventory_Flow!$A:$A,A219,Weekly_Inventory_Flow!$B:$B,B219)</f>
        <v>0</v>
      </c>
      <c r="G219" s="13" t="str">
        <f>_xlfn.XLOOKUP(B219,Product_Line_Map!$A$2:$A$6,Product_Line_Map!$B$2:$B$6,"")</f>
        <v>L03</v>
      </c>
      <c r="H219" s="25">
        <f>SUMIFS(Weekly_Line_Capacity!$J:$J,Weekly_Line_Capacity!$A:$A,A219,Weekly_Line_Capacity!$B:$B,G219)</f>
        <v>0.49285714285714288</v>
      </c>
      <c r="I219" s="27">
        <f>SUMIFS(Weekly_Line_Capacity!$K:$K,Weekly_Line_Capacity!$A:$A,A219,Weekly_Line_Capacity!$B:$B,G219)</f>
        <v>0</v>
      </c>
      <c r="J219" s="13" t="str" cm="1">
        <f t="array" ref="J219">_xlfn.XLOOKUP(1,(Weekly_Line_Capacity!$A$2:$A$157=A219)*(Weekly_Line_Capacity!$B$2:$B$157=G219),Weekly_Line_Capacity!$L$2:$L$157,"")</f>
        <v>WITHIN CAPACITY</v>
      </c>
      <c r="K219" s="13" t="str">
        <f>_xlfn.XLOOKUP(B219,BOM!$A$2:$A$21,BOM!$B$2:$B$21,"")</f>
        <v>M003</v>
      </c>
      <c r="L219" s="27">
        <f>SUMIFS(Weekly_Material_Inventory!$K:$K,Weekly_Material_Inventory!$A:$A,A219,Weekly_Material_Inventory!$B:$B,K219)</f>
        <v>0</v>
      </c>
      <c r="M219">
        <f t="shared" si="9"/>
        <v>1</v>
      </c>
      <c r="N219" t="str">
        <f t="shared" si="10"/>
        <v>WARNING</v>
      </c>
      <c r="O219" t="str">
        <f t="shared" si="11"/>
        <v>LOW STOCK COVER</v>
      </c>
      <c r="P219" t="str" cm="1">
        <f t="array" ref="P219">_xlfn.SWITCH(O219,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19" t="str" cm="1">
        <f t="array" ref="Q219">_xlfn.SWITCH(O219,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19" t="str" cm="1">
        <f t="array" ref="R219">_xlfn.SWITCH(P219,
"Inventory / Service","Operations / Planning",
"Material Supply","Materials / Procurement",
"Capacity","Production / Planning",
"Production Execution","Production",
"Inventory","Operations / Planning",
"Demand Planning","Commercial / Planning",
"None","None",
"Operations")</f>
        <v>Operations / Planning</v>
      </c>
    </row>
    <row r="220" spans="1:18">
      <c r="A220" s="30">
        <f>Weekly_Inventory_Flow!A220</f>
        <v>46328</v>
      </c>
      <c r="B220" s="13" t="str">
        <f>Weekly_Inventory_Flow!B220</f>
        <v>P004</v>
      </c>
      <c r="C220" s="25">
        <f>IF(SUMIFS(Weekly_Product_Demand!$C:$C,Weekly_Product_Demand!$A:$A,A220,Weekly_Product_Demand!$B:$B,B220)=0,0,
(SUMIFS(Weekly_Product_Demand!$D:$D,Weekly_Product_Demand!$A:$A,A220,Weekly_Product_Demand!$B:$B,B220)-
SUMIFS(Weekly_Product_Demand!$C:$C,Weekly_Product_Demand!$A:$A,A220,Weekly_Product_Demand!$B:$B,B220))/
SUMIFS(Weekly_Product_Demand!$C:$C,Weekly_Product_Demand!$A:$A,A220,Weekly_Product_Demand!$B:$B,B220))</f>
        <v>5.6785449757221626E-3</v>
      </c>
      <c r="D220" s="25">
        <f>SUMIFS(Weekly_Inventory_Flow!$Q:$Q,Weekly_Inventory_Flow!$A:$A,A220,Weekly_Inventory_Flow!$B:$B,B220)</f>
        <v>1.02</v>
      </c>
      <c r="E220" s="26">
        <f>SUMIFS(Weekly_Inventory_Flow!$S:$S,Weekly_Inventory_Flow!$A:$A,A220,Weekly_Inventory_Flow!$B:$B,B220)</f>
        <v>2.1933715220949264</v>
      </c>
      <c r="F220" s="27">
        <f>SUMIFS(Weekly_Inventory_Flow!$N:$N,Weekly_Inventory_Flow!$A:$A,A220,Weekly_Inventory_Flow!$B:$B,B220)</f>
        <v>0</v>
      </c>
      <c r="G220" s="13" t="str">
        <f>_xlfn.XLOOKUP(B220,Product_Line_Map!$A$2:$A$6,Product_Line_Map!$B$2:$B$6,"")</f>
        <v>L02</v>
      </c>
      <c r="H220" s="25">
        <f>SUMIFS(Weekly_Line_Capacity!$J:$J,Weekly_Line_Capacity!$A:$A,A220,Weekly_Line_Capacity!$B:$B,G220)</f>
        <v>1.6190476190476188</v>
      </c>
      <c r="I220" s="27">
        <f>SUMIFS(Weekly_Line_Capacity!$K:$K,Weekly_Line_Capacity!$A:$A,A220,Weekly_Line_Capacity!$B:$B,G220)</f>
        <v>9749.9999999999982</v>
      </c>
      <c r="J220" s="13" t="str" cm="1">
        <f t="array" ref="J220">_xlfn.XLOOKUP(1,(Weekly_Line_Capacity!$A$2:$A$157=A220)*(Weekly_Line_Capacity!$B$2:$B$157=G220),Weekly_Line_Capacity!$L$2:$L$157,"")</f>
        <v>OVER CAPACITY</v>
      </c>
      <c r="K220" s="13" t="str">
        <f>_xlfn.XLOOKUP(B220,BOM!$A$2:$A$21,BOM!$B$2:$B$21,"")</f>
        <v>M004</v>
      </c>
      <c r="L220" s="27">
        <f>SUMIFS(Weekly_Material_Inventory!$K:$K,Weekly_Material_Inventory!$A:$A,A220,Weekly_Material_Inventory!$B:$B,K220)</f>
        <v>0</v>
      </c>
      <c r="M220">
        <f t="shared" si="9"/>
        <v>5</v>
      </c>
      <c r="N220" t="str">
        <f t="shared" si="10"/>
        <v>CRITICAL</v>
      </c>
      <c r="O220" t="str">
        <f t="shared" si="11"/>
        <v>CAPACITY CONSTRAINT</v>
      </c>
      <c r="P220" t="str" cm="1">
        <f t="array" ref="P220">_xlfn.SWITCH(O220,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Capacity</v>
      </c>
      <c r="Q220" t="str" cm="1">
        <f t="array" ref="Q220">_xlfn.SWITCH(O220,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line loading and production schedule; assess recovery capacity</v>
      </c>
      <c r="R220" t="str" cm="1">
        <f t="array" ref="R220">_xlfn.SWITCH(P220,
"Inventory / Service","Operations / Planning",
"Material Supply","Materials / Procurement",
"Capacity","Production / Planning",
"Production Execution","Production",
"Inventory","Operations / Planning",
"Demand Planning","Commercial / Planning",
"None","None",
"Operations")</f>
        <v>Production / Planning</v>
      </c>
    </row>
    <row r="221" spans="1:18">
      <c r="A221" s="30">
        <f>Weekly_Inventory_Flow!A221</f>
        <v>46328</v>
      </c>
      <c r="B221" s="13" t="str">
        <f>Weekly_Inventory_Flow!B221</f>
        <v>P005</v>
      </c>
      <c r="C221" s="25">
        <f>IF(SUMIFS(Weekly_Product_Demand!$C:$C,Weekly_Product_Demand!$A:$A,A221,Weekly_Product_Demand!$B:$B,B221)=0,0,
(SUMIFS(Weekly_Product_Demand!$D:$D,Weekly_Product_Demand!$A:$A,A221,Weekly_Product_Demand!$B:$B,B221)-
SUMIFS(Weekly_Product_Demand!$C:$C,Weekly_Product_Demand!$A:$A,A221,Weekly_Product_Demand!$B:$B,B221))/
SUMIFS(Weekly_Product_Demand!$C:$C,Weekly_Product_Demand!$A:$A,A221,Weekly_Product_Demand!$B:$B,B221))</f>
        <v>3.7846020761245673E-3</v>
      </c>
      <c r="D221" s="25">
        <f>SUMIFS(Weekly_Inventory_Flow!$Q:$Q,Weekly_Inventory_Flow!$A:$A,A221,Weekly_Inventory_Flow!$B:$B,B221)</f>
        <v>0.99</v>
      </c>
      <c r="E221" s="26">
        <f>SUMIFS(Weekly_Inventory_Flow!$S:$S,Weekly_Inventory_Flow!$A:$A,A221,Weekly_Inventory_Flow!$B:$B,B221)</f>
        <v>1.9960142195410966</v>
      </c>
      <c r="F221" s="27">
        <f>SUMIFS(Weekly_Inventory_Flow!$N:$N,Weekly_Inventory_Flow!$A:$A,A221,Weekly_Inventory_Flow!$B:$B,B221)</f>
        <v>0</v>
      </c>
      <c r="G221" s="13" t="str">
        <f>_xlfn.XLOOKUP(B221,Product_Line_Map!$A$2:$A$6,Product_Line_Map!$B$2:$B$6,"")</f>
        <v>L03</v>
      </c>
      <c r="H221" s="25">
        <f>SUMIFS(Weekly_Line_Capacity!$J:$J,Weekly_Line_Capacity!$A:$A,A221,Weekly_Line_Capacity!$B:$B,G221)</f>
        <v>0.49285714285714288</v>
      </c>
      <c r="I221" s="27">
        <f>SUMIFS(Weekly_Line_Capacity!$K:$K,Weekly_Line_Capacity!$A:$A,A221,Weekly_Line_Capacity!$B:$B,G221)</f>
        <v>0</v>
      </c>
      <c r="J221" s="13" t="str" cm="1">
        <f t="array" ref="J221">_xlfn.XLOOKUP(1,(Weekly_Line_Capacity!$A$2:$A$157=A221)*(Weekly_Line_Capacity!$B$2:$B$157=G221),Weekly_Line_Capacity!$L$2:$L$157,"")</f>
        <v>WITHIN CAPACITY</v>
      </c>
      <c r="K221" s="13" t="str">
        <f>_xlfn.XLOOKUP(B221,BOM!$A$2:$A$21,BOM!$B$2:$B$21,"")</f>
        <v>M005</v>
      </c>
      <c r="L221" s="27">
        <f>SUMIFS(Weekly_Material_Inventory!$K:$K,Weekly_Material_Inventory!$A:$A,A221,Weekly_Material_Inventory!$B:$B,K221)</f>
        <v>0</v>
      </c>
      <c r="M221">
        <f t="shared" si="9"/>
        <v>1</v>
      </c>
      <c r="N221" t="str">
        <f t="shared" si="10"/>
        <v>WARNING</v>
      </c>
      <c r="O221" t="str">
        <f t="shared" si="11"/>
        <v>LOW STOCK COVER</v>
      </c>
      <c r="P221" t="str" cm="1">
        <f t="array" ref="P221">_xlfn.SWITCH(O221,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1" t="str" cm="1">
        <f t="array" ref="Q221">_xlfn.SWITCH(O221,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1" t="str" cm="1">
        <f t="array" ref="R221">_xlfn.SWITCH(P221,
"Inventory / Service","Operations / Planning",
"Material Supply","Materials / Procurement",
"Capacity","Production / Planning",
"Production Execution","Production",
"Inventory","Operations / Planning",
"Demand Planning","Commercial / Planning",
"None","None",
"Operations")</f>
        <v>Operations / Planning</v>
      </c>
    </row>
    <row r="222" spans="1:18">
      <c r="A222" s="30">
        <f>Weekly_Inventory_Flow!A222</f>
        <v>46335</v>
      </c>
      <c r="B222" s="13" t="str">
        <f>Weekly_Inventory_Flow!B222</f>
        <v>P001</v>
      </c>
      <c r="C222" s="25">
        <f>IF(SUMIFS(Weekly_Product_Demand!$C:$C,Weekly_Product_Demand!$A:$A,A222,Weekly_Product_Demand!$B:$B,B222)=0,0,
(SUMIFS(Weekly_Product_Demand!$D:$D,Weekly_Product_Demand!$A:$A,A222,Weekly_Product_Demand!$B:$B,B222)-
SUMIFS(Weekly_Product_Demand!$C:$C,Weekly_Product_Demand!$A:$A,A222,Weekly_Product_Demand!$B:$B,B222))/
SUMIFS(Weekly_Product_Demand!$C:$C,Weekly_Product_Demand!$A:$A,A222,Weekly_Product_Demand!$B:$B,B222))</f>
        <v>-4.6293836344314561E-2</v>
      </c>
      <c r="D222" s="25">
        <f>SUMIFS(Weekly_Inventory_Flow!$Q:$Q,Weekly_Inventory_Flow!$A:$A,A222,Weekly_Inventory_Flow!$B:$B,B222)</f>
        <v>0.97</v>
      </c>
      <c r="E222" s="26">
        <f>SUMIFS(Weekly_Inventory_Flow!$S:$S,Weekly_Inventory_Flow!$A:$A,A222,Weekly_Inventory_Flow!$B:$B,B222)</f>
        <v>1.8086217703182674</v>
      </c>
      <c r="F222" s="27">
        <f>SUMIFS(Weekly_Inventory_Flow!$N:$N,Weekly_Inventory_Flow!$A:$A,A222,Weekly_Inventory_Flow!$B:$B,B222)</f>
        <v>0</v>
      </c>
      <c r="G222" s="13" t="str">
        <f>_xlfn.XLOOKUP(B222,Product_Line_Map!$A$2:$A$6,Product_Line_Map!$B$2:$B$6,"")</f>
        <v>L01</v>
      </c>
      <c r="H222" s="25">
        <f>SUMIFS(Weekly_Line_Capacity!$J:$J,Weekly_Line_Capacity!$A:$A,A222,Weekly_Line_Capacity!$B:$B,G222)</f>
        <v>0.20760233918128657</v>
      </c>
      <c r="I222" s="27">
        <f>SUMIFS(Weekly_Line_Capacity!$K:$K,Weekly_Line_Capacity!$A:$A,A222,Weekly_Line_Capacity!$B:$B,G222)</f>
        <v>0</v>
      </c>
      <c r="J222" s="13" t="str" cm="1">
        <f t="array" ref="J222">_xlfn.XLOOKUP(1,(Weekly_Line_Capacity!$A$2:$A$157=A222)*(Weekly_Line_Capacity!$B$2:$B$157=G222),Weekly_Line_Capacity!$L$2:$L$157,"")</f>
        <v>WITHIN CAPACITY</v>
      </c>
      <c r="K222" s="13" t="str">
        <f>_xlfn.XLOOKUP(B222,BOM!$A$2:$A$21,BOM!$B$2:$B$21,"")</f>
        <v>M001</v>
      </c>
      <c r="L222" s="27">
        <f>SUMIFS(Weekly_Material_Inventory!$K:$K,Weekly_Material_Inventory!$A:$A,A222,Weekly_Material_Inventory!$B:$B,K222)</f>
        <v>0</v>
      </c>
      <c r="M222">
        <f t="shared" si="9"/>
        <v>1</v>
      </c>
      <c r="N222" t="str">
        <f t="shared" si="10"/>
        <v>WARNING</v>
      </c>
      <c r="O222" t="str">
        <f t="shared" si="11"/>
        <v>LOW STOCK COVER</v>
      </c>
      <c r="P222" t="str" cm="1">
        <f t="array" ref="P222">_xlfn.SWITCH(O222,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2" t="str" cm="1">
        <f t="array" ref="Q222">_xlfn.SWITCH(O222,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2" t="str" cm="1">
        <f t="array" ref="R222">_xlfn.SWITCH(P222,
"Inventory / Service","Operations / Planning",
"Material Supply","Materials / Procurement",
"Capacity","Production / Planning",
"Production Execution","Production",
"Inventory","Operations / Planning",
"Demand Planning","Commercial / Planning",
"None","None",
"Operations")</f>
        <v>Operations / Planning</v>
      </c>
    </row>
    <row r="223" spans="1:18">
      <c r="A223" s="30">
        <f>Weekly_Inventory_Flow!A223</f>
        <v>46335</v>
      </c>
      <c r="B223" s="13" t="str">
        <f>Weekly_Inventory_Flow!B223</f>
        <v>P002</v>
      </c>
      <c r="C223" s="25">
        <f>IF(SUMIFS(Weekly_Product_Demand!$C:$C,Weekly_Product_Demand!$A:$A,A223,Weekly_Product_Demand!$B:$B,B223)=0,0,
(SUMIFS(Weekly_Product_Demand!$D:$D,Weekly_Product_Demand!$A:$A,A223,Weekly_Product_Demand!$B:$B,B223)-
SUMIFS(Weekly_Product_Demand!$C:$C,Weekly_Product_Demand!$A:$A,A223,Weekly_Product_Demand!$B:$B,B223))/
SUMIFS(Weekly_Product_Demand!$C:$C,Weekly_Product_Demand!$A:$A,A223,Weekly_Product_Demand!$B:$B,B223))</f>
        <v>-3.0504079920689394E-4</v>
      </c>
      <c r="D223" s="25">
        <f>SUMIFS(Weekly_Inventory_Flow!$Q:$Q,Weekly_Inventory_Flow!$A:$A,A223,Weekly_Inventory_Flow!$B:$B,B223)</f>
        <v>1</v>
      </c>
      <c r="E223" s="26">
        <f>SUMIFS(Weekly_Inventory_Flow!$S:$S,Weekly_Inventory_Flow!$A:$A,A223,Weekly_Inventory_Flow!$B:$B,B223)</f>
        <v>2.0093828667327789</v>
      </c>
      <c r="F223" s="27">
        <f>SUMIFS(Weekly_Inventory_Flow!$N:$N,Weekly_Inventory_Flow!$A:$A,A223,Weekly_Inventory_Flow!$B:$B,B223)</f>
        <v>0</v>
      </c>
      <c r="G223" s="13" t="str">
        <f>_xlfn.XLOOKUP(B223,Product_Line_Map!$A$2:$A$6,Product_Line_Map!$B$2:$B$6,"")</f>
        <v>L02</v>
      </c>
      <c r="H223" s="25">
        <f>SUMIFS(Weekly_Line_Capacity!$J:$J,Weekly_Line_Capacity!$A:$A,A223,Weekly_Line_Capacity!$B:$B,G223)</f>
        <v>0.47619047619047622</v>
      </c>
      <c r="I223" s="27">
        <f>SUMIFS(Weekly_Line_Capacity!$K:$K,Weekly_Line_Capacity!$A:$A,A223,Weekly_Line_Capacity!$B:$B,G223)</f>
        <v>0</v>
      </c>
      <c r="J223" s="13" t="str" cm="1">
        <f t="array" ref="J223">_xlfn.XLOOKUP(1,(Weekly_Line_Capacity!$A$2:$A$157=A223)*(Weekly_Line_Capacity!$B$2:$B$157=G223),Weekly_Line_Capacity!$L$2:$L$157,"")</f>
        <v>WITHIN CAPACITY</v>
      </c>
      <c r="K223" s="13" t="str">
        <f>_xlfn.XLOOKUP(B223,BOM!$A$2:$A$21,BOM!$B$2:$B$21,"")</f>
        <v>M002</v>
      </c>
      <c r="L223" s="27">
        <f>SUMIFS(Weekly_Material_Inventory!$K:$K,Weekly_Material_Inventory!$A:$A,A223,Weekly_Material_Inventory!$B:$B,K223)</f>
        <v>0</v>
      </c>
      <c r="M223">
        <f t="shared" si="9"/>
        <v>0</v>
      </c>
      <c r="N223" t="str">
        <f t="shared" si="10"/>
        <v>OK</v>
      </c>
      <c r="O223" t="str">
        <f t="shared" si="11"/>
        <v>NONE</v>
      </c>
      <c r="P223" t="str" cm="1">
        <f t="array" ref="P223">_xlfn.SWITCH(O223,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23" t="str" cm="1">
        <f t="array" ref="Q223">_xlfn.SWITCH(O223,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23" t="str" cm="1">
        <f t="array" ref="R223">_xlfn.SWITCH(P223,
"Inventory / Service","Operations / Planning",
"Material Supply","Materials / Procurement",
"Capacity","Production / Planning",
"Production Execution","Production",
"Inventory","Operations / Planning",
"Demand Planning","Commercial / Planning",
"None","None",
"Operations")</f>
        <v>None</v>
      </c>
    </row>
    <row r="224" spans="1:18">
      <c r="A224" s="30">
        <f>Weekly_Inventory_Flow!A224</f>
        <v>46335</v>
      </c>
      <c r="B224" s="13" t="str">
        <f>Weekly_Inventory_Flow!B224</f>
        <v>P003</v>
      </c>
      <c r="C224" s="25">
        <f>IF(SUMIFS(Weekly_Product_Demand!$C:$C,Weekly_Product_Demand!$A:$A,A224,Weekly_Product_Demand!$B:$B,B224)=0,0,
(SUMIFS(Weekly_Product_Demand!$D:$D,Weekly_Product_Demand!$A:$A,A224,Weekly_Product_Demand!$B:$B,B224)-
SUMIFS(Weekly_Product_Demand!$C:$C,Weekly_Product_Demand!$A:$A,A224,Weekly_Product_Demand!$B:$B,B224))/
SUMIFS(Weekly_Product_Demand!$C:$C,Weekly_Product_Demand!$A:$A,A224,Weekly_Product_Demand!$B:$B,B224))</f>
        <v>3.0278813709820634E-2</v>
      </c>
      <c r="D224" s="25">
        <f>SUMIFS(Weekly_Inventory_Flow!$Q:$Q,Weekly_Inventory_Flow!$A:$A,A224,Weekly_Inventory_Flow!$B:$B,B224)</f>
        <v>0.98</v>
      </c>
      <c r="E224" s="26">
        <f>SUMIFS(Weekly_Inventory_Flow!$S:$S,Weekly_Inventory_Flow!$A:$A,A224,Weekly_Inventory_Flow!$B:$B,B224)</f>
        <v>1.9130397311040248</v>
      </c>
      <c r="F224" s="27">
        <f>SUMIFS(Weekly_Inventory_Flow!$N:$N,Weekly_Inventory_Flow!$A:$A,A224,Weekly_Inventory_Flow!$B:$B,B224)</f>
        <v>0</v>
      </c>
      <c r="G224" s="13" t="str">
        <f>_xlfn.XLOOKUP(B224,Product_Line_Map!$A$2:$A$6,Product_Line_Map!$B$2:$B$6,"")</f>
        <v>L03</v>
      </c>
      <c r="H224" s="25">
        <f>SUMIFS(Weekly_Line_Capacity!$J:$J,Weekly_Line_Capacity!$A:$A,A224,Weekly_Line_Capacity!$B:$B,G224)</f>
        <v>0.50238095238095237</v>
      </c>
      <c r="I224" s="27">
        <f>SUMIFS(Weekly_Line_Capacity!$K:$K,Weekly_Line_Capacity!$A:$A,A224,Weekly_Line_Capacity!$B:$B,G224)</f>
        <v>0</v>
      </c>
      <c r="J224" s="13" t="str" cm="1">
        <f t="array" ref="J224">_xlfn.XLOOKUP(1,(Weekly_Line_Capacity!$A$2:$A$157=A224)*(Weekly_Line_Capacity!$B$2:$B$157=G224),Weekly_Line_Capacity!$L$2:$L$157,"")</f>
        <v>WITHIN CAPACITY</v>
      </c>
      <c r="K224" s="13" t="str">
        <f>_xlfn.XLOOKUP(B224,BOM!$A$2:$A$21,BOM!$B$2:$B$21,"")</f>
        <v>M003</v>
      </c>
      <c r="L224" s="27">
        <f>SUMIFS(Weekly_Material_Inventory!$K:$K,Weekly_Material_Inventory!$A:$A,A224,Weekly_Material_Inventory!$B:$B,K224)</f>
        <v>0</v>
      </c>
      <c r="M224">
        <f t="shared" si="9"/>
        <v>1</v>
      </c>
      <c r="N224" t="str">
        <f t="shared" si="10"/>
        <v>WARNING</v>
      </c>
      <c r="O224" t="str">
        <f t="shared" si="11"/>
        <v>LOW STOCK COVER</v>
      </c>
      <c r="P224" t="str" cm="1">
        <f t="array" ref="P224">_xlfn.SWITCH(O224,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4" t="str" cm="1">
        <f t="array" ref="Q224">_xlfn.SWITCH(O224,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4" t="str" cm="1">
        <f t="array" ref="R224">_xlfn.SWITCH(P224,
"Inventory / Service","Operations / Planning",
"Material Supply","Materials / Procurement",
"Capacity","Production / Planning",
"Production Execution","Production",
"Inventory","Operations / Planning",
"Demand Planning","Commercial / Planning",
"None","None",
"Operations")</f>
        <v>Operations / Planning</v>
      </c>
    </row>
    <row r="225" spans="1:18">
      <c r="A225" s="30">
        <f>Weekly_Inventory_Flow!A225</f>
        <v>46335</v>
      </c>
      <c r="B225" s="13" t="str">
        <f>Weekly_Inventory_Flow!B225</f>
        <v>P004</v>
      </c>
      <c r="C225" s="25">
        <f>IF(SUMIFS(Weekly_Product_Demand!$C:$C,Weekly_Product_Demand!$A:$A,A225,Weekly_Product_Demand!$B:$B,B225)=0,0,
(SUMIFS(Weekly_Product_Demand!$D:$D,Weekly_Product_Demand!$A:$A,A225,Weekly_Product_Demand!$B:$B,B225)-
SUMIFS(Weekly_Product_Demand!$C:$C,Weekly_Product_Demand!$A:$A,A225,Weekly_Product_Demand!$B:$B,B225))/
SUMIFS(Weekly_Product_Demand!$C:$C,Weekly_Product_Demand!$A:$A,A225,Weekly_Product_Demand!$B:$B,B225))</f>
        <v>-8.4193148988856784E-3</v>
      </c>
      <c r="D225" s="25">
        <f>SUMIFS(Weekly_Inventory_Flow!$Q:$Q,Weekly_Inventory_Flow!$A:$A,A225,Weekly_Inventory_Flow!$B:$B,B225)</f>
        <v>0.99</v>
      </c>
      <c r="E225" s="26">
        <f>SUMIFS(Weekly_Inventory_Flow!$S:$S,Weekly_Inventory_Flow!$A:$A,A225,Weekly_Inventory_Flow!$B:$B,B225)</f>
        <v>1.9806043452925997</v>
      </c>
      <c r="F225" s="27">
        <f>SUMIFS(Weekly_Inventory_Flow!$N:$N,Weekly_Inventory_Flow!$A:$A,A225,Weekly_Inventory_Flow!$B:$B,B225)</f>
        <v>0</v>
      </c>
      <c r="G225" s="13" t="str">
        <f>_xlfn.XLOOKUP(B225,Product_Line_Map!$A$2:$A$6,Product_Line_Map!$B$2:$B$6,"")</f>
        <v>L02</v>
      </c>
      <c r="H225" s="25">
        <f>SUMIFS(Weekly_Line_Capacity!$J:$J,Weekly_Line_Capacity!$A:$A,A225,Weekly_Line_Capacity!$B:$B,G225)</f>
        <v>0.47619047619047622</v>
      </c>
      <c r="I225" s="27">
        <f>SUMIFS(Weekly_Line_Capacity!$K:$K,Weekly_Line_Capacity!$A:$A,A225,Weekly_Line_Capacity!$B:$B,G225)</f>
        <v>0</v>
      </c>
      <c r="J225" s="13" t="str" cm="1">
        <f t="array" ref="J225">_xlfn.XLOOKUP(1,(Weekly_Line_Capacity!$A$2:$A$157=A225)*(Weekly_Line_Capacity!$B$2:$B$157=G225),Weekly_Line_Capacity!$L$2:$L$157,"")</f>
        <v>WITHIN CAPACITY</v>
      </c>
      <c r="K225" s="13" t="str">
        <f>_xlfn.XLOOKUP(B225,BOM!$A$2:$A$21,BOM!$B$2:$B$21,"")</f>
        <v>M004</v>
      </c>
      <c r="L225" s="27">
        <f>SUMIFS(Weekly_Material_Inventory!$K:$K,Weekly_Material_Inventory!$A:$A,A225,Weekly_Material_Inventory!$B:$B,K225)</f>
        <v>0</v>
      </c>
      <c r="M225">
        <f t="shared" si="9"/>
        <v>1</v>
      </c>
      <c r="N225" t="str">
        <f t="shared" si="10"/>
        <v>WARNING</v>
      </c>
      <c r="O225" t="str">
        <f t="shared" si="11"/>
        <v>LOW STOCK COVER</v>
      </c>
      <c r="P225" t="str" cm="1">
        <f t="array" ref="P225">_xlfn.SWITCH(O225,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5" t="str" cm="1">
        <f t="array" ref="Q225">_xlfn.SWITCH(O225,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5" t="str" cm="1">
        <f t="array" ref="R225">_xlfn.SWITCH(P225,
"Inventory / Service","Operations / Planning",
"Material Supply","Materials / Procurement",
"Capacity","Production / Planning",
"Production Execution","Production",
"Inventory","Operations / Planning",
"Demand Planning","Commercial / Planning",
"None","None",
"Operations")</f>
        <v>Operations / Planning</v>
      </c>
    </row>
    <row r="226" spans="1:18">
      <c r="A226" s="30">
        <f>Weekly_Inventory_Flow!A226</f>
        <v>46335</v>
      </c>
      <c r="B226" s="13" t="str">
        <f>Weekly_Inventory_Flow!B226</f>
        <v>P005</v>
      </c>
      <c r="C226" s="25">
        <f>IF(SUMIFS(Weekly_Product_Demand!$C:$C,Weekly_Product_Demand!$A:$A,A226,Weekly_Product_Demand!$B:$B,B226)=0,0,
(SUMIFS(Weekly_Product_Demand!$D:$D,Weekly_Product_Demand!$A:$A,A226,Weekly_Product_Demand!$B:$B,B226)-
SUMIFS(Weekly_Product_Demand!$C:$C,Weekly_Product_Demand!$A:$A,A226,Weekly_Product_Demand!$B:$B,B226))/
SUMIFS(Weekly_Product_Demand!$C:$C,Weekly_Product_Demand!$A:$A,A226,Weekly_Product_Demand!$B:$B,B226))</f>
        <v>1.9187612208258528E-2</v>
      </c>
      <c r="D226" s="25">
        <f>SUMIFS(Weekly_Inventory_Flow!$Q:$Q,Weekly_Inventory_Flow!$A:$A,A226,Weekly_Inventory_Flow!$B:$B,B226)</f>
        <v>0.97</v>
      </c>
      <c r="E226" s="26">
        <f>SUMIFS(Weekly_Inventory_Flow!$S:$S,Weekly_Inventory_Flow!$A:$A,A226,Weekly_Inventory_Flow!$B:$B,B226)</f>
        <v>1.8426731256192885</v>
      </c>
      <c r="F226" s="27">
        <f>SUMIFS(Weekly_Inventory_Flow!$N:$N,Weekly_Inventory_Flow!$A:$A,A226,Weekly_Inventory_Flow!$B:$B,B226)</f>
        <v>0</v>
      </c>
      <c r="G226" s="13" t="str">
        <f>_xlfn.XLOOKUP(B226,Product_Line_Map!$A$2:$A$6,Product_Line_Map!$B$2:$B$6,"")</f>
        <v>L03</v>
      </c>
      <c r="H226" s="25">
        <f>SUMIFS(Weekly_Line_Capacity!$J:$J,Weekly_Line_Capacity!$A:$A,A226,Weekly_Line_Capacity!$B:$B,G226)</f>
        <v>0.50238095238095237</v>
      </c>
      <c r="I226" s="27">
        <f>SUMIFS(Weekly_Line_Capacity!$K:$K,Weekly_Line_Capacity!$A:$A,A226,Weekly_Line_Capacity!$B:$B,G226)</f>
        <v>0</v>
      </c>
      <c r="J226" s="13" t="str" cm="1">
        <f t="array" ref="J226">_xlfn.XLOOKUP(1,(Weekly_Line_Capacity!$A$2:$A$157=A226)*(Weekly_Line_Capacity!$B$2:$B$157=G226),Weekly_Line_Capacity!$L$2:$L$157,"")</f>
        <v>WITHIN CAPACITY</v>
      </c>
      <c r="K226" s="13" t="str">
        <f>_xlfn.XLOOKUP(B226,BOM!$A$2:$A$21,BOM!$B$2:$B$21,"")</f>
        <v>M005</v>
      </c>
      <c r="L226" s="27">
        <f>SUMIFS(Weekly_Material_Inventory!$K:$K,Weekly_Material_Inventory!$A:$A,A226,Weekly_Material_Inventory!$B:$B,K226)</f>
        <v>0</v>
      </c>
      <c r="M226">
        <f t="shared" si="9"/>
        <v>1</v>
      </c>
      <c r="N226" t="str">
        <f t="shared" si="10"/>
        <v>WARNING</v>
      </c>
      <c r="O226" t="str">
        <f t="shared" si="11"/>
        <v>LOW STOCK COVER</v>
      </c>
      <c r="P226" t="str" cm="1">
        <f t="array" ref="P226">_xlfn.SWITCH(O226,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6" t="str" cm="1">
        <f t="array" ref="Q226">_xlfn.SWITCH(O226,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6" t="str" cm="1">
        <f t="array" ref="R226">_xlfn.SWITCH(P226,
"Inventory / Service","Operations / Planning",
"Material Supply","Materials / Procurement",
"Capacity","Production / Planning",
"Production Execution","Production",
"Inventory","Operations / Planning",
"Demand Planning","Commercial / Planning",
"None","None",
"Operations")</f>
        <v>Operations / Planning</v>
      </c>
    </row>
    <row r="227" spans="1:18">
      <c r="A227" s="30">
        <f>Weekly_Inventory_Flow!A227</f>
        <v>46342</v>
      </c>
      <c r="B227" s="13" t="str">
        <f>Weekly_Inventory_Flow!B227</f>
        <v>P001</v>
      </c>
      <c r="C227" s="25">
        <f>IF(SUMIFS(Weekly_Product_Demand!$C:$C,Weekly_Product_Demand!$A:$A,A227,Weekly_Product_Demand!$B:$B,B227)=0,0,
(SUMIFS(Weekly_Product_Demand!$D:$D,Weekly_Product_Demand!$A:$A,A227,Weekly_Product_Demand!$B:$B,B227)-
SUMIFS(Weekly_Product_Demand!$C:$C,Weekly_Product_Demand!$A:$A,A227,Weekly_Product_Demand!$B:$B,B227))/
SUMIFS(Weekly_Product_Demand!$C:$C,Weekly_Product_Demand!$A:$A,A227,Weekly_Product_Demand!$B:$B,B227))</f>
        <v>1.9852941176470587E-2</v>
      </c>
      <c r="D227" s="25">
        <f>SUMIFS(Weekly_Inventory_Flow!$Q:$Q,Weekly_Inventory_Flow!$A:$A,A227,Weekly_Inventory_Flow!$B:$B,B227)</f>
        <v>0.98</v>
      </c>
      <c r="E227" s="26">
        <f>SUMIFS(Weekly_Inventory_Flow!$S:$S,Weekly_Inventory_Flow!$A:$A,A227,Weekly_Inventory_Flow!$B:$B,B227)</f>
        <v>1.8962443468571804</v>
      </c>
      <c r="F227" s="27">
        <f>SUMIFS(Weekly_Inventory_Flow!$N:$N,Weekly_Inventory_Flow!$A:$A,A227,Weekly_Inventory_Flow!$B:$B,B227)</f>
        <v>0</v>
      </c>
      <c r="G227" s="13" t="str">
        <f>_xlfn.XLOOKUP(B227,Product_Line_Map!$A$2:$A$6,Product_Line_Map!$B$2:$B$6,"")</f>
        <v>L01</v>
      </c>
      <c r="H227" s="25">
        <f>SUMIFS(Weekly_Line_Capacity!$J:$J,Weekly_Line_Capacity!$A:$A,A227,Weekly_Line_Capacity!$B:$B,G227)</f>
        <v>0.23391812865497078</v>
      </c>
      <c r="I227" s="27">
        <f>SUMIFS(Weekly_Line_Capacity!$K:$K,Weekly_Line_Capacity!$A:$A,A227,Weekly_Line_Capacity!$B:$B,G227)</f>
        <v>0</v>
      </c>
      <c r="J227" s="13" t="str" cm="1">
        <f t="array" ref="J227">_xlfn.XLOOKUP(1,(Weekly_Line_Capacity!$A$2:$A$157=A227)*(Weekly_Line_Capacity!$B$2:$B$157=G227),Weekly_Line_Capacity!$L$2:$L$157,"")</f>
        <v>WITHIN CAPACITY</v>
      </c>
      <c r="K227" s="13" t="str">
        <f>_xlfn.XLOOKUP(B227,BOM!$A$2:$A$21,BOM!$B$2:$B$21,"")</f>
        <v>M001</v>
      </c>
      <c r="L227" s="27">
        <f>SUMIFS(Weekly_Material_Inventory!$K:$K,Weekly_Material_Inventory!$A:$A,A227,Weekly_Material_Inventory!$B:$B,K227)</f>
        <v>0</v>
      </c>
      <c r="M227">
        <f t="shared" si="9"/>
        <v>1</v>
      </c>
      <c r="N227" t="str">
        <f t="shared" si="10"/>
        <v>WARNING</v>
      </c>
      <c r="O227" t="str">
        <f t="shared" si="11"/>
        <v>LOW STOCK COVER</v>
      </c>
      <c r="P227" t="str" cm="1">
        <f t="array" ref="P227">_xlfn.SWITCH(O227,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7" t="str" cm="1">
        <f t="array" ref="Q227">_xlfn.SWITCH(O227,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7" t="str" cm="1">
        <f t="array" ref="R227">_xlfn.SWITCH(P227,
"Inventory / Service","Operations / Planning",
"Material Supply","Materials / Procurement",
"Capacity","Production / Planning",
"Production Execution","Production",
"Inventory","Operations / Planning",
"Demand Planning","Commercial / Planning",
"None","None",
"Operations")</f>
        <v>Operations / Planning</v>
      </c>
    </row>
    <row r="228" spans="1:18">
      <c r="A228" s="30">
        <f>Weekly_Inventory_Flow!A228</f>
        <v>46342</v>
      </c>
      <c r="B228" s="13" t="str">
        <f>Weekly_Inventory_Flow!B228</f>
        <v>P002</v>
      </c>
      <c r="C228" s="25">
        <f>IF(SUMIFS(Weekly_Product_Demand!$C:$C,Weekly_Product_Demand!$A:$A,A228,Weekly_Product_Demand!$B:$B,B228)=0,0,
(SUMIFS(Weekly_Product_Demand!$D:$D,Weekly_Product_Demand!$A:$A,A228,Weekly_Product_Demand!$B:$B,B228)-
SUMIFS(Weekly_Product_Demand!$C:$C,Weekly_Product_Demand!$A:$A,A228,Weekly_Product_Demand!$B:$B,B228))/
SUMIFS(Weekly_Product_Demand!$C:$C,Weekly_Product_Demand!$A:$A,A228,Weekly_Product_Demand!$B:$B,B228))</f>
        <v>2.5164628410159925E-2</v>
      </c>
      <c r="D228" s="25">
        <f>SUMIFS(Weekly_Inventory_Flow!$Q:$Q,Weekly_Inventory_Flow!$A:$A,A228,Weekly_Inventory_Flow!$B:$B,B228)</f>
        <v>0.99</v>
      </c>
      <c r="E228" s="26">
        <f>SUMIFS(Weekly_Inventory_Flow!$S:$S,Weekly_Inventory_Flow!$A:$A,A228,Weekly_Inventory_Flow!$B:$B,B228)</f>
        <v>1.9564884912441691</v>
      </c>
      <c r="F228" s="27">
        <f>SUMIFS(Weekly_Inventory_Flow!$N:$N,Weekly_Inventory_Flow!$A:$A,A228,Weekly_Inventory_Flow!$B:$B,B228)</f>
        <v>0</v>
      </c>
      <c r="G228" s="13" t="str">
        <f>_xlfn.XLOOKUP(B228,Product_Line_Map!$A$2:$A$6,Product_Line_Map!$B$2:$B$6,"")</f>
        <v>L02</v>
      </c>
      <c r="H228" s="25">
        <f>SUMIFS(Weekly_Line_Capacity!$J:$J,Weekly_Line_Capacity!$A:$A,A228,Weekly_Line_Capacity!$B:$B,G228)</f>
        <v>0.48571428571428571</v>
      </c>
      <c r="I228" s="27">
        <f>SUMIFS(Weekly_Line_Capacity!$K:$K,Weekly_Line_Capacity!$A:$A,A228,Weekly_Line_Capacity!$B:$B,G228)</f>
        <v>0</v>
      </c>
      <c r="J228" s="13" t="str" cm="1">
        <f t="array" ref="J228">_xlfn.XLOOKUP(1,(Weekly_Line_Capacity!$A$2:$A$157=A228)*(Weekly_Line_Capacity!$B$2:$B$157=G228),Weekly_Line_Capacity!$L$2:$L$157,"")</f>
        <v>WITHIN CAPACITY</v>
      </c>
      <c r="K228" s="13" t="str">
        <f>_xlfn.XLOOKUP(B228,BOM!$A$2:$A$21,BOM!$B$2:$B$21,"")</f>
        <v>M002</v>
      </c>
      <c r="L228" s="27">
        <f>SUMIFS(Weekly_Material_Inventory!$K:$K,Weekly_Material_Inventory!$A:$A,A228,Weekly_Material_Inventory!$B:$B,K228)</f>
        <v>0</v>
      </c>
      <c r="M228">
        <f t="shared" si="9"/>
        <v>1</v>
      </c>
      <c r="N228" t="str">
        <f t="shared" si="10"/>
        <v>WARNING</v>
      </c>
      <c r="O228" t="str">
        <f t="shared" si="11"/>
        <v>LOW STOCK COVER</v>
      </c>
      <c r="P228" t="str" cm="1">
        <f t="array" ref="P228">_xlfn.SWITCH(O228,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8" t="str" cm="1">
        <f t="array" ref="Q228">_xlfn.SWITCH(O228,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8" t="str" cm="1">
        <f t="array" ref="R228">_xlfn.SWITCH(P228,
"Inventory / Service","Operations / Planning",
"Material Supply","Materials / Procurement",
"Capacity","Production / Planning",
"Production Execution","Production",
"Inventory","Operations / Planning",
"Demand Planning","Commercial / Planning",
"None","None",
"Operations")</f>
        <v>Operations / Planning</v>
      </c>
    </row>
    <row r="229" spans="1:18">
      <c r="A229" s="30">
        <f>Weekly_Inventory_Flow!A229</f>
        <v>46342</v>
      </c>
      <c r="B229" s="13" t="str">
        <f>Weekly_Inventory_Flow!B229</f>
        <v>P003</v>
      </c>
      <c r="C229" s="25">
        <f>IF(SUMIFS(Weekly_Product_Demand!$C:$C,Weekly_Product_Demand!$A:$A,A229,Weekly_Product_Demand!$B:$B,B229)=0,0,
(SUMIFS(Weekly_Product_Demand!$D:$D,Weekly_Product_Demand!$A:$A,A229,Weekly_Product_Demand!$B:$B,B229)-
SUMIFS(Weekly_Product_Demand!$C:$C,Weekly_Product_Demand!$A:$A,A229,Weekly_Product_Demand!$B:$B,B229))/
SUMIFS(Weekly_Product_Demand!$C:$C,Weekly_Product_Demand!$A:$A,A229,Weekly_Product_Demand!$B:$B,B229))</f>
        <v>1.3628024809993885E-2</v>
      </c>
      <c r="D229" s="25">
        <f>SUMIFS(Weekly_Inventory_Flow!$Q:$Q,Weekly_Inventory_Flow!$A:$A,A229,Weekly_Inventory_Flow!$B:$B,B229)</f>
        <v>0.97</v>
      </c>
      <c r="E229" s="26">
        <f>SUMIFS(Weekly_Inventory_Flow!$S:$S,Weekly_Inventory_Flow!$A:$A,A229,Weekly_Inventory_Flow!$B:$B,B229)</f>
        <v>1.8183228475394293</v>
      </c>
      <c r="F229" s="27">
        <f>SUMIFS(Weekly_Inventory_Flow!$N:$N,Weekly_Inventory_Flow!$A:$A,A229,Weekly_Inventory_Flow!$B:$B,B229)</f>
        <v>0</v>
      </c>
      <c r="G229" s="13" t="str">
        <f>_xlfn.XLOOKUP(B229,Product_Line_Map!$A$2:$A$6,Product_Line_Map!$B$2:$B$6,"")</f>
        <v>L03</v>
      </c>
      <c r="H229" s="25">
        <f>SUMIFS(Weekly_Line_Capacity!$J:$J,Weekly_Line_Capacity!$A:$A,A229,Weekly_Line_Capacity!$B:$B,G229)</f>
        <v>0.50476190476190474</v>
      </c>
      <c r="I229" s="27">
        <f>SUMIFS(Weekly_Line_Capacity!$K:$K,Weekly_Line_Capacity!$A:$A,A229,Weekly_Line_Capacity!$B:$B,G229)</f>
        <v>0</v>
      </c>
      <c r="J229" s="13" t="str" cm="1">
        <f t="array" ref="J229">_xlfn.XLOOKUP(1,(Weekly_Line_Capacity!$A$2:$A$157=A229)*(Weekly_Line_Capacity!$B$2:$B$157=G229),Weekly_Line_Capacity!$L$2:$L$157,"")</f>
        <v>WITHIN CAPACITY</v>
      </c>
      <c r="K229" s="13" t="str">
        <f>_xlfn.XLOOKUP(B229,BOM!$A$2:$A$21,BOM!$B$2:$B$21,"")</f>
        <v>M003</v>
      </c>
      <c r="L229" s="27">
        <f>SUMIFS(Weekly_Material_Inventory!$K:$K,Weekly_Material_Inventory!$A:$A,A229,Weekly_Material_Inventory!$B:$B,K229)</f>
        <v>0</v>
      </c>
      <c r="M229">
        <f t="shared" si="9"/>
        <v>1</v>
      </c>
      <c r="N229" t="str">
        <f t="shared" si="10"/>
        <v>WARNING</v>
      </c>
      <c r="O229" t="str">
        <f t="shared" si="11"/>
        <v>LOW STOCK COVER</v>
      </c>
      <c r="P229" t="str" cm="1">
        <f t="array" ref="P229">_xlfn.SWITCH(O229,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29" t="str" cm="1">
        <f t="array" ref="Q229">_xlfn.SWITCH(O229,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29" t="str" cm="1">
        <f t="array" ref="R229">_xlfn.SWITCH(P229,
"Inventory / Service","Operations / Planning",
"Material Supply","Materials / Procurement",
"Capacity","Production / Planning",
"Production Execution","Production",
"Inventory","Operations / Planning",
"Demand Planning","Commercial / Planning",
"None","None",
"Operations")</f>
        <v>Operations / Planning</v>
      </c>
    </row>
    <row r="230" spans="1:18">
      <c r="A230" s="30">
        <f>Weekly_Inventory_Flow!A230</f>
        <v>46342</v>
      </c>
      <c r="B230" s="13" t="str">
        <f>Weekly_Inventory_Flow!B230</f>
        <v>P004</v>
      </c>
      <c r="C230" s="25">
        <f>IF(SUMIFS(Weekly_Product_Demand!$C:$C,Weekly_Product_Demand!$A:$A,A230,Weekly_Product_Demand!$B:$B,B230)=0,0,
(SUMIFS(Weekly_Product_Demand!$D:$D,Weekly_Product_Demand!$A:$A,A230,Weekly_Product_Demand!$B:$B,B230)-
SUMIFS(Weekly_Product_Demand!$C:$C,Weekly_Product_Demand!$A:$A,A230,Weekly_Product_Demand!$B:$B,B230))/
SUMIFS(Weekly_Product_Demand!$C:$C,Weekly_Product_Demand!$A:$A,A230,Weekly_Product_Demand!$B:$B,B230))</f>
        <v>3.6211699164345405E-2</v>
      </c>
      <c r="D230" s="25">
        <f>SUMIFS(Weekly_Inventory_Flow!$Q:$Q,Weekly_Inventory_Flow!$A:$A,A230,Weekly_Inventory_Flow!$B:$B,B230)</f>
        <v>1.02</v>
      </c>
      <c r="E230" s="26">
        <f>SUMIFS(Weekly_Inventory_Flow!$S:$S,Weekly_Inventory_Flow!$A:$A,A230,Weekly_Inventory_Flow!$B:$B,B230)</f>
        <v>2.1502932551319649</v>
      </c>
      <c r="F230" s="27">
        <f>SUMIFS(Weekly_Inventory_Flow!$N:$N,Weekly_Inventory_Flow!$A:$A,A230,Weekly_Inventory_Flow!$B:$B,B230)</f>
        <v>0</v>
      </c>
      <c r="G230" s="13" t="str">
        <f>_xlfn.XLOOKUP(B230,Product_Line_Map!$A$2:$A$6,Product_Line_Map!$B$2:$B$6,"")</f>
        <v>L02</v>
      </c>
      <c r="H230" s="25">
        <f>SUMIFS(Weekly_Line_Capacity!$J:$J,Weekly_Line_Capacity!$A:$A,A230,Weekly_Line_Capacity!$B:$B,G230)</f>
        <v>0.48571428571428571</v>
      </c>
      <c r="I230" s="27">
        <f>SUMIFS(Weekly_Line_Capacity!$K:$K,Weekly_Line_Capacity!$A:$A,A230,Weekly_Line_Capacity!$B:$B,G230)</f>
        <v>0</v>
      </c>
      <c r="J230" s="13" t="str" cm="1">
        <f t="array" ref="J230">_xlfn.XLOOKUP(1,(Weekly_Line_Capacity!$A$2:$A$157=A230)*(Weekly_Line_Capacity!$B$2:$B$157=G230),Weekly_Line_Capacity!$L$2:$L$157,"")</f>
        <v>WITHIN CAPACITY</v>
      </c>
      <c r="K230" s="13" t="str">
        <f>_xlfn.XLOOKUP(B230,BOM!$A$2:$A$21,BOM!$B$2:$B$21,"")</f>
        <v>M004</v>
      </c>
      <c r="L230" s="27">
        <f>SUMIFS(Weekly_Material_Inventory!$K:$K,Weekly_Material_Inventory!$A:$A,A230,Weekly_Material_Inventory!$B:$B,K230)</f>
        <v>0</v>
      </c>
      <c r="M230">
        <f t="shared" si="9"/>
        <v>0</v>
      </c>
      <c r="N230" t="str">
        <f t="shared" si="10"/>
        <v>OK</v>
      </c>
      <c r="O230" t="str">
        <f t="shared" si="11"/>
        <v>NONE</v>
      </c>
      <c r="P230" t="str" cm="1">
        <f t="array" ref="P230">_xlfn.SWITCH(O230,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30" t="str" cm="1">
        <f t="array" ref="Q230">_xlfn.SWITCH(O230,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30" t="str" cm="1">
        <f t="array" ref="R230">_xlfn.SWITCH(P230,
"Inventory / Service","Operations / Planning",
"Material Supply","Materials / Procurement",
"Capacity","Production / Planning",
"Production Execution","Production",
"Inventory","Operations / Planning",
"Demand Planning","Commercial / Planning",
"None","None",
"Operations")</f>
        <v>None</v>
      </c>
    </row>
    <row r="231" spans="1:18">
      <c r="A231" s="30">
        <f>Weekly_Inventory_Flow!A231</f>
        <v>46342</v>
      </c>
      <c r="B231" s="13" t="str">
        <f>Weekly_Inventory_Flow!B231</f>
        <v>P005</v>
      </c>
      <c r="C231" s="25">
        <f>IF(SUMIFS(Weekly_Product_Demand!$C:$C,Weekly_Product_Demand!$A:$A,A231,Weekly_Product_Demand!$B:$B,B231)=0,0,
(SUMIFS(Weekly_Product_Demand!$D:$D,Weekly_Product_Demand!$A:$A,A231,Weekly_Product_Demand!$B:$B,B231)-
SUMIFS(Weekly_Product_Demand!$C:$C,Weekly_Product_Demand!$A:$A,A231,Weekly_Product_Demand!$B:$B,B231))/
SUMIFS(Weekly_Product_Demand!$C:$C,Weekly_Product_Demand!$A:$A,A231,Weekly_Product_Demand!$B:$B,B231))</f>
        <v>5.0789444628464167E-3</v>
      </c>
      <c r="D231" s="25">
        <f>SUMIFS(Weekly_Inventory_Flow!$Q:$Q,Weekly_Inventory_Flow!$A:$A,A231,Weekly_Inventory_Flow!$B:$B,B231)</f>
        <v>1</v>
      </c>
      <c r="E231" s="26">
        <f>SUMIFS(Weekly_Inventory_Flow!$S:$S,Weekly_Inventory_Flow!$A:$A,A231,Weekly_Inventory_Flow!$B:$B,B231)</f>
        <v>2.0670108755355381</v>
      </c>
      <c r="F231" s="27">
        <f>SUMIFS(Weekly_Inventory_Flow!$N:$N,Weekly_Inventory_Flow!$A:$A,A231,Weekly_Inventory_Flow!$B:$B,B231)</f>
        <v>0</v>
      </c>
      <c r="G231" s="13" t="str">
        <f>_xlfn.XLOOKUP(B231,Product_Line_Map!$A$2:$A$6,Product_Line_Map!$B$2:$B$6,"")</f>
        <v>L03</v>
      </c>
      <c r="H231" s="25">
        <f>SUMIFS(Weekly_Line_Capacity!$J:$J,Weekly_Line_Capacity!$A:$A,A231,Weekly_Line_Capacity!$B:$B,G231)</f>
        <v>0.50476190476190474</v>
      </c>
      <c r="I231" s="27">
        <f>SUMIFS(Weekly_Line_Capacity!$K:$K,Weekly_Line_Capacity!$A:$A,A231,Weekly_Line_Capacity!$B:$B,G231)</f>
        <v>0</v>
      </c>
      <c r="J231" s="13" t="str" cm="1">
        <f t="array" ref="J231">_xlfn.XLOOKUP(1,(Weekly_Line_Capacity!$A$2:$A$157=A231)*(Weekly_Line_Capacity!$B$2:$B$157=G231),Weekly_Line_Capacity!$L$2:$L$157,"")</f>
        <v>WITHIN CAPACITY</v>
      </c>
      <c r="K231" s="13" t="str">
        <f>_xlfn.XLOOKUP(B231,BOM!$A$2:$A$21,BOM!$B$2:$B$21,"")</f>
        <v>M005</v>
      </c>
      <c r="L231" s="27">
        <f>SUMIFS(Weekly_Material_Inventory!$K:$K,Weekly_Material_Inventory!$A:$A,A231,Weekly_Material_Inventory!$B:$B,K231)</f>
        <v>0</v>
      </c>
      <c r="M231">
        <f t="shared" si="9"/>
        <v>0</v>
      </c>
      <c r="N231" t="str">
        <f t="shared" si="10"/>
        <v>OK</v>
      </c>
      <c r="O231" t="str">
        <f t="shared" si="11"/>
        <v>NONE</v>
      </c>
      <c r="P231" t="str" cm="1">
        <f t="array" ref="P231">_xlfn.SWITCH(O231,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31" t="str" cm="1">
        <f t="array" ref="Q231">_xlfn.SWITCH(O231,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31" t="str" cm="1">
        <f t="array" ref="R231">_xlfn.SWITCH(P231,
"Inventory / Service","Operations / Planning",
"Material Supply","Materials / Procurement",
"Capacity","Production / Planning",
"Production Execution","Production",
"Inventory","Operations / Planning",
"Demand Planning","Commercial / Planning",
"None","None",
"Operations")</f>
        <v>None</v>
      </c>
    </row>
    <row r="232" spans="1:18">
      <c r="A232" s="30">
        <f>Weekly_Inventory_Flow!A232</f>
        <v>46349</v>
      </c>
      <c r="B232" s="13" t="str">
        <f>Weekly_Inventory_Flow!B232</f>
        <v>P001</v>
      </c>
      <c r="C232" s="25">
        <f>IF(SUMIFS(Weekly_Product_Demand!$C:$C,Weekly_Product_Demand!$A:$A,A232,Weekly_Product_Demand!$B:$B,B232)=0,0,
(SUMIFS(Weekly_Product_Demand!$D:$D,Weekly_Product_Demand!$A:$A,A232,Weekly_Product_Demand!$B:$B,B232)-
SUMIFS(Weekly_Product_Demand!$C:$C,Weekly_Product_Demand!$A:$A,A232,Weekly_Product_Demand!$B:$B,B232))/
SUMIFS(Weekly_Product_Demand!$C:$C,Weekly_Product_Demand!$A:$A,A232,Weekly_Product_Demand!$B:$B,B232))</f>
        <v>-7.7181872155155356E-3</v>
      </c>
      <c r="D232" s="25">
        <f>SUMIFS(Weekly_Inventory_Flow!$Q:$Q,Weekly_Inventory_Flow!$A:$A,A232,Weekly_Inventory_Flow!$B:$B,B232)</f>
        <v>0.99</v>
      </c>
      <c r="E232" s="26">
        <f>SUMIFS(Weekly_Inventory_Flow!$S:$S,Weekly_Inventory_Flow!$A:$A,A232,Weekly_Inventory_Flow!$B:$B,B232)</f>
        <v>1.9722111421353545</v>
      </c>
      <c r="F232" s="27">
        <f>SUMIFS(Weekly_Inventory_Flow!$N:$N,Weekly_Inventory_Flow!$A:$A,A232,Weekly_Inventory_Flow!$B:$B,B232)</f>
        <v>0</v>
      </c>
      <c r="G232" s="13" t="str">
        <f>_xlfn.XLOOKUP(B232,Product_Line_Map!$A$2:$A$6,Product_Line_Map!$B$2:$B$6,"")</f>
        <v>L01</v>
      </c>
      <c r="H232" s="25">
        <f>SUMIFS(Weekly_Line_Capacity!$J:$J,Weekly_Line_Capacity!$A:$A,A232,Weekly_Line_Capacity!$B:$B,G232)</f>
        <v>0.22368421052631579</v>
      </c>
      <c r="I232" s="27">
        <f>SUMIFS(Weekly_Line_Capacity!$K:$K,Weekly_Line_Capacity!$A:$A,A232,Weekly_Line_Capacity!$B:$B,G232)</f>
        <v>0</v>
      </c>
      <c r="J232" s="13" t="str" cm="1">
        <f t="array" ref="J232">_xlfn.XLOOKUP(1,(Weekly_Line_Capacity!$A$2:$A$157=A232)*(Weekly_Line_Capacity!$B$2:$B$157=G232),Weekly_Line_Capacity!$L$2:$L$157,"")</f>
        <v>WITHIN CAPACITY</v>
      </c>
      <c r="K232" s="13" t="str">
        <f>_xlfn.XLOOKUP(B232,BOM!$A$2:$A$21,BOM!$B$2:$B$21,"")</f>
        <v>M001</v>
      </c>
      <c r="L232" s="27">
        <f>SUMIFS(Weekly_Material_Inventory!$K:$K,Weekly_Material_Inventory!$A:$A,A232,Weekly_Material_Inventory!$B:$B,K232)</f>
        <v>0</v>
      </c>
      <c r="M232">
        <f t="shared" si="9"/>
        <v>1</v>
      </c>
      <c r="N232" t="str">
        <f t="shared" si="10"/>
        <v>WARNING</v>
      </c>
      <c r="O232" t="str">
        <f t="shared" si="11"/>
        <v>LOW STOCK COVER</v>
      </c>
      <c r="P232" t="str" cm="1">
        <f t="array" ref="P232">_xlfn.SWITCH(O232,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32" t="str" cm="1">
        <f t="array" ref="Q232">_xlfn.SWITCH(O232,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32" t="str" cm="1">
        <f t="array" ref="R232">_xlfn.SWITCH(P232,
"Inventory / Service","Operations / Planning",
"Material Supply","Materials / Procurement",
"Capacity","Production / Planning",
"Production Execution","Production",
"Inventory","Operations / Planning",
"Demand Planning","Commercial / Planning",
"None","None",
"Operations")</f>
        <v>Operations / Planning</v>
      </c>
    </row>
    <row r="233" spans="1:18">
      <c r="A233" s="30">
        <f>Weekly_Inventory_Flow!A233</f>
        <v>46349</v>
      </c>
      <c r="B233" s="13" t="str">
        <f>Weekly_Inventory_Flow!B233</f>
        <v>P002</v>
      </c>
      <c r="C233" s="25">
        <f>IF(SUMIFS(Weekly_Product_Demand!$C:$C,Weekly_Product_Demand!$A:$A,A233,Weekly_Product_Demand!$B:$B,B233)=0,0,
(SUMIFS(Weekly_Product_Demand!$D:$D,Weekly_Product_Demand!$A:$A,A233,Weekly_Product_Demand!$B:$B,B233)-
SUMIFS(Weekly_Product_Demand!$C:$C,Weekly_Product_Demand!$A:$A,A233,Weekly_Product_Demand!$B:$B,B233))/
SUMIFS(Weekly_Product_Demand!$C:$C,Weekly_Product_Demand!$A:$A,A233,Weekly_Product_Demand!$B:$B,B233))</f>
        <v>-1.4805053871792885E-2</v>
      </c>
      <c r="D233" s="25">
        <f>SUMIFS(Weekly_Inventory_Flow!$Q:$Q,Weekly_Inventory_Flow!$A:$A,A233,Weekly_Inventory_Flow!$B:$B,B233)</f>
        <v>1.02</v>
      </c>
      <c r="E233" s="26">
        <f>SUMIFS(Weekly_Inventory_Flow!$S:$S,Weekly_Inventory_Flow!$A:$A,A233,Weekly_Inventory_Flow!$B:$B,B233)</f>
        <v>2.1473642800944139</v>
      </c>
      <c r="F233" s="27">
        <f>SUMIFS(Weekly_Inventory_Flow!$N:$N,Weekly_Inventory_Flow!$A:$A,A233,Weekly_Inventory_Flow!$B:$B,B233)</f>
        <v>0</v>
      </c>
      <c r="G233" s="13" t="str">
        <f>_xlfn.XLOOKUP(B233,Product_Line_Map!$A$2:$A$6,Product_Line_Map!$B$2:$B$6,"")</f>
        <v>L02</v>
      </c>
      <c r="H233" s="25">
        <f>SUMIFS(Weekly_Line_Capacity!$J:$J,Weekly_Line_Capacity!$A:$A,A233,Weekly_Line_Capacity!$B:$B,G233)</f>
        <v>0.46857142857142853</v>
      </c>
      <c r="I233" s="27">
        <f>SUMIFS(Weekly_Line_Capacity!$K:$K,Weekly_Line_Capacity!$A:$A,A233,Weekly_Line_Capacity!$B:$B,G233)</f>
        <v>0</v>
      </c>
      <c r="J233" s="13" t="str" cm="1">
        <f t="array" ref="J233">_xlfn.XLOOKUP(1,(Weekly_Line_Capacity!$A$2:$A$157=A233)*(Weekly_Line_Capacity!$B$2:$B$157=G233),Weekly_Line_Capacity!$L$2:$L$157,"")</f>
        <v>WITHIN CAPACITY</v>
      </c>
      <c r="K233" s="13" t="str">
        <f>_xlfn.XLOOKUP(B233,BOM!$A$2:$A$21,BOM!$B$2:$B$21,"")</f>
        <v>M002</v>
      </c>
      <c r="L233" s="27">
        <f>SUMIFS(Weekly_Material_Inventory!$K:$K,Weekly_Material_Inventory!$A:$A,A233,Weekly_Material_Inventory!$B:$B,K233)</f>
        <v>0</v>
      </c>
      <c r="M233">
        <f t="shared" si="9"/>
        <v>0</v>
      </c>
      <c r="N233" t="str">
        <f t="shared" si="10"/>
        <v>OK</v>
      </c>
      <c r="O233" t="str">
        <f t="shared" si="11"/>
        <v>NONE</v>
      </c>
      <c r="P233" t="str" cm="1">
        <f t="array" ref="P233">_xlfn.SWITCH(O233,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33" t="str" cm="1">
        <f t="array" ref="Q233">_xlfn.SWITCH(O233,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33" t="str" cm="1">
        <f t="array" ref="R233">_xlfn.SWITCH(P233,
"Inventory / Service","Operations / Planning",
"Material Supply","Materials / Procurement",
"Capacity","Production / Planning",
"Production Execution","Production",
"Inventory","Operations / Planning",
"Demand Planning","Commercial / Planning",
"None","None",
"Operations")</f>
        <v>None</v>
      </c>
    </row>
    <row r="234" spans="1:18">
      <c r="A234" s="30">
        <f>Weekly_Inventory_Flow!A234</f>
        <v>46349</v>
      </c>
      <c r="B234" s="13" t="str">
        <f>Weekly_Inventory_Flow!B234</f>
        <v>P003</v>
      </c>
      <c r="C234" s="25">
        <f>IF(SUMIFS(Weekly_Product_Demand!$C:$C,Weekly_Product_Demand!$A:$A,A234,Weekly_Product_Demand!$B:$B,B234)=0,0,
(SUMIFS(Weekly_Product_Demand!$D:$D,Weekly_Product_Demand!$A:$A,A234,Weekly_Product_Demand!$B:$B,B234)-
SUMIFS(Weekly_Product_Demand!$C:$C,Weekly_Product_Demand!$A:$A,A234,Weekly_Product_Demand!$B:$B,B234))/
SUMIFS(Weekly_Product_Demand!$C:$C,Weekly_Product_Demand!$A:$A,A234,Weekly_Product_Demand!$B:$B,B234))</f>
        <v>2.7535974418191507E-3</v>
      </c>
      <c r="D234" s="25">
        <f>SUMIFS(Weekly_Inventory_Flow!$Q:$Q,Weekly_Inventory_Flow!$A:$A,A234,Weekly_Inventory_Flow!$B:$B,B234)</f>
        <v>0.98</v>
      </c>
      <c r="E234" s="26">
        <f>SUMIFS(Weekly_Inventory_Flow!$S:$S,Weekly_Inventory_Flow!$A:$A,A234,Weekly_Inventory_Flow!$B:$B,B234)</f>
        <v>1.8571175480556292</v>
      </c>
      <c r="F234" s="27">
        <f>SUMIFS(Weekly_Inventory_Flow!$N:$N,Weekly_Inventory_Flow!$A:$A,A234,Weekly_Inventory_Flow!$B:$B,B234)</f>
        <v>0</v>
      </c>
      <c r="G234" s="13" t="str">
        <f>_xlfn.XLOOKUP(B234,Product_Line_Map!$A$2:$A$6,Product_Line_Map!$B$2:$B$6,"")</f>
        <v>L03</v>
      </c>
      <c r="H234" s="25">
        <f>SUMIFS(Weekly_Line_Capacity!$J:$J,Weekly_Line_Capacity!$A:$A,A234,Weekly_Line_Capacity!$B:$B,G234)</f>
        <v>0.4952380952380952</v>
      </c>
      <c r="I234" s="27">
        <f>SUMIFS(Weekly_Line_Capacity!$K:$K,Weekly_Line_Capacity!$A:$A,A234,Weekly_Line_Capacity!$B:$B,G234)</f>
        <v>0</v>
      </c>
      <c r="J234" s="13" t="str" cm="1">
        <f t="array" ref="J234">_xlfn.XLOOKUP(1,(Weekly_Line_Capacity!$A$2:$A$157=A234)*(Weekly_Line_Capacity!$B$2:$B$157=G234),Weekly_Line_Capacity!$L$2:$L$157,"")</f>
        <v>WITHIN CAPACITY</v>
      </c>
      <c r="K234" s="13" t="str">
        <f>_xlfn.XLOOKUP(B234,BOM!$A$2:$A$21,BOM!$B$2:$B$21,"")</f>
        <v>M003</v>
      </c>
      <c r="L234" s="27">
        <f>SUMIFS(Weekly_Material_Inventory!$K:$K,Weekly_Material_Inventory!$A:$A,A234,Weekly_Material_Inventory!$B:$B,K234)</f>
        <v>0</v>
      </c>
      <c r="M234">
        <f t="shared" si="9"/>
        <v>1</v>
      </c>
      <c r="N234" t="str">
        <f t="shared" si="10"/>
        <v>WARNING</v>
      </c>
      <c r="O234" t="str">
        <f t="shared" si="11"/>
        <v>LOW STOCK COVER</v>
      </c>
      <c r="P234" t="str" cm="1">
        <f t="array" ref="P234">_xlfn.SWITCH(O234,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34" t="str" cm="1">
        <f t="array" ref="Q234">_xlfn.SWITCH(O234,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34" t="str" cm="1">
        <f t="array" ref="R234">_xlfn.SWITCH(P234,
"Inventory / Service","Operations / Planning",
"Material Supply","Materials / Procurement",
"Capacity","Production / Planning",
"Production Execution","Production",
"Inventory","Operations / Planning",
"Demand Planning","Commercial / Planning",
"None","None",
"Operations")</f>
        <v>Operations / Planning</v>
      </c>
    </row>
    <row r="235" spans="1:18">
      <c r="A235" s="30">
        <f>Weekly_Inventory_Flow!A235</f>
        <v>46349</v>
      </c>
      <c r="B235" s="13" t="str">
        <f>Weekly_Inventory_Flow!B235</f>
        <v>P004</v>
      </c>
      <c r="C235" s="25">
        <f>IF(SUMIFS(Weekly_Product_Demand!$C:$C,Weekly_Product_Demand!$A:$A,A235,Weekly_Product_Demand!$B:$B,B235)=0,0,
(SUMIFS(Weekly_Product_Demand!$D:$D,Weekly_Product_Demand!$A:$A,A235,Weekly_Product_Demand!$B:$B,B235)-
SUMIFS(Weekly_Product_Demand!$C:$C,Weekly_Product_Demand!$A:$A,A235,Weekly_Product_Demand!$B:$B,B235))/
SUMIFS(Weekly_Product_Demand!$C:$C,Weekly_Product_Demand!$A:$A,A235,Weekly_Product_Demand!$B:$B,B235))</f>
        <v>2.0266309354325433E-2</v>
      </c>
      <c r="D235" s="25">
        <f>SUMIFS(Weekly_Inventory_Flow!$Q:$Q,Weekly_Inventory_Flow!$A:$A,A235,Weekly_Inventory_Flow!$B:$B,B235)</f>
        <v>0.98</v>
      </c>
      <c r="E235" s="26">
        <f>SUMIFS(Weekly_Inventory_Flow!$S:$S,Weekly_Inventory_Flow!$A:$A,A235,Weekly_Inventory_Flow!$B:$B,B235)</f>
        <v>1.8673561520151032</v>
      </c>
      <c r="F235" s="27">
        <f>SUMIFS(Weekly_Inventory_Flow!$N:$N,Weekly_Inventory_Flow!$A:$A,A235,Weekly_Inventory_Flow!$B:$B,B235)</f>
        <v>0</v>
      </c>
      <c r="G235" s="13" t="str">
        <f>_xlfn.XLOOKUP(B235,Product_Line_Map!$A$2:$A$6,Product_Line_Map!$B$2:$B$6,"")</f>
        <v>L02</v>
      </c>
      <c r="H235" s="25">
        <f>SUMIFS(Weekly_Line_Capacity!$J:$J,Weekly_Line_Capacity!$A:$A,A235,Weekly_Line_Capacity!$B:$B,G235)</f>
        <v>0.46857142857142853</v>
      </c>
      <c r="I235" s="27">
        <f>SUMIFS(Weekly_Line_Capacity!$K:$K,Weekly_Line_Capacity!$A:$A,A235,Weekly_Line_Capacity!$B:$B,G235)</f>
        <v>0</v>
      </c>
      <c r="J235" s="13" t="str" cm="1">
        <f t="array" ref="J235">_xlfn.XLOOKUP(1,(Weekly_Line_Capacity!$A$2:$A$157=A235)*(Weekly_Line_Capacity!$B$2:$B$157=G235),Weekly_Line_Capacity!$L$2:$L$157,"")</f>
        <v>WITHIN CAPACITY</v>
      </c>
      <c r="K235" s="13" t="str">
        <f>_xlfn.XLOOKUP(B235,BOM!$A$2:$A$21,BOM!$B$2:$B$21,"")</f>
        <v>M004</v>
      </c>
      <c r="L235" s="27">
        <f>SUMIFS(Weekly_Material_Inventory!$K:$K,Weekly_Material_Inventory!$A:$A,A235,Weekly_Material_Inventory!$B:$B,K235)</f>
        <v>0</v>
      </c>
      <c r="M235">
        <f t="shared" si="9"/>
        <v>1</v>
      </c>
      <c r="N235" t="str">
        <f t="shared" si="10"/>
        <v>WARNING</v>
      </c>
      <c r="O235" t="str">
        <f t="shared" si="11"/>
        <v>LOW STOCK COVER</v>
      </c>
      <c r="P235" t="str" cm="1">
        <f t="array" ref="P235">_xlfn.SWITCH(O235,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35" t="str" cm="1">
        <f t="array" ref="Q235">_xlfn.SWITCH(O235,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35" t="str" cm="1">
        <f t="array" ref="R235">_xlfn.SWITCH(P235,
"Inventory / Service","Operations / Planning",
"Material Supply","Materials / Procurement",
"Capacity","Production / Planning",
"Production Execution","Production",
"Inventory","Operations / Planning",
"Demand Planning","Commercial / Planning",
"None","None",
"Operations")</f>
        <v>Operations / Planning</v>
      </c>
    </row>
    <row r="236" spans="1:18">
      <c r="A236" s="30">
        <f>Weekly_Inventory_Flow!A236</f>
        <v>46349</v>
      </c>
      <c r="B236" s="13" t="str">
        <f>Weekly_Inventory_Flow!B236</f>
        <v>P005</v>
      </c>
      <c r="C236" s="25">
        <f>IF(SUMIFS(Weekly_Product_Demand!$C:$C,Weekly_Product_Demand!$A:$A,A236,Weekly_Product_Demand!$B:$B,B236)=0,0,
(SUMIFS(Weekly_Product_Demand!$D:$D,Weekly_Product_Demand!$A:$A,A236,Weekly_Product_Demand!$B:$B,B236)-
SUMIFS(Weekly_Product_Demand!$C:$C,Weekly_Product_Demand!$A:$A,A236,Weekly_Product_Demand!$B:$B,B236))/
SUMIFS(Weekly_Product_Demand!$C:$C,Weekly_Product_Demand!$A:$A,A236,Weekly_Product_Demand!$B:$B,B236))</f>
        <v>1.1678672778869243E-2</v>
      </c>
      <c r="D236" s="25">
        <f>SUMIFS(Weekly_Inventory_Flow!$Q:$Q,Weekly_Inventory_Flow!$A:$A,A236,Weekly_Inventory_Flow!$B:$B,B236)</f>
        <v>1</v>
      </c>
      <c r="E236" s="26">
        <f>SUMIFS(Weekly_Inventory_Flow!$S:$S,Weekly_Inventory_Flow!$A:$A,A236,Weekly_Inventory_Flow!$B:$B,B236)</f>
        <v>2.0534038191822201</v>
      </c>
      <c r="F236" s="27">
        <f>SUMIFS(Weekly_Inventory_Flow!$N:$N,Weekly_Inventory_Flow!$A:$A,A236,Weekly_Inventory_Flow!$B:$B,B236)</f>
        <v>0</v>
      </c>
      <c r="G236" s="13" t="str">
        <f>_xlfn.XLOOKUP(B236,Product_Line_Map!$A$2:$A$6,Product_Line_Map!$B$2:$B$6,"")</f>
        <v>L03</v>
      </c>
      <c r="H236" s="25">
        <f>SUMIFS(Weekly_Line_Capacity!$J:$J,Weekly_Line_Capacity!$A:$A,A236,Weekly_Line_Capacity!$B:$B,G236)</f>
        <v>0.4952380952380952</v>
      </c>
      <c r="I236" s="27">
        <f>SUMIFS(Weekly_Line_Capacity!$K:$K,Weekly_Line_Capacity!$A:$A,A236,Weekly_Line_Capacity!$B:$B,G236)</f>
        <v>0</v>
      </c>
      <c r="J236" s="13" t="str" cm="1">
        <f t="array" ref="J236">_xlfn.XLOOKUP(1,(Weekly_Line_Capacity!$A$2:$A$157=A236)*(Weekly_Line_Capacity!$B$2:$B$157=G236),Weekly_Line_Capacity!$L$2:$L$157,"")</f>
        <v>WITHIN CAPACITY</v>
      </c>
      <c r="K236" s="13" t="str">
        <f>_xlfn.XLOOKUP(B236,BOM!$A$2:$A$21,BOM!$B$2:$B$21,"")</f>
        <v>M005</v>
      </c>
      <c r="L236" s="27">
        <f>SUMIFS(Weekly_Material_Inventory!$K:$K,Weekly_Material_Inventory!$A:$A,A236,Weekly_Material_Inventory!$B:$B,K236)</f>
        <v>0</v>
      </c>
      <c r="M236">
        <f t="shared" si="9"/>
        <v>0</v>
      </c>
      <c r="N236" t="str">
        <f t="shared" si="10"/>
        <v>OK</v>
      </c>
      <c r="O236" t="str">
        <f t="shared" si="11"/>
        <v>NONE</v>
      </c>
      <c r="P236" t="str" cm="1">
        <f t="array" ref="P236">_xlfn.SWITCH(O236,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36" t="str" cm="1">
        <f t="array" ref="Q236">_xlfn.SWITCH(O236,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36" t="str" cm="1">
        <f t="array" ref="R236">_xlfn.SWITCH(P236,
"Inventory / Service","Operations / Planning",
"Material Supply","Materials / Procurement",
"Capacity","Production / Planning",
"Production Execution","Production",
"Inventory","Operations / Planning",
"Demand Planning","Commercial / Planning",
"None","None",
"Operations")</f>
        <v>None</v>
      </c>
    </row>
    <row r="237" spans="1:18">
      <c r="A237" s="30">
        <f>Weekly_Inventory_Flow!A237</f>
        <v>46356</v>
      </c>
      <c r="B237" s="13" t="str">
        <f>Weekly_Inventory_Flow!B237</f>
        <v>P001</v>
      </c>
      <c r="C237" s="25">
        <f>IF(SUMIFS(Weekly_Product_Demand!$C:$C,Weekly_Product_Demand!$A:$A,A237,Weekly_Product_Demand!$B:$B,B237)=0,0,
(SUMIFS(Weekly_Product_Demand!$D:$D,Weekly_Product_Demand!$A:$A,A237,Weekly_Product_Demand!$B:$B,B237)-
SUMIFS(Weekly_Product_Demand!$C:$C,Weekly_Product_Demand!$A:$A,A237,Weekly_Product_Demand!$B:$B,B237))/
SUMIFS(Weekly_Product_Demand!$C:$C,Weekly_Product_Demand!$A:$A,A237,Weekly_Product_Demand!$B:$B,B237))</f>
        <v>7.0983149794347881E-3</v>
      </c>
      <c r="D237" s="25">
        <f>SUMIFS(Weekly_Inventory_Flow!$Q:$Q,Weekly_Inventory_Flow!$A:$A,A237,Weekly_Inventory_Flow!$B:$B,B237)</f>
        <v>1</v>
      </c>
      <c r="E237" s="26">
        <f>SUMIFS(Weekly_Inventory_Flow!$S:$S,Weekly_Inventory_Flow!$A:$A,A237,Weekly_Inventory_Flow!$B:$B,B237)</f>
        <v>2.0090244384427902</v>
      </c>
      <c r="F237" s="27">
        <f>SUMIFS(Weekly_Inventory_Flow!$N:$N,Weekly_Inventory_Flow!$A:$A,A237,Weekly_Inventory_Flow!$B:$B,B237)</f>
        <v>0</v>
      </c>
      <c r="G237" s="13" t="str">
        <f>_xlfn.XLOOKUP(B237,Product_Line_Map!$A$2:$A$6,Product_Line_Map!$B$2:$B$6,"")</f>
        <v>L01</v>
      </c>
      <c r="H237" s="25">
        <f>SUMIFS(Weekly_Line_Capacity!$J:$J,Weekly_Line_Capacity!$A:$A,A237,Weekly_Line_Capacity!$B:$B,G237)</f>
        <v>0.22368421052631579</v>
      </c>
      <c r="I237" s="27">
        <f>SUMIFS(Weekly_Line_Capacity!$K:$K,Weekly_Line_Capacity!$A:$A,A237,Weekly_Line_Capacity!$B:$B,G237)</f>
        <v>0</v>
      </c>
      <c r="J237" s="13" t="str" cm="1">
        <f t="array" ref="J237">_xlfn.XLOOKUP(1,(Weekly_Line_Capacity!$A$2:$A$157=A237)*(Weekly_Line_Capacity!$B$2:$B$157=G237),Weekly_Line_Capacity!$L$2:$L$157,"")</f>
        <v>WITHIN CAPACITY</v>
      </c>
      <c r="K237" s="13" t="str">
        <f>_xlfn.XLOOKUP(B237,BOM!$A$2:$A$21,BOM!$B$2:$B$21,"")</f>
        <v>M001</v>
      </c>
      <c r="L237" s="27">
        <f>SUMIFS(Weekly_Material_Inventory!$K:$K,Weekly_Material_Inventory!$A:$A,A237,Weekly_Material_Inventory!$B:$B,K237)</f>
        <v>0</v>
      </c>
      <c r="M237">
        <f t="shared" si="9"/>
        <v>0</v>
      </c>
      <c r="N237" t="str">
        <f t="shared" si="10"/>
        <v>OK</v>
      </c>
      <c r="O237" t="str">
        <f t="shared" si="11"/>
        <v>NONE</v>
      </c>
      <c r="P237" t="str" cm="1">
        <f t="array" ref="P237">_xlfn.SWITCH(O237,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37" t="str" cm="1">
        <f t="array" ref="Q237">_xlfn.SWITCH(O237,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37" t="str" cm="1">
        <f t="array" ref="R237">_xlfn.SWITCH(P237,
"Inventory / Service","Operations / Planning",
"Material Supply","Materials / Procurement",
"Capacity","Production / Planning",
"Production Execution","Production",
"Inventory","Operations / Planning",
"Demand Planning","Commercial / Planning",
"None","None",
"Operations")</f>
        <v>None</v>
      </c>
    </row>
    <row r="238" spans="1:18">
      <c r="A238" s="30">
        <f>Weekly_Inventory_Flow!A238</f>
        <v>46356</v>
      </c>
      <c r="B238" s="13" t="str">
        <f>Weekly_Inventory_Flow!B238</f>
        <v>P002</v>
      </c>
      <c r="C238" s="25">
        <f>IF(SUMIFS(Weekly_Product_Demand!$C:$C,Weekly_Product_Demand!$A:$A,A238,Weekly_Product_Demand!$B:$B,B238)=0,0,
(SUMIFS(Weekly_Product_Demand!$D:$D,Weekly_Product_Demand!$A:$A,A238,Weekly_Product_Demand!$B:$B,B238)-
SUMIFS(Weekly_Product_Demand!$C:$C,Weekly_Product_Demand!$A:$A,A238,Weekly_Product_Demand!$B:$B,B238))/
SUMIFS(Weekly_Product_Demand!$C:$C,Weekly_Product_Demand!$A:$A,A238,Weekly_Product_Demand!$B:$B,B238))</f>
        <v>1.3866294833062206E-2</v>
      </c>
      <c r="D238" s="25">
        <f>SUMIFS(Weekly_Inventory_Flow!$Q:$Q,Weekly_Inventory_Flow!$A:$A,A238,Weekly_Inventory_Flow!$B:$B,B238)</f>
        <v>0.97</v>
      </c>
      <c r="E238" s="26">
        <f>SUMIFS(Weekly_Inventory_Flow!$S:$S,Weekly_Inventory_Flow!$A:$A,A238,Weekly_Inventory_Flow!$B:$B,B238)</f>
        <v>1.8296913202933984</v>
      </c>
      <c r="F238" s="27">
        <f>SUMIFS(Weekly_Inventory_Flow!$N:$N,Weekly_Inventory_Flow!$A:$A,A238,Weekly_Inventory_Flow!$B:$B,B238)</f>
        <v>0</v>
      </c>
      <c r="G238" s="13" t="str">
        <f>_xlfn.XLOOKUP(B238,Product_Line_Map!$A$2:$A$6,Product_Line_Map!$B$2:$B$6,"")</f>
        <v>L02</v>
      </c>
      <c r="H238" s="25">
        <f>SUMIFS(Weekly_Line_Capacity!$J:$J,Weekly_Line_Capacity!$A:$A,A238,Weekly_Line_Capacity!$B:$B,G238)</f>
        <v>0.4838095238095238</v>
      </c>
      <c r="I238" s="27">
        <f>SUMIFS(Weekly_Line_Capacity!$K:$K,Weekly_Line_Capacity!$A:$A,A238,Weekly_Line_Capacity!$B:$B,G238)</f>
        <v>0</v>
      </c>
      <c r="J238" s="13" t="str" cm="1">
        <f t="array" ref="J238">_xlfn.XLOOKUP(1,(Weekly_Line_Capacity!$A$2:$A$157=A238)*(Weekly_Line_Capacity!$B$2:$B$157=G238),Weekly_Line_Capacity!$L$2:$L$157,"")</f>
        <v>WITHIN CAPACITY</v>
      </c>
      <c r="K238" s="13" t="str">
        <f>_xlfn.XLOOKUP(B238,BOM!$A$2:$A$21,BOM!$B$2:$B$21,"")</f>
        <v>M002</v>
      </c>
      <c r="L238" s="27">
        <f>SUMIFS(Weekly_Material_Inventory!$K:$K,Weekly_Material_Inventory!$A:$A,A238,Weekly_Material_Inventory!$B:$B,K238)</f>
        <v>0</v>
      </c>
      <c r="M238">
        <f t="shared" si="9"/>
        <v>1</v>
      </c>
      <c r="N238" t="str">
        <f t="shared" si="10"/>
        <v>WARNING</v>
      </c>
      <c r="O238" t="str">
        <f t="shared" si="11"/>
        <v>LOW STOCK COVER</v>
      </c>
      <c r="P238" t="str" cm="1">
        <f t="array" ref="P238">_xlfn.SWITCH(O238,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38" t="str" cm="1">
        <f t="array" ref="Q238">_xlfn.SWITCH(O238,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38" t="str" cm="1">
        <f t="array" ref="R238">_xlfn.SWITCH(P238,
"Inventory / Service","Operations / Planning",
"Material Supply","Materials / Procurement",
"Capacity","Production / Planning",
"Production Execution","Production",
"Inventory","Operations / Planning",
"Demand Planning","Commercial / Planning",
"None","None",
"Operations")</f>
        <v>Operations / Planning</v>
      </c>
    </row>
    <row r="239" spans="1:18">
      <c r="A239" s="30">
        <f>Weekly_Inventory_Flow!A239</f>
        <v>46356</v>
      </c>
      <c r="B239" s="13" t="str">
        <f>Weekly_Inventory_Flow!B239</f>
        <v>P003</v>
      </c>
      <c r="C239" s="25">
        <f>IF(SUMIFS(Weekly_Product_Demand!$C:$C,Weekly_Product_Demand!$A:$A,A239,Weekly_Product_Demand!$B:$B,B239)=0,0,
(SUMIFS(Weekly_Product_Demand!$D:$D,Weekly_Product_Demand!$A:$A,A239,Weekly_Product_Demand!$B:$B,B239)-
SUMIFS(Weekly_Product_Demand!$C:$C,Weekly_Product_Demand!$A:$A,A239,Weekly_Product_Demand!$B:$B,B239))/
SUMIFS(Weekly_Product_Demand!$C:$C,Weekly_Product_Demand!$A:$A,A239,Weekly_Product_Demand!$B:$B,B239))</f>
        <v>-1.8882769472856019E-2</v>
      </c>
      <c r="D239" s="25">
        <f>SUMIFS(Weekly_Inventory_Flow!$Q:$Q,Weekly_Inventory_Flow!$A:$A,A239,Weekly_Inventory_Flow!$B:$B,B239)</f>
        <v>1.02</v>
      </c>
      <c r="E239" s="26">
        <f>SUMIFS(Weekly_Inventory_Flow!$S:$S,Weekly_Inventory_Flow!$A:$A,A239,Weekly_Inventory_Flow!$B:$B,B239)</f>
        <v>2.1842644569188274</v>
      </c>
      <c r="F239" s="27">
        <f>SUMIFS(Weekly_Inventory_Flow!$N:$N,Weekly_Inventory_Flow!$A:$A,A239,Weekly_Inventory_Flow!$B:$B,B239)</f>
        <v>0</v>
      </c>
      <c r="G239" s="13" t="str">
        <f>_xlfn.XLOOKUP(B239,Product_Line_Map!$A$2:$A$6,Product_Line_Map!$B$2:$B$6,"")</f>
        <v>L03</v>
      </c>
      <c r="H239" s="25">
        <f>SUMIFS(Weekly_Line_Capacity!$J:$J,Weekly_Line_Capacity!$A:$A,A239,Weekly_Line_Capacity!$B:$B,G239)</f>
        <v>0.49761904761904763</v>
      </c>
      <c r="I239" s="27">
        <f>SUMIFS(Weekly_Line_Capacity!$K:$K,Weekly_Line_Capacity!$A:$A,A239,Weekly_Line_Capacity!$B:$B,G239)</f>
        <v>0</v>
      </c>
      <c r="J239" s="13" t="str" cm="1">
        <f t="array" ref="J239">_xlfn.XLOOKUP(1,(Weekly_Line_Capacity!$A$2:$A$157=A239)*(Weekly_Line_Capacity!$B$2:$B$157=G239),Weekly_Line_Capacity!$L$2:$L$157,"")</f>
        <v>WITHIN CAPACITY</v>
      </c>
      <c r="K239" s="13" t="str">
        <f>_xlfn.XLOOKUP(B239,BOM!$A$2:$A$21,BOM!$B$2:$B$21,"")</f>
        <v>M003</v>
      </c>
      <c r="L239" s="27">
        <f>SUMIFS(Weekly_Material_Inventory!$K:$K,Weekly_Material_Inventory!$A:$A,A239,Weekly_Material_Inventory!$B:$B,K239)</f>
        <v>0</v>
      </c>
      <c r="M239">
        <f t="shared" si="9"/>
        <v>0</v>
      </c>
      <c r="N239" t="str">
        <f t="shared" si="10"/>
        <v>OK</v>
      </c>
      <c r="O239" t="str">
        <f t="shared" si="11"/>
        <v>NONE</v>
      </c>
      <c r="P239" t="str" cm="1">
        <f t="array" ref="P239">_xlfn.SWITCH(O239,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39" t="str" cm="1">
        <f t="array" ref="Q239">_xlfn.SWITCH(O239,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39" t="str" cm="1">
        <f t="array" ref="R239">_xlfn.SWITCH(P239,
"Inventory / Service","Operations / Planning",
"Material Supply","Materials / Procurement",
"Capacity","Production / Planning",
"Production Execution","Production",
"Inventory","Operations / Planning",
"Demand Planning","Commercial / Planning",
"None","None",
"Operations")</f>
        <v>None</v>
      </c>
    </row>
    <row r="240" spans="1:18">
      <c r="A240" s="30">
        <f>Weekly_Inventory_Flow!A240</f>
        <v>46356</v>
      </c>
      <c r="B240" s="13" t="str">
        <f>Weekly_Inventory_Flow!B240</f>
        <v>P004</v>
      </c>
      <c r="C240" s="25">
        <f>IF(SUMIFS(Weekly_Product_Demand!$C:$C,Weekly_Product_Demand!$A:$A,A240,Weekly_Product_Demand!$B:$B,B240)=0,0,
(SUMIFS(Weekly_Product_Demand!$D:$D,Weekly_Product_Demand!$A:$A,A240,Weekly_Product_Demand!$B:$B,B240)-
SUMIFS(Weekly_Product_Demand!$C:$C,Weekly_Product_Demand!$A:$A,A240,Weekly_Product_Demand!$B:$B,B240))/
SUMIFS(Weekly_Product_Demand!$C:$C,Weekly_Product_Demand!$A:$A,A240,Weekly_Product_Demand!$B:$B,B240))</f>
        <v>9.9659496719541572E-3</v>
      </c>
      <c r="D240" s="25">
        <f>SUMIFS(Weekly_Inventory_Flow!$Q:$Q,Weekly_Inventory_Flow!$A:$A,A240,Weekly_Inventory_Flow!$B:$B,B240)</f>
        <v>1.02</v>
      </c>
      <c r="E240" s="26">
        <f>SUMIFS(Weekly_Inventory_Flow!$S:$S,Weekly_Inventory_Flow!$A:$A,A240,Weekly_Inventory_Flow!$B:$B,B240)</f>
        <v>2.1510566565249567</v>
      </c>
      <c r="F240" s="27">
        <f>SUMIFS(Weekly_Inventory_Flow!$N:$N,Weekly_Inventory_Flow!$A:$A,A240,Weekly_Inventory_Flow!$B:$B,B240)</f>
        <v>0</v>
      </c>
      <c r="G240" s="13" t="str">
        <f>_xlfn.XLOOKUP(B240,Product_Line_Map!$A$2:$A$6,Product_Line_Map!$B$2:$B$6,"")</f>
        <v>L02</v>
      </c>
      <c r="H240" s="25">
        <f>SUMIFS(Weekly_Line_Capacity!$J:$J,Weekly_Line_Capacity!$A:$A,A240,Weekly_Line_Capacity!$B:$B,G240)</f>
        <v>0.4838095238095238</v>
      </c>
      <c r="I240" s="27">
        <f>SUMIFS(Weekly_Line_Capacity!$K:$K,Weekly_Line_Capacity!$A:$A,A240,Weekly_Line_Capacity!$B:$B,G240)</f>
        <v>0</v>
      </c>
      <c r="J240" s="13" t="str" cm="1">
        <f t="array" ref="J240">_xlfn.XLOOKUP(1,(Weekly_Line_Capacity!$A$2:$A$157=A240)*(Weekly_Line_Capacity!$B$2:$B$157=G240),Weekly_Line_Capacity!$L$2:$L$157,"")</f>
        <v>WITHIN CAPACITY</v>
      </c>
      <c r="K240" s="13" t="str">
        <f>_xlfn.XLOOKUP(B240,BOM!$A$2:$A$21,BOM!$B$2:$B$21,"")</f>
        <v>M004</v>
      </c>
      <c r="L240" s="27">
        <f>SUMIFS(Weekly_Material_Inventory!$K:$K,Weekly_Material_Inventory!$A:$A,A240,Weekly_Material_Inventory!$B:$B,K240)</f>
        <v>0</v>
      </c>
      <c r="M240">
        <f t="shared" si="9"/>
        <v>0</v>
      </c>
      <c r="N240" t="str">
        <f t="shared" si="10"/>
        <v>OK</v>
      </c>
      <c r="O240" t="str">
        <f t="shared" si="11"/>
        <v>NONE</v>
      </c>
      <c r="P240" t="str" cm="1">
        <f t="array" ref="P240">_xlfn.SWITCH(O240,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40" t="str" cm="1">
        <f t="array" ref="Q240">_xlfn.SWITCH(O240,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40" t="str" cm="1">
        <f t="array" ref="R240">_xlfn.SWITCH(P240,
"Inventory / Service","Operations / Planning",
"Material Supply","Materials / Procurement",
"Capacity","Production / Planning",
"Production Execution","Production",
"Inventory","Operations / Planning",
"Demand Planning","Commercial / Planning",
"None","None",
"Operations")</f>
        <v>None</v>
      </c>
    </row>
    <row r="241" spans="1:18">
      <c r="A241" s="30">
        <f>Weekly_Inventory_Flow!A241</f>
        <v>46356</v>
      </c>
      <c r="B241" s="13" t="str">
        <f>Weekly_Inventory_Flow!B241</f>
        <v>P005</v>
      </c>
      <c r="C241" s="25">
        <f>IF(SUMIFS(Weekly_Product_Demand!$C:$C,Weekly_Product_Demand!$A:$A,A241,Weekly_Product_Demand!$B:$B,B241)=0,0,
(SUMIFS(Weekly_Product_Demand!$D:$D,Weekly_Product_Demand!$A:$A,A241,Weekly_Product_Demand!$B:$B,B241)-
SUMIFS(Weekly_Product_Demand!$C:$C,Weekly_Product_Demand!$A:$A,A241,Weekly_Product_Demand!$B:$B,B241))/
SUMIFS(Weekly_Product_Demand!$C:$C,Weekly_Product_Demand!$A:$A,A241,Weekly_Product_Demand!$B:$B,B241))</f>
        <v>1.8697684530927274E-2</v>
      </c>
      <c r="D241" s="25">
        <f>SUMIFS(Weekly_Inventory_Flow!$Q:$Q,Weekly_Inventory_Flow!$A:$A,A241,Weekly_Inventory_Flow!$B:$B,B241)</f>
        <v>0.98</v>
      </c>
      <c r="E241" s="26">
        <f>SUMIFS(Weekly_Inventory_Flow!$S:$S,Weekly_Inventory_Flow!$A:$A,A241,Weekly_Inventory_Flow!$B:$B,B241)</f>
        <v>1.9122825738981966</v>
      </c>
      <c r="F241" s="27">
        <f>SUMIFS(Weekly_Inventory_Flow!$N:$N,Weekly_Inventory_Flow!$A:$A,A241,Weekly_Inventory_Flow!$B:$B,B241)</f>
        <v>0</v>
      </c>
      <c r="G241" s="13" t="str">
        <f>_xlfn.XLOOKUP(B241,Product_Line_Map!$A$2:$A$6,Product_Line_Map!$B$2:$B$6,"")</f>
        <v>L03</v>
      </c>
      <c r="H241" s="25">
        <f>SUMIFS(Weekly_Line_Capacity!$J:$J,Weekly_Line_Capacity!$A:$A,A241,Weekly_Line_Capacity!$B:$B,G241)</f>
        <v>0.49761904761904763</v>
      </c>
      <c r="I241" s="27">
        <f>SUMIFS(Weekly_Line_Capacity!$K:$K,Weekly_Line_Capacity!$A:$A,A241,Weekly_Line_Capacity!$B:$B,G241)</f>
        <v>0</v>
      </c>
      <c r="J241" s="13" t="str" cm="1">
        <f t="array" ref="J241">_xlfn.XLOOKUP(1,(Weekly_Line_Capacity!$A$2:$A$157=A241)*(Weekly_Line_Capacity!$B$2:$B$157=G241),Weekly_Line_Capacity!$L$2:$L$157,"")</f>
        <v>WITHIN CAPACITY</v>
      </c>
      <c r="K241" s="13" t="str">
        <f>_xlfn.XLOOKUP(B241,BOM!$A$2:$A$21,BOM!$B$2:$B$21,"")</f>
        <v>M005</v>
      </c>
      <c r="L241" s="27">
        <f>SUMIFS(Weekly_Material_Inventory!$K:$K,Weekly_Material_Inventory!$A:$A,A241,Weekly_Material_Inventory!$B:$B,K241)</f>
        <v>0</v>
      </c>
      <c r="M241">
        <f t="shared" si="9"/>
        <v>1</v>
      </c>
      <c r="N241" t="str">
        <f t="shared" si="10"/>
        <v>WARNING</v>
      </c>
      <c r="O241" t="str">
        <f t="shared" si="11"/>
        <v>LOW STOCK COVER</v>
      </c>
      <c r="P241" t="str" cm="1">
        <f t="array" ref="P241">_xlfn.SWITCH(O241,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41" t="str" cm="1">
        <f t="array" ref="Q241">_xlfn.SWITCH(O241,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41" t="str" cm="1">
        <f t="array" ref="R241">_xlfn.SWITCH(P241,
"Inventory / Service","Operations / Planning",
"Material Supply","Materials / Procurement",
"Capacity","Production / Planning",
"Production Execution","Production",
"Inventory","Operations / Planning",
"Demand Planning","Commercial / Planning",
"None","None",
"Operations")</f>
        <v>Operations / Planning</v>
      </c>
    </row>
    <row r="242" spans="1:18">
      <c r="A242" s="30">
        <f>Weekly_Inventory_Flow!A242</f>
        <v>46363</v>
      </c>
      <c r="B242" s="13" t="str">
        <f>Weekly_Inventory_Flow!B242</f>
        <v>P001</v>
      </c>
      <c r="C242" s="25">
        <f>IF(SUMIFS(Weekly_Product_Demand!$C:$C,Weekly_Product_Demand!$A:$A,A242,Weekly_Product_Demand!$B:$B,B242)=0,0,
(SUMIFS(Weekly_Product_Demand!$D:$D,Weekly_Product_Demand!$A:$A,A242,Weekly_Product_Demand!$B:$B,B242)-
SUMIFS(Weekly_Product_Demand!$C:$C,Weekly_Product_Demand!$A:$A,A242,Weekly_Product_Demand!$B:$B,B242))/
SUMIFS(Weekly_Product_Demand!$C:$C,Weekly_Product_Demand!$A:$A,A242,Weekly_Product_Demand!$B:$B,B242))</f>
        <v>-2.1223543055958249E-2</v>
      </c>
      <c r="D242" s="25">
        <f>SUMIFS(Weekly_Inventory_Flow!$Q:$Q,Weekly_Inventory_Flow!$A:$A,A242,Weekly_Inventory_Flow!$B:$B,B242)</f>
        <v>1.01</v>
      </c>
      <c r="E242" s="26">
        <f>SUMIFS(Weekly_Inventory_Flow!$S:$S,Weekly_Inventory_Flow!$A:$A,A242,Weekly_Inventory_Flow!$B:$B,B242)</f>
        <v>2.0951478168137925</v>
      </c>
      <c r="F242" s="27">
        <f>SUMIFS(Weekly_Inventory_Flow!$N:$N,Weekly_Inventory_Flow!$A:$A,A242,Weekly_Inventory_Flow!$B:$B,B242)</f>
        <v>0</v>
      </c>
      <c r="G242" s="13" t="str">
        <f>_xlfn.XLOOKUP(B242,Product_Line_Map!$A$2:$A$6,Product_Line_Map!$B$2:$B$6,"")</f>
        <v>L01</v>
      </c>
      <c r="H242" s="25">
        <f>SUMIFS(Weekly_Line_Capacity!$J:$J,Weekly_Line_Capacity!$A:$A,A242,Weekly_Line_Capacity!$B:$B,G242)</f>
        <v>0.25438596491228066</v>
      </c>
      <c r="I242" s="27">
        <f>SUMIFS(Weekly_Line_Capacity!$K:$K,Weekly_Line_Capacity!$A:$A,A242,Weekly_Line_Capacity!$B:$B,G242)</f>
        <v>0</v>
      </c>
      <c r="J242" s="13" t="str" cm="1">
        <f t="array" ref="J242">_xlfn.XLOOKUP(1,(Weekly_Line_Capacity!$A$2:$A$157=A242)*(Weekly_Line_Capacity!$B$2:$B$157=G242),Weekly_Line_Capacity!$L$2:$L$157,"")</f>
        <v>WITHIN CAPACITY</v>
      </c>
      <c r="K242" s="13" t="str">
        <f>_xlfn.XLOOKUP(B242,BOM!$A$2:$A$21,BOM!$B$2:$B$21,"")</f>
        <v>M001</v>
      </c>
      <c r="L242" s="27">
        <f>SUMIFS(Weekly_Material_Inventory!$K:$K,Weekly_Material_Inventory!$A:$A,A242,Weekly_Material_Inventory!$B:$B,K242)</f>
        <v>0</v>
      </c>
      <c r="M242">
        <f t="shared" si="9"/>
        <v>0</v>
      </c>
      <c r="N242" t="str">
        <f t="shared" si="10"/>
        <v>OK</v>
      </c>
      <c r="O242" t="str">
        <f t="shared" si="11"/>
        <v>NONE</v>
      </c>
      <c r="P242" t="str" cm="1">
        <f t="array" ref="P242">_xlfn.SWITCH(O242,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42" t="str" cm="1">
        <f t="array" ref="Q242">_xlfn.SWITCH(O242,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42" t="str" cm="1">
        <f t="array" ref="R242">_xlfn.SWITCH(P242,
"Inventory / Service","Operations / Planning",
"Material Supply","Materials / Procurement",
"Capacity","Production / Planning",
"Production Execution","Production",
"Inventory","Operations / Planning",
"Demand Planning","Commercial / Planning",
"None","None",
"Operations")</f>
        <v>None</v>
      </c>
    </row>
    <row r="243" spans="1:18">
      <c r="A243" s="30">
        <f>Weekly_Inventory_Flow!A243</f>
        <v>46363</v>
      </c>
      <c r="B243" s="13" t="str">
        <f>Weekly_Inventory_Flow!B243</f>
        <v>P002</v>
      </c>
      <c r="C243" s="25">
        <f>IF(SUMIFS(Weekly_Product_Demand!$C:$C,Weekly_Product_Demand!$A:$A,A243,Weekly_Product_Demand!$B:$B,B243)=0,0,
(SUMIFS(Weekly_Product_Demand!$D:$D,Weekly_Product_Demand!$A:$A,A243,Weekly_Product_Demand!$B:$B,B243)-
SUMIFS(Weekly_Product_Demand!$C:$C,Weekly_Product_Demand!$A:$A,A243,Weekly_Product_Demand!$B:$B,B243))/
SUMIFS(Weekly_Product_Demand!$C:$C,Weekly_Product_Demand!$A:$A,A243,Weekly_Product_Demand!$B:$B,B243))</f>
        <v>-1.5666666666666666E-2</v>
      </c>
      <c r="D243" s="25">
        <f>SUMIFS(Weekly_Inventory_Flow!$Q:$Q,Weekly_Inventory_Flow!$A:$A,A243,Weekly_Inventory_Flow!$B:$B,B243)</f>
        <v>0.98</v>
      </c>
      <c r="E243" s="26">
        <f>SUMIFS(Weekly_Inventory_Flow!$S:$S,Weekly_Inventory_Flow!$A:$A,A243,Weekly_Inventory_Flow!$B:$B,B243)</f>
        <v>1.8698272942770064</v>
      </c>
      <c r="F243" s="27">
        <f>SUMIFS(Weekly_Inventory_Flow!$N:$N,Weekly_Inventory_Flow!$A:$A,A243,Weekly_Inventory_Flow!$B:$B,B243)</f>
        <v>0</v>
      </c>
      <c r="G243" s="13" t="str">
        <f>_xlfn.XLOOKUP(B243,Product_Line_Map!$A$2:$A$6,Product_Line_Map!$B$2:$B$6,"")</f>
        <v>L02</v>
      </c>
      <c r="H243" s="25">
        <f>SUMIFS(Weekly_Line_Capacity!$J:$J,Weekly_Line_Capacity!$A:$A,A243,Weekly_Line_Capacity!$B:$B,G243)</f>
        <v>0.56761904761904758</v>
      </c>
      <c r="I243" s="27">
        <f>SUMIFS(Weekly_Line_Capacity!$K:$K,Weekly_Line_Capacity!$A:$A,A243,Weekly_Line_Capacity!$B:$B,G243)</f>
        <v>0</v>
      </c>
      <c r="J243" s="13" t="str" cm="1">
        <f t="array" ref="J243">_xlfn.XLOOKUP(1,(Weekly_Line_Capacity!$A$2:$A$157=A243)*(Weekly_Line_Capacity!$B$2:$B$157=G243),Weekly_Line_Capacity!$L$2:$L$157,"")</f>
        <v>WITHIN CAPACITY</v>
      </c>
      <c r="K243" s="13" t="str">
        <f>_xlfn.XLOOKUP(B243,BOM!$A$2:$A$21,BOM!$B$2:$B$21,"")</f>
        <v>M002</v>
      </c>
      <c r="L243" s="27">
        <f>SUMIFS(Weekly_Material_Inventory!$K:$K,Weekly_Material_Inventory!$A:$A,A243,Weekly_Material_Inventory!$B:$B,K243)</f>
        <v>0</v>
      </c>
      <c r="M243">
        <f t="shared" si="9"/>
        <v>1</v>
      </c>
      <c r="N243" t="str">
        <f t="shared" si="10"/>
        <v>WARNING</v>
      </c>
      <c r="O243" t="str">
        <f t="shared" si="11"/>
        <v>LOW STOCK COVER</v>
      </c>
      <c r="P243" t="str" cm="1">
        <f t="array" ref="P243">_xlfn.SWITCH(O243,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43" t="str" cm="1">
        <f t="array" ref="Q243">_xlfn.SWITCH(O243,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43" t="str" cm="1">
        <f t="array" ref="R243">_xlfn.SWITCH(P243,
"Inventory / Service","Operations / Planning",
"Material Supply","Materials / Procurement",
"Capacity","Production / Planning",
"Production Execution","Production",
"Inventory","Operations / Planning",
"Demand Planning","Commercial / Planning",
"None","None",
"Operations")</f>
        <v>Operations / Planning</v>
      </c>
    </row>
    <row r="244" spans="1:18">
      <c r="A244" s="30">
        <f>Weekly_Inventory_Flow!A244</f>
        <v>46363</v>
      </c>
      <c r="B244" s="13" t="str">
        <f>Weekly_Inventory_Flow!B244</f>
        <v>P003</v>
      </c>
      <c r="C244" s="25">
        <f>IF(SUMIFS(Weekly_Product_Demand!$C:$C,Weekly_Product_Demand!$A:$A,A244,Weekly_Product_Demand!$B:$B,B244)=0,0,
(SUMIFS(Weekly_Product_Demand!$D:$D,Weekly_Product_Demand!$A:$A,A244,Weekly_Product_Demand!$B:$B,B244)-
SUMIFS(Weekly_Product_Demand!$C:$C,Weekly_Product_Demand!$A:$A,A244,Weekly_Product_Demand!$B:$B,B244))/
SUMIFS(Weekly_Product_Demand!$C:$C,Weekly_Product_Demand!$A:$A,A244,Weekly_Product_Demand!$B:$B,B244))</f>
        <v>3.7813815686886014E-2</v>
      </c>
      <c r="D244" s="25">
        <f>SUMIFS(Weekly_Inventory_Flow!$Q:$Q,Weekly_Inventory_Flow!$A:$A,A244,Weekly_Inventory_Flow!$B:$B,B244)</f>
        <v>1.01</v>
      </c>
      <c r="E244" s="26">
        <f>SUMIFS(Weekly_Inventory_Flow!$S:$S,Weekly_Inventory_Flow!$A:$A,A244,Weekly_Inventory_Flow!$B:$B,B244)</f>
        <v>2.1182480655097287</v>
      </c>
      <c r="F244" s="27">
        <f>SUMIFS(Weekly_Inventory_Flow!$N:$N,Weekly_Inventory_Flow!$A:$A,A244,Weekly_Inventory_Flow!$B:$B,B244)</f>
        <v>0</v>
      </c>
      <c r="G244" s="13" t="str">
        <f>_xlfn.XLOOKUP(B244,Product_Line_Map!$A$2:$A$6,Product_Line_Map!$B$2:$B$6,"")</f>
        <v>L03</v>
      </c>
      <c r="H244" s="25">
        <f>SUMIFS(Weekly_Line_Capacity!$J:$J,Weekly_Line_Capacity!$A:$A,A244,Weekly_Line_Capacity!$B:$B,G244)</f>
        <v>0.58333333333333337</v>
      </c>
      <c r="I244" s="27">
        <f>SUMIFS(Weekly_Line_Capacity!$K:$K,Weekly_Line_Capacity!$A:$A,A244,Weekly_Line_Capacity!$B:$B,G244)</f>
        <v>0</v>
      </c>
      <c r="J244" s="13" t="str" cm="1">
        <f t="array" ref="J244">_xlfn.XLOOKUP(1,(Weekly_Line_Capacity!$A$2:$A$157=A244)*(Weekly_Line_Capacity!$B$2:$B$157=G244),Weekly_Line_Capacity!$L$2:$L$157,"")</f>
        <v>WITHIN CAPACITY</v>
      </c>
      <c r="K244" s="13" t="str">
        <f>_xlfn.XLOOKUP(B244,BOM!$A$2:$A$21,BOM!$B$2:$B$21,"")</f>
        <v>M003</v>
      </c>
      <c r="L244" s="27">
        <f>SUMIFS(Weekly_Material_Inventory!$K:$K,Weekly_Material_Inventory!$A:$A,A244,Weekly_Material_Inventory!$B:$B,K244)</f>
        <v>0</v>
      </c>
      <c r="M244">
        <f t="shared" si="9"/>
        <v>0</v>
      </c>
      <c r="N244" t="str">
        <f t="shared" si="10"/>
        <v>OK</v>
      </c>
      <c r="O244" t="str">
        <f t="shared" si="11"/>
        <v>NONE</v>
      </c>
      <c r="P244" t="str" cm="1">
        <f t="array" ref="P244">_xlfn.SWITCH(O244,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44" t="str" cm="1">
        <f t="array" ref="Q244">_xlfn.SWITCH(O244,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44" t="str" cm="1">
        <f t="array" ref="R244">_xlfn.SWITCH(P244,
"Inventory / Service","Operations / Planning",
"Material Supply","Materials / Procurement",
"Capacity","Production / Planning",
"Production Execution","Production",
"Inventory","Operations / Planning",
"Demand Planning","Commercial / Planning",
"None","None",
"Operations")</f>
        <v>None</v>
      </c>
    </row>
    <row r="245" spans="1:18">
      <c r="A245" s="30">
        <f>Weekly_Inventory_Flow!A245</f>
        <v>46363</v>
      </c>
      <c r="B245" s="13" t="str">
        <f>Weekly_Inventory_Flow!B245</f>
        <v>P004</v>
      </c>
      <c r="C245" s="25">
        <f>IF(SUMIFS(Weekly_Product_Demand!$C:$C,Weekly_Product_Demand!$A:$A,A245,Weekly_Product_Demand!$B:$B,B245)=0,0,
(SUMIFS(Weekly_Product_Demand!$D:$D,Weekly_Product_Demand!$A:$A,A245,Weekly_Product_Demand!$B:$B,B245)-
SUMIFS(Weekly_Product_Demand!$C:$C,Weekly_Product_Demand!$A:$A,A245,Weekly_Product_Demand!$B:$B,B245))/
SUMIFS(Weekly_Product_Demand!$C:$C,Weekly_Product_Demand!$A:$A,A245,Weekly_Product_Demand!$B:$B,B245))</f>
        <v>2.2285966460723741E-2</v>
      </c>
      <c r="D245" s="25">
        <f>SUMIFS(Weekly_Inventory_Flow!$Q:$Q,Weekly_Inventory_Flow!$A:$A,A245,Weekly_Inventory_Flow!$B:$B,B245)</f>
        <v>0.98</v>
      </c>
      <c r="E245" s="26">
        <f>SUMIFS(Weekly_Inventory_Flow!$S:$S,Weekly_Inventory_Flow!$A:$A,A245,Weekly_Inventory_Flow!$B:$B,B245)</f>
        <v>1.8906396143607453</v>
      </c>
      <c r="F245" s="27">
        <f>SUMIFS(Weekly_Inventory_Flow!$N:$N,Weekly_Inventory_Flow!$A:$A,A245,Weekly_Inventory_Flow!$B:$B,B245)</f>
        <v>0</v>
      </c>
      <c r="G245" s="13" t="str">
        <f>_xlfn.XLOOKUP(B245,Product_Line_Map!$A$2:$A$6,Product_Line_Map!$B$2:$B$6,"")</f>
        <v>L02</v>
      </c>
      <c r="H245" s="25">
        <f>SUMIFS(Weekly_Line_Capacity!$J:$J,Weekly_Line_Capacity!$A:$A,A245,Weekly_Line_Capacity!$B:$B,G245)</f>
        <v>0.56761904761904758</v>
      </c>
      <c r="I245" s="27">
        <f>SUMIFS(Weekly_Line_Capacity!$K:$K,Weekly_Line_Capacity!$A:$A,A245,Weekly_Line_Capacity!$B:$B,G245)</f>
        <v>0</v>
      </c>
      <c r="J245" s="13" t="str" cm="1">
        <f t="array" ref="J245">_xlfn.XLOOKUP(1,(Weekly_Line_Capacity!$A$2:$A$157=A245)*(Weekly_Line_Capacity!$B$2:$B$157=G245),Weekly_Line_Capacity!$L$2:$L$157,"")</f>
        <v>WITHIN CAPACITY</v>
      </c>
      <c r="K245" s="13" t="str">
        <f>_xlfn.XLOOKUP(B245,BOM!$A$2:$A$21,BOM!$B$2:$B$21,"")</f>
        <v>M004</v>
      </c>
      <c r="L245" s="27">
        <f>SUMIFS(Weekly_Material_Inventory!$K:$K,Weekly_Material_Inventory!$A:$A,A245,Weekly_Material_Inventory!$B:$B,K245)</f>
        <v>0</v>
      </c>
      <c r="M245">
        <f t="shared" si="9"/>
        <v>1</v>
      </c>
      <c r="N245" t="str">
        <f t="shared" si="10"/>
        <v>WARNING</v>
      </c>
      <c r="O245" t="str">
        <f t="shared" si="11"/>
        <v>LOW STOCK COVER</v>
      </c>
      <c r="P245" t="str" cm="1">
        <f t="array" ref="P245">_xlfn.SWITCH(O245,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45" t="str" cm="1">
        <f t="array" ref="Q245">_xlfn.SWITCH(O245,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45" t="str" cm="1">
        <f t="array" ref="R245">_xlfn.SWITCH(P245,
"Inventory / Service","Operations / Planning",
"Material Supply","Materials / Procurement",
"Capacity","Production / Planning",
"Production Execution","Production",
"Inventory","Operations / Planning",
"Demand Planning","Commercial / Planning",
"None","None",
"Operations")</f>
        <v>Operations / Planning</v>
      </c>
    </row>
    <row r="246" spans="1:18">
      <c r="A246" s="30">
        <f>Weekly_Inventory_Flow!A246</f>
        <v>46363</v>
      </c>
      <c r="B246" s="13" t="str">
        <f>Weekly_Inventory_Flow!B246</f>
        <v>P005</v>
      </c>
      <c r="C246" s="25">
        <f>IF(SUMIFS(Weekly_Product_Demand!$C:$C,Weekly_Product_Demand!$A:$A,A246,Weekly_Product_Demand!$B:$B,B246)=0,0,
(SUMIFS(Weekly_Product_Demand!$D:$D,Weekly_Product_Demand!$A:$A,A246,Weekly_Product_Demand!$B:$B,B246)-
SUMIFS(Weekly_Product_Demand!$C:$C,Weekly_Product_Demand!$A:$A,A246,Weekly_Product_Demand!$B:$B,B246))/
SUMIFS(Weekly_Product_Demand!$C:$C,Weekly_Product_Demand!$A:$A,A246,Weekly_Product_Demand!$B:$B,B246))</f>
        <v>-1.3263358778625955E-2</v>
      </c>
      <c r="D246" s="25">
        <f>SUMIFS(Weekly_Inventory_Flow!$Q:$Q,Weekly_Inventory_Flow!$A:$A,A246,Weekly_Inventory_Flow!$B:$B,B246)</f>
        <v>0.7</v>
      </c>
      <c r="E246" s="26">
        <f>SUMIFS(Weekly_Inventory_Flow!$S:$S,Weekly_Inventory_Flow!$A:$A,A246,Weekly_Inventory_Flow!$B:$B,B246)</f>
        <v>0</v>
      </c>
      <c r="F246" s="27">
        <f>SUMIFS(Weekly_Inventory_Flow!$N:$N,Weekly_Inventory_Flow!$A:$A,A246,Weekly_Inventory_Flow!$B:$B,B246)</f>
        <v>221</v>
      </c>
      <c r="G246" s="13" t="str">
        <f>_xlfn.XLOOKUP(B246,Product_Line_Map!$A$2:$A$6,Product_Line_Map!$B$2:$B$6,"")</f>
        <v>L03</v>
      </c>
      <c r="H246" s="25">
        <f>SUMIFS(Weekly_Line_Capacity!$J:$J,Weekly_Line_Capacity!$A:$A,A246,Weekly_Line_Capacity!$B:$B,G246)</f>
        <v>0.58333333333333337</v>
      </c>
      <c r="I246" s="27">
        <f>SUMIFS(Weekly_Line_Capacity!$K:$K,Weekly_Line_Capacity!$A:$A,A246,Weekly_Line_Capacity!$B:$B,G246)</f>
        <v>0</v>
      </c>
      <c r="J246" s="13" t="str" cm="1">
        <f t="array" ref="J246">_xlfn.XLOOKUP(1,(Weekly_Line_Capacity!$A$2:$A$157=A246)*(Weekly_Line_Capacity!$B$2:$B$157=G246),Weekly_Line_Capacity!$L$2:$L$157,"")</f>
        <v>WITHIN CAPACITY</v>
      </c>
      <c r="K246" s="13" t="str">
        <f>_xlfn.XLOOKUP(B246,BOM!$A$2:$A$21,BOM!$B$2:$B$21,"")</f>
        <v>M005</v>
      </c>
      <c r="L246" s="27">
        <f>SUMIFS(Weekly_Material_Inventory!$K:$K,Weekly_Material_Inventory!$A:$A,A246,Weekly_Material_Inventory!$B:$B,K246)</f>
        <v>0</v>
      </c>
      <c r="M246">
        <f t="shared" si="9"/>
        <v>11</v>
      </c>
      <c r="N246" t="str">
        <f t="shared" si="10"/>
        <v>CRITICAL</v>
      </c>
      <c r="O246" t="str">
        <f t="shared" si="11"/>
        <v>FINISHED GOODS SHORTAGE</v>
      </c>
      <c r="P246" t="str" cm="1">
        <f t="array" ref="P246">_xlfn.SWITCH(O246,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 / Service</v>
      </c>
      <c r="Q246" t="str" cm="1">
        <f t="array" ref="Q246">_xlfn.SWITCH(O246,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Escalate service risk; prioritise production and review stock allocation</v>
      </c>
      <c r="R246" t="str" cm="1">
        <f t="array" ref="R246">_xlfn.SWITCH(P246,
"Inventory / Service","Operations / Planning",
"Material Supply","Materials / Procurement",
"Capacity","Production / Planning",
"Production Execution","Production",
"Inventory","Operations / Planning",
"Demand Planning","Commercial / Planning",
"None","None",
"Operations")</f>
        <v>Operations / Planning</v>
      </c>
    </row>
    <row r="247" spans="1:18">
      <c r="A247" s="30">
        <f>Weekly_Inventory_Flow!A247</f>
        <v>46370</v>
      </c>
      <c r="B247" s="13" t="str">
        <f>Weekly_Inventory_Flow!B247</f>
        <v>P001</v>
      </c>
      <c r="C247" s="25">
        <f>IF(SUMIFS(Weekly_Product_Demand!$C:$C,Weekly_Product_Demand!$A:$A,A247,Weekly_Product_Demand!$B:$B,B247)=0,0,
(SUMIFS(Weekly_Product_Demand!$D:$D,Weekly_Product_Demand!$A:$A,A247,Weekly_Product_Demand!$B:$B,B247)-
SUMIFS(Weekly_Product_Demand!$C:$C,Weekly_Product_Demand!$A:$A,A247,Weekly_Product_Demand!$B:$B,B247))/
SUMIFS(Weekly_Product_Demand!$C:$C,Weekly_Product_Demand!$A:$A,A247,Weekly_Product_Demand!$B:$B,B247))</f>
        <v>-2.6267387055983447E-2</v>
      </c>
      <c r="D247" s="25">
        <f>SUMIFS(Weekly_Inventory_Flow!$Q:$Q,Weekly_Inventory_Flow!$A:$A,A247,Weekly_Inventory_Flow!$B:$B,B247)</f>
        <v>0.97</v>
      </c>
      <c r="E247" s="26">
        <f>SUMIFS(Weekly_Inventory_Flow!$S:$S,Weekly_Inventory_Flow!$A:$A,A247,Weekly_Inventory_Flow!$B:$B,B247)</f>
        <v>1.8209668850717193</v>
      </c>
      <c r="F247" s="27">
        <f>SUMIFS(Weekly_Inventory_Flow!$N:$N,Weekly_Inventory_Flow!$A:$A,A247,Weekly_Inventory_Flow!$B:$B,B247)</f>
        <v>0</v>
      </c>
      <c r="G247" s="13" t="str">
        <f>_xlfn.XLOOKUP(B247,Product_Line_Map!$A$2:$A$6,Product_Line_Map!$B$2:$B$6,"")</f>
        <v>L01</v>
      </c>
      <c r="H247" s="25">
        <f>SUMIFS(Weekly_Line_Capacity!$J:$J,Weekly_Line_Capacity!$A:$A,A247,Weekly_Line_Capacity!$B:$B,G247)</f>
        <v>0.24561403508771931</v>
      </c>
      <c r="I247" s="27">
        <f>SUMIFS(Weekly_Line_Capacity!$K:$K,Weekly_Line_Capacity!$A:$A,A247,Weekly_Line_Capacity!$B:$B,G247)</f>
        <v>0</v>
      </c>
      <c r="J247" s="13" t="str" cm="1">
        <f t="array" ref="J247">_xlfn.XLOOKUP(1,(Weekly_Line_Capacity!$A$2:$A$157=A247)*(Weekly_Line_Capacity!$B$2:$B$157=G247),Weekly_Line_Capacity!$L$2:$L$157,"")</f>
        <v>WITHIN CAPACITY</v>
      </c>
      <c r="K247" s="13" t="str">
        <f>_xlfn.XLOOKUP(B247,BOM!$A$2:$A$21,BOM!$B$2:$B$21,"")</f>
        <v>M001</v>
      </c>
      <c r="L247" s="27">
        <f>SUMIFS(Weekly_Material_Inventory!$K:$K,Weekly_Material_Inventory!$A:$A,A247,Weekly_Material_Inventory!$B:$B,K247)</f>
        <v>0</v>
      </c>
      <c r="M247">
        <f t="shared" si="9"/>
        <v>1</v>
      </c>
      <c r="N247" t="str">
        <f t="shared" si="10"/>
        <v>WARNING</v>
      </c>
      <c r="O247" t="str">
        <f t="shared" si="11"/>
        <v>LOW STOCK COVER</v>
      </c>
      <c r="P247" t="str" cm="1">
        <f t="array" ref="P247">_xlfn.SWITCH(O247,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47" t="str" cm="1">
        <f t="array" ref="Q247">_xlfn.SWITCH(O247,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47" t="str" cm="1">
        <f t="array" ref="R247">_xlfn.SWITCH(P247,
"Inventory / Service","Operations / Planning",
"Material Supply","Materials / Procurement",
"Capacity","Production / Planning",
"Production Execution","Production",
"Inventory","Operations / Planning",
"Demand Planning","Commercial / Planning",
"None","None",
"Operations")</f>
        <v>Operations / Planning</v>
      </c>
    </row>
    <row r="248" spans="1:18">
      <c r="A248" s="30">
        <f>Weekly_Inventory_Flow!A248</f>
        <v>46370</v>
      </c>
      <c r="B248" s="13" t="str">
        <f>Weekly_Inventory_Flow!B248</f>
        <v>P002</v>
      </c>
      <c r="C248" s="25">
        <f>IF(SUMIFS(Weekly_Product_Demand!$C:$C,Weekly_Product_Demand!$A:$A,A248,Weekly_Product_Demand!$B:$B,B248)=0,0,
(SUMIFS(Weekly_Product_Demand!$D:$D,Weekly_Product_Demand!$A:$A,A248,Weekly_Product_Demand!$B:$B,B248)-
SUMIFS(Weekly_Product_Demand!$C:$C,Weekly_Product_Demand!$A:$A,A248,Weekly_Product_Demand!$B:$B,B248))/
SUMIFS(Weekly_Product_Demand!$C:$C,Weekly_Product_Demand!$A:$A,A248,Weekly_Product_Demand!$B:$B,B248))</f>
        <v>2.7925350769649913E-3</v>
      </c>
      <c r="D248" s="25">
        <f>SUMIFS(Weekly_Inventory_Flow!$Q:$Q,Weekly_Inventory_Flow!$A:$A,A248,Weekly_Inventory_Flow!$B:$B,B248)</f>
        <v>0.97</v>
      </c>
      <c r="E248" s="26">
        <f>SUMIFS(Weekly_Inventory_Flow!$S:$S,Weekly_Inventory_Flow!$A:$A,A248,Weekly_Inventory_Flow!$B:$B,B248)</f>
        <v>1.7929090538613055</v>
      </c>
      <c r="F248" s="27">
        <f>SUMIFS(Weekly_Inventory_Flow!$N:$N,Weekly_Inventory_Flow!$A:$A,A248,Weekly_Inventory_Flow!$B:$B,B248)</f>
        <v>0</v>
      </c>
      <c r="G248" s="13" t="str">
        <f>_xlfn.XLOOKUP(B248,Product_Line_Map!$A$2:$A$6,Product_Line_Map!$B$2:$B$6,"")</f>
        <v>L02</v>
      </c>
      <c r="H248" s="25">
        <f>SUMIFS(Weekly_Line_Capacity!$J:$J,Weekly_Line_Capacity!$A:$A,A248,Weekly_Line_Capacity!$B:$B,G248)</f>
        <v>0.55809523809523809</v>
      </c>
      <c r="I248" s="27">
        <f>SUMIFS(Weekly_Line_Capacity!$K:$K,Weekly_Line_Capacity!$A:$A,A248,Weekly_Line_Capacity!$B:$B,G248)</f>
        <v>0</v>
      </c>
      <c r="J248" s="13" t="str" cm="1">
        <f t="array" ref="J248">_xlfn.XLOOKUP(1,(Weekly_Line_Capacity!$A$2:$A$157=A248)*(Weekly_Line_Capacity!$B$2:$B$157=G248),Weekly_Line_Capacity!$L$2:$L$157,"")</f>
        <v>WITHIN CAPACITY</v>
      </c>
      <c r="K248" s="13" t="str">
        <f>_xlfn.XLOOKUP(B248,BOM!$A$2:$A$21,BOM!$B$2:$B$21,"")</f>
        <v>M002</v>
      </c>
      <c r="L248" s="27">
        <f>SUMIFS(Weekly_Material_Inventory!$K:$K,Weekly_Material_Inventory!$A:$A,A248,Weekly_Material_Inventory!$B:$B,K248)</f>
        <v>0</v>
      </c>
      <c r="M248">
        <f t="shared" si="9"/>
        <v>1</v>
      </c>
      <c r="N248" t="str">
        <f t="shared" si="10"/>
        <v>WARNING</v>
      </c>
      <c r="O248" t="str">
        <f t="shared" si="11"/>
        <v>LOW STOCK COVER</v>
      </c>
      <c r="P248" t="str" cm="1">
        <f t="array" ref="P248">_xlfn.SWITCH(O248,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48" t="str" cm="1">
        <f t="array" ref="Q248">_xlfn.SWITCH(O248,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48" t="str" cm="1">
        <f t="array" ref="R248">_xlfn.SWITCH(P248,
"Inventory / Service","Operations / Planning",
"Material Supply","Materials / Procurement",
"Capacity","Production / Planning",
"Production Execution","Production",
"Inventory","Operations / Planning",
"Demand Planning","Commercial / Planning",
"None","None",
"Operations")</f>
        <v>Operations / Planning</v>
      </c>
    </row>
    <row r="249" spans="1:18">
      <c r="A249" s="30">
        <f>Weekly_Inventory_Flow!A249</f>
        <v>46370</v>
      </c>
      <c r="B249" s="13" t="str">
        <f>Weekly_Inventory_Flow!B249</f>
        <v>P003</v>
      </c>
      <c r="C249" s="25">
        <f>IF(SUMIFS(Weekly_Product_Demand!$C:$C,Weekly_Product_Demand!$A:$A,A249,Weekly_Product_Demand!$B:$B,B249)=0,0,
(SUMIFS(Weekly_Product_Demand!$D:$D,Weekly_Product_Demand!$A:$A,A249,Weekly_Product_Demand!$B:$B,B249)-
SUMIFS(Weekly_Product_Demand!$C:$C,Weekly_Product_Demand!$A:$A,A249,Weekly_Product_Demand!$B:$B,B249))/
SUMIFS(Weekly_Product_Demand!$C:$C,Weekly_Product_Demand!$A:$A,A249,Weekly_Product_Demand!$B:$B,B249))</f>
        <v>3.8485705309456489E-3</v>
      </c>
      <c r="D249" s="25">
        <f>SUMIFS(Weekly_Inventory_Flow!$Q:$Q,Weekly_Inventory_Flow!$A:$A,A249,Weekly_Inventory_Flow!$B:$B,B249)</f>
        <v>1.01</v>
      </c>
      <c r="E249" s="26">
        <f>SUMIFS(Weekly_Inventory_Flow!$S:$S,Weekly_Inventory_Flow!$A:$A,A249,Weekly_Inventory_Flow!$B:$B,B249)</f>
        <v>2.1206478366325014</v>
      </c>
      <c r="F249" s="27">
        <f>SUMIFS(Weekly_Inventory_Flow!$N:$N,Weekly_Inventory_Flow!$A:$A,A249,Weekly_Inventory_Flow!$B:$B,B249)</f>
        <v>0</v>
      </c>
      <c r="G249" s="13" t="str">
        <f>_xlfn.XLOOKUP(B249,Product_Line_Map!$A$2:$A$6,Product_Line_Map!$B$2:$B$6,"")</f>
        <v>L03</v>
      </c>
      <c r="H249" s="25">
        <f>SUMIFS(Weekly_Line_Capacity!$J:$J,Weekly_Line_Capacity!$A:$A,A249,Weekly_Line_Capacity!$B:$B,G249)</f>
        <v>0.61428571428571432</v>
      </c>
      <c r="I249" s="27">
        <f>SUMIFS(Weekly_Line_Capacity!$K:$K,Weekly_Line_Capacity!$A:$A,A249,Weekly_Line_Capacity!$B:$B,G249)</f>
        <v>0</v>
      </c>
      <c r="J249" s="13" t="str" cm="1">
        <f t="array" ref="J249">_xlfn.XLOOKUP(1,(Weekly_Line_Capacity!$A$2:$A$157=A249)*(Weekly_Line_Capacity!$B$2:$B$157=G249),Weekly_Line_Capacity!$L$2:$L$157,"")</f>
        <v>WITHIN CAPACITY</v>
      </c>
      <c r="K249" s="13" t="str">
        <f>_xlfn.XLOOKUP(B249,BOM!$A$2:$A$21,BOM!$B$2:$B$21,"")</f>
        <v>M003</v>
      </c>
      <c r="L249" s="27">
        <f>SUMIFS(Weekly_Material_Inventory!$K:$K,Weekly_Material_Inventory!$A:$A,A249,Weekly_Material_Inventory!$B:$B,K249)</f>
        <v>0</v>
      </c>
      <c r="M249">
        <f t="shared" si="9"/>
        <v>0</v>
      </c>
      <c r="N249" t="str">
        <f t="shared" si="10"/>
        <v>OK</v>
      </c>
      <c r="O249" t="str">
        <f t="shared" si="11"/>
        <v>NONE</v>
      </c>
      <c r="P249" t="str" cm="1">
        <f t="array" ref="P249">_xlfn.SWITCH(O249,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49" t="str" cm="1">
        <f t="array" ref="Q249">_xlfn.SWITCH(O249,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49" t="str" cm="1">
        <f t="array" ref="R249">_xlfn.SWITCH(P249,
"Inventory / Service","Operations / Planning",
"Material Supply","Materials / Procurement",
"Capacity","Production / Planning",
"Production Execution","Production",
"Inventory","Operations / Planning",
"Demand Planning","Commercial / Planning",
"None","None",
"Operations")</f>
        <v>None</v>
      </c>
    </row>
    <row r="250" spans="1:18">
      <c r="A250" s="30">
        <f>Weekly_Inventory_Flow!A250</f>
        <v>46370</v>
      </c>
      <c r="B250" s="13" t="str">
        <f>Weekly_Inventory_Flow!B250</f>
        <v>P004</v>
      </c>
      <c r="C250" s="25">
        <f>IF(SUMIFS(Weekly_Product_Demand!$C:$C,Weekly_Product_Demand!$A:$A,A250,Weekly_Product_Demand!$B:$B,B250)=0,0,
(SUMIFS(Weekly_Product_Demand!$D:$D,Weekly_Product_Demand!$A:$A,A250,Weekly_Product_Demand!$B:$B,B250)-
SUMIFS(Weekly_Product_Demand!$C:$C,Weekly_Product_Demand!$A:$A,A250,Weekly_Product_Demand!$B:$B,B250))/
SUMIFS(Weekly_Product_Demand!$C:$C,Weekly_Product_Demand!$A:$A,A250,Weekly_Product_Demand!$B:$B,B250))</f>
        <v>-8.1548716494114302E-3</v>
      </c>
      <c r="D250" s="25">
        <f>SUMIFS(Weekly_Inventory_Flow!$Q:$Q,Weekly_Inventory_Flow!$A:$A,A250,Weekly_Inventory_Flow!$B:$B,B250)</f>
        <v>0.99</v>
      </c>
      <c r="E250" s="26">
        <f>SUMIFS(Weekly_Inventory_Flow!$S:$S,Weekly_Inventory_Flow!$A:$A,A250,Weekly_Inventory_Flow!$B:$B,B250)</f>
        <v>1.9638235504396941</v>
      </c>
      <c r="F250" s="27">
        <f>SUMIFS(Weekly_Inventory_Flow!$N:$N,Weekly_Inventory_Flow!$A:$A,A250,Weekly_Inventory_Flow!$B:$B,B250)</f>
        <v>0</v>
      </c>
      <c r="G250" s="13" t="str">
        <f>_xlfn.XLOOKUP(B250,Product_Line_Map!$A$2:$A$6,Product_Line_Map!$B$2:$B$6,"")</f>
        <v>L02</v>
      </c>
      <c r="H250" s="25">
        <f>SUMIFS(Weekly_Line_Capacity!$J:$J,Weekly_Line_Capacity!$A:$A,A250,Weekly_Line_Capacity!$B:$B,G250)</f>
        <v>0.55809523809523809</v>
      </c>
      <c r="I250" s="27">
        <f>SUMIFS(Weekly_Line_Capacity!$K:$K,Weekly_Line_Capacity!$A:$A,A250,Weekly_Line_Capacity!$B:$B,G250)</f>
        <v>0</v>
      </c>
      <c r="J250" s="13" t="str" cm="1">
        <f t="array" ref="J250">_xlfn.XLOOKUP(1,(Weekly_Line_Capacity!$A$2:$A$157=A250)*(Weekly_Line_Capacity!$B$2:$B$157=G250),Weekly_Line_Capacity!$L$2:$L$157,"")</f>
        <v>WITHIN CAPACITY</v>
      </c>
      <c r="K250" s="13" t="str">
        <f>_xlfn.XLOOKUP(B250,BOM!$A$2:$A$21,BOM!$B$2:$B$21,"")</f>
        <v>M004</v>
      </c>
      <c r="L250" s="27">
        <f>SUMIFS(Weekly_Material_Inventory!$K:$K,Weekly_Material_Inventory!$A:$A,A250,Weekly_Material_Inventory!$B:$B,K250)</f>
        <v>0</v>
      </c>
      <c r="M250">
        <f t="shared" si="9"/>
        <v>1</v>
      </c>
      <c r="N250" t="str">
        <f t="shared" si="10"/>
        <v>WARNING</v>
      </c>
      <c r="O250" t="str">
        <f t="shared" si="11"/>
        <v>LOW STOCK COVER</v>
      </c>
      <c r="P250" t="str" cm="1">
        <f t="array" ref="P250">_xlfn.SWITCH(O250,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50" t="str" cm="1">
        <f t="array" ref="Q250">_xlfn.SWITCH(O250,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50" t="str" cm="1">
        <f t="array" ref="R250">_xlfn.SWITCH(P250,
"Inventory / Service","Operations / Planning",
"Material Supply","Materials / Procurement",
"Capacity","Production / Planning",
"Production Execution","Production",
"Inventory","Operations / Planning",
"Demand Planning","Commercial / Planning",
"None","None",
"Operations")</f>
        <v>Operations / Planning</v>
      </c>
    </row>
    <row r="251" spans="1:18">
      <c r="A251" s="30">
        <f>Weekly_Inventory_Flow!A251</f>
        <v>46370</v>
      </c>
      <c r="B251" s="13" t="str">
        <f>Weekly_Inventory_Flow!B251</f>
        <v>P005</v>
      </c>
      <c r="C251" s="25">
        <f>IF(SUMIFS(Weekly_Product_Demand!$C:$C,Weekly_Product_Demand!$A:$A,A251,Weekly_Product_Demand!$B:$B,B251)=0,0,
(SUMIFS(Weekly_Product_Demand!$D:$D,Weekly_Product_Demand!$A:$A,A251,Weekly_Product_Demand!$B:$B,B251)-
SUMIFS(Weekly_Product_Demand!$C:$C,Weekly_Product_Demand!$A:$A,A251,Weekly_Product_Demand!$B:$B,B251))/
SUMIFS(Weekly_Product_Demand!$C:$C,Weekly_Product_Demand!$A:$A,A251,Weekly_Product_Demand!$B:$B,B251))</f>
        <v>8.2862156365763311E-3</v>
      </c>
      <c r="D251" s="25">
        <f>SUMIFS(Weekly_Inventory_Flow!$Q:$Q,Weekly_Inventory_Flow!$A:$A,A251,Weekly_Inventory_Flow!$B:$B,B251)</f>
        <v>1.02</v>
      </c>
      <c r="E251" s="26">
        <f>SUMIFS(Weekly_Inventory_Flow!$S:$S,Weekly_Inventory_Flow!$A:$A,A251,Weekly_Inventory_Flow!$B:$B,B251)</f>
        <v>2.1812820264913468</v>
      </c>
      <c r="F251" s="27">
        <f>SUMIFS(Weekly_Inventory_Flow!$N:$N,Weekly_Inventory_Flow!$A:$A,A251,Weekly_Inventory_Flow!$B:$B,B251)</f>
        <v>0</v>
      </c>
      <c r="G251" s="13" t="str">
        <f>_xlfn.XLOOKUP(B251,Product_Line_Map!$A$2:$A$6,Product_Line_Map!$B$2:$B$6,"")</f>
        <v>L03</v>
      </c>
      <c r="H251" s="25">
        <f>SUMIFS(Weekly_Line_Capacity!$J:$J,Weekly_Line_Capacity!$A:$A,A251,Weekly_Line_Capacity!$B:$B,G251)</f>
        <v>0.61428571428571432</v>
      </c>
      <c r="I251" s="27">
        <f>SUMIFS(Weekly_Line_Capacity!$K:$K,Weekly_Line_Capacity!$A:$A,A251,Weekly_Line_Capacity!$B:$B,G251)</f>
        <v>0</v>
      </c>
      <c r="J251" s="13" t="str" cm="1">
        <f t="array" ref="J251">_xlfn.XLOOKUP(1,(Weekly_Line_Capacity!$A$2:$A$157=A251)*(Weekly_Line_Capacity!$B$2:$B$157=G251),Weekly_Line_Capacity!$L$2:$L$157,"")</f>
        <v>WITHIN CAPACITY</v>
      </c>
      <c r="K251" s="13" t="str">
        <f>_xlfn.XLOOKUP(B251,BOM!$A$2:$A$21,BOM!$B$2:$B$21,"")</f>
        <v>M005</v>
      </c>
      <c r="L251" s="27">
        <f>SUMIFS(Weekly_Material_Inventory!$K:$K,Weekly_Material_Inventory!$A:$A,A251,Weekly_Material_Inventory!$B:$B,K251)</f>
        <v>0</v>
      </c>
      <c r="M251">
        <f t="shared" si="9"/>
        <v>0</v>
      </c>
      <c r="N251" t="str">
        <f t="shared" si="10"/>
        <v>OK</v>
      </c>
      <c r="O251" t="str">
        <f t="shared" si="11"/>
        <v>NONE</v>
      </c>
      <c r="P251" t="str" cm="1">
        <f t="array" ref="P251">_xlfn.SWITCH(O251,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51" t="str" cm="1">
        <f t="array" ref="Q251">_xlfn.SWITCH(O251,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51" t="str" cm="1">
        <f t="array" ref="R251">_xlfn.SWITCH(P251,
"Inventory / Service","Operations / Planning",
"Material Supply","Materials / Procurement",
"Capacity","Production / Planning",
"Production Execution","Production",
"Inventory","Operations / Planning",
"Demand Planning","Commercial / Planning",
"None","None",
"Operations")</f>
        <v>None</v>
      </c>
    </row>
    <row r="252" spans="1:18">
      <c r="A252" s="30">
        <f>Weekly_Inventory_Flow!A252</f>
        <v>46377</v>
      </c>
      <c r="B252" s="13" t="str">
        <f>Weekly_Inventory_Flow!B252</f>
        <v>P001</v>
      </c>
      <c r="C252" s="25">
        <f>IF(SUMIFS(Weekly_Product_Demand!$C:$C,Weekly_Product_Demand!$A:$A,A252,Weekly_Product_Demand!$B:$B,B252)=0,0,
(SUMIFS(Weekly_Product_Demand!$D:$D,Weekly_Product_Demand!$A:$A,A252,Weekly_Product_Demand!$B:$B,B252)-
SUMIFS(Weekly_Product_Demand!$C:$C,Weekly_Product_Demand!$A:$A,A252,Weekly_Product_Demand!$B:$B,B252))/
SUMIFS(Weekly_Product_Demand!$C:$C,Weekly_Product_Demand!$A:$A,A252,Weekly_Product_Demand!$B:$B,B252))</f>
        <v>-1.7877739331026528E-3</v>
      </c>
      <c r="D252" s="25">
        <f>SUMIFS(Weekly_Inventory_Flow!$Q:$Q,Weekly_Inventory_Flow!$A:$A,A252,Weekly_Inventory_Flow!$B:$B,B252)</f>
        <v>0.97</v>
      </c>
      <c r="E252" s="26">
        <f>SUMIFS(Weekly_Inventory_Flow!$S:$S,Weekly_Inventory_Flow!$A:$A,A252,Weekly_Inventory_Flow!$B:$B,B252)</f>
        <v>1.8040903576174243</v>
      </c>
      <c r="F252" s="27">
        <f>SUMIFS(Weekly_Inventory_Flow!$N:$N,Weekly_Inventory_Flow!$A:$A,A252,Weekly_Inventory_Flow!$B:$B,B252)</f>
        <v>0</v>
      </c>
      <c r="G252" s="13" t="str">
        <f>_xlfn.XLOOKUP(B252,Product_Line_Map!$A$2:$A$6,Product_Line_Map!$B$2:$B$6,"")</f>
        <v>L01</v>
      </c>
      <c r="H252" s="25">
        <f>SUMIFS(Weekly_Line_Capacity!$J:$J,Weekly_Line_Capacity!$A:$A,A252,Weekly_Line_Capacity!$B:$B,G252)</f>
        <v>0.26169590643274854</v>
      </c>
      <c r="I252" s="27">
        <f>SUMIFS(Weekly_Line_Capacity!$K:$K,Weekly_Line_Capacity!$A:$A,A252,Weekly_Line_Capacity!$B:$B,G252)</f>
        <v>0</v>
      </c>
      <c r="J252" s="13" t="str" cm="1">
        <f t="array" ref="J252">_xlfn.XLOOKUP(1,(Weekly_Line_Capacity!$A$2:$A$157=A252)*(Weekly_Line_Capacity!$B$2:$B$157=G252),Weekly_Line_Capacity!$L$2:$L$157,"")</f>
        <v>WITHIN CAPACITY</v>
      </c>
      <c r="K252" s="13" t="str">
        <f>_xlfn.XLOOKUP(B252,BOM!$A$2:$A$21,BOM!$B$2:$B$21,"")</f>
        <v>M001</v>
      </c>
      <c r="L252" s="27">
        <f>SUMIFS(Weekly_Material_Inventory!$K:$K,Weekly_Material_Inventory!$A:$A,A252,Weekly_Material_Inventory!$B:$B,K252)</f>
        <v>0</v>
      </c>
      <c r="M252">
        <f t="shared" si="9"/>
        <v>1</v>
      </c>
      <c r="N252" t="str">
        <f t="shared" si="10"/>
        <v>WARNING</v>
      </c>
      <c r="O252" t="str">
        <f t="shared" si="11"/>
        <v>LOW STOCK COVER</v>
      </c>
      <c r="P252" t="str" cm="1">
        <f t="array" ref="P252">_xlfn.SWITCH(O252,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52" t="str" cm="1">
        <f t="array" ref="Q252">_xlfn.SWITCH(O252,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52" t="str" cm="1">
        <f t="array" ref="R252">_xlfn.SWITCH(P252,
"Inventory / Service","Operations / Planning",
"Material Supply","Materials / Procurement",
"Capacity","Production / Planning",
"Production Execution","Production",
"Inventory","Operations / Planning",
"Demand Planning","Commercial / Planning",
"None","None",
"Operations")</f>
        <v>Operations / Planning</v>
      </c>
    </row>
    <row r="253" spans="1:18">
      <c r="A253" s="30">
        <f>Weekly_Inventory_Flow!A253</f>
        <v>46377</v>
      </c>
      <c r="B253" s="13" t="str">
        <f>Weekly_Inventory_Flow!B253</f>
        <v>P002</v>
      </c>
      <c r="C253" s="25">
        <f>IF(SUMIFS(Weekly_Product_Demand!$C:$C,Weekly_Product_Demand!$A:$A,A253,Weekly_Product_Demand!$B:$B,B253)=0,0,
(SUMIFS(Weekly_Product_Demand!$D:$D,Weekly_Product_Demand!$A:$A,A253,Weekly_Product_Demand!$B:$B,B253)-
SUMIFS(Weekly_Product_Demand!$C:$C,Weekly_Product_Demand!$A:$A,A253,Weekly_Product_Demand!$B:$B,B253))/
SUMIFS(Weekly_Product_Demand!$C:$C,Weekly_Product_Demand!$A:$A,A253,Weekly_Product_Demand!$B:$B,B253))</f>
        <v>-2.6287838555496549E-2</v>
      </c>
      <c r="D253" s="25">
        <f>SUMIFS(Weekly_Inventory_Flow!$Q:$Q,Weekly_Inventory_Flow!$A:$A,A253,Weekly_Inventory_Flow!$B:$B,B253)</f>
        <v>1</v>
      </c>
      <c r="E253" s="26">
        <f>SUMIFS(Weekly_Inventory_Flow!$S:$S,Weekly_Inventory_Flow!$A:$A,A253,Weekly_Inventory_Flow!$B:$B,B253)</f>
        <v>2.005794927733842</v>
      </c>
      <c r="F253" s="27">
        <f>SUMIFS(Weekly_Inventory_Flow!$N:$N,Weekly_Inventory_Flow!$A:$A,A253,Weekly_Inventory_Flow!$B:$B,B253)</f>
        <v>0</v>
      </c>
      <c r="G253" s="13" t="str">
        <f>_xlfn.XLOOKUP(B253,Product_Line_Map!$A$2:$A$6,Product_Line_Map!$B$2:$B$6,"")</f>
        <v>L02</v>
      </c>
      <c r="H253" s="25">
        <f>SUMIFS(Weekly_Line_Capacity!$J:$J,Weekly_Line_Capacity!$A:$A,A253,Weekly_Line_Capacity!$B:$B,G253)</f>
        <v>0.55047619047619045</v>
      </c>
      <c r="I253" s="27">
        <f>SUMIFS(Weekly_Line_Capacity!$K:$K,Weekly_Line_Capacity!$A:$A,A253,Weekly_Line_Capacity!$B:$B,G253)</f>
        <v>0</v>
      </c>
      <c r="J253" s="13" t="str" cm="1">
        <f t="array" ref="J253">_xlfn.XLOOKUP(1,(Weekly_Line_Capacity!$A$2:$A$157=A253)*(Weekly_Line_Capacity!$B$2:$B$157=G253),Weekly_Line_Capacity!$L$2:$L$157,"")</f>
        <v>WITHIN CAPACITY</v>
      </c>
      <c r="K253" s="13" t="str">
        <f>_xlfn.XLOOKUP(B253,BOM!$A$2:$A$21,BOM!$B$2:$B$21,"")</f>
        <v>M002</v>
      </c>
      <c r="L253" s="27">
        <f>SUMIFS(Weekly_Material_Inventory!$K:$K,Weekly_Material_Inventory!$A:$A,A253,Weekly_Material_Inventory!$B:$B,K253)</f>
        <v>0</v>
      </c>
      <c r="M253">
        <f t="shared" si="9"/>
        <v>0</v>
      </c>
      <c r="N253" t="str">
        <f t="shared" si="10"/>
        <v>OK</v>
      </c>
      <c r="O253" t="str">
        <f t="shared" si="11"/>
        <v>NONE</v>
      </c>
      <c r="P253" t="str" cm="1">
        <f t="array" ref="P253">_xlfn.SWITCH(O253,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53" t="str" cm="1">
        <f t="array" ref="Q253">_xlfn.SWITCH(O253,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53" t="str" cm="1">
        <f t="array" ref="R253">_xlfn.SWITCH(P253,
"Inventory / Service","Operations / Planning",
"Material Supply","Materials / Procurement",
"Capacity","Production / Planning",
"Production Execution","Production",
"Inventory","Operations / Planning",
"Demand Planning","Commercial / Planning",
"None","None",
"Operations")</f>
        <v>None</v>
      </c>
    </row>
    <row r="254" spans="1:18">
      <c r="A254" s="30">
        <f>Weekly_Inventory_Flow!A254</f>
        <v>46377</v>
      </c>
      <c r="B254" s="13" t="str">
        <f>Weekly_Inventory_Flow!B254</f>
        <v>P003</v>
      </c>
      <c r="C254" s="25">
        <f>IF(SUMIFS(Weekly_Product_Demand!$C:$C,Weekly_Product_Demand!$A:$A,A254,Weekly_Product_Demand!$B:$B,B254)=0,0,
(SUMIFS(Weekly_Product_Demand!$D:$D,Weekly_Product_Demand!$A:$A,A254,Weekly_Product_Demand!$B:$B,B254)-
SUMIFS(Weekly_Product_Demand!$C:$C,Weekly_Product_Demand!$A:$A,A254,Weekly_Product_Demand!$B:$B,B254))/
SUMIFS(Weekly_Product_Demand!$C:$C,Weekly_Product_Demand!$A:$A,A254,Weekly_Product_Demand!$B:$B,B254))</f>
        <v>-1.4430457476205097E-2</v>
      </c>
      <c r="D254" s="25">
        <f>SUMIFS(Weekly_Inventory_Flow!$Q:$Q,Weekly_Inventory_Flow!$A:$A,A254,Weekly_Inventory_Flow!$B:$B,B254)</f>
        <v>1.02</v>
      </c>
      <c r="E254" s="26">
        <f>SUMIFS(Weekly_Inventory_Flow!$S:$S,Weekly_Inventory_Flow!$A:$A,A254,Weekly_Inventory_Flow!$B:$B,B254)</f>
        <v>2.1730529595015575</v>
      </c>
      <c r="F254" s="27">
        <f>SUMIFS(Weekly_Inventory_Flow!$N:$N,Weekly_Inventory_Flow!$A:$A,A254,Weekly_Inventory_Flow!$B:$B,B254)</f>
        <v>0</v>
      </c>
      <c r="G254" s="13" t="str">
        <f>_xlfn.XLOOKUP(B254,Product_Line_Map!$A$2:$A$6,Product_Line_Map!$B$2:$B$6,"")</f>
        <v>L03</v>
      </c>
      <c r="H254" s="25">
        <f>SUMIFS(Weekly_Line_Capacity!$J:$J,Weekly_Line_Capacity!$A:$A,A254,Weekly_Line_Capacity!$B:$B,G254)</f>
        <v>0.54523809523809519</v>
      </c>
      <c r="I254" s="27">
        <f>SUMIFS(Weekly_Line_Capacity!$K:$K,Weekly_Line_Capacity!$A:$A,A254,Weekly_Line_Capacity!$B:$B,G254)</f>
        <v>0</v>
      </c>
      <c r="J254" s="13" t="str" cm="1">
        <f t="array" ref="J254">_xlfn.XLOOKUP(1,(Weekly_Line_Capacity!$A$2:$A$157=A254)*(Weekly_Line_Capacity!$B$2:$B$157=G254),Weekly_Line_Capacity!$L$2:$L$157,"")</f>
        <v>WITHIN CAPACITY</v>
      </c>
      <c r="K254" s="13" t="str">
        <f>_xlfn.XLOOKUP(B254,BOM!$A$2:$A$21,BOM!$B$2:$B$21,"")</f>
        <v>M003</v>
      </c>
      <c r="L254" s="27">
        <f>SUMIFS(Weekly_Material_Inventory!$K:$K,Weekly_Material_Inventory!$A:$A,A254,Weekly_Material_Inventory!$B:$B,K254)</f>
        <v>0</v>
      </c>
      <c r="M254">
        <f t="shared" si="9"/>
        <v>0</v>
      </c>
      <c r="N254" t="str">
        <f t="shared" si="10"/>
        <v>OK</v>
      </c>
      <c r="O254" t="str">
        <f t="shared" si="11"/>
        <v>NONE</v>
      </c>
      <c r="P254" t="str" cm="1">
        <f t="array" ref="P254">_xlfn.SWITCH(O254,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54" t="str" cm="1">
        <f t="array" ref="Q254">_xlfn.SWITCH(O254,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54" t="str" cm="1">
        <f t="array" ref="R254">_xlfn.SWITCH(P254,
"Inventory / Service","Operations / Planning",
"Material Supply","Materials / Procurement",
"Capacity","Production / Planning",
"Production Execution","Production",
"Inventory","Operations / Planning",
"Demand Planning","Commercial / Planning",
"None","None",
"Operations")</f>
        <v>None</v>
      </c>
    </row>
    <row r="255" spans="1:18">
      <c r="A255" s="30">
        <f>Weekly_Inventory_Flow!A255</f>
        <v>46377</v>
      </c>
      <c r="B255" s="13" t="str">
        <f>Weekly_Inventory_Flow!B255</f>
        <v>P004</v>
      </c>
      <c r="C255" s="25">
        <f>IF(SUMIFS(Weekly_Product_Demand!$C:$C,Weekly_Product_Demand!$A:$A,A255,Weekly_Product_Demand!$B:$B,B255)=0,0,
(SUMIFS(Weekly_Product_Demand!$D:$D,Weekly_Product_Demand!$A:$A,A255,Weekly_Product_Demand!$B:$B,B255)-
SUMIFS(Weekly_Product_Demand!$C:$C,Weekly_Product_Demand!$A:$A,A255,Weekly_Product_Demand!$B:$B,B255))/
SUMIFS(Weekly_Product_Demand!$C:$C,Weekly_Product_Demand!$A:$A,A255,Weekly_Product_Demand!$B:$B,B255))</f>
        <v>-6.5151295786882871E-3</v>
      </c>
      <c r="D255" s="25">
        <f>SUMIFS(Weekly_Inventory_Flow!$Q:$Q,Weekly_Inventory_Flow!$A:$A,A255,Weekly_Inventory_Flow!$B:$B,B255)</f>
        <v>0.98</v>
      </c>
      <c r="E255" s="26">
        <f>SUMIFS(Weekly_Inventory_Flow!$S:$S,Weekly_Inventory_Flow!$A:$A,A255,Weekly_Inventory_Flow!$B:$B,B255)</f>
        <v>1.8994462255902069</v>
      </c>
      <c r="F255" s="27">
        <f>SUMIFS(Weekly_Inventory_Flow!$N:$N,Weekly_Inventory_Flow!$A:$A,A255,Weekly_Inventory_Flow!$B:$B,B255)</f>
        <v>0</v>
      </c>
      <c r="G255" s="13" t="str">
        <f>_xlfn.XLOOKUP(B255,Product_Line_Map!$A$2:$A$6,Product_Line_Map!$B$2:$B$6,"")</f>
        <v>L02</v>
      </c>
      <c r="H255" s="25">
        <f>SUMIFS(Weekly_Line_Capacity!$J:$J,Weekly_Line_Capacity!$A:$A,A255,Weekly_Line_Capacity!$B:$B,G255)</f>
        <v>0.55047619047619045</v>
      </c>
      <c r="I255" s="27">
        <f>SUMIFS(Weekly_Line_Capacity!$K:$K,Weekly_Line_Capacity!$A:$A,A255,Weekly_Line_Capacity!$B:$B,G255)</f>
        <v>0</v>
      </c>
      <c r="J255" s="13" t="str" cm="1">
        <f t="array" ref="J255">_xlfn.XLOOKUP(1,(Weekly_Line_Capacity!$A$2:$A$157=A255)*(Weekly_Line_Capacity!$B$2:$B$157=G255),Weekly_Line_Capacity!$L$2:$L$157,"")</f>
        <v>WITHIN CAPACITY</v>
      </c>
      <c r="K255" s="13" t="str">
        <f>_xlfn.XLOOKUP(B255,BOM!$A$2:$A$21,BOM!$B$2:$B$21,"")</f>
        <v>M004</v>
      </c>
      <c r="L255" s="27">
        <f>SUMIFS(Weekly_Material_Inventory!$K:$K,Weekly_Material_Inventory!$A:$A,A255,Weekly_Material_Inventory!$B:$B,K255)</f>
        <v>0</v>
      </c>
      <c r="M255">
        <f t="shared" si="9"/>
        <v>1</v>
      </c>
      <c r="N255" t="str">
        <f t="shared" si="10"/>
        <v>WARNING</v>
      </c>
      <c r="O255" t="str">
        <f t="shared" si="11"/>
        <v>LOW STOCK COVER</v>
      </c>
      <c r="P255" t="str" cm="1">
        <f t="array" ref="P255">_xlfn.SWITCH(O255,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55" t="str" cm="1">
        <f t="array" ref="Q255">_xlfn.SWITCH(O255,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55" t="str" cm="1">
        <f t="array" ref="R255">_xlfn.SWITCH(P255,
"Inventory / Service","Operations / Planning",
"Material Supply","Materials / Procurement",
"Capacity","Production / Planning",
"Production Execution","Production",
"Inventory","Operations / Planning",
"Demand Planning","Commercial / Planning",
"None","None",
"Operations")</f>
        <v>Operations / Planning</v>
      </c>
    </row>
    <row r="256" spans="1:18">
      <c r="A256" s="30">
        <f>Weekly_Inventory_Flow!A256</f>
        <v>46377</v>
      </c>
      <c r="B256" s="13" t="str">
        <f>Weekly_Inventory_Flow!B256</f>
        <v>P005</v>
      </c>
      <c r="C256" s="25">
        <f>IF(SUMIFS(Weekly_Product_Demand!$C:$C,Weekly_Product_Demand!$A:$A,A256,Weekly_Product_Demand!$B:$B,B256)=0,0,
(SUMIFS(Weekly_Product_Demand!$D:$D,Weekly_Product_Demand!$A:$A,A256,Weekly_Product_Demand!$B:$B,B256)-
SUMIFS(Weekly_Product_Demand!$C:$C,Weekly_Product_Demand!$A:$A,A256,Weekly_Product_Demand!$B:$B,B256))/
SUMIFS(Weekly_Product_Demand!$C:$C,Weekly_Product_Demand!$A:$A,A256,Weekly_Product_Demand!$B:$B,B256))</f>
        <v>1.9911721432074547E-2</v>
      </c>
      <c r="D256" s="25">
        <f>SUMIFS(Weekly_Inventory_Flow!$Q:$Q,Weekly_Inventory_Flow!$A:$A,A256,Weekly_Inventory_Flow!$B:$B,B256)</f>
        <v>1</v>
      </c>
      <c r="E256" s="26">
        <f>SUMIFS(Weekly_Inventory_Flow!$S:$S,Weekly_Inventory_Flow!$A:$A,A256,Weekly_Inventory_Flow!$B:$B,B256)</f>
        <v>2.03644931717638</v>
      </c>
      <c r="F256" s="27">
        <f>SUMIFS(Weekly_Inventory_Flow!$N:$N,Weekly_Inventory_Flow!$A:$A,A256,Weekly_Inventory_Flow!$B:$B,B256)</f>
        <v>0</v>
      </c>
      <c r="G256" s="13" t="str">
        <f>_xlfn.XLOOKUP(B256,Product_Line_Map!$A$2:$A$6,Product_Line_Map!$B$2:$B$6,"")</f>
        <v>L03</v>
      </c>
      <c r="H256" s="25">
        <f>SUMIFS(Weekly_Line_Capacity!$J:$J,Weekly_Line_Capacity!$A:$A,A256,Weekly_Line_Capacity!$B:$B,G256)</f>
        <v>0.54523809523809519</v>
      </c>
      <c r="I256" s="27">
        <f>SUMIFS(Weekly_Line_Capacity!$K:$K,Weekly_Line_Capacity!$A:$A,A256,Weekly_Line_Capacity!$B:$B,G256)</f>
        <v>0</v>
      </c>
      <c r="J256" s="13" t="str" cm="1">
        <f t="array" ref="J256">_xlfn.XLOOKUP(1,(Weekly_Line_Capacity!$A$2:$A$157=A256)*(Weekly_Line_Capacity!$B$2:$B$157=G256),Weekly_Line_Capacity!$L$2:$L$157,"")</f>
        <v>WITHIN CAPACITY</v>
      </c>
      <c r="K256" s="13" t="str">
        <f>_xlfn.XLOOKUP(B256,BOM!$A$2:$A$21,BOM!$B$2:$B$21,"")</f>
        <v>M005</v>
      </c>
      <c r="L256" s="27">
        <f>SUMIFS(Weekly_Material_Inventory!$K:$K,Weekly_Material_Inventory!$A:$A,A256,Weekly_Material_Inventory!$B:$B,K256)</f>
        <v>0</v>
      </c>
      <c r="M256">
        <f t="shared" si="9"/>
        <v>0</v>
      </c>
      <c r="N256" t="str">
        <f t="shared" si="10"/>
        <v>OK</v>
      </c>
      <c r="O256" t="str">
        <f t="shared" si="11"/>
        <v>NONE</v>
      </c>
      <c r="P256" t="str" cm="1">
        <f t="array" ref="P256">_xlfn.SWITCH(O256,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56" t="str" cm="1">
        <f t="array" ref="Q256">_xlfn.SWITCH(O256,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56" t="str" cm="1">
        <f t="array" ref="R256">_xlfn.SWITCH(P256,
"Inventory / Service","Operations / Planning",
"Material Supply","Materials / Procurement",
"Capacity","Production / Planning",
"Production Execution","Production",
"Inventory","Operations / Planning",
"Demand Planning","Commercial / Planning",
"None","None",
"Operations")</f>
        <v>None</v>
      </c>
    </row>
    <row r="257" spans="1:18">
      <c r="A257" s="30">
        <f>Weekly_Inventory_Flow!A257</f>
        <v>46384</v>
      </c>
      <c r="B257" s="13" t="str">
        <f>Weekly_Inventory_Flow!B257</f>
        <v>P001</v>
      </c>
      <c r="C257" s="25">
        <f>IF(SUMIFS(Weekly_Product_Demand!$C:$C,Weekly_Product_Demand!$A:$A,A257,Weekly_Product_Demand!$B:$B,B257)=0,0,
(SUMIFS(Weekly_Product_Demand!$D:$D,Weekly_Product_Demand!$A:$A,A257,Weekly_Product_Demand!$B:$B,B257)-
SUMIFS(Weekly_Product_Demand!$C:$C,Weekly_Product_Demand!$A:$A,A257,Weekly_Product_Demand!$B:$B,B257))/
SUMIFS(Weekly_Product_Demand!$C:$C,Weekly_Product_Demand!$A:$A,A257,Weekly_Product_Demand!$B:$B,B257))</f>
        <v>6.4900894579898267E-3</v>
      </c>
      <c r="D257" s="25">
        <f>SUMIFS(Weekly_Inventory_Flow!$Q:$Q,Weekly_Inventory_Flow!$A:$A,A257,Weekly_Inventory_Flow!$B:$B,B257)</f>
        <v>0.98</v>
      </c>
      <c r="E257" s="26">
        <f>SUMIFS(Weekly_Inventory_Flow!$S:$S,Weekly_Inventory_Flow!$A:$A,A257,Weekly_Inventory_Flow!$B:$B,B257)</f>
        <v>1.8677239456256534</v>
      </c>
      <c r="F257" s="27">
        <f>SUMIFS(Weekly_Inventory_Flow!$N:$N,Weekly_Inventory_Flow!$A:$A,A257,Weekly_Inventory_Flow!$B:$B,B257)</f>
        <v>0</v>
      </c>
      <c r="G257" s="13" t="str">
        <f>_xlfn.XLOOKUP(B257,Product_Line_Map!$A$2:$A$6,Product_Line_Map!$B$2:$B$6,"")</f>
        <v>L01</v>
      </c>
      <c r="H257" s="25">
        <f>SUMIFS(Weekly_Line_Capacity!$J:$J,Weekly_Line_Capacity!$A:$A,A257,Weekly_Line_Capacity!$B:$B,G257)</f>
        <v>0.25877192982456143</v>
      </c>
      <c r="I257" s="27">
        <f>SUMIFS(Weekly_Line_Capacity!$K:$K,Weekly_Line_Capacity!$A:$A,A257,Weekly_Line_Capacity!$B:$B,G257)</f>
        <v>0</v>
      </c>
      <c r="J257" s="13" t="str" cm="1">
        <f t="array" ref="J257">_xlfn.XLOOKUP(1,(Weekly_Line_Capacity!$A$2:$A$157=A257)*(Weekly_Line_Capacity!$B$2:$B$157=G257),Weekly_Line_Capacity!$L$2:$L$157,"")</f>
        <v>WITHIN CAPACITY</v>
      </c>
      <c r="K257" s="13" t="str">
        <f>_xlfn.XLOOKUP(B257,BOM!$A$2:$A$21,BOM!$B$2:$B$21,"")</f>
        <v>M001</v>
      </c>
      <c r="L257" s="27">
        <f>SUMIFS(Weekly_Material_Inventory!$K:$K,Weekly_Material_Inventory!$A:$A,A257,Weekly_Material_Inventory!$B:$B,K257)</f>
        <v>0</v>
      </c>
      <c r="M257">
        <f t="shared" si="9"/>
        <v>1</v>
      </c>
      <c r="N257" t="str">
        <f t="shared" si="10"/>
        <v>WARNING</v>
      </c>
      <c r="O257" t="str">
        <f t="shared" si="11"/>
        <v>LOW STOCK COVER</v>
      </c>
      <c r="P257" t="str" cm="1">
        <f t="array" ref="P257">_xlfn.SWITCH(O257,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57" t="str" cm="1">
        <f t="array" ref="Q257">_xlfn.SWITCH(O257,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57" t="str" cm="1">
        <f t="array" ref="R257">_xlfn.SWITCH(P257,
"Inventory / Service","Operations / Planning",
"Material Supply","Materials / Procurement",
"Capacity","Production / Planning",
"Production Execution","Production",
"Inventory","Operations / Planning",
"Demand Planning","Commercial / Planning",
"None","None",
"Operations")</f>
        <v>Operations / Planning</v>
      </c>
    </row>
    <row r="258" spans="1:18">
      <c r="A258" s="30">
        <f>Weekly_Inventory_Flow!A258</f>
        <v>46384</v>
      </c>
      <c r="B258" s="13" t="str">
        <f>Weekly_Inventory_Flow!B258</f>
        <v>P002</v>
      </c>
      <c r="C258" s="25">
        <f>IF(SUMIFS(Weekly_Product_Demand!$C:$C,Weekly_Product_Demand!$A:$A,A258,Weekly_Product_Demand!$B:$B,B258)=0,0,
(SUMIFS(Weekly_Product_Demand!$D:$D,Weekly_Product_Demand!$A:$A,A258,Weekly_Product_Demand!$B:$B,B258)-
SUMIFS(Weekly_Product_Demand!$C:$C,Weekly_Product_Demand!$A:$A,A258,Weekly_Product_Demand!$B:$B,B258))/
SUMIFS(Weekly_Product_Demand!$C:$C,Weekly_Product_Demand!$A:$A,A258,Weekly_Product_Demand!$B:$B,B258))</f>
        <v>9.1216216216216221E-3</v>
      </c>
      <c r="D258" s="25">
        <f>SUMIFS(Weekly_Inventory_Flow!$Q:$Q,Weekly_Inventory_Flow!$A:$A,A258,Weekly_Inventory_Flow!$B:$B,B258)</f>
        <v>0.98</v>
      </c>
      <c r="E258" s="26">
        <f>SUMIFS(Weekly_Inventory_Flow!$S:$S,Weekly_Inventory_Flow!$A:$A,A258,Weekly_Inventory_Flow!$B:$B,B258)</f>
        <v>1.8597924338801475</v>
      </c>
      <c r="F258" s="27">
        <f>SUMIFS(Weekly_Inventory_Flow!$N:$N,Weekly_Inventory_Flow!$A:$A,A258,Weekly_Inventory_Flow!$B:$B,B258)</f>
        <v>0</v>
      </c>
      <c r="G258" s="13" t="str">
        <f>_xlfn.XLOOKUP(B258,Product_Line_Map!$A$2:$A$6,Product_Line_Map!$B$2:$B$6,"")</f>
        <v>L02</v>
      </c>
      <c r="H258" s="25">
        <f>SUMIFS(Weekly_Line_Capacity!$J:$J,Weekly_Line_Capacity!$A:$A,A258,Weekly_Line_Capacity!$B:$B,G258)</f>
        <v>0.55619047619047612</v>
      </c>
      <c r="I258" s="27">
        <f>SUMIFS(Weekly_Line_Capacity!$K:$K,Weekly_Line_Capacity!$A:$A,A258,Weekly_Line_Capacity!$B:$B,G258)</f>
        <v>0</v>
      </c>
      <c r="J258" s="13" t="str" cm="1">
        <f t="array" ref="J258">_xlfn.XLOOKUP(1,(Weekly_Line_Capacity!$A$2:$A$157=A258)*(Weekly_Line_Capacity!$B$2:$B$157=G258),Weekly_Line_Capacity!$L$2:$L$157,"")</f>
        <v>WITHIN CAPACITY</v>
      </c>
      <c r="K258" s="13" t="str">
        <f>_xlfn.XLOOKUP(B258,BOM!$A$2:$A$21,BOM!$B$2:$B$21,"")</f>
        <v>M002</v>
      </c>
      <c r="L258" s="27">
        <f>SUMIFS(Weekly_Material_Inventory!$K:$K,Weekly_Material_Inventory!$A:$A,A258,Weekly_Material_Inventory!$B:$B,K258)</f>
        <v>0</v>
      </c>
      <c r="M258">
        <f t="shared" si="9"/>
        <v>1</v>
      </c>
      <c r="N258" t="str">
        <f t="shared" si="10"/>
        <v>WARNING</v>
      </c>
      <c r="O258" t="str">
        <f t="shared" si="11"/>
        <v>LOW STOCK COVER</v>
      </c>
      <c r="P258" t="str" cm="1">
        <f t="array" ref="P258">_xlfn.SWITCH(O258,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58" t="str" cm="1">
        <f t="array" ref="Q258">_xlfn.SWITCH(O258,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58" t="str" cm="1">
        <f t="array" ref="R258">_xlfn.SWITCH(P258,
"Inventory / Service","Operations / Planning",
"Material Supply","Materials / Procurement",
"Capacity","Production / Planning",
"Production Execution","Production",
"Inventory","Operations / Planning",
"Demand Planning","Commercial / Planning",
"None","None",
"Operations")</f>
        <v>Operations / Planning</v>
      </c>
    </row>
    <row r="259" spans="1:18">
      <c r="A259" s="30">
        <f>Weekly_Inventory_Flow!A259</f>
        <v>46384</v>
      </c>
      <c r="B259" s="13" t="str">
        <f>Weekly_Inventory_Flow!B259</f>
        <v>P003</v>
      </c>
      <c r="C259" s="25">
        <f>IF(SUMIFS(Weekly_Product_Demand!$C:$C,Weekly_Product_Demand!$A:$A,A259,Weekly_Product_Demand!$B:$B,B259)=0,0,
(SUMIFS(Weekly_Product_Demand!$D:$D,Weekly_Product_Demand!$A:$A,A259,Weekly_Product_Demand!$B:$B,B259)-
SUMIFS(Weekly_Product_Demand!$C:$C,Weekly_Product_Demand!$A:$A,A259,Weekly_Product_Demand!$B:$B,B259))/
SUMIFS(Weekly_Product_Demand!$C:$C,Weekly_Product_Demand!$A:$A,A259,Weekly_Product_Demand!$B:$B,B259))</f>
        <v>-8.6649796794724329E-3</v>
      </c>
      <c r="D259" s="25">
        <f>SUMIFS(Weekly_Inventory_Flow!$Q:$Q,Weekly_Inventory_Flow!$A:$A,A259,Weekly_Inventory_Flow!$B:$B,B259)</f>
        <v>0.97</v>
      </c>
      <c r="E259" s="26">
        <f>SUMIFS(Weekly_Inventory_Flow!$S:$S,Weekly_Inventory_Flow!$A:$A,A259,Weekly_Inventory_Flow!$B:$B,B259)</f>
        <v>1.8285117574257426</v>
      </c>
      <c r="F259" s="27">
        <f>SUMIFS(Weekly_Inventory_Flow!$N:$N,Weekly_Inventory_Flow!$A:$A,A259,Weekly_Inventory_Flow!$B:$B,B259)</f>
        <v>0</v>
      </c>
      <c r="G259" s="13" t="str">
        <f>_xlfn.XLOOKUP(B259,Product_Line_Map!$A$2:$A$6,Product_Line_Map!$B$2:$B$6,"")</f>
        <v>L03</v>
      </c>
      <c r="H259" s="25">
        <f>SUMIFS(Weekly_Line_Capacity!$J:$J,Weekly_Line_Capacity!$A:$A,A259,Weekly_Line_Capacity!$B:$B,G259)</f>
        <v>0.55714285714285716</v>
      </c>
      <c r="I259" s="27">
        <f>SUMIFS(Weekly_Line_Capacity!$K:$K,Weekly_Line_Capacity!$A:$A,A259,Weekly_Line_Capacity!$B:$B,G259)</f>
        <v>0</v>
      </c>
      <c r="J259" s="13" t="str" cm="1">
        <f t="array" ref="J259">_xlfn.XLOOKUP(1,(Weekly_Line_Capacity!$A$2:$A$157=A259)*(Weekly_Line_Capacity!$B$2:$B$157=G259),Weekly_Line_Capacity!$L$2:$L$157,"")</f>
        <v>WITHIN CAPACITY</v>
      </c>
      <c r="K259" s="13" t="str">
        <f>_xlfn.XLOOKUP(B259,BOM!$A$2:$A$21,BOM!$B$2:$B$21,"")</f>
        <v>M003</v>
      </c>
      <c r="L259" s="27">
        <f>SUMIFS(Weekly_Material_Inventory!$K:$K,Weekly_Material_Inventory!$A:$A,A259,Weekly_Material_Inventory!$B:$B,K259)</f>
        <v>0</v>
      </c>
      <c r="M259">
        <f t="shared" ref="M259:M261" si="12">IF(F259&gt;0,5,0)
+IF(L259&gt;0,5,0)
+IF(J259="OVER CAPACITY",5,IF(H259&gt;=0.85,1,0))
+IF(D259&lt;0.9,3,IF(D259&lt;0.95,2,0))
+IF(E259&lt;1,3,IF(E259&lt;2,1,0))
+IF(ABS(C259)&gt;=0.1,2,IF(ABS(C259)&gt;=0.05,1,0))</f>
        <v>1</v>
      </c>
      <c r="N259" t="str">
        <f t="shared" ref="N259:N261" si="13">IF(OR(F259&gt;0,L259&gt;0,J259="OVER CAPACITY",M259&gt;=5),"CRITICAL",IF(M259&gt;=1,"WARNING","OK"))</f>
        <v>WARNING</v>
      </c>
      <c r="O259" t="str">
        <f t="shared" ref="O259:O261" si="14">IF(F259&gt;0,"FINISHED GOODS SHORTAGE",
IF(L259&gt;0,"MATERIAL SHORTAGE",
IF(J259="OVER CAPACITY","CAPACITY CONSTRAINT",
IF(D259&lt;0.9,"SEVERE PRODUCTION SHORTFALL",
IF(E259&lt;1,"CRITICAL LOW STOCK COVER",
IF(D259&lt;0.95,"LOW PRODUCTION ATTAINMENT",
IF(ABS(C259)&gt;=0.1,"HIGH FORECAST VARIANCE",
IF(E259&lt;2,"LOW STOCK COVER",
IF(H259&gt;=0.85,"HIGH CAPACITY UTILISATION",
IF(ABS(C259)&gt;=0.05,"FORECAST VARIANCE","NONE"))))))))))</f>
        <v>LOW STOCK COVER</v>
      </c>
      <c r="P259" t="str" cm="1">
        <f t="array" ref="P259">_xlfn.SWITCH(O259,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Inventory</v>
      </c>
      <c r="Q259" t="str" cm="1">
        <f t="array" ref="Q259">_xlfn.SWITCH(O259,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Review upcoming production requirement and replenish stock</v>
      </c>
      <c r="R259" t="str" cm="1">
        <f t="array" ref="R259">_xlfn.SWITCH(P259,
"Inventory / Service","Operations / Planning",
"Material Supply","Materials / Procurement",
"Capacity","Production / Planning",
"Production Execution","Production",
"Inventory","Operations / Planning",
"Demand Planning","Commercial / Planning",
"None","None",
"Operations")</f>
        <v>Operations / Planning</v>
      </c>
    </row>
    <row r="260" spans="1:18">
      <c r="A260" s="30">
        <f>Weekly_Inventory_Flow!A260</f>
        <v>46384</v>
      </c>
      <c r="B260" s="13" t="str">
        <f>Weekly_Inventory_Flow!B260</f>
        <v>P004</v>
      </c>
      <c r="C260" s="25">
        <f>IF(SUMIFS(Weekly_Product_Demand!$C:$C,Weekly_Product_Demand!$A:$A,A260,Weekly_Product_Demand!$B:$B,B260)=0,0,
(SUMIFS(Weekly_Product_Demand!$D:$D,Weekly_Product_Demand!$A:$A,A260,Weekly_Product_Demand!$B:$B,B260)-
SUMIFS(Weekly_Product_Demand!$C:$C,Weekly_Product_Demand!$A:$A,A260,Weekly_Product_Demand!$B:$B,B260))/
SUMIFS(Weekly_Product_Demand!$C:$C,Weekly_Product_Demand!$A:$A,A260,Weekly_Product_Demand!$B:$B,B260))</f>
        <v>4.6176046176046176E-3</v>
      </c>
      <c r="D260" s="25">
        <f>SUMIFS(Weekly_Inventory_Flow!$Q:$Q,Weekly_Inventory_Flow!$A:$A,A260,Weekly_Inventory_Flow!$B:$B,B260)</f>
        <v>1</v>
      </c>
      <c r="E260" s="26">
        <f>SUMIFS(Weekly_Inventory_Flow!$S:$S,Weekly_Inventory_Flow!$A:$A,A260,Weekly_Inventory_Flow!$B:$B,B260)</f>
        <v>2.0109164033323759</v>
      </c>
      <c r="F260" s="27">
        <f>SUMIFS(Weekly_Inventory_Flow!$N:$N,Weekly_Inventory_Flow!$A:$A,A260,Weekly_Inventory_Flow!$B:$B,B260)</f>
        <v>0</v>
      </c>
      <c r="G260" s="13" t="str">
        <f>_xlfn.XLOOKUP(B260,Product_Line_Map!$A$2:$A$6,Product_Line_Map!$B$2:$B$6,"")</f>
        <v>L02</v>
      </c>
      <c r="H260" s="25">
        <f>SUMIFS(Weekly_Line_Capacity!$J:$J,Weekly_Line_Capacity!$A:$A,A260,Weekly_Line_Capacity!$B:$B,G260)</f>
        <v>0.55619047619047612</v>
      </c>
      <c r="I260" s="27">
        <f>SUMIFS(Weekly_Line_Capacity!$K:$K,Weekly_Line_Capacity!$A:$A,A260,Weekly_Line_Capacity!$B:$B,G260)</f>
        <v>0</v>
      </c>
      <c r="J260" s="13" t="str" cm="1">
        <f t="array" ref="J260">_xlfn.XLOOKUP(1,(Weekly_Line_Capacity!$A$2:$A$157=A260)*(Weekly_Line_Capacity!$B$2:$B$157=G260),Weekly_Line_Capacity!$L$2:$L$157,"")</f>
        <v>WITHIN CAPACITY</v>
      </c>
      <c r="K260" s="13" t="str">
        <f>_xlfn.XLOOKUP(B260,BOM!$A$2:$A$21,BOM!$B$2:$B$21,"")</f>
        <v>M004</v>
      </c>
      <c r="L260" s="27">
        <f>SUMIFS(Weekly_Material_Inventory!$K:$K,Weekly_Material_Inventory!$A:$A,A260,Weekly_Material_Inventory!$B:$B,K260)</f>
        <v>0</v>
      </c>
      <c r="M260">
        <f t="shared" si="12"/>
        <v>0</v>
      </c>
      <c r="N260" t="str">
        <f t="shared" si="13"/>
        <v>OK</v>
      </c>
      <c r="O260" t="str">
        <f t="shared" si="14"/>
        <v>NONE</v>
      </c>
      <c r="P260" t="str" cm="1">
        <f t="array" ref="P260">_xlfn.SWITCH(O260,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60" t="str" cm="1">
        <f t="array" ref="Q260">_xlfn.SWITCH(O260,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60" t="str" cm="1">
        <f t="array" ref="R260">_xlfn.SWITCH(P260,
"Inventory / Service","Operations / Planning",
"Material Supply","Materials / Procurement",
"Capacity","Production / Planning",
"Production Execution","Production",
"Inventory","Operations / Planning",
"Demand Planning","Commercial / Planning",
"None","None",
"Operations")</f>
        <v>None</v>
      </c>
    </row>
    <row r="261" spans="1:18">
      <c r="A261" s="30">
        <f>Weekly_Inventory_Flow!A261</f>
        <v>46384</v>
      </c>
      <c r="B261" s="13" t="str">
        <f>Weekly_Inventory_Flow!B261</f>
        <v>P005</v>
      </c>
      <c r="C261" s="25">
        <f>IF(SUMIFS(Weekly_Product_Demand!$C:$C,Weekly_Product_Demand!$A:$A,A261,Weekly_Product_Demand!$B:$B,B261)=0,0,
(SUMIFS(Weekly_Product_Demand!$D:$D,Weekly_Product_Demand!$A:$A,A261,Weekly_Product_Demand!$B:$B,B261)-
SUMIFS(Weekly_Product_Demand!$C:$C,Weekly_Product_Demand!$A:$A,A261,Weekly_Product_Demand!$B:$B,B261))/
SUMIFS(Weekly_Product_Demand!$C:$C,Weekly_Product_Demand!$A:$A,A261,Weekly_Product_Demand!$B:$B,B261))</f>
        <v>1.9590895995390378E-2</v>
      </c>
      <c r="D261" s="25">
        <f>SUMIFS(Weekly_Inventory_Flow!$Q:$Q,Weekly_Inventory_Flow!$A:$A,A261,Weekly_Inventory_Flow!$B:$B,B261)</f>
        <v>1</v>
      </c>
      <c r="E261" s="26">
        <f>SUMIFS(Weekly_Inventory_Flow!$S:$S,Weekly_Inventory_Flow!$A:$A,A261,Weekly_Inventory_Flow!$B:$B,B261)</f>
        <v>2.0491664311952529</v>
      </c>
      <c r="F261" s="27">
        <f>SUMIFS(Weekly_Inventory_Flow!$N:$N,Weekly_Inventory_Flow!$A:$A,A261,Weekly_Inventory_Flow!$B:$B,B261)</f>
        <v>0</v>
      </c>
      <c r="G261" s="13" t="str">
        <f>_xlfn.XLOOKUP(B261,Product_Line_Map!$A$2:$A$6,Product_Line_Map!$B$2:$B$6,"")</f>
        <v>L03</v>
      </c>
      <c r="H261" s="25">
        <f>SUMIFS(Weekly_Line_Capacity!$J:$J,Weekly_Line_Capacity!$A:$A,A261,Weekly_Line_Capacity!$B:$B,G261)</f>
        <v>0.55714285714285716</v>
      </c>
      <c r="I261" s="27">
        <f>SUMIFS(Weekly_Line_Capacity!$K:$K,Weekly_Line_Capacity!$A:$A,A261,Weekly_Line_Capacity!$B:$B,G261)</f>
        <v>0</v>
      </c>
      <c r="J261" s="13" t="str" cm="1">
        <f t="array" ref="J261">_xlfn.XLOOKUP(1,(Weekly_Line_Capacity!$A$2:$A$157=A261)*(Weekly_Line_Capacity!$B$2:$B$157=G261),Weekly_Line_Capacity!$L$2:$L$157,"")</f>
        <v>WITHIN CAPACITY</v>
      </c>
      <c r="K261" s="13" t="str">
        <f>_xlfn.XLOOKUP(B261,BOM!$A$2:$A$21,BOM!$B$2:$B$21,"")</f>
        <v>M005</v>
      </c>
      <c r="L261" s="27">
        <f>SUMIFS(Weekly_Material_Inventory!$K:$K,Weekly_Material_Inventory!$A:$A,A261,Weekly_Material_Inventory!$B:$B,K261)</f>
        <v>0</v>
      </c>
      <c r="M261">
        <f t="shared" si="12"/>
        <v>0</v>
      </c>
      <c r="N261" t="str">
        <f t="shared" si="13"/>
        <v>OK</v>
      </c>
      <c r="O261" t="str">
        <f t="shared" si="14"/>
        <v>NONE</v>
      </c>
      <c r="P261" t="str" cm="1">
        <f t="array" ref="P261">_xlfn.SWITCH(O261,
"FINISHED GOODS SHORTAGE","Inventory / Service",
"MATERIAL SHORTAGE","Material Supply",
"CAPACITY CONSTRAINT","Capacity",
"SEVERE PRODUCTION SHORTFALL","Production Execution",
"CRITICAL LOW STOCK COVER","Inventory",
"LOW PRODUCTION ATTAINMENT","Production Execution",
"HIGH FORECAST VARIANCE","Demand Planning",
"LOW STOCK COVER","Inventory",
"HIGH CAPACITY UTILISATION","Capacity",
"FORECAST VARIANCE","Demand Planning",
"NONE","None",
"Other")</f>
        <v>None</v>
      </c>
      <c r="Q261" t="str" cm="1">
        <f t="array" ref="Q261">_xlfn.SWITCH(O261,
"FINISHED GOODS SHORTAGE","Escalate service risk; prioritise production and review stock allocation",
"MATERIAL SHORTAGE","Review material availability and expedite or reschedule supply",
"CAPACITY CONSTRAINT","Review line loading and production schedule; assess recovery capacity",
"SEVERE PRODUCTION SHORTFALL","Investigate production loss and create recovery plan",
"CRITICAL LOW STOCK COVER","Prioritise replenishment and protect customer orders",
"LOW PRODUCTION ATTAINMENT","Investigate production variance and monitor recovery",
"HIGH FORECAST VARIANCE","Review forecast assumptions and customer demand changes",
"LOW STOCK COVER","Review upcoming production requirement and replenish stock",
"HIGH CAPACITY UTILISATION","Review upcoming line demand and capacity contingency",
"FORECAST VARIANCE","Review recent demand versus forecast",
"NONE","No immediate action required",
"Investigate exception")</f>
        <v>No immediate action required</v>
      </c>
      <c r="R261" t="str" cm="1">
        <f t="array" ref="R261">_xlfn.SWITCH(P261,
"Inventory / Service","Operations / Planning",
"Material Supply","Materials / Procurement",
"Capacity","Production / Planning",
"Production Execution","Production",
"Inventory","Operations / Planning",
"Demand Planning","Commercial / Planning",
"None","None",
"Operations")</f>
        <v>None</v>
      </c>
    </row>
    <row r="262" spans="1:18">
      <c r="A262" s="1"/>
    </row>
    <row r="263" spans="1:18">
      <c r="A263" s="1"/>
    </row>
    <row r="264" spans="1:18">
      <c r="A264" s="1"/>
    </row>
    <row r="265" spans="1:18">
      <c r="A265" s="1"/>
    </row>
    <row r="266" spans="1:18">
      <c r="A266" s="1"/>
    </row>
    <row r="267" spans="1:18">
      <c r="A267" s="1"/>
    </row>
    <row r="268" spans="1:18">
      <c r="A268" s="1"/>
    </row>
    <row r="269" spans="1:18">
      <c r="A269" s="1"/>
    </row>
    <row r="270" spans="1:18">
      <c r="A270" s="1"/>
    </row>
  </sheetData>
  <conditionalFormatting sqref="N1:N1048576">
    <cfRule type="containsText" dxfId="11" priority="1" operator="containsText" text="OK">
      <formula>NOT(ISERROR(SEARCH("OK",N1)))</formula>
    </cfRule>
    <cfRule type="containsText" dxfId="10" priority="2" operator="containsText" text="WARNING">
      <formula>NOT(ISERROR(SEARCH("WARNING",N1)))</formula>
    </cfRule>
    <cfRule type="containsText" dxfId="9" priority="3" operator="containsText" text="CRITICAL">
      <formula>NOT(ISERROR(SEARCH("CRITICAL",N1)))</formula>
    </cfRule>
  </conditionalFormatting>
  <pageMargins left="0.7" right="0.7" top="0.75" bottom="0.75" header="0.3" footer="0.3"/>
  <pageSetup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E52A-5A29-4117-A054-B2DD1B11EDF5}">
  <dimension ref="A1:B12"/>
  <sheetViews>
    <sheetView tabSelected="1" workbookViewId="0">
      <selection activeCell="M18" sqref="M18"/>
    </sheetView>
  </sheetViews>
  <sheetFormatPr defaultRowHeight="14.4"/>
  <cols>
    <col min="1" max="1" width="29.6640625" bestFit="1" customWidth="1"/>
  </cols>
  <sheetData>
    <row r="1" spans="1:2">
      <c r="A1" t="s">
        <v>153</v>
      </c>
      <c r="B1" t="s">
        <v>154</v>
      </c>
    </row>
    <row r="2" spans="1:2">
      <c r="A2" t="s">
        <v>245</v>
      </c>
      <c r="B2">
        <f>COUNTIF(Exception_Engine!$N$2:$N$261,"CRITICAL")</f>
        <v>4</v>
      </c>
    </row>
    <row r="3" spans="1:2">
      <c r="A3" t="s">
        <v>246</v>
      </c>
      <c r="B3">
        <f>COUNTIF(Exception_Engine!$N$2:$N$261,"WARNING")</f>
        <v>129</v>
      </c>
    </row>
    <row r="4" spans="1:2">
      <c r="A4" t="s">
        <v>247</v>
      </c>
      <c r="B4">
        <f>COUNTIF(Exception_Engine!$N$2:$N$261,"OK")</f>
        <v>127</v>
      </c>
    </row>
    <row r="5" spans="1:2">
      <c r="A5" t="s">
        <v>248</v>
      </c>
      <c r="B5">
        <f>B2+B3</f>
        <v>133</v>
      </c>
    </row>
    <row r="6" spans="1:2">
      <c r="A6" t="s">
        <v>249</v>
      </c>
      <c r="B6">
        <f>COUNTIF(Exception_Engine!$L$2:$L$261,"&gt;0")</f>
        <v>1</v>
      </c>
    </row>
    <row r="7" spans="1:2">
      <c r="A7" t="s">
        <v>250</v>
      </c>
      <c r="B7">
        <f>COUNTIF(Exception_Engine!$J$2:$J$261,"OVER CAPACITY")</f>
        <v>2</v>
      </c>
    </row>
    <row r="8" spans="1:2">
      <c r="A8" t="s">
        <v>251</v>
      </c>
      <c r="B8">
        <f>COUNTIF(Weekly_Line_Capacity!$L$2:$L$157,"OVER CAPACITY")</f>
        <v>1</v>
      </c>
    </row>
    <row r="9" spans="1:2">
      <c r="A9" t="s">
        <v>252</v>
      </c>
      <c r="B9">
        <f>COUNTIF(Exception_Engine!$D$2:$D$261,"&lt;0.9")</f>
        <v>1</v>
      </c>
    </row>
    <row r="10" spans="1:2">
      <c r="A10" t="s">
        <v>253</v>
      </c>
      <c r="B10" cm="1">
        <f t="array" ref="B10">SUMPRODUCT(--(ABS(Exception_Engine!$C$2:$C$261)&gt;=10%))</f>
        <v>1</v>
      </c>
    </row>
    <row r="11" spans="1:2">
      <c r="A11" t="s">
        <v>254</v>
      </c>
      <c r="B11">
        <f>COUNTIF(Exception_Engine!$E$2:$E$261,"&lt;1")</f>
        <v>1</v>
      </c>
    </row>
    <row r="12" spans="1:2">
      <c r="A12" t="s">
        <v>255</v>
      </c>
      <c r="B12">
        <f>COUNTIF(Exception_Engine!$F$2:$F$261,"&gt;0")</f>
        <v>1</v>
      </c>
    </row>
  </sheetData>
  <conditionalFormatting sqref="B2">
    <cfRule type="cellIs" dxfId="8" priority="2" operator="greaterThan">
      <formula>0</formula>
    </cfRule>
  </conditionalFormatting>
  <conditionalFormatting sqref="B3">
    <cfRule type="cellIs" dxfId="7" priority="1" operator="greaterThan">
      <formula>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825C46-4AD7-4573-BEE9-D14048DE6D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Product_Master</vt:lpstr>
      <vt:lpstr>Customer_Master</vt:lpstr>
      <vt:lpstr>Production_Line_Master</vt:lpstr>
      <vt:lpstr>Product_Line_Map</vt:lpstr>
      <vt:lpstr>Material_Master</vt:lpstr>
      <vt:lpstr>BOM</vt:lpstr>
      <vt:lpstr>Forecast</vt:lpstr>
      <vt:lpstr>Actual_Orders</vt:lpstr>
      <vt:lpstr>Finished_Goods_Inventory</vt:lpstr>
      <vt:lpstr>Production_Plan</vt:lpstr>
      <vt:lpstr>Production_Actuals</vt:lpstr>
      <vt:lpstr>Raw_Material_Inventory</vt:lpstr>
      <vt:lpstr>Weekly_Capacity</vt:lpstr>
      <vt:lpstr>Demand_Assumptions</vt:lpstr>
      <vt:lpstr>Scenario_Assumptions</vt:lpstr>
      <vt:lpstr>Calendar_Weeks</vt:lpstr>
      <vt:lpstr>Demand_Base</vt:lpstr>
      <vt:lpstr>Weekly_Product_Demand</vt:lpstr>
      <vt:lpstr>Weekly_Inventory_Flow</vt:lpstr>
      <vt:lpstr>Weekly_Material_Requirements</vt:lpstr>
      <vt:lpstr>Weekly_Material_Summary</vt:lpstr>
      <vt:lpstr>Weekly_Material_Inventory</vt:lpstr>
      <vt:lpstr>Weekly_Line_Capacity</vt:lpstr>
      <vt:lpstr>Data_Validation</vt:lpstr>
      <vt:lpstr>Operations_Planner</vt:lpstr>
      <vt:lpstr>KPI_Summary</vt:lpstr>
      <vt:lpstr>Product_KPI_Summary</vt:lpstr>
      <vt:lpstr>Line_KPI_Summary</vt:lpstr>
      <vt:lpstr>Material_KPI_Summary</vt:lpstr>
      <vt:lpstr>KPI_Interpretation</vt:lpstr>
      <vt:lpstr>Exception_Engine</vt:lpstr>
      <vt:lpstr>Exception_Summary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 jiyas</dc:creator>
  <cp:lastModifiedBy>shan jiyas</cp:lastModifiedBy>
  <dcterms:created xsi:type="dcterms:W3CDTF">2026-09-06T17:34:59Z</dcterms:created>
  <dcterms:modified xsi:type="dcterms:W3CDTF">2026-09-12T16:28:39Z</dcterms:modified>
</cp:coreProperties>
</file>